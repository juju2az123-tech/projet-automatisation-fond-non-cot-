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500" firstSheet="0" activeTab="1" autoFilterDateGrouping="1"/>
  </bookViews>
  <sheets>
    <sheet name="Consolidation" sheetId="1" state="visible" r:id="rId1"/>
    <sheet name="Calendrier de sortie" sheetId="2" state="visible" r:id="rId2"/>
    <sheet name="Consolidation Transparisation" sheetId="3" state="visible" r:id="rId3"/>
    <sheet name="BDD_Calendrier" sheetId="4" state="hidden" r:id="rId4"/>
    <sheet name="BDD_Penalites" sheetId="5" state="hidden" r:id="rId5"/>
  </sheets>
  <definedNames>
    <definedName name="Beg_Bal">#REF!</definedName>
    <definedName name="Data">#REF!</definedName>
    <definedName name="End_Bal">#REF!</definedName>
    <definedName name="Extra_Pay">#REF!</definedName>
    <definedName name="Full_Print">#REF!</definedName>
    <definedName name="Header_Row">ROW(#REF!)</definedName>
    <definedName name="Int">#REF!</definedName>
    <definedName name="Interest_Rate">#REF!</definedName>
    <definedName name="Last_Row">IF(Values_Entered,Header_Row+Number_of_Payments,Header_Row)</definedName>
    <definedName name="Loan_Amount">#REF!</definedName>
    <definedName name="Loan_Start">#REF!</definedName>
    <definedName name="Loan_Years">#REF!</definedName>
    <definedName name="Num_Pmt_Per_Year">#REF!</definedName>
    <definedName name="Number_of_Payments">MATCH(0.01,End_Bal,-1)+1</definedName>
    <definedName name="Pay_Date">#REF!</definedName>
    <definedName name="Pay_Num">#REF!</definedName>
    <definedName name="Payment_Date">DATE(YEAR(Loan_Start),MONTH(Loan_Start)+payment_number,DAY(Loan_Start))</definedName>
    <definedName name="Princ">#REF!</definedName>
    <definedName name="Print_Area_Reset">OFFSET(Full_Print,0,0,Last_Row)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Total_Interest">#REF!</definedName>
    <definedName name="Total_Pay">#REF!</definedName>
    <definedName name="Total_Payment">scheduled_payment+extra_payment</definedName>
    <definedName name="Values_Entered">IF(Loan_Amount*Interest_Rate*Loan_Years*Loan_Start&gt;0,1,0)</definedName>
    <definedName name="Versements_supplémentaires_facultatifs">#REF!</definedName>
    <definedName name="Payment_Date" localSheetId="0">DATE(YEAR([0]!Loan_Start),MONTH([0]!Loan_Start)+payment_number,DAY([0]!Loan_Start))</definedName>
    <definedName name="Total_Payment" localSheetId="0">scheduled_payment+extra_payment</definedName>
    <definedName name="_xlnm.Print_Area" localSheetId="0">'Consolidation'!$A$1:$Y$470</definedName>
    <definedName name="Payment_Date" localSheetId="2">DATE(YEAR(Loan_Start),MONTH(Loan_Start)+payment_number,DAY(Loan_Start))</definedName>
    <definedName name="Total_Payment" localSheetId="2">scheduled_payment+extra_payment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_-* #,##0&quot; €&quot;_-;\-* #,##0&quot; €&quot;_-;_-* \-??&quot; €&quot;_-;_-@_-"/>
    <numFmt numFmtId="165" formatCode="0.0%"/>
    <numFmt numFmtId="166" formatCode="m/d/yyyy"/>
    <numFmt numFmtId="167" formatCode="_-* #,##0.00&quot; €&quot;_-;\-* #,##0.00&quot; €&quot;_-;_-* \-??&quot; €&quot;_-;_-@_-"/>
    <numFmt numFmtId="168" formatCode="_-* #,##0.00\ &quot;€&quot;_-;\-* #,##0.00\ &quot;€&quot;_-;_-* &quot;-&quot;??\ &quot;€&quot;_-;_-@_-"/>
    <numFmt numFmtId="169" formatCode="0.0"/>
    <numFmt numFmtId="170" formatCode="_-* #,##0\ &quot;€&quot;_-;\-* #,##0\ &quot;€&quot;_-;_-* &quot;-&quot;??\ &quot;€&quot;_-;_-@_-"/>
    <numFmt numFmtId="171" formatCode="[$-F800]dddd\,\ mmmm\ dd\,\ yyyy"/>
    <numFmt numFmtId="172" formatCode="_(* #,##0.00_);_(* \(#,##0.00\);_(* \-??_);_(@_)"/>
    <numFmt numFmtId="173" formatCode="_(\$* #,##0.00_);_(\$* \(#,##0.00\);_(\$* \-??_);_(@_)"/>
    <numFmt numFmtId="174" formatCode="_-* #,##0.00\ _€_-;\-* #,##0.00\ _€_-;_-* &quot;-&quot;??\ _€_-;_-@_-"/>
    <numFmt numFmtId="175" formatCode="yyyy-mm-dd"/>
    <numFmt numFmtId="176" formatCode="dd/mm/yyyy"/>
  </numFmts>
  <fonts count="22">
    <font>
      <name val="Aptos Narrow"/>
      <charset val="1"/>
      <family val="2"/>
      <color theme="1"/>
      <sz val="11"/>
    </font>
    <font>
      <name val="Aptos Narrow"/>
      <family val="2"/>
      <color theme="1"/>
      <sz val="11"/>
      <scheme val="minor"/>
    </font>
    <font>
      <name val="Arial"/>
      <charset val="1"/>
      <family val="2"/>
      <color theme="10"/>
      <sz val="11"/>
      <u val="single"/>
    </font>
    <font>
      <name val="Arial"/>
      <charset val="1"/>
      <family val="2"/>
      <color theme="1"/>
      <sz val="11"/>
    </font>
    <font>
      <name val="Aptos Narrow"/>
      <charset val="1"/>
      <family val="2"/>
      <color theme="1"/>
      <sz val="11"/>
    </font>
    <font>
      <name val="Arial"/>
      <family val="2"/>
      <sz val="10"/>
    </font>
    <font>
      <name val="Aptos Narrow"/>
      <family val="2"/>
      <color theme="10"/>
      <sz val="11"/>
      <u val="single"/>
      <scheme val="minor"/>
    </font>
    <font>
      <name val="Montserrat"/>
      <b val="1"/>
      <color theme="0"/>
      <sz val="9"/>
    </font>
    <font>
      <name val="Montserrat"/>
      <color theme="1"/>
      <sz val="9"/>
    </font>
    <font>
      <name val="Montserrat"/>
      <i val="1"/>
      <color theme="1"/>
      <sz val="9"/>
    </font>
    <font>
      <name val="Montserrat"/>
      <i val="1"/>
      <sz val="9"/>
    </font>
    <font>
      <name val="Montserrat"/>
      <b val="1"/>
      <sz val="9"/>
    </font>
    <font>
      <name val="Montserrat"/>
      <sz val="9"/>
    </font>
    <font>
      <name val="Montserrat"/>
      <b val="1"/>
      <color theme="1"/>
      <sz val="9"/>
    </font>
    <font>
      <name val="Montserrat"/>
      <b val="1"/>
      <i val="1"/>
      <color theme="1"/>
      <sz val="9"/>
    </font>
    <font>
      <name val="Montserrat"/>
      <color rgb="FF283444"/>
      <sz val="9"/>
    </font>
    <font>
      <name val="Montserrat"/>
      <i val="1"/>
      <color rgb="FF283444"/>
      <sz val="9"/>
    </font>
    <font>
      <name val="Montserrat"/>
      <b val="1"/>
      <i val="1"/>
      <color rgb="FF283444"/>
      <sz val="9"/>
    </font>
    <font>
      <name val="Montserrat"/>
      <b val="1"/>
      <color rgb="FF283444"/>
      <sz val="9"/>
    </font>
    <font>
      <name val="Montserrat"/>
      <color rgb="FFA24848"/>
      <sz val="9"/>
    </font>
    <font>
      <name val="Montserrat"/>
      <i val="1"/>
      <color theme="5" tint="0.3999755851924192"/>
      <sz val="9"/>
    </font>
    <font>
      <b val="1"/>
    </font>
  </fonts>
  <fills count="13">
    <fill>
      <patternFill/>
    </fill>
    <fill>
      <patternFill patternType="gray125"/>
    </fill>
    <fill>
      <patternFill patternType="solid">
        <fgColor theme="1"/>
        <bgColor rgb="FF333300"/>
      </patternFill>
    </fill>
    <fill>
      <patternFill patternType="solid">
        <fgColor theme="2"/>
        <bgColor rgb="FFD0D0D0"/>
      </patternFill>
    </fill>
    <fill>
      <patternFill patternType="solid">
        <fgColor theme="0"/>
        <bgColor rgb="FFF8F5F1"/>
      </patternFill>
    </fill>
    <fill>
      <patternFill patternType="solid">
        <fgColor theme="0"/>
        <bgColor indexed="64"/>
      </patternFill>
    </fill>
    <fill>
      <patternFill patternType="solid">
        <fgColor theme="2"/>
        <bgColor rgb="FFEFF3FB"/>
      </patternFill>
    </fill>
    <fill>
      <patternFill patternType="solid">
        <fgColor theme="2" tint="0.5999938962981048"/>
        <bgColor rgb="FFEFF3FB"/>
      </patternFill>
    </fill>
    <fill>
      <patternFill patternType="solid">
        <fgColor theme="2" tint="0.5999938962981048"/>
        <bgColor rgb="FFF8F5F1"/>
      </patternFill>
    </fill>
    <fill>
      <patternFill patternType="solid">
        <fgColor theme="2" tint="0.59999389629810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2A6"/>
        <bgColor rgb="FFFFF2A6"/>
      </patternFill>
    </fill>
  </fills>
  <borders count="55">
    <border>
      <left/>
      <right/>
      <top/>
      <bottom/>
      <diagonal/>
    </border>
    <border>
      <left style="medium">
        <color theme="2" tint="0.5998718222602009"/>
      </left>
      <right style="medium">
        <color theme="2" tint="0.5998718222602009"/>
      </right>
      <top/>
      <bottom/>
      <diagonal/>
    </border>
    <border>
      <left style="thin">
        <color rgb="FFD0D0D0"/>
      </left>
      <right style="thin">
        <color rgb="FFD0D0D0"/>
      </right>
      <top/>
      <bottom/>
      <diagonal/>
    </border>
    <border>
      <left/>
      <right style="medium">
        <color theme="2" tint="0.3999755851924192"/>
      </right>
      <top/>
      <bottom/>
      <diagonal/>
    </border>
    <border>
      <left style="medium">
        <color theme="2" tint="0.3999755851924192"/>
      </left>
      <right style="medium">
        <color theme="2" tint="0.3999755851924192"/>
      </right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 style="thin">
        <color rgb="FFD0D0D0"/>
      </right>
      <top/>
      <bottom/>
      <diagonal/>
    </border>
    <border>
      <left style="medium">
        <color theme="2" tint="0.5998718222602009"/>
      </left>
      <right style="medium">
        <color theme="2" tint="0.5998718222602009"/>
      </right>
      <top style="thin">
        <color theme="2"/>
      </top>
      <bottom style="hair">
        <color theme="2"/>
      </bottom>
      <diagonal/>
    </border>
    <border>
      <left style="hair">
        <color theme="2"/>
      </left>
      <right/>
      <top style="hair">
        <color theme="2"/>
      </top>
      <bottom/>
      <diagonal/>
    </border>
    <border>
      <left/>
      <right style="hair">
        <color theme="2"/>
      </right>
      <top style="hair">
        <color theme="2"/>
      </top>
      <bottom/>
      <diagonal/>
    </border>
    <border>
      <left style="hair">
        <color theme="2"/>
      </left>
      <right/>
      <top/>
      <bottom/>
      <diagonal/>
    </border>
    <border>
      <left/>
      <right style="hair">
        <color theme="2"/>
      </right>
      <top/>
      <bottom/>
      <diagonal/>
    </border>
    <border>
      <left style="hair">
        <color theme="2"/>
      </left>
      <right/>
      <top/>
      <bottom style="hair">
        <color theme="2"/>
      </bottom>
      <diagonal/>
    </border>
    <border>
      <left/>
      <right style="hair">
        <color theme="2"/>
      </right>
      <top/>
      <bottom style="hair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medium">
        <color theme="2" tint="0.5998718222602009"/>
      </right>
      <top style="thin">
        <color theme="2"/>
      </top>
      <bottom/>
      <diagonal/>
    </border>
    <border>
      <left/>
      <right style="medium">
        <color theme="2" tint="0.5998718222602009"/>
      </right>
      <top/>
      <bottom/>
      <diagonal/>
    </border>
    <border>
      <left style="medium">
        <color theme="2" tint="0.5998718222602009"/>
      </left>
      <right style="medium">
        <color theme="2"/>
      </right>
      <top style="hair">
        <color theme="2"/>
      </top>
      <bottom/>
      <diagonal/>
    </border>
    <border>
      <left style="medium">
        <color theme="2" tint="0.3999755851924192"/>
      </left>
      <right style="thin">
        <color theme="2"/>
      </right>
      <top/>
      <bottom/>
      <diagonal/>
    </border>
    <border>
      <left/>
      <right style="medium">
        <color theme="2"/>
      </right>
      <top/>
      <bottom/>
      <diagonal/>
    </border>
    <border>
      <left/>
      <right style="medium">
        <color theme="2" tint="0.5998718222602009"/>
      </right>
      <top style="thin">
        <color theme="2"/>
      </top>
      <bottom style="hair">
        <color theme="2"/>
      </bottom>
      <diagonal/>
    </border>
    <border>
      <left style="medium">
        <color theme="2"/>
      </left>
      <right style="medium">
        <color theme="2"/>
      </right>
      <top/>
      <bottom/>
      <diagonal/>
    </border>
    <border>
      <left style="medium">
        <color theme="2" tint="0.3999755851924192"/>
      </left>
      <right style="thin">
        <color theme="2"/>
      </right>
      <top/>
      <bottom style="medium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medium">
        <color theme="2" tint="0.3999755851924192"/>
      </right>
      <top style="thin">
        <color theme="2"/>
      </top>
      <bottom style="hair">
        <color theme="2"/>
      </bottom>
      <diagonal/>
    </border>
    <border>
      <left style="thin">
        <color theme="2"/>
      </left>
      <right style="medium">
        <color theme="2"/>
      </right>
      <top style="thin">
        <color theme="2"/>
      </top>
      <bottom style="thin">
        <color theme="2"/>
      </bottom>
      <diagonal/>
    </border>
    <border>
      <left/>
      <right style="medium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/>
      <diagonal/>
    </border>
    <border>
      <left/>
      <right style="medium">
        <color theme="2"/>
      </right>
      <top style="thin">
        <color theme="2"/>
      </top>
      <bottom/>
      <diagonal/>
    </border>
    <border>
      <left style="thin">
        <color theme="2"/>
      </left>
      <right style="medium">
        <color theme="2"/>
      </right>
      <top style="hair">
        <color theme="2"/>
      </top>
      <bottom/>
      <diagonal/>
    </border>
    <border>
      <left style="thin">
        <color theme="2"/>
      </left>
      <right style="medium">
        <color theme="2"/>
      </right>
      <top/>
      <bottom/>
      <diagonal/>
    </border>
    <border>
      <left/>
      <right/>
      <top style="medium">
        <color theme="2"/>
      </top>
      <bottom/>
      <diagonal/>
    </border>
    <border>
      <left style="medium">
        <color theme="2"/>
      </left>
      <right style="thin">
        <color theme="2"/>
      </right>
      <top/>
      <bottom/>
      <diagonal/>
    </border>
    <border>
      <left style="medium">
        <color theme="2" tint="0.3999755851924192"/>
      </left>
      <right style="medium">
        <color theme="2" tint="0.399975585192419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rgb="FFD0D0D0"/>
      </right>
      <top style="thin">
        <color theme="2"/>
      </top>
      <bottom style="thin">
        <color theme="2"/>
      </bottom>
      <diagonal/>
    </border>
    <border>
      <left style="thin">
        <color rgb="FFD0D0D0"/>
      </left>
      <right style="thin">
        <color rgb="FFD0D0D0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medium">
        <color theme="2"/>
      </right>
      <top style="medium">
        <color theme="2"/>
      </top>
      <bottom/>
      <diagonal/>
    </border>
    <border>
      <left style="thin">
        <color theme="2"/>
      </left>
      <right/>
      <top style="medium">
        <color theme="2"/>
      </top>
      <bottom/>
      <diagonal/>
    </border>
    <border>
      <left/>
      <right style="medium">
        <color theme="2" tint="0.5998718222602009"/>
      </right>
      <top style="medium">
        <color theme="2"/>
      </top>
      <bottom/>
      <diagonal/>
    </border>
    <border>
      <left style="medium">
        <color theme="2" tint="0.5998718222602009"/>
      </left>
      <right style="medium">
        <color theme="2" tint="0.5998718222602009"/>
      </right>
      <top style="medium">
        <color theme="2"/>
      </top>
      <bottom style="hair">
        <color theme="2"/>
      </bottom>
      <diagonal/>
    </border>
    <border>
      <left/>
      <right style="medium">
        <color theme="2" tint="0.5998718222602009"/>
      </right>
      <top style="medium">
        <color theme="2"/>
      </top>
      <bottom style="hair">
        <color theme="2"/>
      </bottom>
      <diagonal/>
    </border>
    <border>
      <left/>
      <right style="medium">
        <color theme="2" tint="0.3999755851924192"/>
      </right>
      <top style="medium">
        <color theme="2"/>
      </top>
      <bottom style="hair">
        <color theme="2"/>
      </bottom>
      <diagonal/>
    </border>
    <border>
      <left style="medium">
        <color theme="2" tint="0.3999755851924192"/>
      </left>
      <right style="thin">
        <color theme="2"/>
      </right>
      <top style="medium">
        <color theme="2"/>
      </top>
      <bottom/>
      <diagonal/>
    </border>
    <border>
      <left style="medium">
        <color theme="2"/>
      </left>
      <right style="medium">
        <color theme="2"/>
      </right>
      <top style="thin">
        <color theme="2"/>
      </top>
      <bottom style="thin">
        <color theme="2"/>
      </bottom>
      <diagonal/>
    </border>
    <border>
      <left/>
      <right style="medium">
        <color theme="2" tint="0.3999755851924192"/>
      </right>
      <top style="thin">
        <color theme="2"/>
      </top>
      <bottom style="thin">
        <color theme="2"/>
      </bottom>
      <diagonal/>
    </border>
    <border>
      <left style="thin">
        <color theme="2" tint="0.7999816888943144"/>
      </left>
      <right style="medium">
        <color theme="2"/>
      </right>
      <top/>
      <bottom style="thin">
        <color theme="2"/>
      </bottom>
      <diagonal/>
    </border>
    <border>
      <left style="medium">
        <color theme="2" tint="0.3999755851924192"/>
      </left>
      <right style="medium">
        <color theme="2"/>
      </right>
      <top/>
      <bottom/>
      <diagonal/>
    </border>
    <border>
      <left style="medium">
        <color theme="2" tint="0.5998718222602009"/>
      </left>
      <right style="medium">
        <color theme="2" tint="0.5998718222602009"/>
      </right>
      <top style="thin">
        <color theme="2"/>
      </top>
      <bottom/>
      <diagonal/>
    </border>
    <border>
      <left style="medium">
        <color theme="2" tint="0.5998718222602009"/>
      </left>
      <right style="medium">
        <color theme="2"/>
      </right>
      <top style="thin">
        <color theme="2"/>
      </top>
      <bottom/>
      <diagonal/>
    </border>
    <border>
      <left/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</borders>
  <cellStyleXfs count="15">
    <xf numFmtId="0" fontId="4" fillId="0" borderId="0"/>
    <xf numFmtId="0" fontId="2" fillId="0" borderId="0"/>
    <xf numFmtId="172" fontId="3" fillId="0" borderId="0"/>
    <xf numFmtId="173" fontId="3" fillId="0" borderId="0"/>
    <xf numFmtId="0" fontId="3" fillId="0" borderId="0"/>
    <xf numFmtId="9" fontId="3" fillId="0" borderId="0"/>
    <xf numFmtId="9" fontId="4" fillId="0" borderId="0"/>
    <xf numFmtId="9" fontId="4" fillId="0" borderId="0"/>
    <xf numFmtId="0" fontId="1" fillId="0" borderId="0"/>
    <xf numFmtId="43" fontId="1" fillId="0" borderId="0"/>
    <xf numFmtId="9" fontId="1" fillId="0" borderId="0"/>
    <xf numFmtId="0" fontId="5" fillId="0" borderId="0"/>
    <xf numFmtId="0" fontId="6" fillId="0" borderId="0"/>
    <xf numFmtId="174" fontId="5" fillId="0" borderId="0"/>
    <xf numFmtId="44" fontId="4" fillId="0" borderId="0"/>
  </cellStyleXfs>
  <cellXfs count="312">
    <xf numFmtId="0" fontId="0" fillId="0" borderId="0" pivotButton="0" quotePrefix="0" xfId="0"/>
    <xf numFmtId="0" fontId="8" fillId="0" borderId="0" applyAlignment="1" pivotButton="0" quotePrefix="0" xfId="0">
      <alignment horizontal="center" vertical="center" wrapText="1"/>
    </xf>
    <xf numFmtId="164" fontId="8" fillId="0" borderId="0" applyAlignment="1" pivotButton="0" quotePrefix="0" xfId="0">
      <alignment horizontal="center" vertical="center" wrapText="1"/>
    </xf>
    <xf numFmtId="165" fontId="8" fillId="0" borderId="0" applyAlignment="1" pivotButton="0" quotePrefix="0" xfId="7">
      <alignment horizontal="center" vertical="center" wrapText="1"/>
    </xf>
    <xf numFmtId="10" fontId="8" fillId="0" borderId="0" applyAlignment="1" pivotButton="0" quotePrefix="0" xfId="0">
      <alignment horizontal="center" vertical="center" wrapText="1"/>
    </xf>
    <xf numFmtId="166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165" fontId="9" fillId="0" borderId="0" applyAlignment="1" pivotButton="0" quotePrefix="0" xfId="7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164" fontId="7" fillId="2" borderId="8" applyAlignment="1" pivotButton="0" quotePrefix="0" xfId="0">
      <alignment horizontal="center" vertical="center" wrapText="1"/>
    </xf>
    <xf numFmtId="0" fontId="7" fillId="2" borderId="20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center" vertical="center" wrapText="1"/>
    </xf>
    <xf numFmtId="164" fontId="7" fillId="2" borderId="19" applyAlignment="1" pivotButton="0" quotePrefix="0" xfId="0">
      <alignment horizontal="center" vertical="center" wrapText="1"/>
    </xf>
    <xf numFmtId="164" fontId="7" fillId="2" borderId="18" applyAlignment="1" pivotButton="0" quotePrefix="0" xfId="0">
      <alignment horizontal="center" vertical="center" wrapText="1"/>
    </xf>
    <xf numFmtId="164" fontId="7" fillId="2" borderId="0" applyAlignment="1" pivotButton="0" quotePrefix="0" xfId="0">
      <alignment horizontal="center" vertical="center" wrapText="1"/>
    </xf>
    <xf numFmtId="167" fontId="8" fillId="0" borderId="0" applyAlignment="1" pivotButton="0" quotePrefix="0" xfId="0">
      <alignment horizontal="center" vertical="center" wrapText="1"/>
    </xf>
    <xf numFmtId="164" fontId="11" fillId="3" borderId="4" applyAlignment="1" pivotButton="0" quotePrefix="0" xfId="0">
      <alignment horizontal="left" vertical="center" wrapText="1"/>
    </xf>
    <xf numFmtId="164" fontId="11" fillId="3" borderId="0" applyAlignment="1" pivotButton="0" quotePrefix="0" xfId="0">
      <alignment horizontal="center" vertical="center" wrapText="1"/>
    </xf>
    <xf numFmtId="0" fontId="11" fillId="3" borderId="3" applyAlignment="1" pivotButton="0" quotePrefix="0" xfId="0">
      <alignment horizontal="center" vertical="center" wrapText="1"/>
    </xf>
    <xf numFmtId="0" fontId="11" fillId="3" borderId="2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center" vertical="center" wrapText="1"/>
    </xf>
    <xf numFmtId="164" fontId="11" fillId="6" borderId="4" applyAlignment="1" pivotButton="0" quotePrefix="0" xfId="0">
      <alignment horizontal="center" vertical="center" wrapText="1"/>
    </xf>
    <xf numFmtId="164" fontId="11" fillId="6" borderId="0" applyAlignment="1" pivotButton="0" quotePrefix="0" xfId="0">
      <alignment horizontal="center" vertical="center" wrapText="1"/>
    </xf>
    <xf numFmtId="0" fontId="12" fillId="6" borderId="3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8" fillId="5" borderId="0" pivotButton="0" quotePrefix="0" xfId="0"/>
    <xf numFmtId="0" fontId="8" fillId="0" borderId="0" applyAlignment="1" pivotButton="0" quotePrefix="0" xfId="0">
      <alignment horizontal="left" vertical="center" wrapText="1"/>
    </xf>
    <xf numFmtId="164" fontId="11" fillId="3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12" fillId="0" borderId="0" pivotButton="0" quotePrefix="0" xfId="0"/>
    <xf numFmtId="0" fontId="12" fillId="5" borderId="0" pivotButton="0" quotePrefix="0" xfId="0"/>
    <xf numFmtId="0" fontId="11" fillId="3" borderId="7" applyAlignment="1" pivotButton="0" quotePrefix="0" xfId="0">
      <alignment horizontal="left" vertical="center"/>
    </xf>
    <xf numFmtId="0" fontId="11" fillId="3" borderId="2" applyAlignment="1" pivotButton="0" quotePrefix="0" xfId="0">
      <alignment horizontal="center" vertical="center"/>
    </xf>
    <xf numFmtId="164" fontId="11" fillId="3" borderId="4" applyAlignment="1" pivotButton="0" quotePrefix="0" xfId="0">
      <alignment horizontal="left" vertical="center"/>
    </xf>
    <xf numFmtId="164" fontId="11" fillId="3" borderId="0" applyAlignment="1" pivotButton="0" quotePrefix="0" xfId="0">
      <alignment horizontal="right" vertical="center"/>
    </xf>
    <xf numFmtId="0" fontId="11" fillId="3" borderId="3" applyAlignment="1" pivotButton="0" quotePrefix="0" xfId="0">
      <alignment horizontal="left" vertical="center"/>
    </xf>
    <xf numFmtId="0" fontId="11" fillId="3" borderId="2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7">
      <alignment horizontal="center" vertical="center" wrapText="1"/>
    </xf>
    <xf numFmtId="0" fontId="9" fillId="8" borderId="9" applyAlignment="1" pivotButton="0" quotePrefix="0" xfId="0">
      <alignment horizontal="left" vertical="center"/>
    </xf>
    <xf numFmtId="0" fontId="9" fillId="8" borderId="11" applyAlignment="1" pivotButton="0" quotePrefix="0" xfId="0">
      <alignment horizontal="left" vertical="center"/>
    </xf>
    <xf numFmtId="0" fontId="9" fillId="8" borderId="13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/>
    </xf>
    <xf numFmtId="0" fontId="12" fillId="9" borderId="11" applyAlignment="1" pivotButton="0" quotePrefix="0" xfId="0">
      <alignment horizontal="left" vertical="center" wrapText="1"/>
    </xf>
    <xf numFmtId="10" fontId="12" fillId="0" borderId="0" applyAlignment="1" pivotButton="0" quotePrefix="0" xfId="0">
      <alignment horizontal="center" vertical="center" wrapText="1"/>
    </xf>
    <xf numFmtId="164" fontId="12" fillId="0" borderId="0" pivotButton="0" quotePrefix="0" xfId="0"/>
    <xf numFmtId="165" fontId="12" fillId="0" borderId="0" pivotButton="0" quotePrefix="0" xfId="7"/>
    <xf numFmtId="165" fontId="12" fillId="0" borderId="0" applyAlignment="1" pivotButton="0" quotePrefix="0" xfId="0">
      <alignment horizontal="center" vertical="center" wrapText="1"/>
    </xf>
    <xf numFmtId="165" fontId="12" fillId="0" borderId="0" applyAlignment="1" pivotButton="0" quotePrefix="0" xfId="0">
      <alignment horizontal="center"/>
    </xf>
    <xf numFmtId="0" fontId="7" fillId="2" borderId="28" applyAlignment="1" pivotButton="0" quotePrefix="0" xfId="0">
      <alignment horizontal="center" vertical="center" wrapText="1"/>
    </xf>
    <xf numFmtId="165" fontId="7" fillId="2" borderId="33" applyAlignment="1" pivotButton="0" quotePrefix="0" xfId="7">
      <alignment horizontal="center" vertical="center" wrapText="1"/>
    </xf>
    <xf numFmtId="165" fontId="11" fillId="3" borderId="34" applyAlignment="1" pivotButton="0" quotePrefix="0" xfId="7">
      <alignment horizontal="center" vertical="center" wrapText="1"/>
    </xf>
    <xf numFmtId="165" fontId="11" fillId="6" borderId="34" applyAlignment="1" pivotButton="0" quotePrefix="0" xfId="7">
      <alignment horizontal="center" vertical="center" wrapText="1"/>
    </xf>
    <xf numFmtId="165" fontId="11" fillId="3" borderId="34" applyAlignment="1" pivotButton="0" quotePrefix="0" xfId="7">
      <alignment horizontal="center" vertical="center"/>
    </xf>
    <xf numFmtId="168" fontId="11" fillId="3" borderId="31" applyAlignment="1" pivotButton="0" quotePrefix="0" xfId="14">
      <alignment horizontal="center" vertical="center" wrapText="1"/>
    </xf>
    <xf numFmtId="168" fontId="11" fillId="6" borderId="31" applyAlignment="1" pivotButton="0" quotePrefix="0" xfId="14">
      <alignment horizontal="center" vertical="center" wrapText="1"/>
    </xf>
    <xf numFmtId="168" fontId="11" fillId="3" borderId="31" applyAlignment="1" pivotButton="0" quotePrefix="0" xfId="14">
      <alignment horizontal="center" vertical="center"/>
    </xf>
    <xf numFmtId="10" fontId="11" fillId="6" borderId="21" applyAlignment="1" pivotButton="0" quotePrefix="0" xfId="14">
      <alignment horizontal="center" vertical="center" wrapText="1"/>
    </xf>
    <xf numFmtId="10" fontId="11" fillId="3" borderId="21" applyAlignment="1" pivotButton="0" quotePrefix="0" xfId="14">
      <alignment horizontal="center" vertical="center" wrapText="1"/>
    </xf>
    <xf numFmtId="10" fontId="11" fillId="3" borderId="21" applyAlignment="1" pivotButton="0" quotePrefix="0" xfId="14">
      <alignment horizontal="center" vertical="center"/>
    </xf>
    <xf numFmtId="169" fontId="7" fillId="2" borderId="0" applyAlignment="1" pivotButton="0" quotePrefix="0" xfId="0">
      <alignment horizontal="center" vertical="center" wrapText="1"/>
    </xf>
    <xf numFmtId="164" fontId="7" fillId="2" borderId="2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center" vertical="center" wrapText="1"/>
    </xf>
    <xf numFmtId="164" fontId="15" fillId="0" borderId="4" applyAlignment="1" pivotButton="0" quotePrefix="0" xfId="0">
      <alignment horizontal="center" vertical="center" wrapText="1"/>
    </xf>
    <xf numFmtId="164" fontId="15" fillId="4" borderId="4" applyAlignment="1" pivotButton="0" quotePrefix="0" xfId="0">
      <alignment horizontal="center" vertical="center" wrapText="1"/>
    </xf>
    <xf numFmtId="164" fontId="15" fillId="0" borderId="3" applyAlignment="1" pivotButton="0" quotePrefix="0" xfId="0">
      <alignment horizontal="center" vertical="center" wrapText="1"/>
    </xf>
    <xf numFmtId="164" fontId="15" fillId="0" borderId="21" applyAlignment="1" pivotButton="0" quotePrefix="0" xfId="0">
      <alignment horizontal="center" vertical="center" wrapText="1"/>
    </xf>
    <xf numFmtId="164" fontId="15" fillId="0" borderId="23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 wrapText="1"/>
    </xf>
    <xf numFmtId="165" fontId="15" fillId="0" borderId="34" applyAlignment="1" pivotButton="0" quotePrefix="0" xfId="7">
      <alignment horizontal="center" vertical="center" wrapText="1"/>
    </xf>
    <xf numFmtId="0" fontId="15" fillId="0" borderId="3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164" fontId="15" fillId="0" borderId="2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wrapText="1"/>
    </xf>
    <xf numFmtId="0" fontId="15" fillId="0" borderId="6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164" fontId="15" fillId="0" borderId="0" applyAlignment="1" pivotButton="0" quotePrefix="0" xfId="0">
      <alignment horizontal="right" vertical="center"/>
    </xf>
    <xf numFmtId="0" fontId="15" fillId="0" borderId="3" applyAlignment="1" pivotButton="0" quotePrefix="0" xfId="0">
      <alignment horizontal="center" vertical="center"/>
    </xf>
    <xf numFmtId="164" fontId="15" fillId="4" borderId="3" applyAlignment="1" pivotButton="0" quotePrefix="0" xfId="0">
      <alignment horizontal="center" vertical="center" wrapText="1"/>
    </xf>
    <xf numFmtId="164" fontId="15" fillId="4" borderId="21" applyAlignment="1" pivotButton="0" quotePrefix="0" xfId="0">
      <alignment horizontal="center" vertical="center" wrapText="1"/>
    </xf>
    <xf numFmtId="164" fontId="15" fillId="4" borderId="23" applyAlignment="1" pivotButton="0" quotePrefix="0" xfId="0">
      <alignment horizontal="center" vertical="center" wrapText="1"/>
    </xf>
    <xf numFmtId="0" fontId="15" fillId="5" borderId="6" applyAlignment="1" pivotButton="0" quotePrefix="0" xfId="0">
      <alignment horizontal="left" vertical="center" wrapText="1"/>
    </xf>
    <xf numFmtId="164" fontId="15" fillId="0" borderId="4" applyAlignment="1" pivotButton="0" quotePrefix="0" xfId="0">
      <alignment horizontal="right" vertical="center"/>
    </xf>
    <xf numFmtId="164" fontId="15" fillId="0" borderId="3" applyAlignment="1" pivotButton="0" quotePrefix="0" xfId="0">
      <alignment horizontal="right" vertical="center"/>
    </xf>
    <xf numFmtId="164" fontId="15" fillId="0" borderId="21" applyAlignment="1" pivotButton="0" quotePrefix="0" xfId="0">
      <alignment horizontal="right" vertical="center"/>
    </xf>
    <xf numFmtId="164" fontId="15" fillId="0" borderId="23" applyAlignment="1" pivotButton="0" quotePrefix="0" xfId="0">
      <alignment horizontal="right" vertical="center"/>
    </xf>
    <xf numFmtId="165" fontId="15" fillId="0" borderId="10" applyAlignment="1" pivotButton="0" quotePrefix="0" xfId="0">
      <alignment horizontal="center" vertical="center" wrapText="1"/>
    </xf>
    <xf numFmtId="165" fontId="15" fillId="0" borderId="12" applyAlignment="1" pivotButton="0" quotePrefix="0" xfId="0">
      <alignment horizontal="center" vertical="center" wrapText="1"/>
    </xf>
    <xf numFmtId="165" fontId="15" fillId="0" borderId="12" applyAlignment="1" pivotButton="0" quotePrefix="0" xfId="0">
      <alignment horizontal="center"/>
    </xf>
    <xf numFmtId="165" fontId="15" fillId="0" borderId="14" applyAlignment="1" pivotButton="0" quotePrefix="0" xfId="0">
      <alignment horizontal="center"/>
    </xf>
    <xf numFmtId="0" fontId="19" fillId="0" borderId="3" applyAlignment="1" pivotButton="0" quotePrefix="0" xfId="0">
      <alignment horizontal="center" vertical="center" wrapText="1"/>
    </xf>
    <xf numFmtId="10" fontId="13" fillId="11" borderId="0" applyAlignment="1" pivotButton="0" quotePrefix="0" xfId="7">
      <alignment horizontal="center" vertical="center"/>
    </xf>
    <xf numFmtId="168" fontId="15" fillId="0" borderId="31" applyAlignment="1" pivotButton="0" quotePrefix="0" xfId="14">
      <alignment horizontal="center" vertical="center" wrapText="1"/>
    </xf>
    <xf numFmtId="170" fontId="7" fillId="2" borderId="16" applyAlignment="1" pivotButton="0" quotePrefix="0" xfId="14">
      <alignment horizontal="center" vertical="center" wrapText="1"/>
    </xf>
    <xf numFmtId="170" fontId="7" fillId="2" borderId="31" applyAlignment="1" pivotButton="0" quotePrefix="0" xfId="14">
      <alignment horizontal="center" vertical="center" wrapText="1"/>
    </xf>
    <xf numFmtId="170" fontId="15" fillId="0" borderId="3" applyAlignment="1" pivotButton="0" quotePrefix="0" xfId="14">
      <alignment horizontal="center" vertical="center" wrapText="1"/>
    </xf>
    <xf numFmtId="164" fontId="15" fillId="0" borderId="2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170" fontId="15" fillId="0" borderId="23" applyAlignment="1" pivotButton="0" quotePrefix="0" xfId="14">
      <alignment horizontal="center" vertical="center" wrapText="1"/>
    </xf>
    <xf numFmtId="170" fontId="15" fillId="0" borderId="21" applyAlignment="1" pivotButton="0" quotePrefix="0" xfId="14">
      <alignment horizontal="center" vertical="center" wrapText="1"/>
    </xf>
    <xf numFmtId="168" fontId="15" fillId="0" borderId="36" applyAlignment="1" pivotButton="0" quotePrefix="0" xfId="14">
      <alignment horizontal="center" vertical="center" wrapText="1"/>
    </xf>
    <xf numFmtId="170" fontId="11" fillId="3" borderId="0" applyAlignment="1" pivotButton="0" quotePrefix="0" xfId="14">
      <alignment horizontal="center" vertical="center" wrapText="1"/>
    </xf>
    <xf numFmtId="170" fontId="15" fillId="0" borderId="23" applyAlignment="1" pivotButton="0" quotePrefix="0" xfId="7">
      <alignment horizontal="center" vertical="center" wrapText="1"/>
    </xf>
    <xf numFmtId="170" fontId="11" fillId="6" borderId="3" applyAlignment="1" pivotButton="0" quotePrefix="0" xfId="14">
      <alignment horizontal="center" vertical="center" wrapText="1"/>
    </xf>
    <xf numFmtId="170" fontId="11" fillId="6" borderId="23" applyAlignment="1" pivotButton="0" quotePrefix="0" xfId="7">
      <alignment horizontal="center" vertical="center" wrapText="1"/>
    </xf>
    <xf numFmtId="170" fontId="11" fillId="3" borderId="23" applyAlignment="1" pivotButton="0" quotePrefix="0" xfId="7">
      <alignment horizontal="center" vertical="center" wrapText="1"/>
    </xf>
    <xf numFmtId="170" fontId="11" fillId="3" borderId="3" applyAlignment="1" pivotButton="0" quotePrefix="0" xfId="14">
      <alignment horizontal="center" vertical="center" wrapText="1"/>
    </xf>
    <xf numFmtId="170" fontId="8" fillId="0" borderId="21" applyAlignment="1" pivotButton="0" quotePrefix="0" xfId="7">
      <alignment horizontal="center" vertical="center" wrapText="1"/>
    </xf>
    <xf numFmtId="170" fontId="8" fillId="0" borderId="23" applyAlignment="1" pivotButton="0" quotePrefix="0" xfId="7">
      <alignment horizontal="center" vertical="center" wrapText="1"/>
    </xf>
    <xf numFmtId="170" fontId="11" fillId="3" borderId="3" applyAlignment="1" pivotButton="0" quotePrefix="0" xfId="14">
      <alignment horizontal="center" vertical="center"/>
    </xf>
    <xf numFmtId="170" fontId="11" fillId="3" borderId="23" applyAlignment="1" pivotButton="0" quotePrefix="0" xfId="7">
      <alignment horizontal="center" vertical="center"/>
    </xf>
    <xf numFmtId="165" fontId="7" fillId="2" borderId="29" applyAlignment="1" pivotButton="0" quotePrefix="0" xfId="7">
      <alignment horizontal="center" vertical="center" wrapText="1"/>
    </xf>
    <xf numFmtId="165" fontId="13" fillId="11" borderId="21" applyAlignment="1" pivotButton="0" quotePrefix="0" xfId="7">
      <alignment horizontal="center" vertical="center"/>
    </xf>
    <xf numFmtId="165" fontId="15" fillId="0" borderId="21" applyAlignment="1" pivotButton="0" quotePrefix="0" xfId="7">
      <alignment horizontal="center" vertical="center" wrapText="1"/>
    </xf>
    <xf numFmtId="165" fontId="11" fillId="6" borderId="21" applyAlignment="1" pivotButton="0" quotePrefix="0" xfId="7">
      <alignment horizontal="center" vertical="center" wrapText="1"/>
    </xf>
    <xf numFmtId="165" fontId="11" fillId="3" borderId="21" applyAlignment="1" pivotButton="0" quotePrefix="0" xfId="7">
      <alignment horizontal="center" vertical="center" wrapText="1"/>
    </xf>
    <xf numFmtId="165" fontId="11" fillId="3" borderId="21" applyAlignment="1" pivotButton="0" quotePrefix="0" xfId="7">
      <alignment horizontal="center" vertical="center"/>
    </xf>
    <xf numFmtId="165" fontId="7" fillId="2" borderId="29" applyAlignment="1" pivotButton="0" quotePrefix="0" xfId="7">
      <alignment horizontal="right" vertical="center" wrapText="1"/>
    </xf>
    <xf numFmtId="165" fontId="8" fillId="0" borderId="21" applyAlignment="1" pivotButton="0" quotePrefix="0" xfId="7">
      <alignment horizontal="center" vertical="center" wrapText="1"/>
    </xf>
    <xf numFmtId="165" fontId="7" fillId="2" borderId="30" applyAlignment="1" pivotButton="0" quotePrefix="0" xfId="7">
      <alignment horizontal="right" vertical="center" wrapText="1"/>
    </xf>
    <xf numFmtId="165" fontId="13" fillId="11" borderId="32" applyAlignment="1" pivotButton="0" quotePrefix="0" xfId="7">
      <alignment horizontal="center" vertical="center"/>
    </xf>
    <xf numFmtId="165" fontId="15" fillId="0" borderId="23" applyAlignment="1" pivotButton="0" quotePrefix="0" xfId="7">
      <alignment horizontal="center" vertical="center" wrapText="1"/>
    </xf>
    <xf numFmtId="165" fontId="8" fillId="0" borderId="23" applyAlignment="1" pivotButton="0" quotePrefix="0" xfId="7">
      <alignment horizontal="center" vertical="center" wrapText="1"/>
    </xf>
    <xf numFmtId="165" fontId="7" fillId="2" borderId="21" applyAlignment="1" pivotButton="0" quotePrefix="0" xfId="14">
      <alignment horizontal="center" vertical="center" wrapText="1"/>
    </xf>
    <xf numFmtId="170" fontId="16" fillId="0" borderId="3" applyAlignment="1" pivotButton="0" quotePrefix="0" xfId="14">
      <alignment horizontal="right" vertical="center" wrapText="1"/>
    </xf>
    <xf numFmtId="165" fontId="16" fillId="0" borderId="21" applyAlignment="1" pivotButton="0" quotePrefix="0" xfId="7">
      <alignment horizontal="right" vertical="center" wrapText="1"/>
    </xf>
    <xf numFmtId="170" fontId="16" fillId="0" borderId="23" applyAlignment="1" pivotButton="0" quotePrefix="0" xfId="14">
      <alignment horizontal="right" vertical="center" wrapText="1"/>
    </xf>
    <xf numFmtId="165" fontId="16" fillId="0" borderId="23" applyAlignment="1" pivotButton="0" quotePrefix="0" xfId="7">
      <alignment horizontal="right" vertical="center" wrapText="1"/>
    </xf>
    <xf numFmtId="170" fontId="16" fillId="0" borderId="21" applyAlignment="1" pivotButton="0" quotePrefix="0" xfId="14">
      <alignment horizontal="right" vertical="center" wrapText="1"/>
    </xf>
    <xf numFmtId="0" fontId="11" fillId="3" borderId="31" applyAlignment="1" pivotButton="0" quotePrefix="0" xfId="0">
      <alignment horizontal="center" vertical="center" wrapText="1"/>
    </xf>
    <xf numFmtId="164" fontId="11" fillId="3" borderId="37" applyAlignment="1" pivotButton="0" quotePrefix="0" xfId="0">
      <alignment horizontal="left" vertical="center" wrapText="1"/>
    </xf>
    <xf numFmtId="164" fontId="11" fillId="3" borderId="25" applyAlignment="1" pivotButton="0" quotePrefix="0" xfId="0">
      <alignment horizontal="center" vertical="center" wrapText="1"/>
    </xf>
    <xf numFmtId="165" fontId="11" fillId="3" borderId="29" applyAlignment="1" pivotButton="0" quotePrefix="0" xfId="7">
      <alignment horizontal="center" vertical="center" wrapText="1"/>
    </xf>
    <xf numFmtId="0" fontId="11" fillId="3" borderId="16" applyAlignment="1" pivotButton="0" quotePrefix="0" xfId="0">
      <alignment horizontal="center" vertical="center" wrapText="1"/>
    </xf>
    <xf numFmtId="0" fontId="12" fillId="7" borderId="31" applyAlignment="1" pivotButton="0" quotePrefix="0" xfId="0">
      <alignment horizontal="center" vertical="center" wrapText="1"/>
    </xf>
    <xf numFmtId="0" fontId="11" fillId="7" borderId="15" applyAlignment="1" pivotButton="0" quotePrefix="0" xfId="0">
      <alignment horizontal="left" vertical="center" wrapText="1"/>
    </xf>
    <xf numFmtId="0" fontId="12" fillId="7" borderId="25" applyAlignment="1" pivotButton="0" quotePrefix="0" xfId="0">
      <alignment horizontal="center" vertical="center" wrapText="1"/>
    </xf>
    <xf numFmtId="164" fontId="12" fillId="7" borderId="37" applyAlignment="1" pivotButton="0" quotePrefix="0" xfId="0">
      <alignment horizontal="center" vertical="center" wrapText="1"/>
    </xf>
    <xf numFmtId="164" fontId="12" fillId="7" borderId="25" applyAlignment="1" pivotButton="0" quotePrefix="0" xfId="0">
      <alignment horizontal="center" vertical="center" wrapText="1"/>
    </xf>
    <xf numFmtId="165" fontId="12" fillId="7" borderId="29" applyAlignment="1" pivotButton="0" quotePrefix="0" xfId="7">
      <alignment horizontal="center" vertical="center" wrapText="1"/>
    </xf>
    <xf numFmtId="0" fontId="12" fillId="7" borderId="16" applyAlignment="1" pivotButton="0" quotePrefix="0" xfId="0">
      <alignment horizontal="center" vertical="center" wrapText="1"/>
    </xf>
    <xf numFmtId="0" fontId="11" fillId="6" borderId="15" applyAlignment="1" pivotButton="0" quotePrefix="0" xfId="0">
      <alignment horizontal="left" vertical="center" wrapText="1"/>
    </xf>
    <xf numFmtId="0" fontId="12" fillId="6" borderId="25" applyAlignment="1" pivotButton="0" quotePrefix="0" xfId="0">
      <alignment horizontal="center" vertical="center" wrapText="1"/>
    </xf>
    <xf numFmtId="164" fontId="11" fillId="6" borderId="37" applyAlignment="1" pivotButton="0" quotePrefix="0" xfId="0">
      <alignment horizontal="center" vertical="center" wrapText="1"/>
    </xf>
    <xf numFmtId="164" fontId="11" fillId="6" borderId="25" applyAlignment="1" pivotButton="0" quotePrefix="0" xfId="0">
      <alignment horizontal="center" vertical="center" wrapText="1"/>
    </xf>
    <xf numFmtId="165" fontId="11" fillId="6" borderId="29" applyAlignment="1" pivotButton="0" quotePrefix="0" xfId="7">
      <alignment horizontal="center" vertical="center" wrapText="1"/>
    </xf>
    <xf numFmtId="0" fontId="12" fillId="6" borderId="16" applyAlignment="1" pivotButton="0" quotePrefix="0" xfId="0">
      <alignment horizontal="center" vertical="center" wrapText="1"/>
    </xf>
    <xf numFmtId="164" fontId="11" fillId="3" borderId="25" applyAlignment="1" pivotButton="0" quotePrefix="0" xfId="0">
      <alignment horizontal="left" vertical="center" wrapText="1"/>
    </xf>
    <xf numFmtId="0" fontId="16" fillId="8" borderId="31" applyAlignment="1" pivotButton="0" quotePrefix="0" xfId="0">
      <alignment horizontal="center" vertical="center"/>
    </xf>
    <xf numFmtId="0" fontId="16" fillId="8" borderId="15" applyAlignment="1" pivotButton="0" quotePrefix="0" xfId="0">
      <alignment horizontal="left" vertical="center"/>
    </xf>
    <xf numFmtId="0" fontId="16" fillId="8" borderId="25" applyAlignment="1" pivotButton="0" quotePrefix="0" xfId="0">
      <alignment horizontal="center" vertical="center"/>
    </xf>
    <xf numFmtId="164" fontId="15" fillId="8" borderId="37" applyAlignment="1" pivotButton="0" quotePrefix="0" xfId="0">
      <alignment horizontal="center" vertical="center"/>
    </xf>
    <xf numFmtId="164" fontId="15" fillId="8" borderId="25" applyAlignment="1" pivotButton="0" quotePrefix="0" xfId="0">
      <alignment horizontal="center" vertical="center"/>
    </xf>
    <xf numFmtId="165" fontId="17" fillId="8" borderId="29" applyAlignment="1" pivotButton="0" quotePrefix="0" xfId="7">
      <alignment horizontal="center" vertical="center"/>
    </xf>
    <xf numFmtId="0" fontId="16" fillId="8" borderId="16" applyAlignment="1" pivotButton="0" quotePrefix="0" xfId="0">
      <alignment horizontal="center" vertical="center"/>
    </xf>
    <xf numFmtId="164" fontId="18" fillId="8" borderId="25" applyAlignment="1" pivotButton="0" quotePrefix="0" xfId="0">
      <alignment horizontal="center" vertical="center"/>
    </xf>
    <xf numFmtId="165" fontId="16" fillId="8" borderId="29" applyAlignment="1" pivotButton="0" quotePrefix="0" xfId="7">
      <alignment horizontal="center" vertical="center"/>
    </xf>
    <xf numFmtId="0" fontId="11" fillId="3" borderId="38" applyAlignment="1" pivotButton="0" quotePrefix="0" xfId="0">
      <alignment horizontal="left" vertical="center"/>
    </xf>
    <xf numFmtId="0" fontId="11" fillId="3" borderId="39" applyAlignment="1" pivotButton="0" quotePrefix="0" xfId="0">
      <alignment horizontal="center" vertical="center"/>
    </xf>
    <xf numFmtId="164" fontId="11" fillId="3" borderId="37" applyAlignment="1" pivotButton="0" quotePrefix="0" xfId="0">
      <alignment horizontal="left" vertical="center"/>
    </xf>
    <xf numFmtId="164" fontId="11" fillId="3" borderId="25" applyAlignment="1" pivotButton="0" quotePrefix="0" xfId="0">
      <alignment horizontal="right" vertical="center"/>
    </xf>
    <xf numFmtId="165" fontId="11" fillId="3" borderId="29" applyAlignment="1" pivotButton="0" quotePrefix="0" xfId="7">
      <alignment horizontal="center" vertical="center"/>
    </xf>
    <xf numFmtId="0" fontId="11" fillId="3" borderId="16" applyAlignment="1" pivotButton="0" quotePrefix="0" xfId="0">
      <alignment horizontal="left" vertical="center"/>
    </xf>
    <xf numFmtId="14" fontId="11" fillId="3" borderId="34" applyAlignment="1" pivotButton="0" quotePrefix="0" xfId="0">
      <alignment horizontal="center" vertical="center" wrapText="1"/>
    </xf>
    <xf numFmtId="14" fontId="15" fillId="0" borderId="34" applyAlignment="1" pivotButton="0" quotePrefix="0" xfId="0">
      <alignment horizontal="center" vertical="center" wrapText="1"/>
    </xf>
    <xf numFmtId="164" fontId="7" fillId="2" borderId="43" applyAlignment="1" pivotButton="0" quotePrefix="0" xfId="0">
      <alignment horizontal="center" vertical="center" wrapText="1"/>
    </xf>
    <xf numFmtId="0" fontId="7" fillId="2" borderId="45" applyAlignment="1" pivotButton="0" quotePrefix="0" xfId="0">
      <alignment horizontal="center" vertical="center" wrapText="1"/>
    </xf>
    <xf numFmtId="0" fontId="7" fillId="2" borderId="46" applyAlignment="1" pivotButton="0" quotePrefix="0" xfId="0">
      <alignment horizontal="center" vertical="center" wrapText="1"/>
    </xf>
    <xf numFmtId="170" fontId="12" fillId="7" borderId="25" applyAlignment="1" pivotButton="0" quotePrefix="0" xfId="14">
      <alignment horizontal="center" vertical="center" wrapText="1"/>
    </xf>
    <xf numFmtId="165" fontId="12" fillId="7" borderId="30" applyAlignment="1" pivotButton="0" quotePrefix="0" xfId="0">
      <alignment horizontal="center" vertical="center" wrapText="1"/>
    </xf>
    <xf numFmtId="170" fontId="12" fillId="7" borderId="47" applyAlignment="1" pivotButton="0" quotePrefix="0" xfId="0">
      <alignment horizontal="center" vertical="center" wrapText="1"/>
    </xf>
    <xf numFmtId="165" fontId="12" fillId="7" borderId="47" applyAlignment="1" pivotButton="0" quotePrefix="0" xfId="0">
      <alignment horizontal="center" vertical="center" wrapText="1"/>
    </xf>
    <xf numFmtId="168" fontId="12" fillId="7" borderId="16" applyAlignment="1" pivotButton="0" quotePrefix="0" xfId="14">
      <alignment horizontal="center" vertical="center" wrapText="1"/>
    </xf>
    <xf numFmtId="10" fontId="13" fillId="9" borderId="25" applyAlignment="1" pivotButton="0" quotePrefix="0" xfId="7">
      <alignment horizontal="center" vertical="center"/>
    </xf>
    <xf numFmtId="170" fontId="12" fillId="7" borderId="48" applyAlignment="1" pivotButton="0" quotePrefix="0" xfId="14">
      <alignment horizontal="center" vertical="center" wrapText="1"/>
    </xf>
    <xf numFmtId="165" fontId="12" fillId="7" borderId="30" applyAlignment="1" pivotButton="0" quotePrefix="0" xfId="7">
      <alignment horizontal="center" vertical="center" wrapText="1"/>
    </xf>
    <xf numFmtId="10" fontId="12" fillId="7" borderId="30" applyAlignment="1" pivotButton="0" quotePrefix="0" xfId="14">
      <alignment horizontal="center" vertical="center" wrapText="1"/>
    </xf>
    <xf numFmtId="170" fontId="12" fillId="7" borderId="47" applyAlignment="1" pivotButton="0" quotePrefix="0" xfId="7">
      <alignment horizontal="center" vertical="center" wrapText="1"/>
    </xf>
    <xf numFmtId="0" fontId="9" fillId="8" borderId="31" applyAlignment="1" pivotButton="0" quotePrefix="0" xfId="0">
      <alignment horizontal="center" vertical="center"/>
    </xf>
    <xf numFmtId="0" fontId="9" fillId="8" borderId="15" applyAlignment="1" pivotButton="0" quotePrefix="0" xfId="0">
      <alignment horizontal="left" vertical="center"/>
    </xf>
    <xf numFmtId="0" fontId="9" fillId="8" borderId="25" applyAlignment="1" pivotButton="0" quotePrefix="0" xfId="0">
      <alignment horizontal="center" vertical="center"/>
    </xf>
    <xf numFmtId="164" fontId="8" fillId="8" borderId="37" applyAlignment="1" pivotButton="0" quotePrefix="0" xfId="0">
      <alignment horizontal="center" vertical="center"/>
    </xf>
    <xf numFmtId="164" fontId="8" fillId="8" borderId="25" applyAlignment="1" pivotButton="0" quotePrefix="0" xfId="0">
      <alignment horizontal="center" vertical="center"/>
    </xf>
    <xf numFmtId="165" fontId="14" fillId="8" borderId="29" applyAlignment="1" pivotButton="0" quotePrefix="0" xfId="7">
      <alignment horizontal="center" vertical="center"/>
    </xf>
    <xf numFmtId="170" fontId="14" fillId="8" borderId="48" applyAlignment="1" pivotButton="0" quotePrefix="0" xfId="14">
      <alignment horizontal="center" vertical="center"/>
    </xf>
    <xf numFmtId="165" fontId="14" fillId="8" borderId="30" applyAlignment="1" pivotButton="0" quotePrefix="0" xfId="7">
      <alignment horizontal="center" vertical="center"/>
    </xf>
    <xf numFmtId="170" fontId="14" fillId="8" borderId="47" applyAlignment="1" pivotButton="0" quotePrefix="0" xfId="7">
      <alignment horizontal="center" vertical="center"/>
    </xf>
    <xf numFmtId="168" fontId="14" fillId="8" borderId="16" applyAlignment="1" pivotButton="0" quotePrefix="0" xfId="14">
      <alignment horizontal="center" vertical="center"/>
    </xf>
    <xf numFmtId="10" fontId="14" fillId="8" borderId="30" applyAlignment="1" pivotButton="0" quotePrefix="0" xfId="14">
      <alignment horizontal="center" vertical="center"/>
    </xf>
    <xf numFmtId="0" fontId="9" fillId="8" borderId="16" applyAlignment="1" pivotButton="0" quotePrefix="0" xfId="0">
      <alignment horizontal="center" vertical="center"/>
    </xf>
    <xf numFmtId="170" fontId="17" fillId="8" borderId="48" applyAlignment="1" pivotButton="0" quotePrefix="0" xfId="14">
      <alignment horizontal="center" vertical="center"/>
    </xf>
    <xf numFmtId="165" fontId="17" fillId="8" borderId="30" applyAlignment="1" pivotButton="0" quotePrefix="0" xfId="7">
      <alignment horizontal="center" vertical="center"/>
    </xf>
    <xf numFmtId="170" fontId="17" fillId="8" borderId="47" applyAlignment="1" pivotButton="0" quotePrefix="0" xfId="7">
      <alignment horizontal="center" vertical="center"/>
    </xf>
    <xf numFmtId="168" fontId="17" fillId="8" borderId="16" applyAlignment="1" pivotButton="0" quotePrefix="0" xfId="14">
      <alignment horizontal="center" vertical="center"/>
    </xf>
    <xf numFmtId="10" fontId="17" fillId="8" borderId="30" applyAlignment="1" pivotButton="0" quotePrefix="0" xfId="14">
      <alignment horizontal="center" vertical="center"/>
    </xf>
    <xf numFmtId="170" fontId="16" fillId="8" borderId="48" applyAlignment="1" pivotButton="0" quotePrefix="0" xfId="14">
      <alignment horizontal="center" vertical="center"/>
    </xf>
    <xf numFmtId="165" fontId="16" fillId="8" borderId="30" applyAlignment="1" pivotButton="0" quotePrefix="0" xfId="7">
      <alignment horizontal="center" vertical="center"/>
    </xf>
    <xf numFmtId="170" fontId="16" fillId="8" borderId="47" applyAlignment="1" pivotButton="0" quotePrefix="0" xfId="7">
      <alignment horizontal="center" vertical="center"/>
    </xf>
    <xf numFmtId="168" fontId="16" fillId="8" borderId="16" applyAlignment="1" pivotButton="0" quotePrefix="0" xfId="14">
      <alignment horizontal="center" vertical="center"/>
    </xf>
    <xf numFmtId="10" fontId="16" fillId="8" borderId="30" applyAlignment="1" pivotButton="0" quotePrefix="0" xfId="14">
      <alignment horizontal="center" vertical="center"/>
    </xf>
    <xf numFmtId="0" fontId="15" fillId="0" borderId="21" applyAlignment="1" pivotButton="0" quotePrefix="0" xfId="0">
      <alignment horizontal="center" vertical="center" wrapText="1"/>
    </xf>
    <xf numFmtId="0" fontId="12" fillId="7" borderId="27" applyAlignment="1" pivotButton="0" quotePrefix="0" xfId="0">
      <alignment horizontal="center" vertical="center" wrapText="1"/>
    </xf>
    <xf numFmtId="14" fontId="12" fillId="7" borderId="27" applyAlignment="1" pivotButton="0" quotePrefix="0" xfId="0">
      <alignment horizontal="center" vertical="center" wrapText="1"/>
    </xf>
    <xf numFmtId="0" fontId="12" fillId="6" borderId="27" applyAlignment="1" pivotButton="0" quotePrefix="0" xfId="0">
      <alignment horizontal="center" vertical="center" wrapText="1"/>
    </xf>
    <xf numFmtId="14" fontId="12" fillId="6" borderId="27" applyAlignment="1" pivotButton="0" quotePrefix="0" xfId="0">
      <alignment horizontal="center" vertical="center" wrapText="1"/>
    </xf>
    <xf numFmtId="0" fontId="11" fillId="3" borderId="27" applyAlignment="1" pivotButton="0" quotePrefix="0" xfId="0">
      <alignment horizontal="center" vertical="center" wrapText="1"/>
    </xf>
    <xf numFmtId="14" fontId="11" fillId="3" borderId="27" applyAlignment="1" pivotButton="0" quotePrefix="0" xfId="0">
      <alignment horizontal="center" vertical="center" wrapText="1"/>
    </xf>
    <xf numFmtId="0" fontId="9" fillId="8" borderId="27" applyAlignment="1" pivotButton="0" quotePrefix="0" xfId="0">
      <alignment horizontal="center" vertical="center"/>
    </xf>
    <xf numFmtId="14" fontId="9" fillId="8" borderId="27" applyAlignment="1" pivotButton="0" quotePrefix="0" xfId="0">
      <alignment horizontal="center" vertical="center"/>
    </xf>
    <xf numFmtId="0" fontId="16" fillId="8" borderId="27" applyAlignment="1" pivotButton="0" quotePrefix="0" xfId="0">
      <alignment horizontal="center" vertical="center"/>
    </xf>
    <xf numFmtId="14" fontId="16" fillId="8" borderId="27" applyAlignment="1" pivotButton="0" quotePrefix="0" xfId="0">
      <alignment horizontal="center" vertical="center"/>
    </xf>
    <xf numFmtId="0" fontId="11" fillId="3" borderId="27" applyAlignment="1" pivotButton="0" quotePrefix="0" xfId="0">
      <alignment horizontal="left" vertical="center"/>
    </xf>
    <xf numFmtId="14" fontId="11" fillId="3" borderId="27" applyAlignment="1" pivotButton="0" quotePrefix="0" xfId="0">
      <alignment horizontal="left" vertical="center"/>
    </xf>
    <xf numFmtId="14" fontId="11" fillId="3" borderId="6" applyAlignment="1" pivotButton="0" quotePrefix="0" xfId="0">
      <alignment horizontal="center" vertical="center" wrapText="1"/>
    </xf>
    <xf numFmtId="14" fontId="11" fillId="3" borderId="49" applyAlignment="1" pivotButton="0" quotePrefix="0" xfId="0">
      <alignment horizontal="center" vertical="center" wrapText="1"/>
    </xf>
    <xf numFmtId="164" fontId="15" fillId="0" borderId="50" applyAlignment="1" pivotButton="0" quotePrefix="0" xfId="0">
      <alignment horizontal="center" vertical="center" wrapText="1"/>
    </xf>
    <xf numFmtId="164" fontId="15" fillId="0" borderId="36" applyAlignment="1" pivotButton="0" quotePrefix="0" xfId="0">
      <alignment horizontal="right" vertical="center"/>
    </xf>
    <xf numFmtId="164" fontId="12" fillId="0" borderId="35" applyAlignment="1" pivotButton="0" quotePrefix="0" xfId="0">
      <alignment horizontal="center" vertical="center" wrapText="1"/>
    </xf>
    <xf numFmtId="165" fontId="12" fillId="0" borderId="35" applyAlignment="1" pivotButton="0" quotePrefix="0" xfId="7">
      <alignment horizontal="center" vertical="center" wrapText="1"/>
    </xf>
    <xf numFmtId="0" fontId="12" fillId="0" borderId="35" applyAlignment="1" pivotButton="0" quotePrefix="0" xfId="0">
      <alignment horizontal="center" vertical="center" wrapText="1"/>
    </xf>
    <xf numFmtId="0" fontId="8" fillId="5" borderId="35" pivotButton="0" quotePrefix="0" xfId="0"/>
    <xf numFmtId="0" fontId="8" fillId="0" borderId="35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center" vertical="center" wrapText="1"/>
    </xf>
    <xf numFmtId="164" fontId="8" fillId="0" borderId="0" applyAlignment="1" pivotButton="0" quotePrefix="0" xfId="0">
      <alignment horizontal="center" vertical="center" wrapText="1"/>
    </xf>
    <xf numFmtId="165" fontId="8" fillId="0" borderId="0" applyAlignment="1" pivotButton="0" quotePrefix="0" xfId="7">
      <alignment horizontal="center" vertical="center" wrapText="1"/>
    </xf>
    <xf numFmtId="1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6" pivotButton="0" quotePrefix="0" xfId="0"/>
    <xf numFmtId="0" fontId="11" fillId="3" borderId="15" applyAlignment="1" pivotButton="0" quotePrefix="0" xfId="0">
      <alignment horizontal="left" vertical="center" wrapText="1"/>
    </xf>
    <xf numFmtId="0" fontId="0" fillId="0" borderId="25" pivotButton="0" quotePrefix="0" xfId="0"/>
    <xf numFmtId="0" fontId="7" fillId="2" borderId="41" applyAlignment="1" pivotButton="0" quotePrefix="0" xfId="0">
      <alignment horizontal="center" vertical="center" wrapText="1"/>
    </xf>
    <xf numFmtId="0" fontId="7" fillId="2" borderId="40" applyAlignment="1" pivotButton="0" quotePrefix="0" xfId="0">
      <alignment horizontal="center" vertical="center" wrapText="1"/>
    </xf>
    <xf numFmtId="0" fontId="0" fillId="0" borderId="34" pivotButton="0" quotePrefix="0" xfId="0"/>
    <xf numFmtId="171" fontId="9" fillId="0" borderId="0" applyAlignment="1" pivotButton="0" quotePrefix="0" xfId="0">
      <alignment horizontal="center" vertical="center" wrapText="1"/>
    </xf>
    <xf numFmtId="0" fontId="7" fillId="2" borderId="42" applyAlignment="1" pivotButton="0" quotePrefix="0" xfId="0">
      <alignment horizontal="center" vertical="center" wrapText="1"/>
    </xf>
    <xf numFmtId="0" fontId="0" fillId="0" borderId="18" pivotButton="0" quotePrefix="0" xfId="0"/>
    <xf numFmtId="0" fontId="20" fillId="0" borderId="35" applyAlignment="1" pivotButton="0" quotePrefix="0" xfId="0">
      <alignment horizontal="left" vertical="center" wrapText="1"/>
    </xf>
    <xf numFmtId="0" fontId="0" fillId="0" borderId="35" pivotButton="0" quotePrefix="0" xfId="0"/>
    <xf numFmtId="164" fontId="7" fillId="2" borderId="44" applyAlignment="1" pivotButton="0" quotePrefix="0" xfId="0">
      <alignment horizontal="center" vertical="center" wrapText="1"/>
    </xf>
    <xf numFmtId="0" fontId="0" fillId="0" borderId="44" pivotButton="0" quotePrefix="0" xfId="0"/>
    <xf numFmtId="0" fontId="7" fillId="2" borderId="27" applyAlignment="1" pivotButton="0" quotePrefix="0" xfId="0">
      <alignment horizontal="center" vertical="center" wrapText="1"/>
    </xf>
    <xf numFmtId="0" fontId="0" fillId="0" borderId="16" pivotButton="0" quotePrefix="0" xfId="0"/>
    <xf numFmtId="165" fontId="7" fillId="10" borderId="26" applyAlignment="1" pivotButton="0" quotePrefix="0" xfId="7">
      <alignment horizontal="center" vertical="center" wrapText="1"/>
    </xf>
    <xf numFmtId="0" fontId="0" fillId="0" borderId="26" pivotButton="0" quotePrefix="0" xfId="0"/>
    <xf numFmtId="170" fontId="7" fillId="2" borderId="51" applyAlignment="1" pivotButton="0" quotePrefix="0" xfId="14">
      <alignment horizontal="center" vertical="center" wrapText="1"/>
    </xf>
    <xf numFmtId="0" fontId="0" fillId="0" borderId="17" pivotButton="0" quotePrefix="0" xfId="0"/>
    <xf numFmtId="170" fontId="7" fillId="2" borderId="51" applyAlignment="1" pivotButton="0" quotePrefix="0" xfId="0">
      <alignment horizontal="center" vertical="center" wrapText="1"/>
    </xf>
    <xf numFmtId="0" fontId="0" fillId="0" borderId="35" applyAlignment="1" pivotButton="0" quotePrefix="0" xfId="0">
      <alignment horizontal="left"/>
    </xf>
    <xf numFmtId="170" fontId="7" fillId="2" borderId="52" applyAlignment="1" pivotButton="0" quotePrefix="0" xfId="0">
      <alignment horizontal="center" vertical="center" wrapText="1"/>
    </xf>
    <xf numFmtId="0" fontId="0" fillId="0" borderId="32" pivotButton="0" quotePrefix="0" xfId="0"/>
    <xf numFmtId="0" fontId="11" fillId="3" borderId="6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164" fontId="7" fillId="2" borderId="22" applyAlignment="1" pivotButton="0" quotePrefix="0" xfId="0">
      <alignment horizontal="center" vertical="center" wrapText="1"/>
    </xf>
    <xf numFmtId="0" fontId="0" fillId="0" borderId="22" pivotButton="0" quotePrefix="0" xfId="0"/>
    <xf numFmtId="164" fontId="7" fillId="2" borderId="30" applyAlignment="1" pivotButton="0" quotePrefix="0" xfId="0">
      <alignment horizontal="center" vertical="center" wrapText="1"/>
    </xf>
    <xf numFmtId="0" fontId="0" fillId="0" borderId="30" pivotButton="0" quotePrefix="0" xfId="0"/>
    <xf numFmtId="0" fontId="7" fillId="2" borderId="17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171" fontId="9" fillId="0" borderId="0" applyAlignment="1" pivotButton="0" quotePrefix="0" xfId="0">
      <alignment horizontal="center" vertical="center" wrapText="1"/>
    </xf>
    <xf numFmtId="169" fontId="7" fillId="2" borderId="0" applyAlignment="1" pivotButton="0" quotePrefix="0" xfId="0">
      <alignment horizontal="center" vertical="center" wrapText="1"/>
    </xf>
    <xf numFmtId="176" fontId="15" fillId="0" borderId="0" applyAlignment="1" pivotButton="0" quotePrefix="0" xfId="0">
      <alignment horizontal="center" wrapText="1"/>
    </xf>
    <xf numFmtId="176" fontId="15" fillId="1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 vertical="center" wrapText="1"/>
    </xf>
    <xf numFmtId="170" fontId="7" fillId="2" borderId="51" applyAlignment="1" pivotButton="0" quotePrefix="0" xfId="14">
      <alignment horizontal="center" vertical="center" wrapText="1"/>
    </xf>
    <xf numFmtId="170" fontId="7" fillId="2" borderId="51" applyAlignment="1" pivotButton="0" quotePrefix="0" xfId="0">
      <alignment horizontal="center" vertical="center" wrapText="1"/>
    </xf>
    <xf numFmtId="170" fontId="7" fillId="2" borderId="52" applyAlignment="1" pivotButton="0" quotePrefix="0" xfId="0">
      <alignment horizontal="center" vertical="center" wrapText="1"/>
    </xf>
    <xf numFmtId="170" fontId="7" fillId="2" borderId="16" applyAlignment="1" pivotButton="0" quotePrefix="0" xfId="14">
      <alignment horizontal="center" vertical="center" wrapText="1"/>
    </xf>
    <xf numFmtId="170" fontId="7" fillId="2" borderId="31" applyAlignment="1" pivotButton="0" quotePrefix="0" xfId="14">
      <alignment horizontal="center" vertical="center" wrapText="1"/>
    </xf>
    <xf numFmtId="170" fontId="11" fillId="3" borderId="0" applyAlignment="1" pivotButton="0" quotePrefix="0" xfId="14">
      <alignment horizontal="center" vertical="center" wrapText="1"/>
    </xf>
    <xf numFmtId="168" fontId="11" fillId="3" borderId="31" applyAlignment="1" pivotButton="0" quotePrefix="0" xfId="14">
      <alignment horizontal="center" vertical="center" wrapText="1"/>
    </xf>
    <xf numFmtId="170" fontId="12" fillId="7" borderId="25" applyAlignment="1" pivotButton="0" quotePrefix="0" xfId="14">
      <alignment horizontal="center" vertical="center" wrapText="1"/>
    </xf>
    <xf numFmtId="170" fontId="12" fillId="7" borderId="47" applyAlignment="1" pivotButton="0" quotePrefix="0" xfId="0">
      <alignment horizontal="center" vertical="center" wrapText="1"/>
    </xf>
    <xf numFmtId="168" fontId="12" fillId="7" borderId="16" applyAlignment="1" pivotButton="0" quotePrefix="0" xfId="14">
      <alignment horizontal="center" vertical="center" wrapText="1"/>
    </xf>
    <xf numFmtId="170" fontId="15" fillId="0" borderId="3" applyAlignment="1" pivotButton="0" quotePrefix="0" xfId="14">
      <alignment horizontal="center" vertical="center" wrapText="1"/>
    </xf>
    <xf numFmtId="170" fontId="15" fillId="0" borderId="23" applyAlignment="1" pivotButton="0" quotePrefix="0" xfId="7">
      <alignment horizontal="center" vertical="center" wrapText="1"/>
    </xf>
    <xf numFmtId="168" fontId="15" fillId="0" borderId="31" applyAlignment="1" pivotButton="0" quotePrefix="0" xfId="14">
      <alignment horizontal="center" vertical="center" wrapText="1"/>
    </xf>
    <xf numFmtId="170" fontId="12" fillId="7" borderId="48" applyAlignment="1" pivotButton="0" quotePrefix="0" xfId="14">
      <alignment horizontal="center" vertical="center" wrapText="1"/>
    </xf>
    <xf numFmtId="170" fontId="16" fillId="0" borderId="3" applyAlignment="1" pivotButton="0" quotePrefix="0" xfId="14">
      <alignment horizontal="right" vertical="center" wrapText="1"/>
    </xf>
    <xf numFmtId="170" fontId="16" fillId="0" borderId="23" applyAlignment="1" pivotButton="0" quotePrefix="0" xfId="14">
      <alignment horizontal="right" vertical="center" wrapText="1"/>
    </xf>
    <xf numFmtId="170" fontId="12" fillId="7" borderId="47" applyAlignment="1" pivotButton="0" quotePrefix="0" xfId="7">
      <alignment horizontal="center" vertical="center" wrapText="1"/>
    </xf>
    <xf numFmtId="170" fontId="11" fillId="6" borderId="3" applyAlignment="1" pivotButton="0" quotePrefix="0" xfId="14">
      <alignment horizontal="center" vertical="center" wrapText="1"/>
    </xf>
    <xf numFmtId="170" fontId="11" fillId="6" borderId="23" applyAlignment="1" pivotButton="0" quotePrefix="0" xfId="7">
      <alignment horizontal="center" vertical="center" wrapText="1"/>
    </xf>
    <xf numFmtId="168" fontId="11" fillId="6" borderId="31" applyAlignment="1" pivotButton="0" quotePrefix="0" xfId="14">
      <alignment horizontal="center" vertical="center" wrapText="1"/>
    </xf>
    <xf numFmtId="170" fontId="11" fillId="3" borderId="23" applyAlignment="1" pivotButton="0" quotePrefix="0" xfId="7">
      <alignment horizontal="center" vertical="center" wrapText="1"/>
    </xf>
    <xf numFmtId="170" fontId="11" fillId="3" borderId="3" applyAlignment="1" pivotButton="0" quotePrefix="0" xfId="14">
      <alignment horizontal="center" vertical="center" wrapText="1"/>
    </xf>
    <xf numFmtId="170" fontId="15" fillId="0" borderId="21" applyAlignment="1" pivotButton="0" quotePrefix="0" xfId="14">
      <alignment horizontal="center" vertical="center" wrapText="1"/>
    </xf>
    <xf numFmtId="170" fontId="8" fillId="0" borderId="21" applyAlignment="1" pivotButton="0" quotePrefix="0" xfId="7">
      <alignment horizontal="center" vertical="center" wrapText="1"/>
    </xf>
    <xf numFmtId="170" fontId="16" fillId="0" borderId="21" applyAlignment="1" pivotButton="0" quotePrefix="0" xfId="14">
      <alignment horizontal="right" vertical="center" wrapText="1"/>
    </xf>
    <xf numFmtId="170" fontId="15" fillId="0" borderId="23" applyAlignment="1" pivotButton="0" quotePrefix="0" xfId="14">
      <alignment horizontal="center" vertical="center" wrapText="1"/>
    </xf>
    <xf numFmtId="170" fontId="8" fillId="0" borderId="23" applyAlignment="1" pivotButton="0" quotePrefix="0" xfId="7">
      <alignment horizontal="center" vertical="center" wrapText="1"/>
    </xf>
    <xf numFmtId="170" fontId="14" fillId="8" borderId="48" applyAlignment="1" pivotButton="0" quotePrefix="0" xfId="14">
      <alignment horizontal="center" vertical="center"/>
    </xf>
    <xf numFmtId="170" fontId="14" fillId="8" borderId="47" applyAlignment="1" pivotButton="0" quotePrefix="0" xfId="7">
      <alignment horizontal="center" vertical="center"/>
    </xf>
    <xf numFmtId="168" fontId="14" fillId="8" borderId="16" applyAlignment="1" pivotButton="0" quotePrefix="0" xfId="14">
      <alignment horizontal="center" vertical="center"/>
    </xf>
    <xf numFmtId="170" fontId="17" fillId="8" borderId="48" applyAlignment="1" pivotButton="0" quotePrefix="0" xfId="14">
      <alignment horizontal="center" vertical="center"/>
    </xf>
    <xf numFmtId="170" fontId="17" fillId="8" borderId="47" applyAlignment="1" pivotButton="0" quotePrefix="0" xfId="7">
      <alignment horizontal="center" vertical="center"/>
    </xf>
    <xf numFmtId="168" fontId="17" fillId="8" borderId="16" applyAlignment="1" pivotButton="0" quotePrefix="0" xfId="14">
      <alignment horizontal="center" vertical="center"/>
    </xf>
    <xf numFmtId="170" fontId="16" fillId="8" borderId="48" applyAlignment="1" pivotButton="0" quotePrefix="0" xfId="14">
      <alignment horizontal="center" vertical="center"/>
    </xf>
    <xf numFmtId="170" fontId="16" fillId="8" borderId="47" applyAlignment="1" pivotButton="0" quotePrefix="0" xfId="7">
      <alignment horizontal="center" vertical="center"/>
    </xf>
    <xf numFmtId="168" fontId="16" fillId="8" borderId="16" applyAlignment="1" pivotButton="0" quotePrefix="0" xfId="14">
      <alignment horizontal="center" vertical="center"/>
    </xf>
    <xf numFmtId="170" fontId="11" fillId="3" borderId="3" applyAlignment="1" pivotButton="0" quotePrefix="0" xfId="14">
      <alignment horizontal="center" vertical="center"/>
    </xf>
    <xf numFmtId="170" fontId="11" fillId="3" borderId="23" applyAlignment="1" pivotButton="0" quotePrefix="0" xfId="7">
      <alignment horizontal="center" vertical="center"/>
    </xf>
    <xf numFmtId="168" fontId="11" fillId="3" borderId="31" applyAlignment="1" pivotButton="0" quotePrefix="0" xfId="14">
      <alignment horizontal="center" vertical="center"/>
    </xf>
    <xf numFmtId="168" fontId="15" fillId="0" borderId="36" applyAlignment="1" pivotButton="0" quotePrefix="0" xfId="14">
      <alignment horizontal="center" vertical="center" wrapText="1"/>
    </xf>
    <xf numFmtId="0" fontId="21" fillId="0" borderId="0" pivotButton="0" quotePrefix="0" xfId="0"/>
    <xf numFmtId="175" fontId="0" fillId="0" borderId="0" pivotButton="0" quotePrefix="0" xfId="0"/>
  </cellXfs>
  <cellStyles count="15">
    <cellStyle name="Normal" xfId="0" builtinId="0"/>
    <cellStyle name="Lien hypertexte 2" xfId="1"/>
    <cellStyle name="Milliers 2" xfId="2"/>
    <cellStyle name="Monétaire 2" xfId="3"/>
    <cellStyle name="Normal 2" xfId="4"/>
    <cellStyle name="Pourcentage 2" xfId="5"/>
    <cellStyle name="Pourcentage 2 2" xfId="6"/>
    <cellStyle name="Pourcentage" xfId="7" builtinId="5"/>
    <cellStyle name="Normal 3" xfId="8"/>
    <cellStyle name="Milliers 3" xfId="9"/>
    <cellStyle name="Pourcentage 3" xfId="10"/>
    <cellStyle name="Normal 2 2" xfId="11"/>
    <cellStyle name="Lien hypertexte 3" xfId="12"/>
    <cellStyle name="Milliers 2 2" xfId="13"/>
    <cellStyle name="Monétaire" xfId="14" builtinId="4"/>
  </cellStyles>
  <dxfs count="4">
    <dxf>
      <font>
        <color rgb="FF000000"/>
      </font>
    </dxf>
    <dxf>
      <font>
        <color rgb="FF9C0006"/>
      </font>
    </dxf>
    <dxf>
      <font>
        <color rgb="FF000000"/>
      </font>
    </dxf>
    <dxf>
      <font>
        <color rgb="FF9C0006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CCB8"/>
      <rgbColor rgb="FF808080"/>
      <rgbColor rgb="FF9999FF"/>
      <rgbColor rgb="FF993366"/>
      <rgbColor rgb="FFF8F5F1"/>
      <rgbColor rgb="FFEFF3FB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1EBE3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5A6A8A"/>
      <rgbColor rgb="FFA6A6A6"/>
      <rgbColor rgb="FF003366"/>
      <rgbColor rgb="FF467886"/>
      <rgbColor rgb="FF141A22"/>
      <rgbColor rgb="FF333300"/>
      <rgbColor rgb="FF993300"/>
      <rgbColor rgb="FF993366"/>
      <rgbColor rgb="FF333399"/>
      <rgbColor rgb="FF283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Thème Office">
  <a:themeElements>
    <a:clrScheme name="Althos">
      <a:dk1>
        <a:srgbClr val="283444"/>
      </a:dk1>
      <a:lt1>
        <a:srgbClr val="FFFFFF"/>
      </a:lt1>
      <a:dk2>
        <a:srgbClr val="0E2841"/>
      </a:dk2>
      <a:lt2>
        <a:srgbClr val="DDCCB8"/>
      </a:lt2>
      <a:accent1>
        <a:srgbClr val="283444"/>
      </a:accent1>
      <a:accent2>
        <a:srgbClr val="515D6F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orningstar.fr/fr/funds/snapshot/snapshot.aspx?id=F00000MKG6&amp;tab=14&amp;DocumentId=548d2fcc0a96bb5a48007f96ba108bee&amp;Format=PDF" TargetMode="External" Id="rId1" /><Relationship Type="http://schemas.openxmlformats.org/officeDocument/2006/relationships/hyperlink" Target="https://www.morningstar.fr/fr/funds/snapshot/snapshot.aspx?id=F000010KFF&amp;tab=14&amp;DocumentId=ea17c7dbb6b6da8190cbd382e4513c22&amp;Format=PDF" TargetMode="External" Id="rId2" /><Relationship Type="http://schemas.openxmlformats.org/officeDocument/2006/relationships/hyperlink" Target="https://www.morningstar.fr/fr/funds/snapshot/snapshot.aspx?id=F00000YSC4&amp;tab=14&amp;DocumentId=10cb3723040359a67f1f5cfd48ad43a6&amp;Format=PDF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morningstar.fr/fr/funds/snapshot/snapshot.aspx?id=F00000MKG6&amp;tab=14&amp;DocumentId=548d2fcc0a96bb5a48007f96ba108bee&amp;Format=PDF" TargetMode="External" Id="rId1" /><Relationship Type="http://schemas.openxmlformats.org/officeDocument/2006/relationships/hyperlink" Target="https://www.morningstar.fr/fr/funds/snapshot/snapshot.aspx?id=F000010KFF&amp;tab=14&amp;DocumentId=ea17c7dbb6b6da8190cbd382e4513c22&amp;Format=PDF" TargetMode="External" Id="rId2" /><Relationship Type="http://schemas.openxmlformats.org/officeDocument/2006/relationships/hyperlink" Target="https://www.morningstar.fr/fr/funds/snapshot/snapshot.aspx?id=F00000YSC4&amp;tab=14&amp;DocumentId=10cb3723040359a67f1f5cfd48ad43a6&amp;Format=PDF" TargetMode="External" Id="rId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morningstar.fr/fr/funds/snapshot/snapshot.aspx?id=F00000MKG6&amp;tab=14&amp;DocumentId=548d2fcc0a96bb5a48007f96ba108bee&amp;Format=PDF" TargetMode="External" Id="rId1" /><Relationship Type="http://schemas.openxmlformats.org/officeDocument/2006/relationships/hyperlink" Target="https://www.morningstar.fr/fr/funds/snapshot/snapshot.aspx?id=F000010KFF&amp;tab=14&amp;DocumentId=ea17c7dbb6b6da8190cbd382e4513c22&amp;Format=PDF" TargetMode="External" Id="rId2" /><Relationship Type="http://schemas.openxmlformats.org/officeDocument/2006/relationships/hyperlink" Target="https://www.morningstar.fr/fr/funds/snapshot/snapshot.aspx?id=F00000YSC4&amp;tab=14&amp;DocumentId=10cb3723040359a67f1f5cfd48ad43a6&amp;Format=PDF" TargetMode="External" Id="rId3" /></Relationships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AA483"/>
  <sheetViews>
    <sheetView showGridLines="0" tabSelected="1" view="pageBreakPreview" zoomScale="64" zoomScaleNormal="100" zoomScaleSheetLayoutView="40" workbookViewId="0">
      <pane ySplit="7" topLeftCell="A43" activePane="bottomLeft" state="frozen"/>
      <selection pane="bottomLeft" activeCell="X2" sqref="W1:X1048576"/>
    </sheetView>
  </sheetViews>
  <sheetFormatPr baseColWidth="10" defaultColWidth="11.453125" defaultRowHeight="14"/>
  <cols>
    <col width="39.1796875" customWidth="1" style="233" min="1" max="1"/>
    <col width="14.81640625" customWidth="1" style="228" min="2" max="2"/>
    <col width="15.6328125" customWidth="1" style="229" min="3" max="19"/>
    <col width="15.6328125" customWidth="1" style="230" min="20" max="20"/>
    <col width="13.6328125" customWidth="1" style="231" min="21" max="21"/>
    <col width="10.6328125" customWidth="1" style="232" min="22" max="22"/>
    <col hidden="1" width="11.453125" customWidth="1" style="232" min="23" max="23"/>
    <col hidden="1" width="13.81640625" customWidth="1" style="232" min="24" max="24"/>
    <col width="8.81640625" customWidth="1" style="233" min="25" max="25"/>
    <col width="12" customWidth="1" style="233" min="26" max="26"/>
    <col width="11.453125" customWidth="1" style="233" min="27" max="28"/>
    <col width="11.453125" customWidth="1" style="233" min="29" max="16384"/>
  </cols>
  <sheetData>
    <row r="1" ht="22.5" customHeight="1">
      <c r="A1" s="227" t="inlineStr">
        <is>
          <t>Consolidation ******</t>
        </is>
      </c>
    </row>
    <row r="3" ht="12" customHeight="1">
      <c r="A3" s="265" t="inlineStr">
        <is>
          <t>Date à préciser</t>
        </is>
      </c>
    </row>
    <row r="4" ht="10.5" customHeight="1">
      <c r="A4" s="5" t="n"/>
      <c r="B4" s="6" t="n"/>
      <c r="C4" s="230" t="n"/>
      <c r="D4" s="230" t="n"/>
      <c r="E4" s="230" t="n"/>
      <c r="F4" s="230" t="n"/>
      <c r="G4" s="230" t="n"/>
      <c r="H4" s="230" t="n"/>
      <c r="I4" s="230" t="n"/>
      <c r="J4" s="230" t="n"/>
      <c r="K4" s="230" t="n"/>
      <c r="L4" s="230" t="n"/>
      <c r="M4" s="230" t="n"/>
      <c r="N4" s="230" t="n"/>
      <c r="O4" s="230" t="n"/>
      <c r="P4" s="230" t="n"/>
      <c r="Q4" s="230" t="n"/>
      <c r="R4" s="230" t="n"/>
      <c r="S4" s="230" t="n"/>
      <c r="U4" s="7" t="n"/>
      <c r="V4" s="8" t="n"/>
      <c r="W4" s="8" t="n"/>
      <c r="X4" s="8" t="n"/>
    </row>
    <row r="5" ht="19" customHeight="1" thickBot="1">
      <c r="A5" s="5" t="n"/>
      <c r="B5" s="6" t="n"/>
      <c r="C5" s="230" t="n"/>
      <c r="D5" s="230" t="n"/>
      <c r="E5" s="230" t="n"/>
      <c r="F5" s="230" t="n"/>
      <c r="G5" s="230" t="n"/>
      <c r="H5" s="230" t="n"/>
      <c r="I5" s="230" t="n"/>
      <c r="J5" s="230" t="n"/>
      <c r="K5" s="230" t="n"/>
      <c r="L5" s="230" t="n"/>
      <c r="M5" s="230" t="n"/>
      <c r="N5" s="230" t="n"/>
      <c r="O5" s="230" t="n"/>
      <c r="P5" s="230" t="n"/>
      <c r="Q5" s="230" t="n"/>
      <c r="R5" s="230" t="n"/>
      <c r="S5" s="230" t="n"/>
      <c r="U5" s="7" t="n"/>
      <c r="V5" s="8" t="n"/>
      <c r="W5" s="8" t="n"/>
      <c r="X5" s="8" t="n"/>
    </row>
    <row r="6" ht="55" customHeight="1">
      <c r="A6" s="237" t="inlineStr">
        <is>
          <t>Support</t>
        </is>
      </c>
      <c r="B6" s="241" t="inlineStr">
        <is>
          <t>ISIN &amp; DIC</t>
        </is>
      </c>
      <c r="C6" s="170" t="inlineStr">
        <is>
          <t>Contrat 1</t>
        </is>
      </c>
      <c r="D6" s="170" t="inlineStr">
        <is>
          <t xml:space="preserve">Contrat 2 </t>
        </is>
      </c>
      <c r="E6" s="170" t="inlineStr">
        <is>
          <t>Contrat 3</t>
        </is>
      </c>
      <c r="F6" s="170" t="inlineStr">
        <is>
          <t>Contrat 4</t>
        </is>
      </c>
      <c r="G6" s="170" t="inlineStr">
        <is>
          <t>Contrat 5</t>
        </is>
      </c>
      <c r="H6" s="170" t="inlineStr">
        <is>
          <t>Contrat 6</t>
        </is>
      </c>
      <c r="I6" s="170" t="inlineStr">
        <is>
          <t>Contrat 7</t>
        </is>
      </c>
      <c r="J6" s="170" t="inlineStr">
        <is>
          <t>Contrat 8</t>
        </is>
      </c>
      <c r="K6" s="170" t="inlineStr">
        <is>
          <t>Contrat 9</t>
        </is>
      </c>
      <c r="L6" s="170" t="inlineStr">
        <is>
          <t>Contrat 10</t>
        </is>
      </c>
      <c r="M6" s="170" t="inlineStr">
        <is>
          <t>Contrat 11</t>
        </is>
      </c>
      <c r="N6" s="170" t="inlineStr">
        <is>
          <t>Contrat 12</t>
        </is>
      </c>
      <c r="O6" s="170" t="inlineStr">
        <is>
          <t>Contrat 13</t>
        </is>
      </c>
      <c r="P6" s="170" t="inlineStr">
        <is>
          <t>Contrat 14</t>
        </is>
      </c>
      <c r="Q6" s="170" t="inlineStr">
        <is>
          <t>Contrat 15</t>
        </is>
      </c>
      <c r="R6" s="170" t="inlineStr">
        <is>
          <t>Contrat 16</t>
        </is>
      </c>
      <c r="S6" s="170" t="inlineStr">
        <is>
          <t>Contrat 17</t>
        </is>
      </c>
      <c r="T6" s="245" t="inlineStr">
        <is>
          <t>TOTAL</t>
        </is>
      </c>
      <c r="U6" s="246" t="n"/>
      <c r="V6" s="171" t="inlineStr">
        <is>
          <t>Risque / 7</t>
        </is>
      </c>
      <c r="W6" s="172" t="inlineStr">
        <is>
          <t>Calcul SRI</t>
        </is>
      </c>
      <c r="X6" s="238" t="inlineStr">
        <is>
          <t>Dernière Valeur Liquidative</t>
        </is>
      </c>
      <c r="Z6" s="227" t="inlineStr">
        <is>
          <t>Mouvements en cours</t>
        </is>
      </c>
    </row>
    <row r="7" ht="14.5" customHeight="1">
      <c r="A7" s="234" t="n"/>
      <c r="B7" s="242" t="n"/>
      <c r="C7" s="11">
        <f>C8+C139+C230+C311+C194+C455+C173+C100</f>
        <v/>
      </c>
      <c r="D7" s="11">
        <f>D8+D139+D230+D311+D194+D455+D173+D100</f>
        <v/>
      </c>
      <c r="E7" s="11">
        <f>E8+E139+E230+E311+E194+E455+E173+E100</f>
        <v/>
      </c>
      <c r="F7" s="11">
        <f>F8+F139+F230+F311+F194+F455+F173+F100</f>
        <v/>
      </c>
      <c r="G7" s="11">
        <f>G8+G139+G230+G311+G194+G455+G173+G100</f>
        <v/>
      </c>
      <c r="H7" s="11">
        <f>H8+H139+H230+H311+H194+H455+H173+H100</f>
        <v/>
      </c>
      <c r="I7" s="11">
        <f>I8+I139+I230+I311+I194+I455+I173+I100</f>
        <v/>
      </c>
      <c r="J7" s="11">
        <f>J8+J139+J230+J311+J194+J455+J173+J100</f>
        <v/>
      </c>
      <c r="K7" s="11">
        <f>K8+K139+K230+K311+K194+K455+K173+K100</f>
        <v/>
      </c>
      <c r="L7" s="11">
        <f>L8+L139+L230+L311+L194+L455+L173+L100</f>
        <v/>
      </c>
      <c r="M7" s="11">
        <f>M8+M139+M230+M311+M194+M455+M173+M100</f>
        <v/>
      </c>
      <c r="N7" s="11">
        <f>N8+N139+N230+N311+N194+N455+N173+N100</f>
        <v/>
      </c>
      <c r="O7" s="12">
        <f>O8+O139+O230+O311+O194+O455+O173+O100</f>
        <v/>
      </c>
      <c r="P7" s="13">
        <f>P8+P139+P230+P311+P194+P455+P173+P100</f>
        <v/>
      </c>
      <c r="Q7" s="13">
        <f>Q8+Q139+Q230+Q311+Q194+Q455+Q173+Q100</f>
        <v/>
      </c>
      <c r="R7" s="13">
        <f>R8+R139+R230+R311+R194+R455+R173+R100</f>
        <v/>
      </c>
      <c r="S7" s="13">
        <f>S8+S139+S230+S311+S194+S455+S173+S100</f>
        <v/>
      </c>
      <c r="T7" s="14">
        <f>SUM(C7:S7)</f>
        <v/>
      </c>
      <c r="U7" s="53">
        <f>+U8+U139+U194+U230+U311+U455+U100+U173</f>
        <v/>
      </c>
      <c r="V7" s="266">
        <f>W7/T7</f>
        <v/>
      </c>
      <c r="W7" s="64">
        <f>SUM(W8:W460)</f>
        <v/>
      </c>
      <c r="X7" s="239" t="n"/>
      <c r="Y7" s="15" t="n"/>
      <c r="Z7" s="234" t="n"/>
    </row>
    <row r="8" ht="15" customHeight="1">
      <c r="A8" s="235" t="inlineStr">
        <is>
          <t>Fonds prudents</t>
        </is>
      </c>
      <c r="B8" s="236" t="n"/>
      <c r="C8" s="135">
        <f>SUM(C9,C23,C43)</f>
        <v/>
      </c>
      <c r="D8" s="135">
        <f>SUM(D9,D23,D43)</f>
        <v/>
      </c>
      <c r="E8" s="135">
        <f>SUM(E9,E23,E43)</f>
        <v/>
      </c>
      <c r="F8" s="135">
        <f>SUM(F9,F23,F43)</f>
        <v/>
      </c>
      <c r="G8" s="135">
        <f>SUM(G9,G23,G43)</f>
        <v/>
      </c>
      <c r="H8" s="135">
        <f>SUM(H9,H23,H43)</f>
        <v/>
      </c>
      <c r="I8" s="135">
        <f>SUM(I9,I23,I43)</f>
        <v/>
      </c>
      <c r="J8" s="135">
        <f>SUM(J9,J23,J43)</f>
        <v/>
      </c>
      <c r="K8" s="135">
        <f>SUM(K9,K23,K43)</f>
        <v/>
      </c>
      <c r="L8" s="135">
        <f>SUM(L9,L23,L43)</f>
        <v/>
      </c>
      <c r="M8" s="135">
        <f>SUM(M9,M23,M43)</f>
        <v/>
      </c>
      <c r="N8" s="135">
        <f>SUM(N9,N23,N43)</f>
        <v/>
      </c>
      <c r="O8" s="135">
        <f>SUM(O9,O23,O43)</f>
        <v/>
      </c>
      <c r="P8" s="135">
        <f>SUM(P9,P23,P43)</f>
        <v/>
      </c>
      <c r="Q8" s="135">
        <f>SUM(Q9,Q23,Q43)</f>
        <v/>
      </c>
      <c r="R8" s="135">
        <f>SUM(R9,R23,R43)</f>
        <v/>
      </c>
      <c r="S8" s="135">
        <f>SUM(S9,S23,S43)</f>
        <v/>
      </c>
      <c r="T8" s="136">
        <f>SUM(C8:S8)</f>
        <v/>
      </c>
      <c r="U8" s="137">
        <f>U9+U23+U43</f>
        <v/>
      </c>
      <c r="V8" s="138" t="n"/>
      <c r="W8" s="134" t="n"/>
      <c r="X8" s="168" t="n"/>
      <c r="Z8" s="218" t="n"/>
      <c r="AA8" s="219" t="n"/>
    </row>
    <row r="9" ht="14" customHeight="1">
      <c r="A9" s="140" t="inlineStr">
        <is>
          <t>Fonds en euro garanti</t>
        </is>
      </c>
      <c r="B9" s="141" t="n"/>
      <c r="C9" s="142">
        <f>SUM(C10:C22)</f>
        <v/>
      </c>
      <c r="D9" s="142">
        <f>SUM(D10:D22)</f>
        <v/>
      </c>
      <c r="E9" s="142">
        <f>SUM(E10:E22)</f>
        <v/>
      </c>
      <c r="F9" s="142">
        <f>SUM(F10:F22)</f>
        <v/>
      </c>
      <c r="G9" s="142">
        <f>SUM(G10:G22)</f>
        <v/>
      </c>
      <c r="H9" s="142">
        <f>SUM(H10:H22)</f>
        <v/>
      </c>
      <c r="I9" s="142">
        <f>SUM(I10:I22)</f>
        <v/>
      </c>
      <c r="J9" s="142">
        <f>SUM(J10:J22)</f>
        <v/>
      </c>
      <c r="K9" s="142">
        <f>SUM(K10:K22)</f>
        <v/>
      </c>
      <c r="L9" s="142">
        <f>SUM(L10:L22)</f>
        <v/>
      </c>
      <c r="M9" s="142">
        <f>SUM(M10:M22)</f>
        <v/>
      </c>
      <c r="N9" s="142">
        <f>SUM(N10:N22)</f>
        <v/>
      </c>
      <c r="O9" s="142">
        <f>SUM(O10:O22)</f>
        <v/>
      </c>
      <c r="P9" s="142">
        <f>SUM(P10:P22)</f>
        <v/>
      </c>
      <c r="Q9" s="142">
        <f>SUM(Q10:Q22)</f>
        <v/>
      </c>
      <c r="R9" s="142">
        <f>SUM(R10:R22)</f>
        <v/>
      </c>
      <c r="S9" s="142">
        <f>SUM(S10:S22)</f>
        <v/>
      </c>
      <c r="T9" s="143">
        <f>SUM(C9:S9)</f>
        <v/>
      </c>
      <c r="U9" s="144">
        <f>SUM(U10:U22)</f>
        <v/>
      </c>
      <c r="V9" s="141" t="n"/>
      <c r="W9" s="206" t="n"/>
      <c r="X9" s="207" t="n"/>
      <c r="Z9" s="207" t="n"/>
      <c r="AA9" s="207" t="n"/>
    </row>
    <row r="10" ht="14" customHeight="1">
      <c r="A10" s="65" t="inlineStr">
        <is>
          <t xml:space="preserve">Fonds en euro </t>
        </is>
      </c>
      <c r="B10" s="66" t="inlineStr">
        <is>
          <t>/</t>
        </is>
      </c>
      <c r="C10" s="67" t="n"/>
      <c r="D10" s="67" t="n"/>
      <c r="E10" s="67" t="n"/>
      <c r="F10" s="67" t="n"/>
      <c r="G10" s="67" t="n"/>
      <c r="H10" s="68" t="n"/>
      <c r="I10" s="68" t="n"/>
      <c r="J10" s="67" t="n"/>
      <c r="K10" s="69" t="n"/>
      <c r="L10" s="67" t="n"/>
      <c r="M10" s="67" t="n"/>
      <c r="N10" s="67" t="n"/>
      <c r="O10" s="67" t="n"/>
      <c r="P10" s="67" t="n"/>
      <c r="Q10" s="70" t="n"/>
      <c r="R10" s="70" t="n"/>
      <c r="S10" s="71" t="n"/>
      <c r="T10" s="72">
        <f>SUM(C10:S10)</f>
        <v/>
      </c>
      <c r="U10" s="73">
        <f>T10/T$7</f>
        <v/>
      </c>
      <c r="V10" s="74" t="n">
        <v>1</v>
      </c>
      <c r="W10" s="76">
        <f>T10*V10</f>
        <v/>
      </c>
      <c r="X10" s="169" t="n"/>
    </row>
    <row r="11" ht="14" customHeight="1">
      <c r="A11" s="65" t="inlineStr">
        <is>
          <t>Fonds en euro CARDIF Lux</t>
        </is>
      </c>
      <c r="B11" s="66" t="inlineStr">
        <is>
          <t>/</t>
        </is>
      </c>
      <c r="C11" s="67" t="n"/>
      <c r="D11" s="67" t="n"/>
      <c r="E11" s="67" t="n"/>
      <c r="F11" s="67" t="n"/>
      <c r="G11" s="67" t="n"/>
      <c r="H11" s="67" t="n"/>
      <c r="I11" s="67" t="n"/>
      <c r="J11" s="67" t="n"/>
      <c r="K11" s="69" t="n"/>
      <c r="L11" s="67" t="n"/>
      <c r="M11" s="67" t="n"/>
      <c r="N11" s="67" t="n"/>
      <c r="O11" s="67" t="n"/>
      <c r="P11" s="67" t="n"/>
      <c r="Q11" s="70" t="n"/>
      <c r="R11" s="70" t="n"/>
      <c r="S11" s="71" t="n"/>
      <c r="T11" s="72">
        <f>SUM(C11:S11)</f>
        <v/>
      </c>
      <c r="U11" s="73">
        <f>T11/T$7</f>
        <v/>
      </c>
      <c r="V11" s="74" t="n">
        <v>1</v>
      </c>
      <c r="W11" s="76">
        <f>T11*V11</f>
        <v/>
      </c>
      <c r="X11" s="169" t="n"/>
    </row>
    <row r="12" ht="14" customHeight="1">
      <c r="A12" s="65" t="inlineStr">
        <is>
          <t>Actif Général Generali Vie</t>
        </is>
      </c>
      <c r="B12" s="66" t="inlineStr">
        <is>
          <t>/</t>
        </is>
      </c>
      <c r="C12" s="67" t="n"/>
      <c r="D12" s="67" t="n"/>
      <c r="E12" s="67" t="n"/>
      <c r="F12" s="67" t="n"/>
      <c r="G12" s="67" t="n"/>
      <c r="H12" s="67" t="n"/>
      <c r="I12" s="67" t="n"/>
      <c r="J12" s="67" t="n"/>
      <c r="K12" s="69" t="n"/>
      <c r="L12" s="67" t="n"/>
      <c r="M12" s="67" t="n"/>
      <c r="N12" s="67" t="n"/>
      <c r="O12" s="67" t="n"/>
      <c r="P12" s="67" t="n"/>
      <c r="Q12" s="70" t="n"/>
      <c r="R12" s="70" t="n"/>
      <c r="S12" s="71" t="n"/>
      <c r="T12" s="72">
        <f>SUM(C12:S12)</f>
        <v/>
      </c>
      <c r="U12" s="73">
        <f>T12/T$7</f>
        <v/>
      </c>
      <c r="V12" s="74" t="n">
        <v>1</v>
      </c>
      <c r="W12" s="76">
        <f>T12*V12</f>
        <v/>
      </c>
      <c r="X12" s="169" t="n"/>
    </row>
    <row r="13" ht="14" customHeight="1">
      <c r="A13" s="65" t="inlineStr">
        <is>
          <t>Allianz Fonds Euros</t>
        </is>
      </c>
      <c r="B13" s="66" t="inlineStr">
        <is>
          <t>/</t>
        </is>
      </c>
      <c r="C13" s="67" t="n"/>
      <c r="D13" s="67" t="n"/>
      <c r="E13" s="67" t="n"/>
      <c r="F13" s="67" t="n"/>
      <c r="G13" s="67" t="n"/>
      <c r="H13" s="67" t="n"/>
      <c r="I13" s="67" t="n"/>
      <c r="J13" s="67" t="n"/>
      <c r="K13" s="69" t="n"/>
      <c r="L13" s="67" t="n"/>
      <c r="M13" s="67" t="n"/>
      <c r="N13" s="67" t="n"/>
      <c r="O13" s="67" t="n"/>
      <c r="P13" s="67" t="n"/>
      <c r="Q13" s="70" t="n"/>
      <c r="R13" s="70" t="n"/>
      <c r="S13" s="71" t="n"/>
      <c r="T13" s="72">
        <f>SUM(C13:S13)</f>
        <v/>
      </c>
      <c r="U13" s="73">
        <f>T13/T$7</f>
        <v/>
      </c>
      <c r="V13" s="74" t="n">
        <v>1</v>
      </c>
      <c r="W13" s="76">
        <f>T13*V13</f>
        <v/>
      </c>
      <c r="X13" s="169" t="n"/>
    </row>
    <row r="14" ht="14" customHeight="1">
      <c r="A14" s="65" t="inlineStr">
        <is>
          <t>Fonds en euro Generali Luxembourg</t>
        </is>
      </c>
      <c r="B14" s="66" t="inlineStr">
        <is>
          <t>/</t>
        </is>
      </c>
      <c r="C14" s="67" t="n"/>
      <c r="D14" s="67" t="n"/>
      <c r="E14" s="67" t="n"/>
      <c r="F14" s="67" t="n"/>
      <c r="G14" s="67" t="n"/>
      <c r="H14" s="67" t="n"/>
      <c r="I14" s="67" t="n"/>
      <c r="J14" s="67" t="n"/>
      <c r="K14" s="69" t="n"/>
      <c r="L14" s="67" t="n"/>
      <c r="M14" s="67" t="n"/>
      <c r="N14" s="67" t="n"/>
      <c r="O14" s="67" t="n"/>
      <c r="P14" s="67" t="n"/>
      <c r="Q14" s="70" t="n"/>
      <c r="R14" s="70" t="n"/>
      <c r="S14" s="71" t="n"/>
      <c r="T14" s="72">
        <f>SUM(C14:S14)</f>
        <v/>
      </c>
      <c r="U14" s="73">
        <f>T14/T$7</f>
        <v/>
      </c>
      <c r="V14" s="74" t="n">
        <v>1</v>
      </c>
      <c r="W14" s="76">
        <f>T14*V14</f>
        <v/>
      </c>
      <c r="X14" s="169" t="n"/>
    </row>
    <row r="15" ht="14" customHeight="1">
      <c r="A15" s="65" t="inlineStr">
        <is>
          <t>Apicil Euro Garanti</t>
        </is>
      </c>
      <c r="B15" s="66" t="inlineStr">
        <is>
          <t>/</t>
        </is>
      </c>
      <c r="C15" s="67" t="n"/>
      <c r="D15" s="67" t="n"/>
      <c r="E15" s="67" t="n"/>
      <c r="F15" s="67" t="n"/>
      <c r="G15" s="67" t="n"/>
      <c r="H15" s="67" t="n"/>
      <c r="I15" s="67" t="n"/>
      <c r="J15" s="67" t="n"/>
      <c r="K15" s="69" t="n"/>
      <c r="L15" s="67" t="n"/>
      <c r="M15" s="67" t="n"/>
      <c r="N15" s="67" t="n"/>
      <c r="O15" s="67" t="n"/>
      <c r="P15" s="67" t="n"/>
      <c r="Q15" s="70" t="n"/>
      <c r="R15" s="70" t="n"/>
      <c r="S15" s="71" t="n"/>
      <c r="T15" s="72">
        <f>SUM(C15:S15)</f>
        <v/>
      </c>
      <c r="U15" s="73">
        <f>T15/T$7</f>
        <v/>
      </c>
      <c r="V15" s="74" t="n">
        <v>1</v>
      </c>
      <c r="W15" s="76">
        <f>T15*V15</f>
        <v/>
      </c>
      <c r="X15" s="169" t="n"/>
    </row>
    <row r="16" ht="14" customHeight="1">
      <c r="A16" s="65" t="inlineStr">
        <is>
          <t>Coralis Opportunité</t>
        </is>
      </c>
      <c r="B16" s="66" t="inlineStr">
        <is>
          <t>/</t>
        </is>
      </c>
      <c r="C16" s="67" t="n"/>
      <c r="D16" s="67" t="n"/>
      <c r="E16" s="67" t="n"/>
      <c r="F16" s="67" t="n"/>
      <c r="G16" s="67" t="n"/>
      <c r="H16" s="67" t="n"/>
      <c r="I16" s="67" t="n"/>
      <c r="J16" s="67" t="n"/>
      <c r="K16" s="69" t="n"/>
      <c r="L16" s="67" t="n"/>
      <c r="M16" s="67" t="n"/>
      <c r="N16" s="67" t="n"/>
      <c r="O16" s="67" t="n"/>
      <c r="P16" s="67" t="n"/>
      <c r="Q16" s="70" t="n"/>
      <c r="R16" s="70" t="n"/>
      <c r="S16" s="71" t="n"/>
      <c r="T16" s="72">
        <f>SUM(C16:S16)</f>
        <v/>
      </c>
      <c r="U16" s="73">
        <f>T16/T$7</f>
        <v/>
      </c>
      <c r="V16" s="74" t="n">
        <v>1</v>
      </c>
      <c r="W16" s="76">
        <f>T16*V16</f>
        <v/>
      </c>
      <c r="X16" s="169" t="n"/>
    </row>
    <row r="17" ht="14" customHeight="1">
      <c r="A17" s="65" t="n"/>
      <c r="B17" s="75" t="n"/>
      <c r="C17" s="67" t="n"/>
      <c r="D17" s="67" t="n"/>
      <c r="E17" s="67" t="n"/>
      <c r="F17" s="67" t="n"/>
      <c r="G17" s="67" t="n"/>
      <c r="H17" s="67" t="n"/>
      <c r="I17" s="67" t="n"/>
      <c r="J17" s="67" t="n"/>
      <c r="K17" s="69" t="n"/>
      <c r="L17" s="67" t="n"/>
      <c r="M17" s="67" t="n"/>
      <c r="N17" s="67" t="n"/>
      <c r="O17" s="67" t="n"/>
      <c r="P17" s="67" t="n"/>
      <c r="Q17" s="70" t="n"/>
      <c r="R17" s="70" t="n"/>
      <c r="S17" s="71" t="n"/>
      <c r="T17" s="72">
        <f>SUM(C17:S17)</f>
        <v/>
      </c>
      <c r="U17" s="73">
        <f>T17/T$7</f>
        <v/>
      </c>
      <c r="V17" s="74" t="n">
        <v>1</v>
      </c>
      <c r="W17" s="76">
        <f>T17*V17</f>
        <v/>
      </c>
      <c r="X17" s="169" t="n"/>
    </row>
    <row r="18" ht="14" customHeight="1">
      <c r="A18" s="65" t="n"/>
      <c r="B18" s="75" t="n"/>
      <c r="C18" s="67" t="n"/>
      <c r="D18" s="67" t="n"/>
      <c r="E18" s="67" t="n"/>
      <c r="F18" s="67" t="n"/>
      <c r="G18" s="67" t="n"/>
      <c r="H18" s="67" t="n"/>
      <c r="I18" s="67" t="n"/>
      <c r="J18" s="67" t="n"/>
      <c r="K18" s="69" t="n"/>
      <c r="L18" s="67" t="n"/>
      <c r="M18" s="67" t="n"/>
      <c r="N18" s="67" t="n"/>
      <c r="O18" s="67" t="n"/>
      <c r="P18" s="67" t="n"/>
      <c r="Q18" s="70" t="n"/>
      <c r="R18" s="70" t="n"/>
      <c r="S18" s="71" t="n"/>
      <c r="T18" s="72">
        <f>SUM(C18:S18)</f>
        <v/>
      </c>
      <c r="U18" s="73">
        <f>T18/T$7</f>
        <v/>
      </c>
      <c r="V18" s="74" t="n">
        <v>1</v>
      </c>
      <c r="W18" s="76">
        <f>T18*V18</f>
        <v/>
      </c>
      <c r="X18" s="169" t="n"/>
    </row>
    <row r="19" ht="14" customHeight="1">
      <c r="A19" s="65" t="n"/>
      <c r="B19" s="75" t="n"/>
      <c r="C19" s="67" t="n"/>
      <c r="D19" s="67" t="n"/>
      <c r="E19" s="67" t="n"/>
      <c r="F19" s="67" t="n"/>
      <c r="G19" s="67" t="n"/>
      <c r="H19" s="67" t="n"/>
      <c r="I19" s="67" t="n"/>
      <c r="J19" s="67" t="n"/>
      <c r="K19" s="69" t="n"/>
      <c r="L19" s="67" t="n"/>
      <c r="M19" s="67" t="n"/>
      <c r="N19" s="67" t="n"/>
      <c r="O19" s="67" t="n"/>
      <c r="P19" s="67" t="n"/>
      <c r="Q19" s="70" t="n"/>
      <c r="R19" s="70" t="n"/>
      <c r="S19" s="71" t="n"/>
      <c r="T19" s="72">
        <f>SUM(C19:S19)</f>
        <v/>
      </c>
      <c r="U19" s="73">
        <f>T19/T$7</f>
        <v/>
      </c>
      <c r="V19" s="74" t="n">
        <v>1</v>
      </c>
      <c r="W19" s="76">
        <f>T19*V19</f>
        <v/>
      </c>
      <c r="X19" s="169" t="n"/>
    </row>
    <row r="20" ht="14" customHeight="1">
      <c r="A20" s="65" t="n"/>
      <c r="B20" s="75" t="n"/>
      <c r="C20" s="67" t="n"/>
      <c r="D20" s="67" t="n"/>
      <c r="E20" s="67" t="n"/>
      <c r="F20" s="67" t="n"/>
      <c r="G20" s="67" t="n"/>
      <c r="H20" s="67" t="n"/>
      <c r="I20" s="67" t="n"/>
      <c r="J20" s="67" t="n"/>
      <c r="K20" s="69" t="n"/>
      <c r="L20" s="67" t="n"/>
      <c r="M20" s="67" t="n"/>
      <c r="N20" s="67" t="n"/>
      <c r="O20" s="67" t="n"/>
      <c r="P20" s="67" t="n"/>
      <c r="Q20" s="70" t="n"/>
      <c r="R20" s="70" t="n"/>
      <c r="S20" s="71" t="n"/>
      <c r="T20" s="72">
        <f>SUM(C20:S20)</f>
        <v/>
      </c>
      <c r="U20" s="73">
        <f>T20/T$7</f>
        <v/>
      </c>
      <c r="V20" s="74" t="n">
        <v>1</v>
      </c>
      <c r="W20" s="76">
        <f>T20*V20</f>
        <v/>
      </c>
      <c r="X20" s="169" t="n"/>
    </row>
    <row r="21" ht="14" customHeight="1">
      <c r="A21" s="65" t="n"/>
      <c r="B21" s="75" t="n"/>
      <c r="C21" s="67" t="n"/>
      <c r="D21" s="67" t="n"/>
      <c r="E21" s="67" t="n"/>
      <c r="F21" s="67" t="n"/>
      <c r="G21" s="67" t="n"/>
      <c r="H21" s="67" t="n"/>
      <c r="I21" s="67" t="n"/>
      <c r="J21" s="67" t="n"/>
      <c r="K21" s="69" t="n"/>
      <c r="L21" s="67" t="n"/>
      <c r="M21" s="67" t="n"/>
      <c r="N21" s="67" t="n"/>
      <c r="O21" s="67" t="n"/>
      <c r="P21" s="67" t="n"/>
      <c r="Q21" s="70" t="n"/>
      <c r="R21" s="70" t="n"/>
      <c r="S21" s="71" t="n"/>
      <c r="T21" s="72">
        <f>SUM(C21:S21)</f>
        <v/>
      </c>
      <c r="U21" s="73">
        <f>T21/T$7</f>
        <v/>
      </c>
      <c r="V21" s="74" t="n">
        <v>1</v>
      </c>
      <c r="W21" s="76">
        <f>T21*V21</f>
        <v/>
      </c>
      <c r="X21" s="169" t="n"/>
    </row>
    <row r="22" ht="14" customHeight="1">
      <c r="A22" s="65" t="n"/>
      <c r="B22" s="75" t="n"/>
      <c r="C22" s="67" t="n"/>
      <c r="D22" s="67" t="n"/>
      <c r="E22" s="67" t="n"/>
      <c r="F22" s="67" t="n"/>
      <c r="G22" s="67" t="n"/>
      <c r="H22" s="67" t="n"/>
      <c r="I22" s="67" t="n"/>
      <c r="J22" s="67" t="n"/>
      <c r="K22" s="69" t="n"/>
      <c r="L22" s="67" t="n"/>
      <c r="M22" s="67" t="n"/>
      <c r="N22" s="67" t="n"/>
      <c r="O22" s="67" t="n"/>
      <c r="P22" s="67" t="n"/>
      <c r="Q22" s="70" t="n"/>
      <c r="R22" s="70" t="n"/>
      <c r="S22" s="71" t="n"/>
      <c r="T22" s="72">
        <f>SUM(C22:S22)</f>
        <v/>
      </c>
      <c r="U22" s="73">
        <f>T22/T$7</f>
        <v/>
      </c>
      <c r="V22" s="74" t="n">
        <v>1</v>
      </c>
      <c r="W22" s="76">
        <f>T22*V22</f>
        <v/>
      </c>
      <c r="X22" s="169" t="n"/>
    </row>
    <row r="23" ht="14" customHeight="1">
      <c r="A23" s="140" t="inlineStr">
        <is>
          <t>Fonds monétaires</t>
        </is>
      </c>
      <c r="B23" s="141" t="n"/>
      <c r="C23" s="142">
        <f>SUM(C24:C42)</f>
        <v/>
      </c>
      <c r="D23" s="142">
        <f>SUM(D24:D42)</f>
        <v/>
      </c>
      <c r="E23" s="142">
        <f>SUM(E24:E42)</f>
        <v/>
      </c>
      <c r="F23" s="142">
        <f>SUM(F24:F42)</f>
        <v/>
      </c>
      <c r="G23" s="142">
        <f>SUM(G24:G42)</f>
        <v/>
      </c>
      <c r="H23" s="142">
        <f>SUM(H24:H42)</f>
        <v/>
      </c>
      <c r="I23" s="142">
        <f>SUM(I24:I42)</f>
        <v/>
      </c>
      <c r="J23" s="142">
        <f>SUM(J24:J42)</f>
        <v/>
      </c>
      <c r="K23" s="142">
        <f>SUM(K24:K42)</f>
        <v/>
      </c>
      <c r="L23" s="142">
        <f>SUM(L24:L42)</f>
        <v/>
      </c>
      <c r="M23" s="142">
        <f>SUM(M24:M42)</f>
        <v/>
      </c>
      <c r="N23" s="142">
        <f>SUM(N24:N42)</f>
        <v/>
      </c>
      <c r="O23" s="142">
        <f>SUM(O24:O42)</f>
        <v/>
      </c>
      <c r="P23" s="142">
        <f>SUM(P24:P42)</f>
        <v/>
      </c>
      <c r="Q23" s="142">
        <f>SUM(Q24:Q42)</f>
        <v/>
      </c>
      <c r="R23" s="142">
        <f>SUM(R24:R42)</f>
        <v/>
      </c>
      <c r="S23" s="142">
        <f>SUM(S24:S42)</f>
        <v/>
      </c>
      <c r="T23" s="143">
        <f>SUM(C23:S23)</f>
        <v/>
      </c>
      <c r="U23" s="144">
        <f>SUM(U24:U42)</f>
        <v/>
      </c>
      <c r="V23" s="145" t="n"/>
      <c r="W23" s="206" t="n"/>
      <c r="X23" s="207" t="n"/>
    </row>
    <row r="24" ht="14" customHeight="1">
      <c r="A24" s="65" t="inlineStr">
        <is>
          <t>Solde espèces</t>
        </is>
      </c>
      <c r="B24" s="66" t="inlineStr">
        <is>
          <t>/</t>
        </is>
      </c>
      <c r="C24" s="67" t="n"/>
      <c r="D24" s="67" t="n"/>
      <c r="E24" s="67" t="n"/>
      <c r="F24" s="67" t="n"/>
      <c r="G24" s="67" t="n"/>
      <c r="H24" s="67" t="n"/>
      <c r="I24" s="67" t="n"/>
      <c r="J24" s="67" t="n"/>
      <c r="K24" s="69" t="n"/>
      <c r="L24" s="67" t="n"/>
      <c r="M24" s="67" t="n"/>
      <c r="N24" s="67" t="n"/>
      <c r="O24" s="67" t="n"/>
      <c r="P24" s="67" t="n"/>
      <c r="Q24" s="70" t="n"/>
      <c r="R24" s="70" t="n"/>
      <c r="S24" s="71" t="n"/>
      <c r="T24" s="72">
        <f>SUM(C24:S24)</f>
        <v/>
      </c>
      <c r="U24" s="73">
        <f>T24/T$7</f>
        <v/>
      </c>
      <c r="V24" s="74" t="n">
        <v>1</v>
      </c>
      <c r="W24" s="76">
        <f>T24*V24</f>
        <v/>
      </c>
      <c r="X24" s="169" t="n"/>
    </row>
    <row r="25" ht="14" customHeight="1">
      <c r="A25" s="65" t="inlineStr">
        <is>
          <t xml:space="preserve">BNP Paribas Insticash EUR 1D Short Terme </t>
        </is>
      </c>
      <c r="B25" s="66" t="inlineStr">
        <is>
          <t>LU0094219127</t>
        </is>
      </c>
      <c r="C25" s="67" t="n"/>
      <c r="D25" s="67" t="n"/>
      <c r="E25" s="67" t="n"/>
      <c r="F25" s="67" t="n"/>
      <c r="G25" s="67" t="n"/>
      <c r="H25" s="67" t="n"/>
      <c r="I25" s="67" t="n"/>
      <c r="J25" s="67" t="n"/>
      <c r="K25" s="69" t="n"/>
      <c r="L25" s="67" t="n"/>
      <c r="M25" s="67" t="n"/>
      <c r="N25" s="67" t="n"/>
      <c r="O25" s="67" t="n"/>
      <c r="P25" s="67" t="n"/>
      <c r="Q25" s="70" t="n"/>
      <c r="R25" s="70" t="n"/>
      <c r="S25" s="71" t="n"/>
      <c r="T25" s="72">
        <f>SUM(C25:S25)</f>
        <v/>
      </c>
      <c r="U25" s="73">
        <f>T25/T$7</f>
        <v/>
      </c>
      <c r="V25" s="74" t="n">
        <v>1</v>
      </c>
      <c r="W25" s="76">
        <f>T25*V25</f>
        <v/>
      </c>
      <c r="X25" s="169" t="n"/>
    </row>
    <row r="26" ht="14" customHeight="1">
      <c r="A26" s="65" t="inlineStr">
        <is>
          <t>BNP Paribas Mois ISR</t>
        </is>
      </c>
      <c r="B26" s="66" t="inlineStr">
        <is>
          <t>FR0007009808</t>
        </is>
      </c>
      <c r="C26" s="67" t="n"/>
      <c r="D26" s="67" t="n"/>
      <c r="E26" s="67" t="n"/>
      <c r="F26" s="67" t="n"/>
      <c r="G26" s="67" t="n"/>
      <c r="H26" s="67" t="n"/>
      <c r="I26" s="67" t="n"/>
      <c r="J26" s="67" t="n"/>
      <c r="K26" s="69" t="n"/>
      <c r="L26" s="67" t="n"/>
      <c r="M26" s="67" t="n"/>
      <c r="N26" s="67" t="n"/>
      <c r="O26" s="67" t="n"/>
      <c r="P26" s="67" t="n"/>
      <c r="Q26" s="70" t="n"/>
      <c r="R26" s="70" t="n"/>
      <c r="S26" s="71" t="n"/>
      <c r="T26" s="72">
        <f>SUM(C26:S26)</f>
        <v/>
      </c>
      <c r="U26" s="73">
        <f>T26/T$7</f>
        <v/>
      </c>
      <c r="V26" s="74" t="n">
        <v>1</v>
      </c>
      <c r="W26" s="76">
        <f>T26*V26</f>
        <v/>
      </c>
      <c r="X26" s="169" t="n"/>
    </row>
    <row r="27" ht="14" customHeight="1">
      <c r="A27" s="65" t="inlineStr">
        <is>
          <t>Amundi Funds Cash EUR A2 C</t>
        </is>
      </c>
      <c r="B27" s="66" t="inlineStr">
        <is>
          <t>LU0568620560</t>
        </is>
      </c>
      <c r="C27" s="67" t="n"/>
      <c r="D27" s="67" t="n"/>
      <c r="E27" s="67" t="n"/>
      <c r="F27" s="67" t="n"/>
      <c r="G27" s="67" t="n"/>
      <c r="H27" s="67" t="n"/>
      <c r="I27" s="67" t="n"/>
      <c r="J27" s="67" t="n"/>
      <c r="K27" s="69" t="n"/>
      <c r="L27" s="67" t="n"/>
      <c r="M27" s="67" t="n"/>
      <c r="N27" s="67" t="n"/>
      <c r="O27" s="67" t="n"/>
      <c r="P27" s="67" t="n"/>
      <c r="Q27" s="70" t="n"/>
      <c r="R27" s="70" t="n"/>
      <c r="S27" s="71" t="n"/>
      <c r="T27" s="72">
        <f>SUM(C27:S27)</f>
        <v/>
      </c>
      <c r="U27" s="73">
        <f>T27/T$7</f>
        <v/>
      </c>
      <c r="V27" s="74" t="n">
        <v>1</v>
      </c>
      <c r="W27" s="76">
        <f>T27*V27</f>
        <v/>
      </c>
      <c r="X27" s="169" t="n"/>
      <c r="AA27" s="232" t="n"/>
    </row>
    <row r="28" ht="14" customHeight="1">
      <c r="A28" s="65" t="inlineStr">
        <is>
          <t>Allianz Securicash SRI I (C) EUR</t>
        </is>
      </c>
      <c r="B28" s="66" t="inlineStr">
        <is>
          <t>FR0010017731</t>
        </is>
      </c>
      <c r="C28" s="67" t="n"/>
      <c r="D28" s="67" t="n"/>
      <c r="E28" s="67" t="n"/>
      <c r="F28" s="67" t="n"/>
      <c r="G28" s="67" t="n"/>
      <c r="H28" s="67" t="n"/>
      <c r="I28" s="67" t="n"/>
      <c r="J28" s="67" t="n"/>
      <c r="K28" s="69" t="n"/>
      <c r="L28" s="67" t="n"/>
      <c r="M28" s="67" t="n"/>
      <c r="N28" s="67" t="n"/>
      <c r="O28" s="67" t="n"/>
      <c r="P28" s="67" t="n"/>
      <c r="Q28" s="70" t="n"/>
      <c r="R28" s="70" t="n"/>
      <c r="S28" s="71" t="n"/>
      <c r="T28" s="72">
        <f>SUM(C28:S28)</f>
        <v/>
      </c>
      <c r="U28" s="73">
        <f>T28/T$7</f>
        <v/>
      </c>
      <c r="V28" s="74" t="n">
        <v>1</v>
      </c>
      <c r="W28" s="76">
        <f>T28*V28</f>
        <v/>
      </c>
      <c r="X28" s="169" t="n"/>
    </row>
    <row r="29" ht="14" customHeight="1">
      <c r="A29" s="65" t="inlineStr">
        <is>
          <t>SG Monétaire Plus P-C</t>
        </is>
      </c>
      <c r="B29" s="66" t="inlineStr">
        <is>
          <t>FR0011362094</t>
        </is>
      </c>
      <c r="C29" s="67" t="n"/>
      <c r="D29" s="67" t="n"/>
      <c r="E29" s="67" t="n"/>
      <c r="F29" s="67" t="n"/>
      <c r="G29" s="67" t="n"/>
      <c r="H29" s="67" t="n"/>
      <c r="I29" s="67" t="n"/>
      <c r="J29" s="67" t="n"/>
      <c r="K29" s="69" t="n"/>
      <c r="L29" s="67" t="n"/>
      <c r="M29" s="67" t="n"/>
      <c r="N29" s="67" t="n"/>
      <c r="O29" s="67" t="n"/>
      <c r="P29" s="67" t="n"/>
      <c r="Q29" s="70" t="n"/>
      <c r="R29" s="70" t="n"/>
      <c r="S29" s="71" t="n"/>
      <c r="T29" s="72">
        <f>SUM(C29:S29)</f>
        <v/>
      </c>
      <c r="U29" s="73">
        <f>T29/T$7</f>
        <v/>
      </c>
      <c r="V29" s="74" t="n">
        <v>1</v>
      </c>
      <c r="W29" s="76">
        <f>T29*V29</f>
        <v/>
      </c>
      <c r="X29" s="169" t="n"/>
    </row>
    <row r="30" ht="14" customHeight="1">
      <c r="A30" s="65" t="inlineStr">
        <is>
          <t>SLF (F) Bond ESG 6M</t>
        </is>
      </c>
      <c r="B30" s="66" t="inlineStr">
        <is>
          <t>FR0010914358</t>
        </is>
      </c>
      <c r="C30" s="67" t="n"/>
      <c r="D30" s="67" t="n"/>
      <c r="E30" s="67" t="n"/>
      <c r="F30" s="67" t="n"/>
      <c r="G30" s="67" t="n"/>
      <c r="H30" s="67" t="n"/>
      <c r="I30" s="67" t="n"/>
      <c r="J30" s="67" t="n"/>
      <c r="K30" s="69" t="n"/>
      <c r="L30" s="67" t="n"/>
      <c r="M30" s="67" t="n"/>
      <c r="N30" s="67" t="n"/>
      <c r="O30" s="67" t="n"/>
      <c r="P30" s="67" t="n"/>
      <c r="Q30" s="70" t="n"/>
      <c r="R30" s="70" t="n"/>
      <c r="S30" s="71" t="n"/>
      <c r="T30" s="72">
        <f>SUM(C30:S30)</f>
        <v/>
      </c>
      <c r="U30" s="73">
        <f>T30/T$7</f>
        <v/>
      </c>
      <c r="V30" s="74" t="n">
        <v>1</v>
      </c>
      <c r="W30" s="76">
        <f>T30*V30</f>
        <v/>
      </c>
      <c r="X30" s="169" t="n"/>
      <c r="AA30" s="232" t="n"/>
    </row>
    <row r="31" ht="14" customHeight="1">
      <c r="A31" s="65" t="inlineStr">
        <is>
          <t>Generali trésorerie B EUR C</t>
        </is>
      </c>
      <c r="B31" s="66" t="inlineStr">
        <is>
          <t>FR0010233726</t>
        </is>
      </c>
      <c r="C31" s="67" t="n"/>
      <c r="D31" s="67" t="n"/>
      <c r="E31" s="67" t="n"/>
      <c r="F31" s="67" t="n"/>
      <c r="G31" s="67" t="n"/>
      <c r="H31" s="67" t="n"/>
      <c r="I31" s="67" t="n"/>
      <c r="J31" s="67" t="n"/>
      <c r="K31" s="69" t="n"/>
      <c r="L31" s="67" t="n"/>
      <c r="M31" s="67" t="n"/>
      <c r="N31" s="67" t="n"/>
      <c r="O31" s="67" t="n"/>
      <c r="P31" s="67" t="n"/>
      <c r="Q31" s="70" t="n"/>
      <c r="R31" s="70" t="n"/>
      <c r="S31" s="71" t="n"/>
      <c r="T31" s="72">
        <f>SUM(C31:S31)</f>
        <v/>
      </c>
      <c r="U31" s="73">
        <f>T31/T$7</f>
        <v/>
      </c>
      <c r="V31" s="74" t="n">
        <v>1</v>
      </c>
      <c r="W31" s="76">
        <f>T31*V31</f>
        <v/>
      </c>
      <c r="X31" s="169" t="n"/>
      <c r="AA31" s="232" t="n"/>
    </row>
    <row r="32" ht="14" customHeight="1">
      <c r="A32" s="65" t="inlineStr">
        <is>
          <t>Apicil Trésorerie P</t>
        </is>
      </c>
      <c r="B32" s="66" t="inlineStr">
        <is>
          <t>FR0013328317</t>
        </is>
      </c>
      <c r="C32" s="67" t="n"/>
      <c r="D32" s="67" t="n"/>
      <c r="E32" s="67" t="n"/>
      <c r="F32" s="67" t="n"/>
      <c r="G32" s="67" t="n"/>
      <c r="H32" s="67" t="n"/>
      <c r="I32" s="67" t="n"/>
      <c r="J32" s="67" t="n"/>
      <c r="K32" s="69" t="n"/>
      <c r="L32" s="67" t="n"/>
      <c r="M32" s="67" t="n"/>
      <c r="N32" s="67" t="n"/>
      <c r="O32" s="67" t="n"/>
      <c r="P32" s="67" t="n"/>
      <c r="Q32" s="70" t="n"/>
      <c r="R32" s="70" t="n"/>
      <c r="S32" s="71" t="n"/>
      <c r="T32" s="72">
        <f>SUM(C32:S32)</f>
        <v/>
      </c>
      <c r="U32" s="73">
        <f>T32/T$7</f>
        <v/>
      </c>
      <c r="V32" s="74" t="n">
        <v>1</v>
      </c>
      <c r="W32" s="76">
        <f>T32*V32</f>
        <v/>
      </c>
      <c r="X32" s="169" t="n"/>
      <c r="AA32" s="232" t="n"/>
    </row>
    <row r="33" ht="14" customHeight="1">
      <c r="A33" s="65" t="inlineStr">
        <is>
          <t>AXA Court Terme AC</t>
        </is>
      </c>
      <c r="B33" s="66" t="inlineStr">
        <is>
          <t>FR0000288946</t>
        </is>
      </c>
      <c r="C33" s="67" t="n"/>
      <c r="D33" s="67" t="n"/>
      <c r="E33" s="67" t="n"/>
      <c r="F33" s="67" t="n"/>
      <c r="G33" s="67" t="n"/>
      <c r="H33" s="67" t="n"/>
      <c r="I33" s="67" t="n"/>
      <c r="J33" s="67" t="n"/>
      <c r="K33" s="69" t="n"/>
      <c r="L33" s="67" t="n"/>
      <c r="M33" s="67" t="n"/>
      <c r="N33" s="67" t="n"/>
      <c r="O33" s="67" t="n"/>
      <c r="P33" s="67" t="n"/>
      <c r="Q33" s="70" t="n"/>
      <c r="R33" s="70" t="n"/>
      <c r="S33" s="71" t="n"/>
      <c r="T33" s="72">
        <f>SUM(C33:S33)</f>
        <v/>
      </c>
      <c r="U33" s="73">
        <f>T33/T$7</f>
        <v/>
      </c>
      <c r="V33" s="74" t="n">
        <v>1</v>
      </c>
      <c r="W33" s="76">
        <f>T33*V33</f>
        <v/>
      </c>
      <c r="X33" s="169" t="n"/>
      <c r="AA33" s="232" t="n"/>
    </row>
    <row r="34" ht="14" customHeight="1">
      <c r="A34" s="65" t="inlineStr">
        <is>
          <t>Liquidités fonds de fonds</t>
        </is>
      </c>
      <c r="B34" s="66" t="inlineStr">
        <is>
          <t>/</t>
        </is>
      </c>
      <c r="C34" s="67" t="n"/>
      <c r="D34" s="67" t="n"/>
      <c r="E34" s="67" t="n"/>
      <c r="F34" s="67" t="n"/>
      <c r="G34" s="67" t="n"/>
      <c r="H34" s="67" t="n"/>
      <c r="I34" s="67" t="n"/>
      <c r="J34" s="67" t="n"/>
      <c r="K34" s="69" t="n"/>
      <c r="L34" s="67" t="n"/>
      <c r="M34" s="67" t="n"/>
      <c r="N34" s="67" t="n"/>
      <c r="O34" s="67" t="n"/>
      <c r="P34" s="67" t="n"/>
      <c r="Q34" s="70" t="n"/>
      <c r="R34" s="70" t="n"/>
      <c r="S34" s="71" t="n"/>
      <c r="T34" s="72">
        <f>SUM(C34:S34)</f>
        <v/>
      </c>
      <c r="U34" s="73">
        <f>T34/T$7</f>
        <v/>
      </c>
      <c r="V34" s="74" t="n">
        <v>1</v>
      </c>
      <c r="W34" s="76">
        <f>T34*V34</f>
        <v/>
      </c>
      <c r="X34" s="169" t="n"/>
      <c r="AA34" s="232" t="n"/>
    </row>
    <row r="35" ht="14" customHeight="1">
      <c r="A35" s="65" t="inlineStr">
        <is>
          <t>CIC Union Plus EUR</t>
        </is>
      </c>
      <c r="B35" s="66" t="inlineStr">
        <is>
          <t>/</t>
        </is>
      </c>
      <c r="C35" s="67" t="n"/>
      <c r="D35" s="67" t="n"/>
      <c r="E35" s="67" t="n"/>
      <c r="F35" s="67" t="n"/>
      <c r="G35" s="67" t="n"/>
      <c r="H35" s="67" t="n"/>
      <c r="I35" s="67" t="n"/>
      <c r="J35" s="67" t="n"/>
      <c r="K35" s="69" t="n"/>
      <c r="L35" s="67" t="n"/>
      <c r="M35" s="67" t="n"/>
      <c r="N35" s="67" t="n"/>
      <c r="O35" s="67" t="n"/>
      <c r="P35" s="67" t="n"/>
      <c r="Q35" s="70" t="n"/>
      <c r="R35" s="70" t="n"/>
      <c r="S35" s="71" t="n"/>
      <c r="T35" s="72">
        <f>SUM(C35:S35)</f>
        <v/>
      </c>
      <c r="U35" s="73">
        <f>T35/T$7</f>
        <v/>
      </c>
      <c r="V35" s="74" t="n">
        <v>1</v>
      </c>
      <c r="W35" s="76">
        <f>T35*V35</f>
        <v/>
      </c>
      <c r="X35" s="169" t="n"/>
    </row>
    <row r="36" ht="14" customHeight="1">
      <c r="A36" s="65" t="inlineStr">
        <is>
          <t>Union + TC CAP</t>
        </is>
      </c>
      <c r="B36" s="66" t="inlineStr">
        <is>
          <t>/</t>
        </is>
      </c>
      <c r="C36" s="67" t="n"/>
      <c r="D36" s="67" t="n"/>
      <c r="E36" s="67" t="n"/>
      <c r="F36" s="67" t="n"/>
      <c r="G36" s="67" t="n"/>
      <c r="H36" s="67" t="n"/>
      <c r="I36" s="67" t="n"/>
      <c r="J36" s="67" t="n"/>
      <c r="K36" s="69" t="n"/>
      <c r="L36" s="67" t="n"/>
      <c r="M36" s="67" t="n"/>
      <c r="N36" s="67" t="n"/>
      <c r="O36" s="67" t="n"/>
      <c r="P36" s="67" t="n"/>
      <c r="Q36" s="70" t="n"/>
      <c r="R36" s="70" t="n"/>
      <c r="S36" s="71" t="n"/>
      <c r="T36" s="72">
        <f>SUM(C36:S36)</f>
        <v/>
      </c>
      <c r="U36" s="73">
        <f>T36/T$7</f>
        <v/>
      </c>
      <c r="V36" s="74" t="n">
        <v>1</v>
      </c>
      <c r="W36" s="76">
        <f>T36*V36</f>
        <v/>
      </c>
      <c r="X36" s="169" t="n"/>
    </row>
    <row r="37" ht="14" customHeight="1">
      <c r="A37" s="65" t="n"/>
      <c r="B37" s="75" t="n"/>
      <c r="C37" s="67" t="n"/>
      <c r="D37" s="67" t="n"/>
      <c r="E37" s="67" t="n"/>
      <c r="F37" s="67" t="n"/>
      <c r="G37" s="67" t="n"/>
      <c r="H37" s="67" t="n"/>
      <c r="I37" s="67" t="n"/>
      <c r="J37" s="67" t="n"/>
      <c r="K37" s="69" t="n"/>
      <c r="L37" s="67" t="n"/>
      <c r="M37" s="67" t="n"/>
      <c r="N37" s="67" t="n"/>
      <c r="O37" s="67" t="n"/>
      <c r="P37" s="67" t="n"/>
      <c r="Q37" s="70" t="n"/>
      <c r="R37" s="70" t="n"/>
      <c r="S37" s="71" t="n"/>
      <c r="T37" s="72">
        <f>SUM(C37:S37)</f>
        <v/>
      </c>
      <c r="U37" s="73">
        <f>T37/T$7</f>
        <v/>
      </c>
      <c r="V37" s="74" t="n">
        <v>1</v>
      </c>
      <c r="W37" s="76">
        <f>T37*V37</f>
        <v/>
      </c>
      <c r="X37" s="169" t="n"/>
    </row>
    <row r="38" ht="14" customHeight="1">
      <c r="A38" s="65" t="n"/>
      <c r="B38" s="75" t="n"/>
      <c r="C38" s="67" t="n"/>
      <c r="D38" s="67" t="n"/>
      <c r="E38" s="67" t="n"/>
      <c r="F38" s="67" t="n"/>
      <c r="G38" s="67" t="n"/>
      <c r="H38" s="67" t="n"/>
      <c r="I38" s="67" t="n"/>
      <c r="J38" s="67" t="n"/>
      <c r="K38" s="69" t="n"/>
      <c r="L38" s="67" t="n"/>
      <c r="M38" s="67" t="n"/>
      <c r="N38" s="67" t="n"/>
      <c r="O38" s="67" t="n"/>
      <c r="P38" s="67" t="n"/>
      <c r="Q38" s="70" t="n"/>
      <c r="R38" s="70" t="n"/>
      <c r="S38" s="71" t="n"/>
      <c r="T38" s="72">
        <f>SUM(C38:S38)</f>
        <v/>
      </c>
      <c r="U38" s="73">
        <f>T38/T$7</f>
        <v/>
      </c>
      <c r="V38" s="74" t="n">
        <v>1</v>
      </c>
      <c r="W38" s="76">
        <f>T38*V38</f>
        <v/>
      </c>
      <c r="X38" s="169" t="n"/>
    </row>
    <row r="39" ht="14" customHeight="1">
      <c r="A39" s="65" t="n"/>
      <c r="B39" s="75" t="n"/>
      <c r="C39" s="67" t="n"/>
      <c r="D39" s="67" t="n"/>
      <c r="E39" s="67" t="n"/>
      <c r="F39" s="67" t="n"/>
      <c r="G39" s="67" t="n"/>
      <c r="H39" s="67" t="n"/>
      <c r="I39" s="67" t="n"/>
      <c r="J39" s="67" t="n"/>
      <c r="K39" s="69" t="n"/>
      <c r="L39" s="67" t="n"/>
      <c r="M39" s="67" t="n"/>
      <c r="N39" s="67" t="n"/>
      <c r="O39" s="67" t="n"/>
      <c r="P39" s="67" t="n"/>
      <c r="Q39" s="70" t="n"/>
      <c r="R39" s="70" t="n"/>
      <c r="S39" s="71" t="n"/>
      <c r="T39" s="72">
        <f>SUM(C39:S39)</f>
        <v/>
      </c>
      <c r="U39" s="73">
        <f>T39/T$7</f>
        <v/>
      </c>
      <c r="V39" s="74" t="n">
        <v>1</v>
      </c>
      <c r="W39" s="76">
        <f>T39*V39</f>
        <v/>
      </c>
      <c r="X39" s="169" t="n"/>
    </row>
    <row r="40" ht="14" customHeight="1">
      <c r="A40" s="65" t="n"/>
      <c r="B40" s="75" t="n"/>
      <c r="C40" s="67" t="n"/>
      <c r="D40" s="67" t="n"/>
      <c r="E40" s="67" t="n"/>
      <c r="F40" s="67" t="n"/>
      <c r="G40" s="67" t="n"/>
      <c r="H40" s="67" t="n"/>
      <c r="I40" s="67" t="n"/>
      <c r="J40" s="67" t="n"/>
      <c r="K40" s="69" t="n"/>
      <c r="L40" s="67" t="n"/>
      <c r="M40" s="67" t="n"/>
      <c r="N40" s="67" t="n"/>
      <c r="O40" s="67" t="n"/>
      <c r="P40" s="67" t="n"/>
      <c r="Q40" s="70" t="n"/>
      <c r="R40" s="70" t="n"/>
      <c r="S40" s="71" t="n"/>
      <c r="T40" s="72">
        <f>SUM(C40:S40)</f>
        <v/>
      </c>
      <c r="U40" s="73">
        <f>T40/T$7</f>
        <v/>
      </c>
      <c r="V40" s="74" t="n">
        <v>1</v>
      </c>
      <c r="W40" s="76">
        <f>T40*V40</f>
        <v/>
      </c>
      <c r="X40" s="169" t="n"/>
    </row>
    <row r="41" ht="14" customHeight="1">
      <c r="A41" s="65" t="n"/>
      <c r="B41" s="75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9" t="n"/>
      <c r="L41" s="67" t="n"/>
      <c r="M41" s="67" t="n"/>
      <c r="N41" s="67" t="n"/>
      <c r="O41" s="67" t="n"/>
      <c r="P41" s="67" t="n"/>
      <c r="Q41" s="70" t="n"/>
      <c r="R41" s="70" t="n"/>
      <c r="S41" s="71" t="n"/>
      <c r="T41" s="72">
        <f>SUM(C41:S41)</f>
        <v/>
      </c>
      <c r="U41" s="73">
        <f>T41/T$7</f>
        <v/>
      </c>
      <c r="V41" s="74" t="n">
        <v>1</v>
      </c>
      <c r="W41" s="76">
        <f>T41*V41</f>
        <v/>
      </c>
      <c r="X41" s="169" t="n"/>
    </row>
    <row r="42" ht="14" customHeight="1">
      <c r="A42" s="65" t="n"/>
      <c r="B42" s="75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9" t="n"/>
      <c r="L42" s="67" t="n"/>
      <c r="M42" s="67" t="n"/>
      <c r="N42" s="67" t="n"/>
      <c r="O42" s="67" t="n"/>
      <c r="P42" s="67" t="n"/>
      <c r="Q42" s="70" t="n"/>
      <c r="R42" s="70" t="n"/>
      <c r="S42" s="71" t="n"/>
      <c r="T42" s="72">
        <f>SUM(C42:S42)</f>
        <v/>
      </c>
      <c r="U42" s="73">
        <f>T42/T$7</f>
        <v/>
      </c>
      <c r="V42" s="74" t="n">
        <v>1</v>
      </c>
      <c r="W42" s="76">
        <f>T42*V42</f>
        <v/>
      </c>
      <c r="X42" s="169" t="n"/>
      <c r="AA42" s="232" t="n"/>
    </row>
    <row r="43" ht="14" customHeight="1">
      <c r="A43" s="140" t="inlineStr">
        <is>
          <t>Fonds obligataires</t>
        </is>
      </c>
      <c r="B43" s="141" t="n"/>
      <c r="C43" s="142">
        <f>SUM(C44:C99)</f>
        <v/>
      </c>
      <c r="D43" s="142">
        <f>SUM(D44:D99)</f>
        <v/>
      </c>
      <c r="E43" s="142">
        <f>SUM(E44:E99)</f>
        <v/>
      </c>
      <c r="F43" s="142">
        <f>SUM(F44:F99)</f>
        <v/>
      </c>
      <c r="G43" s="142">
        <f>SUM(G44:G99)</f>
        <v/>
      </c>
      <c r="H43" s="142">
        <f>SUM(H44:H99)</f>
        <v/>
      </c>
      <c r="I43" s="142">
        <f>SUM(I44:I99)</f>
        <v/>
      </c>
      <c r="J43" s="142">
        <f>SUM(J44:J99)</f>
        <v/>
      </c>
      <c r="K43" s="142">
        <f>SUM(K44:K99)</f>
        <v/>
      </c>
      <c r="L43" s="142">
        <f>SUM(L44:L99)</f>
        <v/>
      </c>
      <c r="M43" s="142">
        <f>SUM(M44:M99)</f>
        <v/>
      </c>
      <c r="N43" s="142">
        <f>SUM(N44:N99)</f>
        <v/>
      </c>
      <c r="O43" s="142">
        <f>SUM(O44:O99)</f>
        <v/>
      </c>
      <c r="P43" s="142">
        <f>SUM(P44:P99)</f>
        <v/>
      </c>
      <c r="Q43" s="142">
        <f>SUM(Q44:Q99)</f>
        <v/>
      </c>
      <c r="R43" s="142">
        <f>SUM(R44:R99)</f>
        <v/>
      </c>
      <c r="S43" s="142">
        <f>SUM(S44:S99)</f>
        <v/>
      </c>
      <c r="T43" s="143">
        <f>SUM(C43:S43)</f>
        <v/>
      </c>
      <c r="U43" s="144">
        <f>SUM(U44:U99)</f>
        <v/>
      </c>
      <c r="V43" s="145" t="n"/>
      <c r="W43" s="206" t="n"/>
      <c r="X43" s="207" t="n"/>
    </row>
    <row r="44">
      <c r="A44" s="65" t="inlineStr">
        <is>
          <t>IVO Emerging Markets Corporate Debt EUR-I</t>
        </is>
      </c>
      <c r="B44" s="77" t="inlineStr">
        <is>
          <t>LU1165637460</t>
        </is>
      </c>
      <c r="C44" s="67" t="n"/>
      <c r="D44" s="68" t="n"/>
      <c r="E44" s="68" t="n"/>
      <c r="F44" s="68" t="n"/>
      <c r="G44" s="68" t="n"/>
      <c r="H44" s="68" t="n"/>
      <c r="I44" s="68" t="n"/>
      <c r="J44" s="68" t="n"/>
      <c r="K44" s="82" t="n"/>
      <c r="L44" s="68" t="n"/>
      <c r="M44" s="68" t="n"/>
      <c r="N44" s="68" t="n"/>
      <c r="O44" s="68" t="n"/>
      <c r="P44" s="68" t="n"/>
      <c r="Q44" s="83" t="n"/>
      <c r="R44" s="83" t="n"/>
      <c r="S44" s="84" t="n"/>
      <c r="T44" s="72">
        <f>SUM(C44:S44)</f>
        <v/>
      </c>
      <c r="U44" s="73">
        <f>T44/T$7</f>
        <v/>
      </c>
      <c r="V44" s="74" t="n">
        <v>2</v>
      </c>
      <c r="W44" s="76">
        <f>T44*V44</f>
        <v/>
      </c>
      <c r="X44" s="169" t="n"/>
      <c r="AA44" s="230" t="n"/>
    </row>
    <row r="45" ht="19" customHeight="1">
      <c r="A45" s="65" t="inlineStr">
        <is>
          <t>IVO Emerging Markets Corporate Debt EUR-R</t>
        </is>
      </c>
      <c r="B45" s="66" t="inlineStr">
        <is>
          <t>LU1165644672</t>
        </is>
      </c>
      <c r="C45" s="67" t="n"/>
      <c r="D45" s="68" t="n"/>
      <c r="E45" s="68" t="n"/>
      <c r="F45" s="68" t="n"/>
      <c r="G45" s="68" t="n"/>
      <c r="H45" s="68" t="n"/>
      <c r="I45" s="68" t="n"/>
      <c r="J45" s="68" t="n"/>
      <c r="K45" s="82" t="n"/>
      <c r="L45" s="68" t="n"/>
      <c r="M45" s="68" t="n"/>
      <c r="N45" s="68" t="n"/>
      <c r="O45" s="68" t="n"/>
      <c r="P45" s="68" t="n"/>
      <c r="Q45" s="83" t="n"/>
      <c r="R45" s="83" t="n"/>
      <c r="S45" s="84" t="n"/>
      <c r="T45" s="72">
        <f>SUM(C45:S45)</f>
        <v/>
      </c>
      <c r="U45" s="73">
        <f>T45/T$7</f>
        <v/>
      </c>
      <c r="V45" s="74" t="n">
        <v>3</v>
      </c>
      <c r="W45" s="76">
        <f>T45*V45</f>
        <v/>
      </c>
      <c r="X45" s="169" t="n"/>
    </row>
    <row r="46" ht="25" customHeight="1">
      <c r="A46" s="65" t="inlineStr">
        <is>
          <t>IVO Emerging Markets Coporate Debt Short Duration SRI EUR</t>
        </is>
      </c>
      <c r="B46" s="77" t="inlineStr">
        <is>
          <t>LU2061939646</t>
        </is>
      </c>
      <c r="C46" s="67" t="n"/>
      <c r="D46" s="68" t="n"/>
      <c r="E46" s="68" t="n"/>
      <c r="F46" s="68" t="n"/>
      <c r="G46" s="68" t="n"/>
      <c r="H46" s="68" t="n"/>
      <c r="I46" s="68" t="n"/>
      <c r="J46" s="68" t="n"/>
      <c r="K46" s="82" t="n"/>
      <c r="L46" s="68" t="n"/>
      <c r="M46" s="68" t="n"/>
      <c r="N46" s="68" t="n"/>
      <c r="O46" s="68" t="n"/>
      <c r="P46" s="68" t="n"/>
      <c r="Q46" s="83" t="n"/>
      <c r="R46" s="83" t="n"/>
      <c r="S46" s="84" t="n"/>
      <c r="T46" s="72">
        <f>SUM(C46:S46)</f>
        <v/>
      </c>
      <c r="U46" s="73">
        <f>T46/T$7</f>
        <v/>
      </c>
      <c r="V46" s="74" t="n">
        <v>2</v>
      </c>
      <c r="W46" s="76">
        <f>T46*V46</f>
        <v/>
      </c>
      <c r="X46" s="169" t="n"/>
    </row>
    <row r="47" ht="23" customHeight="1">
      <c r="A47" s="65" t="inlineStr">
        <is>
          <t>Ivo Emerging Markets Corporate Debt Short Duration SRI Z</t>
        </is>
      </c>
      <c r="B47" s="77" t="inlineStr">
        <is>
          <t>LU2061940222</t>
        </is>
      </c>
      <c r="C47" s="67" t="n"/>
      <c r="D47" s="68" t="n"/>
      <c r="E47" s="68" t="n"/>
      <c r="F47" s="68" t="n"/>
      <c r="G47" s="68" t="n"/>
      <c r="H47" s="68" t="n"/>
      <c r="I47" s="68" t="n"/>
      <c r="J47" s="68" t="n"/>
      <c r="K47" s="82" t="n"/>
      <c r="L47" s="68" t="n"/>
      <c r="M47" s="68" t="n"/>
      <c r="N47" s="68" t="n"/>
      <c r="O47" s="68" t="n"/>
      <c r="P47" s="68" t="n"/>
      <c r="Q47" s="83" t="n"/>
      <c r="R47" s="83" t="n"/>
      <c r="S47" s="84" t="n"/>
      <c r="T47" s="72">
        <f>SUM(C47:S47)</f>
        <v/>
      </c>
      <c r="U47" s="73">
        <f>T47/T$7</f>
        <v/>
      </c>
      <c r="V47" s="74" t="n">
        <v>2</v>
      </c>
      <c r="W47" s="76">
        <f>T47*V47</f>
        <v/>
      </c>
      <c r="X47" s="169" t="n"/>
    </row>
    <row r="48" ht="25" customHeight="1">
      <c r="A48" s="65" t="inlineStr">
        <is>
          <t>IVO Emerging Markets Corporate Debt Short Duration SRI R</t>
        </is>
      </c>
      <c r="B48" s="77" t="inlineStr">
        <is>
          <t>LU2061939729</t>
        </is>
      </c>
      <c r="C48" s="67" t="n"/>
      <c r="D48" s="68" t="n"/>
      <c r="E48" s="68" t="n"/>
      <c r="F48" s="68" t="n"/>
      <c r="G48" s="68" t="n"/>
      <c r="H48" s="68" t="n"/>
      <c r="I48" s="68" t="n"/>
      <c r="J48" s="68" t="n"/>
      <c r="K48" s="82" t="n"/>
      <c r="L48" s="68" t="n"/>
      <c r="M48" s="68" t="n"/>
      <c r="N48" s="68" t="n"/>
      <c r="O48" s="68" t="n"/>
      <c r="P48" s="68" t="n"/>
      <c r="Q48" s="83" t="n"/>
      <c r="R48" s="83" t="n"/>
      <c r="S48" s="84" t="n"/>
      <c r="T48" s="72">
        <f>SUM(C48:S48)</f>
        <v/>
      </c>
      <c r="U48" s="73">
        <f>T48/T$7</f>
        <v/>
      </c>
      <c r="V48" s="74" t="n">
        <v>2</v>
      </c>
      <c r="W48" s="76">
        <f>T48*V48</f>
        <v/>
      </c>
      <c r="X48" s="169" t="n"/>
    </row>
    <row r="49" ht="14" customHeight="1">
      <c r="A49" s="65" t="inlineStr">
        <is>
          <t>IVO IG 2030 I</t>
        </is>
      </c>
      <c r="B49" s="77" t="inlineStr">
        <is>
          <t>FR001400SJC8</t>
        </is>
      </c>
      <c r="C49" s="67" t="n"/>
      <c r="D49" s="68" t="n"/>
      <c r="E49" s="68" t="n"/>
      <c r="F49" s="68" t="n"/>
      <c r="G49" s="68" t="n"/>
      <c r="H49" s="68" t="n"/>
      <c r="I49" s="68" t="n"/>
      <c r="J49" s="68" t="n"/>
      <c r="K49" s="82" t="n"/>
      <c r="L49" s="68" t="n"/>
      <c r="M49" s="68" t="n"/>
      <c r="N49" s="68" t="n"/>
      <c r="O49" s="68" t="n"/>
      <c r="P49" s="68" t="n"/>
      <c r="Q49" s="83" t="n"/>
      <c r="R49" s="83" t="n"/>
      <c r="S49" s="84" t="n"/>
      <c r="T49" s="72">
        <f>SUM(C49:S49)</f>
        <v/>
      </c>
      <c r="U49" s="73">
        <f>T49/T$7</f>
        <v/>
      </c>
      <c r="V49" s="74" t="n">
        <v>2</v>
      </c>
      <c r="W49" s="76">
        <f>T49*V49</f>
        <v/>
      </c>
      <c r="X49" s="169" t="n"/>
    </row>
    <row r="50" ht="14" customHeight="1">
      <c r="A50" s="65" t="inlineStr">
        <is>
          <t>IVO IG 2030 R</t>
        </is>
      </c>
      <c r="B50" s="77" t="inlineStr">
        <is>
          <t>FR001400SJA2</t>
        </is>
      </c>
      <c r="C50" s="67" t="n"/>
      <c r="D50" s="68" t="n"/>
      <c r="E50" s="68" t="n"/>
      <c r="F50" s="68" t="n"/>
      <c r="G50" s="68" t="n"/>
      <c r="H50" s="68" t="n"/>
      <c r="I50" s="68" t="n"/>
      <c r="J50" s="68" t="n"/>
      <c r="K50" s="82" t="n"/>
      <c r="L50" s="68" t="n"/>
      <c r="M50" s="68" t="n"/>
      <c r="N50" s="68" t="n"/>
      <c r="O50" s="68" t="n"/>
      <c r="P50" s="68" t="n"/>
      <c r="Q50" s="83" t="n"/>
      <c r="R50" s="83" t="n"/>
      <c r="S50" s="84" t="n"/>
      <c r="T50" s="72">
        <f>SUM(C50:S50)</f>
        <v/>
      </c>
      <c r="U50" s="73">
        <f>T50/T$7</f>
        <v/>
      </c>
      <c r="V50" s="74" t="n">
        <v>2</v>
      </c>
      <c r="W50" s="76">
        <f>T50*V50</f>
        <v/>
      </c>
      <c r="X50" s="169" t="n"/>
    </row>
    <row r="51" ht="14" customHeight="1">
      <c r="A51" s="65" t="inlineStr">
        <is>
          <t>IVO 2028 I</t>
        </is>
      </c>
      <c r="B51" s="77" t="inlineStr">
        <is>
          <t>FR001400BJV4</t>
        </is>
      </c>
      <c r="C51" s="67" t="n"/>
      <c r="D51" s="68" t="n"/>
      <c r="E51" s="68" t="n"/>
      <c r="F51" s="68" t="n"/>
      <c r="G51" s="68" t="n"/>
      <c r="H51" s="68" t="n"/>
      <c r="I51" s="68" t="n"/>
      <c r="J51" s="68" t="n"/>
      <c r="K51" s="82" t="n"/>
      <c r="L51" s="68" t="n"/>
      <c r="M51" s="68" t="n"/>
      <c r="N51" s="68" t="n"/>
      <c r="O51" s="68" t="n"/>
      <c r="P51" s="68" t="n"/>
      <c r="Q51" s="83" t="n"/>
      <c r="R51" s="83" t="n"/>
      <c r="S51" s="84" t="n"/>
      <c r="T51" s="72">
        <f>SUM(C51:S51)</f>
        <v/>
      </c>
      <c r="U51" s="73">
        <f>T51/T$7</f>
        <v/>
      </c>
      <c r="V51" s="74" t="n">
        <v>2</v>
      </c>
      <c r="W51" s="76">
        <f>T51*V51</f>
        <v/>
      </c>
      <c r="X51" s="169" t="n"/>
    </row>
    <row r="52" ht="14" customHeight="1">
      <c r="A52" s="65" t="inlineStr">
        <is>
          <t>IVO 2028 R</t>
        </is>
      </c>
      <c r="B52" s="77" t="inlineStr">
        <is>
          <t>FR001400BJT8</t>
        </is>
      </c>
      <c r="C52" s="67" t="n"/>
      <c r="D52" s="68" t="n"/>
      <c r="E52" s="68" t="n"/>
      <c r="F52" s="68" t="n"/>
      <c r="G52" s="68" t="n"/>
      <c r="H52" s="68" t="n"/>
      <c r="I52" s="68" t="n"/>
      <c r="J52" s="68" t="n"/>
      <c r="K52" s="82" t="n"/>
      <c r="L52" s="68" t="n"/>
      <c r="M52" s="68" t="n"/>
      <c r="N52" s="68" t="n"/>
      <c r="O52" s="68" t="n"/>
      <c r="P52" s="68" t="n"/>
      <c r="Q52" s="83" t="n"/>
      <c r="R52" s="83" t="n"/>
      <c r="S52" s="84" t="n"/>
      <c r="T52" s="72">
        <f>SUM(C52:S52)</f>
        <v/>
      </c>
      <c r="U52" s="73">
        <f>T52/T$7</f>
        <v/>
      </c>
      <c r="V52" s="74" t="n">
        <v>2</v>
      </c>
      <c r="W52" s="76">
        <f>T52*V52</f>
        <v/>
      </c>
      <c r="X52" s="169" t="n"/>
    </row>
    <row r="53" ht="14" customHeight="1">
      <c r="A53" s="65" t="inlineStr">
        <is>
          <t>Sycoyield 2030 RC</t>
        </is>
      </c>
      <c r="B53" s="77" t="inlineStr">
        <is>
          <t>FR001400MCQ6</t>
        </is>
      </c>
      <c r="C53" s="67" t="n"/>
      <c r="D53" s="68" t="n"/>
      <c r="E53" s="68" t="n"/>
      <c r="F53" s="68" t="n"/>
      <c r="G53" s="68" t="n"/>
      <c r="H53" s="68" t="n"/>
      <c r="I53" s="68" t="n"/>
      <c r="J53" s="68" t="n"/>
      <c r="K53" s="82" t="n"/>
      <c r="L53" s="68" t="n"/>
      <c r="M53" s="68" t="n"/>
      <c r="N53" s="68" t="n"/>
      <c r="O53" s="68" t="n"/>
      <c r="P53" s="68" t="n"/>
      <c r="Q53" s="83" t="n"/>
      <c r="R53" s="83" t="n"/>
      <c r="S53" s="84" t="n"/>
      <c r="T53" s="72">
        <f>SUM(C53:S53)</f>
        <v/>
      </c>
      <c r="U53" s="73">
        <f>T53/T$7</f>
        <v/>
      </c>
      <c r="V53" s="74" t="n">
        <v>2</v>
      </c>
      <c r="W53" s="76">
        <f>T53*V53</f>
        <v/>
      </c>
      <c r="X53" s="169" t="n"/>
    </row>
    <row r="54" ht="14" customHeight="1">
      <c r="A54" s="65" t="inlineStr">
        <is>
          <t>Sycoyield 2032 RC</t>
        </is>
      </c>
      <c r="B54" s="77" t="inlineStr">
        <is>
          <t>FR0014010IG3</t>
        </is>
      </c>
      <c r="C54" s="67" t="n"/>
      <c r="D54" s="68" t="n"/>
      <c r="E54" s="68" t="n"/>
      <c r="F54" s="68" t="n"/>
      <c r="G54" s="68" t="n"/>
      <c r="H54" s="68" t="n"/>
      <c r="I54" s="68" t="n"/>
      <c r="J54" s="68" t="n"/>
      <c r="K54" s="82" t="n"/>
      <c r="L54" s="68" t="n"/>
      <c r="M54" s="68" t="n"/>
      <c r="N54" s="68" t="n"/>
      <c r="O54" s="68" t="n"/>
      <c r="P54" s="68" t="n"/>
      <c r="Q54" s="83" t="n"/>
      <c r="R54" s="83" t="n"/>
      <c r="S54" s="84" t="n"/>
      <c r="T54" s="72">
        <f>SUM(C54:S54)</f>
        <v/>
      </c>
      <c r="U54" s="73">
        <f>T54/T$7</f>
        <v/>
      </c>
      <c r="V54" s="74" t="n">
        <v>2</v>
      </c>
      <c r="W54" s="76">
        <f>T54*V54</f>
        <v/>
      </c>
      <c r="X54" s="169" t="n"/>
    </row>
    <row r="55" ht="14" customHeight="1">
      <c r="A55" s="65" t="inlineStr">
        <is>
          <t>Sycoyield 2026 IC</t>
        </is>
      </c>
      <c r="B55" s="77" t="inlineStr">
        <is>
          <t>FR001400A6X2</t>
        </is>
      </c>
      <c r="C55" s="67" t="n"/>
      <c r="D55" s="68" t="n"/>
      <c r="E55" s="68" t="n"/>
      <c r="F55" s="68" t="n"/>
      <c r="G55" s="68" t="n"/>
      <c r="H55" s="68" t="n"/>
      <c r="I55" s="68" t="n"/>
      <c r="J55" s="68" t="n"/>
      <c r="K55" s="82" t="n"/>
      <c r="L55" s="68" t="n"/>
      <c r="M55" s="68" t="n"/>
      <c r="N55" s="68" t="n"/>
      <c r="O55" s="68" t="n"/>
      <c r="P55" s="68" t="n"/>
      <c r="Q55" s="83" t="n"/>
      <c r="R55" s="83" t="n"/>
      <c r="S55" s="84" t="n"/>
      <c r="T55" s="72">
        <f>SUM(C55:S55)</f>
        <v/>
      </c>
      <c r="U55" s="73">
        <f>T55/T$7</f>
        <v/>
      </c>
      <c r="V55" s="74" t="n">
        <v>2</v>
      </c>
      <c r="W55" s="76">
        <f>T55*V55</f>
        <v/>
      </c>
      <c r="X55" s="169" t="n"/>
    </row>
    <row r="56" ht="14" customHeight="1">
      <c r="A56" s="65" t="inlineStr">
        <is>
          <t>Tikehau Credit Court Terme A</t>
        </is>
      </c>
      <c r="B56" s="77" t="inlineStr">
        <is>
          <t>FR0011482728</t>
        </is>
      </c>
      <c r="C56" s="67" t="n"/>
      <c r="D56" s="68" t="n"/>
      <c r="E56" s="68" t="n"/>
      <c r="F56" s="68" t="n"/>
      <c r="G56" s="68" t="n"/>
      <c r="H56" s="68" t="n"/>
      <c r="I56" s="68" t="n"/>
      <c r="J56" s="68" t="n"/>
      <c r="K56" s="82" t="n"/>
      <c r="L56" s="68" t="n"/>
      <c r="M56" s="68" t="n"/>
      <c r="N56" s="68" t="n"/>
      <c r="O56" s="68" t="n"/>
      <c r="P56" s="68" t="n"/>
      <c r="Q56" s="83" t="n"/>
      <c r="R56" s="83" t="n"/>
      <c r="S56" s="84" t="n"/>
      <c r="T56" s="72">
        <f>SUM(C56:S56)</f>
        <v/>
      </c>
      <c r="U56" s="73">
        <f>T56/T$7</f>
        <v/>
      </c>
      <c r="V56" s="74" t="n">
        <v>2</v>
      </c>
      <c r="W56" s="76">
        <f>T56*V56</f>
        <v/>
      </c>
      <c r="X56" s="169" t="n"/>
      <c r="AA56" s="230" t="n"/>
    </row>
    <row r="57" ht="14" customHeight="1">
      <c r="A57" s="65" t="inlineStr">
        <is>
          <t>Tikehau 2029 R-Acc-EUR</t>
        </is>
      </c>
      <c r="B57" s="77" t="inlineStr">
        <is>
          <t>FR001400K2B5</t>
        </is>
      </c>
      <c r="C57" s="67" t="n"/>
      <c r="D57" s="68" t="n"/>
      <c r="E57" s="68" t="n"/>
      <c r="F57" s="68" t="n"/>
      <c r="G57" s="68" t="n"/>
      <c r="H57" s="68" t="n"/>
      <c r="I57" s="68" t="n"/>
      <c r="J57" s="68" t="n"/>
      <c r="K57" s="82" t="n"/>
      <c r="L57" s="68" t="n"/>
      <c r="M57" s="68" t="n"/>
      <c r="N57" s="68" t="n"/>
      <c r="O57" s="68" t="n"/>
      <c r="P57" s="68" t="n"/>
      <c r="Q57" s="83" t="n"/>
      <c r="R57" s="83" t="n"/>
      <c r="S57" s="84" t="n"/>
      <c r="T57" s="72">
        <f>SUM(C57:S57)</f>
        <v/>
      </c>
      <c r="U57" s="73">
        <f>T57/T$7</f>
        <v/>
      </c>
      <c r="V57" s="74" t="n">
        <v>2</v>
      </c>
      <c r="W57" s="76">
        <f>T57*V57</f>
        <v/>
      </c>
      <c r="X57" s="169" t="n"/>
      <c r="AA57" s="230" t="n"/>
    </row>
    <row r="58" ht="14" customHeight="1">
      <c r="A58" s="65" t="inlineStr">
        <is>
          <t>Sycomore Sélection Crédit I</t>
        </is>
      </c>
      <c r="B58" s="77" t="inlineStr">
        <is>
          <t>FR0011288489</t>
        </is>
      </c>
      <c r="C58" s="67" t="n"/>
      <c r="D58" s="68" t="n"/>
      <c r="E58" s="68" t="n"/>
      <c r="F58" s="68" t="n"/>
      <c r="G58" s="68" t="n"/>
      <c r="H58" s="68" t="n"/>
      <c r="I58" s="68" t="n"/>
      <c r="J58" s="68" t="n"/>
      <c r="K58" s="82" t="n"/>
      <c r="L58" s="68" t="n"/>
      <c r="M58" s="68" t="n"/>
      <c r="N58" s="68" t="n"/>
      <c r="O58" s="68" t="n"/>
      <c r="P58" s="68" t="n"/>
      <c r="Q58" s="83" t="n"/>
      <c r="R58" s="83" t="n"/>
      <c r="S58" s="84" t="n"/>
      <c r="T58" s="72">
        <f>SUM(C58:S58)</f>
        <v/>
      </c>
      <c r="U58" s="73">
        <f>T58/T$7</f>
        <v/>
      </c>
      <c r="V58" s="74" t="n">
        <v>2</v>
      </c>
      <c r="W58" s="76">
        <f>T58*V58</f>
        <v/>
      </c>
      <c r="X58" s="169" t="n"/>
    </row>
    <row r="59" ht="14" customHeight="1">
      <c r="A59" s="65" t="inlineStr">
        <is>
          <t xml:space="preserve">Sycomore Sélection Crédit R </t>
        </is>
      </c>
      <c r="B59" s="77" t="inlineStr">
        <is>
          <t>FR0011288513</t>
        </is>
      </c>
      <c r="C59" s="67" t="n"/>
      <c r="D59" s="68" t="n"/>
      <c r="E59" s="68" t="n"/>
      <c r="F59" s="68" t="n"/>
      <c r="G59" s="68" t="n"/>
      <c r="H59" s="68" t="n"/>
      <c r="I59" s="68" t="n"/>
      <c r="J59" s="68" t="n"/>
      <c r="K59" s="82" t="n"/>
      <c r="L59" s="68" t="n"/>
      <c r="M59" s="68" t="n"/>
      <c r="N59" s="68" t="n"/>
      <c r="O59" s="68" t="n"/>
      <c r="P59" s="68" t="n"/>
      <c r="Q59" s="83" t="n"/>
      <c r="R59" s="83" t="n"/>
      <c r="S59" s="84" t="n"/>
      <c r="T59" s="72">
        <f>SUM(C59:S59)</f>
        <v/>
      </c>
      <c r="U59" s="73">
        <f>T59/T$7</f>
        <v/>
      </c>
      <c r="V59" s="74" t="n">
        <v>2</v>
      </c>
      <c r="W59" s="76">
        <f>T59*V59</f>
        <v/>
      </c>
      <c r="X59" s="169" t="n"/>
    </row>
    <row r="60" ht="23" customHeight="1">
      <c r="A60" s="65" t="inlineStr">
        <is>
          <t>Edmond de Rothschild Fund Bond Allocation CR EUR</t>
        </is>
      </c>
      <c r="B60" s="77" t="inlineStr">
        <is>
          <t>LU1781816704</t>
        </is>
      </c>
      <c r="C60" s="67" t="n"/>
      <c r="D60" s="68" t="n"/>
      <c r="E60" s="68" t="n"/>
      <c r="F60" s="68" t="n"/>
      <c r="G60" s="68" t="n"/>
      <c r="H60" s="68" t="n"/>
      <c r="I60" s="68" t="n"/>
      <c r="J60" s="68" t="n"/>
      <c r="K60" s="82" t="n"/>
      <c r="L60" s="68" t="n"/>
      <c r="M60" s="68" t="n"/>
      <c r="N60" s="68" t="n"/>
      <c r="O60" s="68" t="n"/>
      <c r="P60" s="68" t="n"/>
      <c r="Q60" s="83" t="n"/>
      <c r="R60" s="83" t="n"/>
      <c r="S60" s="84" t="n"/>
      <c r="T60" s="72">
        <f>SUM(C60:S60)</f>
        <v/>
      </c>
      <c r="U60" s="73">
        <f>T60/T$7</f>
        <v/>
      </c>
      <c r="V60" s="74" t="n">
        <v>2</v>
      </c>
      <c r="W60" s="76">
        <f>T60*V60</f>
        <v/>
      </c>
      <c r="X60" s="169" t="n"/>
    </row>
    <row r="61" ht="14" customHeight="1">
      <c r="A61" s="65" t="inlineStr">
        <is>
          <t>BNP Paribas Bond 6M Privilege</t>
        </is>
      </c>
      <c r="B61" s="77" t="inlineStr">
        <is>
          <t>FR0013301686</t>
        </is>
      </c>
      <c r="C61" s="67" t="n"/>
      <c r="D61" s="68" t="n"/>
      <c r="E61" s="68" t="n"/>
      <c r="F61" s="68" t="n"/>
      <c r="G61" s="68" t="n"/>
      <c r="H61" s="68" t="n"/>
      <c r="I61" s="68" t="n"/>
      <c r="J61" s="68" t="n"/>
      <c r="K61" s="82" t="n"/>
      <c r="L61" s="68" t="n"/>
      <c r="M61" s="68" t="n"/>
      <c r="N61" s="68" t="n"/>
      <c r="O61" s="68" t="n"/>
      <c r="P61" s="68" t="n"/>
      <c r="Q61" s="83" t="n"/>
      <c r="R61" s="83" t="n"/>
      <c r="S61" s="84" t="n"/>
      <c r="T61" s="72">
        <f>SUM(C61:S61)</f>
        <v/>
      </c>
      <c r="U61" s="73">
        <f>T61/T$7</f>
        <v/>
      </c>
      <c r="V61" s="74" t="n">
        <v>2</v>
      </c>
      <c r="W61" s="76">
        <f>T61*V61</f>
        <v/>
      </c>
      <c r="X61" s="169" t="n"/>
    </row>
    <row r="62" ht="14" customHeight="1">
      <c r="A62" s="65" t="inlineStr">
        <is>
          <t>Aquila Solitaire Global Bond I</t>
        </is>
      </c>
      <c r="B62" s="77" t="inlineStr">
        <is>
          <t>LI0364281464</t>
        </is>
      </c>
      <c r="C62" s="67" t="n"/>
      <c r="D62" s="68" t="n"/>
      <c r="E62" s="68" t="n"/>
      <c r="F62" s="68" t="n"/>
      <c r="G62" s="68" t="n"/>
      <c r="H62" s="68" t="n"/>
      <c r="I62" s="68" t="n"/>
      <c r="J62" s="68" t="n"/>
      <c r="K62" s="82" t="n"/>
      <c r="L62" s="68" t="n"/>
      <c r="M62" s="68" t="n"/>
      <c r="N62" s="68" t="n"/>
      <c r="O62" s="68" t="n"/>
      <c r="P62" s="68" t="n"/>
      <c r="Q62" s="83" t="n"/>
      <c r="R62" s="83" t="n"/>
      <c r="S62" s="84" t="n"/>
      <c r="T62" s="72">
        <f>SUM(C62:S62)</f>
        <v/>
      </c>
      <c r="U62" s="73">
        <f>T62/T$7</f>
        <v/>
      </c>
      <c r="V62" s="74" t="n">
        <v>3</v>
      </c>
      <c r="W62" s="76">
        <f>T62*V62</f>
        <v/>
      </c>
      <c r="X62" s="169" t="n"/>
    </row>
    <row r="63" ht="14" customHeight="1">
      <c r="A63" s="65" t="inlineStr">
        <is>
          <t>DNCA Invest Alpha Bonds</t>
        </is>
      </c>
      <c r="B63" s="77" t="inlineStr">
        <is>
          <t>LU1694789378</t>
        </is>
      </c>
      <c r="C63" s="67" t="n"/>
      <c r="D63" s="68" t="n"/>
      <c r="E63" s="68" t="n"/>
      <c r="F63" s="68" t="n"/>
      <c r="G63" s="68" t="n"/>
      <c r="H63" s="68" t="n"/>
      <c r="I63" s="68" t="n"/>
      <c r="J63" s="68" t="n"/>
      <c r="K63" s="82" t="n"/>
      <c r="L63" s="68" t="n"/>
      <c r="M63" s="68" t="n"/>
      <c r="N63" s="68" t="n"/>
      <c r="O63" s="68" t="n"/>
      <c r="P63" s="68" t="n"/>
      <c r="Q63" s="83" t="n"/>
      <c r="R63" s="83" t="n"/>
      <c r="S63" s="84" t="n"/>
      <c r="T63" s="72">
        <f>SUM(C63:S63)</f>
        <v/>
      </c>
      <c r="U63" s="73">
        <f>T63/T$7</f>
        <v/>
      </c>
      <c r="V63" s="74" t="n">
        <v>2</v>
      </c>
      <c r="W63" s="76">
        <f>T63*V63</f>
        <v/>
      </c>
      <c r="X63" s="169" t="n"/>
    </row>
    <row r="64" ht="14" customHeight="1">
      <c r="A64" s="65" t="inlineStr">
        <is>
          <t>M&amp;G (Lux) Optimal Income Fund C EUR Acc</t>
        </is>
      </c>
      <c r="B64" s="77" t="inlineStr">
        <is>
          <t>LU1670724704</t>
        </is>
      </c>
      <c r="C64" s="67" t="n"/>
      <c r="D64" s="68" t="n"/>
      <c r="E64" s="68" t="n"/>
      <c r="F64" s="68" t="n"/>
      <c r="G64" s="68" t="n"/>
      <c r="H64" s="68" t="n"/>
      <c r="I64" s="68" t="n"/>
      <c r="J64" s="68" t="n"/>
      <c r="K64" s="82" t="n"/>
      <c r="L64" s="68" t="n"/>
      <c r="M64" s="68" t="n"/>
      <c r="N64" s="68" t="n"/>
      <c r="O64" s="68" t="n"/>
      <c r="P64" s="68" t="n"/>
      <c r="Q64" s="83" t="n"/>
      <c r="R64" s="83" t="n"/>
      <c r="S64" s="84" t="n"/>
      <c r="T64" s="72">
        <f>SUM(C64:S64)</f>
        <v/>
      </c>
      <c r="U64" s="73">
        <f>T64/T$7</f>
        <v/>
      </c>
      <c r="V64" s="74" t="n">
        <v>3</v>
      </c>
      <c r="W64" s="76">
        <f>T64*V64</f>
        <v/>
      </c>
      <c r="X64" s="169" t="n"/>
    </row>
    <row r="65" ht="14" customHeight="1">
      <c r="A65" s="65" t="inlineStr">
        <is>
          <t>Sextant Bond Picking N</t>
        </is>
      </c>
      <c r="B65" s="77" t="inlineStr">
        <is>
          <t>FR0013202140</t>
        </is>
      </c>
      <c r="C65" s="67" t="n"/>
      <c r="D65" s="68" t="n"/>
      <c r="E65" s="68" t="n"/>
      <c r="F65" s="68" t="n"/>
      <c r="G65" s="68" t="n"/>
      <c r="H65" s="68" t="n"/>
      <c r="I65" s="68" t="n"/>
      <c r="J65" s="68" t="n"/>
      <c r="K65" s="82" t="n"/>
      <c r="L65" s="68" t="n"/>
      <c r="M65" s="68" t="n"/>
      <c r="N65" s="68" t="n"/>
      <c r="O65" s="68" t="n"/>
      <c r="P65" s="68" t="n"/>
      <c r="Q65" s="83" t="n"/>
      <c r="R65" s="83" t="n"/>
      <c r="S65" s="84" t="n"/>
      <c r="T65" s="72">
        <f>SUM(C65:S65)</f>
        <v/>
      </c>
      <c r="U65" s="73">
        <f>T65/T$7</f>
        <v/>
      </c>
      <c r="V65" s="74" t="n">
        <v>2</v>
      </c>
      <c r="W65" s="76">
        <f>T65*V65</f>
        <v/>
      </c>
      <c r="X65" s="169" t="n"/>
    </row>
    <row r="66" ht="14" customHeight="1">
      <c r="A66" s="65" t="inlineStr">
        <is>
          <t>Octo Crédit ISR Court Terme A</t>
        </is>
      </c>
      <c r="B66" s="77" t="inlineStr">
        <is>
          <t>FR0011299411</t>
        </is>
      </c>
      <c r="C66" s="67" t="n"/>
      <c r="D66" s="68" t="n"/>
      <c r="E66" s="68" t="n"/>
      <c r="F66" s="68" t="n"/>
      <c r="G66" s="68" t="n"/>
      <c r="H66" s="68" t="n"/>
      <c r="I66" s="68" t="n"/>
      <c r="J66" s="68" t="n"/>
      <c r="K66" s="82" t="n"/>
      <c r="L66" s="68" t="n"/>
      <c r="M66" s="68" t="n"/>
      <c r="N66" s="68" t="n"/>
      <c r="O66" s="68" t="n"/>
      <c r="P66" s="68" t="n"/>
      <c r="Q66" s="83" t="n"/>
      <c r="R66" s="83" t="n"/>
      <c r="S66" s="84" t="n"/>
      <c r="T66" s="72">
        <f>SUM(C66:S66)</f>
        <v/>
      </c>
      <c r="U66" s="73">
        <f>T66/T$7</f>
        <v/>
      </c>
      <c r="V66" s="74" t="n">
        <v>2</v>
      </c>
      <c r="W66" s="76">
        <f>T66*V66</f>
        <v/>
      </c>
      <c r="X66" s="169" t="n"/>
    </row>
    <row r="67" ht="14" customHeight="1">
      <c r="A67" s="65" t="inlineStr">
        <is>
          <t>Octo Rendement 2029 AC</t>
        </is>
      </c>
      <c r="B67" s="77" t="inlineStr">
        <is>
          <t>FR001400PXV5</t>
        </is>
      </c>
      <c r="C67" s="67" t="n"/>
      <c r="D67" s="68" t="n"/>
      <c r="E67" s="68" t="n"/>
      <c r="F67" s="68" t="n"/>
      <c r="G67" s="68" t="n"/>
      <c r="H67" s="68" t="n"/>
      <c r="I67" s="68" t="n"/>
      <c r="J67" s="68" t="n"/>
      <c r="K67" s="82" t="n"/>
      <c r="L67" s="68" t="n"/>
      <c r="M67" s="68" t="n"/>
      <c r="N67" s="68" t="n"/>
      <c r="O67" s="68" t="n"/>
      <c r="P67" s="68" t="n"/>
      <c r="Q67" s="83" t="n"/>
      <c r="R67" s="83" t="n"/>
      <c r="S67" s="84" t="n"/>
      <c r="T67" s="72">
        <f>SUM(C67:S67)</f>
        <v/>
      </c>
      <c r="U67" s="73">
        <f>T67/T$7</f>
        <v/>
      </c>
      <c r="V67" s="74" t="n">
        <v>2</v>
      </c>
      <c r="W67" s="76">
        <f>T67*V67</f>
        <v/>
      </c>
      <c r="X67" s="169" t="n"/>
    </row>
    <row r="68" ht="14" customHeight="1">
      <c r="A68" s="65" t="inlineStr">
        <is>
          <t>Octo Rendement 2028 AC</t>
        </is>
      </c>
      <c r="B68" s="77" t="inlineStr">
        <is>
          <t>FR001400CP04</t>
        </is>
      </c>
      <c r="C68" s="67" t="n"/>
      <c r="D68" s="68" t="n"/>
      <c r="E68" s="68" t="n"/>
      <c r="F68" s="68" t="n"/>
      <c r="G68" s="68" t="n"/>
      <c r="H68" s="68" t="n"/>
      <c r="I68" s="68" t="n"/>
      <c r="J68" s="68" t="n"/>
      <c r="K68" s="82" t="n"/>
      <c r="L68" s="68" t="n"/>
      <c r="M68" s="68" t="n"/>
      <c r="N68" s="68" t="n"/>
      <c r="O68" s="68" t="n"/>
      <c r="P68" s="68" t="n"/>
      <c r="Q68" s="83" t="n"/>
      <c r="R68" s="83" t="n"/>
      <c r="S68" s="84" t="n"/>
      <c r="T68" s="72">
        <f>SUM(C68:S68)</f>
        <v/>
      </c>
      <c r="U68" s="73">
        <f>T68/T$7</f>
        <v/>
      </c>
      <c r="V68" s="74" t="n">
        <v>2</v>
      </c>
      <c r="W68" s="76">
        <f>T68*V68</f>
        <v/>
      </c>
      <c r="X68" s="169" t="n"/>
    </row>
    <row r="69" ht="14" customHeight="1">
      <c r="A69" s="65" t="inlineStr">
        <is>
          <t xml:space="preserve">Sanso Objectif Rendement 2031 I </t>
        </is>
      </c>
      <c r="B69" s="77" t="inlineStr">
        <is>
          <t>FR0010804005</t>
        </is>
      </c>
      <c r="C69" s="67" t="n"/>
      <c r="D69" s="68" t="n"/>
      <c r="E69" s="68" t="n"/>
      <c r="F69" s="68" t="n"/>
      <c r="G69" s="68" t="n"/>
      <c r="H69" s="68" t="n"/>
      <c r="I69" s="68" t="n"/>
      <c r="J69" s="68" t="n"/>
      <c r="K69" s="82" t="n"/>
      <c r="L69" s="68" t="n"/>
      <c r="M69" s="68" t="n"/>
      <c r="N69" s="68" t="n"/>
      <c r="O69" s="68" t="n"/>
      <c r="P69" s="68" t="n"/>
      <c r="Q69" s="83" t="n"/>
      <c r="R69" s="83" t="n"/>
      <c r="S69" s="84" t="n"/>
      <c r="T69" s="72">
        <f>SUM(C69:S69)</f>
        <v/>
      </c>
      <c r="U69" s="73">
        <f>T69/T$7</f>
        <v/>
      </c>
      <c r="V69" s="74" t="n">
        <v>2</v>
      </c>
      <c r="W69" s="76">
        <f>T69*V69</f>
        <v/>
      </c>
      <c r="X69" s="169" t="n"/>
    </row>
    <row r="70" ht="14" customHeight="1">
      <c r="A70" s="65" t="inlineStr">
        <is>
          <t>Schelder Global Yield 2028</t>
        </is>
      </c>
      <c r="B70" s="77" t="inlineStr">
        <is>
          <t>FR001400EZY8</t>
        </is>
      </c>
      <c r="C70" s="67" t="n"/>
      <c r="D70" s="68" t="n"/>
      <c r="E70" s="68" t="n"/>
      <c r="F70" s="68" t="n"/>
      <c r="G70" s="68" t="n"/>
      <c r="H70" s="68" t="n"/>
      <c r="I70" s="68" t="n"/>
      <c r="J70" s="68" t="n"/>
      <c r="K70" s="82" t="n"/>
      <c r="L70" s="68" t="n"/>
      <c r="M70" s="68" t="n"/>
      <c r="N70" s="68" t="n"/>
      <c r="O70" s="68" t="n"/>
      <c r="P70" s="68" t="n"/>
      <c r="Q70" s="83" t="n"/>
      <c r="R70" s="83" t="n"/>
      <c r="S70" s="84" t="n"/>
      <c r="T70" s="72">
        <f>SUM(C70:S70)</f>
        <v/>
      </c>
      <c r="U70" s="73">
        <f>T70/T$7</f>
        <v/>
      </c>
      <c r="V70" s="74" t="n">
        <v>3</v>
      </c>
      <c r="W70" s="76">
        <f>T70*V70</f>
        <v/>
      </c>
      <c r="X70" s="169" t="n"/>
    </row>
    <row r="71" ht="14" customHeight="1">
      <c r="A71" s="65" t="inlineStr">
        <is>
          <t>Carmignac Credit 2029 A EUR Acc</t>
        </is>
      </c>
      <c r="B71" s="77" t="inlineStr">
        <is>
          <t>FR001400KAV4</t>
        </is>
      </c>
      <c r="C71" s="67" t="n"/>
      <c r="D71" s="68" t="n"/>
      <c r="E71" s="68" t="n"/>
      <c r="F71" s="68" t="n"/>
      <c r="G71" s="68" t="n"/>
      <c r="H71" s="68" t="n"/>
      <c r="I71" s="68" t="n"/>
      <c r="J71" s="68" t="n"/>
      <c r="K71" s="82" t="n"/>
      <c r="L71" s="68" t="n"/>
      <c r="M71" s="68" t="n"/>
      <c r="N71" s="68" t="n"/>
      <c r="O71" s="68" t="n"/>
      <c r="P71" s="68" t="n"/>
      <c r="Q71" s="83" t="n"/>
      <c r="R71" s="83" t="n"/>
      <c r="S71" s="84" t="n"/>
      <c r="T71" s="72">
        <f>SUM(C71:S71)</f>
        <v/>
      </c>
      <c r="U71" s="73">
        <f>T71/T$7</f>
        <v/>
      </c>
      <c r="V71" s="74" t="n">
        <v>2</v>
      </c>
      <c r="W71" s="76">
        <f>T71*V71</f>
        <v/>
      </c>
      <c r="X71" s="169" t="n"/>
    </row>
    <row r="72" ht="14" customHeight="1">
      <c r="A72" s="65" t="inlineStr">
        <is>
          <t>H2O Multibonds IC</t>
        </is>
      </c>
      <c r="B72" s="77" t="inlineStr">
        <is>
          <t>FR0010930438</t>
        </is>
      </c>
      <c r="C72" s="67" t="n"/>
      <c r="D72" s="67" t="n"/>
      <c r="E72" s="67" t="n"/>
      <c r="F72" s="67" t="n"/>
      <c r="G72" s="67" t="n"/>
      <c r="H72" s="67" t="n"/>
      <c r="I72" s="67" t="n"/>
      <c r="J72" s="67" t="n"/>
      <c r="K72" s="69" t="n"/>
      <c r="L72" s="67" t="n"/>
      <c r="M72" s="67" t="n"/>
      <c r="N72" s="67" t="n"/>
      <c r="O72" s="67" t="n"/>
      <c r="P72" s="67" t="n"/>
      <c r="Q72" s="70" t="n"/>
      <c r="R72" s="70" t="n"/>
      <c r="S72" s="71" t="n"/>
      <c r="T72" s="72">
        <f>SUM(C72:S72)</f>
        <v/>
      </c>
      <c r="U72" s="73">
        <f>T72/T$7</f>
        <v/>
      </c>
      <c r="V72" s="74" t="n">
        <v>6</v>
      </c>
      <c r="W72" s="76">
        <f>T72*V72</f>
        <v/>
      </c>
      <c r="X72" s="169" t="n"/>
    </row>
    <row r="73" ht="14" customHeight="1">
      <c r="A73" s="65" t="inlineStr">
        <is>
          <t>H2O Multibonds N</t>
        </is>
      </c>
      <c r="B73" s="77" t="inlineStr">
        <is>
          <t>FR0013186707</t>
        </is>
      </c>
      <c r="C73" s="67" t="n"/>
      <c r="D73" s="67" t="n"/>
      <c r="E73" s="67" t="n"/>
      <c r="F73" s="67" t="n"/>
      <c r="G73" s="67" t="n"/>
      <c r="H73" s="67" t="n"/>
      <c r="I73" s="67" t="n"/>
      <c r="J73" s="67" t="n"/>
      <c r="K73" s="69" t="n"/>
      <c r="L73" s="67" t="n"/>
      <c r="M73" s="67" t="n"/>
      <c r="N73" s="67" t="n"/>
      <c r="O73" s="67" t="n"/>
      <c r="P73" s="67" t="n"/>
      <c r="Q73" s="70" t="n"/>
      <c r="R73" s="70" t="n"/>
      <c r="S73" s="71" t="n"/>
      <c r="T73" s="72">
        <f>SUM(C73:S73)</f>
        <v/>
      </c>
      <c r="U73" s="73">
        <f>T73/T$7</f>
        <v/>
      </c>
      <c r="V73" s="74" t="n">
        <v>7</v>
      </c>
      <c r="W73" s="76">
        <f>T73*V73</f>
        <v/>
      </c>
      <c r="X73" s="169" t="n"/>
    </row>
    <row r="74" ht="14" customHeight="1">
      <c r="A74" s="65" t="inlineStr">
        <is>
          <t>H2O Multibonds REUR C</t>
        </is>
      </c>
      <c r="B74" s="77" t="inlineStr">
        <is>
          <t>FR0010923375</t>
        </is>
      </c>
      <c r="C74" s="67" t="n"/>
      <c r="D74" s="67" t="n"/>
      <c r="E74" s="67" t="n"/>
      <c r="F74" s="67" t="n"/>
      <c r="G74" s="67" t="n"/>
      <c r="H74" s="67" t="n"/>
      <c r="I74" s="67" t="n"/>
      <c r="J74" s="67" t="n"/>
      <c r="K74" s="69" t="n"/>
      <c r="L74" s="67" t="n"/>
      <c r="M74" s="67" t="n"/>
      <c r="N74" s="67" t="n"/>
      <c r="O74" s="67" t="n"/>
      <c r="P74" s="67" t="n"/>
      <c r="Q74" s="70" t="n"/>
      <c r="R74" s="70" t="n"/>
      <c r="S74" s="71" t="n"/>
      <c r="T74" s="72">
        <f>SUM(C74:S74)</f>
        <v/>
      </c>
      <c r="U74" s="73">
        <f>T74/T$7</f>
        <v/>
      </c>
      <c r="V74" s="74" t="n">
        <v>6</v>
      </c>
      <c r="W74" s="76">
        <f>T74*V74</f>
        <v/>
      </c>
      <c r="X74" s="169" t="n"/>
    </row>
    <row r="75" ht="14" customHeight="1">
      <c r="A75" s="65" t="inlineStr">
        <is>
          <t>H2O Multibonds SR</t>
        </is>
      </c>
      <c r="B75" s="77" t="inlineStr">
        <is>
          <t>FR0013393329</t>
        </is>
      </c>
      <c r="C75" s="67" t="n"/>
      <c r="D75" s="67" t="n"/>
      <c r="E75" s="67" t="n"/>
      <c r="F75" s="67" t="n"/>
      <c r="G75" s="67" t="n"/>
      <c r="H75" s="67" t="n"/>
      <c r="I75" s="67" t="n"/>
      <c r="J75" s="67" t="n"/>
      <c r="K75" s="69" t="n"/>
      <c r="L75" s="67" t="n"/>
      <c r="M75" s="67" t="n"/>
      <c r="N75" s="67" t="n"/>
      <c r="O75" s="67" t="n"/>
      <c r="P75" s="67" t="n"/>
      <c r="Q75" s="70" t="n"/>
      <c r="R75" s="70" t="n"/>
      <c r="S75" s="71" t="n"/>
      <c r="T75" s="72">
        <f>SUM(C75:S75)</f>
        <v/>
      </c>
      <c r="U75" s="73">
        <f>T75/T$7</f>
        <v/>
      </c>
      <c r="V75" s="74" t="n">
        <v>6</v>
      </c>
      <c r="W75" s="76">
        <f>T75*V75</f>
        <v/>
      </c>
      <c r="X75" s="169" t="n"/>
    </row>
    <row r="76" ht="14" customHeight="1">
      <c r="A76" s="65" t="inlineStr">
        <is>
          <t>H2O Multibonds SP R©</t>
        </is>
      </c>
      <c r="B76" s="77" t="inlineStr">
        <is>
          <t>FR0013535952</t>
        </is>
      </c>
      <c r="C76" s="67" t="n"/>
      <c r="D76" s="67" t="n"/>
      <c r="E76" s="67" t="n"/>
      <c r="F76" s="67" t="n"/>
      <c r="G76" s="67" t="n"/>
      <c r="H76" s="67" t="n"/>
      <c r="I76" s="67" t="n"/>
      <c r="J76" s="67" t="n"/>
      <c r="K76" s="69" t="n"/>
      <c r="L76" s="67" t="n"/>
      <c r="M76" s="67" t="n"/>
      <c r="N76" s="67" t="n"/>
      <c r="O76" s="67" t="n"/>
      <c r="P76" s="67" t="n"/>
      <c r="Q76" s="70" t="n"/>
      <c r="R76" s="70" t="n"/>
      <c r="S76" s="71" t="n"/>
      <c r="T76" s="72">
        <f>SUM(C76:S76)</f>
        <v/>
      </c>
      <c r="U76" s="73">
        <f>T76/T$7</f>
        <v/>
      </c>
      <c r="V76" s="74" t="n">
        <v>7</v>
      </c>
      <c r="W76" s="76">
        <f>T76*V76</f>
        <v/>
      </c>
      <c r="X76" s="169" t="n"/>
    </row>
    <row r="77" ht="14" customHeight="1">
      <c r="A77" s="65" t="inlineStr">
        <is>
          <t>H2O Multibonds SP SR©</t>
        </is>
      </c>
      <c r="B77" s="77" t="inlineStr">
        <is>
          <t>FR0013536109</t>
        </is>
      </c>
      <c r="C77" s="67" t="n"/>
      <c r="D77" s="67" t="n"/>
      <c r="E77" s="67" t="n"/>
      <c r="F77" s="67" t="n"/>
      <c r="G77" s="67" t="n"/>
      <c r="H77" s="67" t="n"/>
      <c r="I77" s="67" t="n"/>
      <c r="J77" s="67" t="n"/>
      <c r="K77" s="69" t="n"/>
      <c r="L77" s="67" t="n"/>
      <c r="M77" s="67" t="n"/>
      <c r="N77" s="67" t="n"/>
      <c r="O77" s="67" t="n"/>
      <c r="P77" s="67" t="n"/>
      <c r="Q77" s="70" t="n"/>
      <c r="R77" s="70" t="n"/>
      <c r="S77" s="71" t="n"/>
      <c r="T77" s="72">
        <f>SUM(C77:S77)</f>
        <v/>
      </c>
      <c r="U77" s="73">
        <f>T77/T$7</f>
        <v/>
      </c>
      <c r="V77" s="74" t="n">
        <v>7</v>
      </c>
      <c r="W77" s="76">
        <f>T77*V77</f>
        <v/>
      </c>
      <c r="X77" s="169" t="n"/>
    </row>
    <row r="78" ht="14" customHeight="1">
      <c r="A78" s="65" t="inlineStr">
        <is>
          <t>H2O Multibonds SP I EUR ACC</t>
        </is>
      </c>
      <c r="B78" s="77" t="inlineStr">
        <is>
          <t>FR0013535960</t>
        </is>
      </c>
      <c r="C78" s="67" t="n"/>
      <c r="D78" s="67" t="n"/>
      <c r="E78" s="67" t="n"/>
      <c r="F78" s="67" t="n"/>
      <c r="G78" s="67" t="n"/>
      <c r="H78" s="67" t="n"/>
      <c r="I78" s="67" t="n"/>
      <c r="J78" s="67" t="n"/>
      <c r="K78" s="69" t="n"/>
      <c r="L78" s="67" t="n"/>
      <c r="M78" s="67" t="n"/>
      <c r="N78" s="67" t="n"/>
      <c r="O78" s="67" t="n"/>
      <c r="P78" s="67" t="n"/>
      <c r="Q78" s="70" t="n"/>
      <c r="R78" s="70" t="n"/>
      <c r="S78" s="71" t="n"/>
      <c r="T78" s="72">
        <f>SUM(C78:S78)</f>
        <v/>
      </c>
      <c r="U78" s="73">
        <f>T78/T$7</f>
        <v/>
      </c>
      <c r="V78" s="74" t="n">
        <v>7</v>
      </c>
      <c r="W78" s="76">
        <f>T78*V78</f>
        <v/>
      </c>
      <c r="X78" s="169" t="n"/>
    </row>
    <row r="79" ht="14" customHeight="1">
      <c r="A79" s="65" t="inlineStr">
        <is>
          <t>H2O Multibonds SP NEUR ©</t>
        </is>
      </c>
      <c r="B79" s="77" t="inlineStr">
        <is>
          <t xml:space="preserve">FR0013536083 </t>
        </is>
      </c>
      <c r="C79" s="67" t="n"/>
      <c r="D79" s="67" t="n"/>
      <c r="E79" s="67" t="n"/>
      <c r="F79" s="67" t="n"/>
      <c r="G79" s="67" t="n"/>
      <c r="H79" s="67" t="n"/>
      <c r="I79" s="67" t="n"/>
      <c r="J79" s="67" t="n"/>
      <c r="K79" s="69" t="n"/>
      <c r="L79" s="67" t="n"/>
      <c r="M79" s="67" t="n"/>
      <c r="N79" s="67" t="n"/>
      <c r="O79" s="67" t="n"/>
      <c r="P79" s="67" t="n"/>
      <c r="Q79" s="70" t="n"/>
      <c r="R79" s="70" t="n"/>
      <c r="S79" s="71" t="n"/>
      <c r="T79" s="72">
        <f>SUM(C79:S79)</f>
        <v/>
      </c>
      <c r="U79" s="73">
        <f>T79/T$7</f>
        <v/>
      </c>
      <c r="V79" s="74" t="n">
        <v>7</v>
      </c>
      <c r="W79" s="76">
        <f>T79*V79</f>
        <v/>
      </c>
      <c r="X79" s="169" t="n"/>
    </row>
    <row r="80" ht="14" customHeight="1">
      <c r="A80" s="65" t="inlineStr">
        <is>
          <t>Allianz Euro Hight Yield RC</t>
        </is>
      </c>
      <c r="B80" s="77" t="inlineStr">
        <is>
          <t>FR0010032326</t>
        </is>
      </c>
      <c r="C80" s="67" t="n"/>
      <c r="D80" s="68" t="n"/>
      <c r="E80" s="68" t="n"/>
      <c r="F80" s="68" t="n"/>
      <c r="G80" s="68" t="n"/>
      <c r="H80" s="68" t="n"/>
      <c r="I80" s="68" t="n"/>
      <c r="J80" s="68" t="n"/>
      <c r="K80" s="82" t="n"/>
      <c r="L80" s="68" t="n"/>
      <c r="M80" s="68" t="n"/>
      <c r="N80" s="68" t="n"/>
      <c r="O80" s="68" t="n"/>
      <c r="P80" s="68" t="n"/>
      <c r="Q80" s="83" t="n"/>
      <c r="R80" s="83" t="n"/>
      <c r="S80" s="84" t="n"/>
      <c r="T80" s="72">
        <f>SUM(C80:S80)</f>
        <v/>
      </c>
      <c r="U80" s="73">
        <f>T80/T$7</f>
        <v/>
      </c>
      <c r="V80" s="74" t="n">
        <v>2</v>
      </c>
      <c r="W80" s="76">
        <f>T80*V80</f>
        <v/>
      </c>
      <c r="X80" s="169" t="n"/>
    </row>
    <row r="81" ht="14" customHeight="1">
      <c r="A81" s="65" t="inlineStr">
        <is>
          <t>Omnibond R</t>
        </is>
      </c>
      <c r="B81" s="77" t="inlineStr">
        <is>
          <t>FR0011147594</t>
        </is>
      </c>
      <c r="C81" s="67" t="n"/>
      <c r="D81" s="68" t="n"/>
      <c r="E81" s="68" t="n"/>
      <c r="F81" s="68" t="n"/>
      <c r="G81" s="68" t="n"/>
      <c r="H81" s="68" t="n"/>
      <c r="I81" s="68" t="n"/>
      <c r="J81" s="68" t="n"/>
      <c r="K81" s="82" t="n"/>
      <c r="L81" s="68" t="n"/>
      <c r="M81" s="68" t="n"/>
      <c r="N81" s="68" t="n"/>
      <c r="O81" s="68" t="n"/>
      <c r="P81" s="68" t="n"/>
      <c r="Q81" s="83" t="n"/>
      <c r="R81" s="83" t="n"/>
      <c r="S81" s="84" t="n"/>
      <c r="T81" s="72">
        <f>SUM(C81:S81)</f>
        <v/>
      </c>
      <c r="U81" s="73">
        <f>T81/T$7</f>
        <v/>
      </c>
      <c r="V81" s="74" t="n">
        <v>2</v>
      </c>
      <c r="W81" s="76">
        <f>T81*V81</f>
        <v/>
      </c>
      <c r="X81" s="169" t="n"/>
    </row>
    <row r="82" ht="14" customHeight="1">
      <c r="A82" s="65" t="n"/>
      <c r="B82" s="79" t="n"/>
      <c r="C82" s="67" t="n"/>
      <c r="D82" s="68" t="n"/>
      <c r="E82" s="68" t="n"/>
      <c r="F82" s="68" t="n"/>
      <c r="G82" s="68" t="n"/>
      <c r="H82" s="68" t="n"/>
      <c r="I82" s="68" t="n"/>
      <c r="J82" s="68" t="n"/>
      <c r="K82" s="82" t="n"/>
      <c r="L82" s="68" t="n"/>
      <c r="M82" s="68" t="n"/>
      <c r="N82" s="68" t="n"/>
      <c r="O82" s="68" t="n"/>
      <c r="P82" s="68" t="n"/>
      <c r="Q82" s="83" t="n"/>
      <c r="R82" s="83" t="n"/>
      <c r="S82" s="84" t="n"/>
      <c r="T82" s="72">
        <f>SUM(C82:S82)</f>
        <v/>
      </c>
      <c r="U82" s="73">
        <f>T82/T$7</f>
        <v/>
      </c>
      <c r="V82" s="74" t="n"/>
      <c r="W82" s="76">
        <f>T82*V82</f>
        <v/>
      </c>
      <c r="X82" s="169" t="n"/>
    </row>
    <row r="83" ht="14" customHeight="1">
      <c r="A83" s="65" t="n"/>
      <c r="B83" s="79" t="n"/>
      <c r="C83" s="67" t="n"/>
      <c r="D83" s="68" t="n"/>
      <c r="E83" s="68" t="n"/>
      <c r="F83" s="68" t="n"/>
      <c r="G83" s="68" t="n"/>
      <c r="H83" s="68" t="n"/>
      <c r="I83" s="68" t="n"/>
      <c r="J83" s="68" t="n"/>
      <c r="K83" s="82" t="n"/>
      <c r="L83" s="68" t="n"/>
      <c r="M83" s="68" t="n"/>
      <c r="N83" s="68" t="n"/>
      <c r="O83" s="68" t="n"/>
      <c r="P83" s="68" t="n"/>
      <c r="Q83" s="83" t="n"/>
      <c r="R83" s="83" t="n"/>
      <c r="S83" s="84" t="n"/>
      <c r="T83" s="72">
        <f>SUM(C83:S83)</f>
        <v/>
      </c>
      <c r="U83" s="73">
        <f>T83/T$7</f>
        <v/>
      </c>
      <c r="V83" s="74" t="n"/>
      <c r="W83" s="76">
        <f>T83*V83</f>
        <v/>
      </c>
      <c r="X83" s="169" t="n"/>
    </row>
    <row r="84" ht="14" customHeight="1">
      <c r="A84" s="65" t="n"/>
      <c r="B84" s="79" t="n"/>
      <c r="C84" s="67" t="n"/>
      <c r="D84" s="68" t="n"/>
      <c r="E84" s="68" t="n"/>
      <c r="F84" s="68" t="n"/>
      <c r="G84" s="68" t="n"/>
      <c r="H84" s="68" t="n"/>
      <c r="I84" s="68" t="n"/>
      <c r="J84" s="68" t="n"/>
      <c r="K84" s="82" t="n"/>
      <c r="L84" s="68" t="n"/>
      <c r="M84" s="68" t="n"/>
      <c r="N84" s="68" t="n"/>
      <c r="O84" s="68" t="n"/>
      <c r="P84" s="68" t="n"/>
      <c r="Q84" s="83" t="n"/>
      <c r="R84" s="83" t="n"/>
      <c r="S84" s="84" t="n"/>
      <c r="T84" s="72">
        <f>SUM(C84:S84)</f>
        <v/>
      </c>
      <c r="U84" s="73">
        <f>T84/T$7</f>
        <v/>
      </c>
      <c r="V84" s="74" t="n"/>
      <c r="W84" s="76">
        <f>T84*V84</f>
        <v/>
      </c>
      <c r="X84" s="169" t="n"/>
    </row>
    <row r="85" ht="14" customHeight="1">
      <c r="A85" s="65" t="n"/>
      <c r="B85" s="79" t="n"/>
      <c r="C85" s="67" t="n"/>
      <c r="D85" s="68" t="n"/>
      <c r="E85" s="68" t="n"/>
      <c r="F85" s="68" t="n"/>
      <c r="G85" s="68" t="n"/>
      <c r="H85" s="68" t="n"/>
      <c r="I85" s="68" t="n"/>
      <c r="J85" s="68" t="n"/>
      <c r="K85" s="82" t="n"/>
      <c r="L85" s="68" t="n"/>
      <c r="M85" s="68" t="n"/>
      <c r="N85" s="68" t="n"/>
      <c r="O85" s="68" t="n"/>
      <c r="P85" s="68" t="n"/>
      <c r="Q85" s="83" t="n"/>
      <c r="R85" s="83" t="n"/>
      <c r="S85" s="84" t="n"/>
      <c r="T85" s="72">
        <f>SUM(C85:S85)</f>
        <v/>
      </c>
      <c r="U85" s="73">
        <f>T85/T$7</f>
        <v/>
      </c>
      <c r="V85" s="74" t="n"/>
      <c r="W85" s="76">
        <f>T85*V85</f>
        <v/>
      </c>
      <c r="X85" s="169" t="n"/>
    </row>
    <row r="86" ht="14" customHeight="1">
      <c r="A86" s="65" t="n"/>
      <c r="B86" s="79" t="n"/>
      <c r="C86" s="67" t="n"/>
      <c r="D86" s="68" t="n"/>
      <c r="E86" s="68" t="n"/>
      <c r="F86" s="68" t="n"/>
      <c r="G86" s="68" t="n"/>
      <c r="H86" s="68" t="n"/>
      <c r="I86" s="68" t="n"/>
      <c r="J86" s="68" t="n"/>
      <c r="K86" s="82" t="n"/>
      <c r="L86" s="68" t="n"/>
      <c r="M86" s="68" t="n"/>
      <c r="N86" s="68" t="n"/>
      <c r="O86" s="68" t="n"/>
      <c r="P86" s="68" t="n"/>
      <c r="Q86" s="83" t="n"/>
      <c r="R86" s="83" t="n"/>
      <c r="S86" s="84" t="n"/>
      <c r="T86" s="72">
        <f>SUM(C86:S86)</f>
        <v/>
      </c>
      <c r="U86" s="73">
        <f>T86/T$7</f>
        <v/>
      </c>
      <c r="V86" s="74" t="n"/>
      <c r="W86" s="76">
        <f>T86*V86</f>
        <v/>
      </c>
      <c r="X86" s="169" t="n"/>
    </row>
    <row r="87" ht="14" customHeight="1">
      <c r="A87" s="65" t="n"/>
      <c r="B87" s="79" t="n"/>
      <c r="C87" s="67" t="n"/>
      <c r="D87" s="68" t="n"/>
      <c r="E87" s="68" t="n"/>
      <c r="F87" s="68" t="n"/>
      <c r="G87" s="68" t="n"/>
      <c r="H87" s="68" t="n"/>
      <c r="I87" s="68" t="n"/>
      <c r="J87" s="68" t="n"/>
      <c r="K87" s="82" t="n"/>
      <c r="L87" s="68" t="n"/>
      <c r="M87" s="68" t="n"/>
      <c r="N87" s="68" t="n"/>
      <c r="O87" s="68" t="n"/>
      <c r="P87" s="68" t="n"/>
      <c r="Q87" s="83" t="n"/>
      <c r="R87" s="83" t="n"/>
      <c r="S87" s="84" t="n"/>
      <c r="T87" s="72">
        <f>SUM(C87:S87)</f>
        <v/>
      </c>
      <c r="U87" s="73">
        <f>T87/T$7</f>
        <v/>
      </c>
      <c r="V87" s="74" t="n"/>
      <c r="W87" s="76">
        <f>T87*V87</f>
        <v/>
      </c>
      <c r="X87" s="169" t="n"/>
    </row>
    <row r="88" ht="14" customHeight="1">
      <c r="A88" s="65" t="n"/>
      <c r="B88" s="79" t="n"/>
      <c r="C88" s="67" t="n"/>
      <c r="D88" s="68" t="n"/>
      <c r="E88" s="68" t="n"/>
      <c r="F88" s="68" t="n"/>
      <c r="G88" s="68" t="n"/>
      <c r="H88" s="68" t="n"/>
      <c r="I88" s="68" t="n"/>
      <c r="J88" s="68" t="n"/>
      <c r="K88" s="82" t="n"/>
      <c r="L88" s="68" t="n"/>
      <c r="M88" s="68" t="n"/>
      <c r="N88" s="68" t="n"/>
      <c r="O88" s="68" t="n"/>
      <c r="P88" s="68" t="n"/>
      <c r="Q88" s="83" t="n"/>
      <c r="R88" s="83" t="n"/>
      <c r="S88" s="84" t="n"/>
      <c r="T88" s="72">
        <f>SUM(C88:S88)</f>
        <v/>
      </c>
      <c r="U88" s="73">
        <f>T88/T$7</f>
        <v/>
      </c>
      <c r="V88" s="74" t="n"/>
      <c r="W88" s="76">
        <f>T88*V88</f>
        <v/>
      </c>
      <c r="X88" s="169" t="n"/>
    </row>
    <row r="89" ht="14" customHeight="1">
      <c r="A89" s="65" t="n"/>
      <c r="B89" s="79" t="n"/>
      <c r="C89" s="67" t="n"/>
      <c r="D89" s="68" t="n"/>
      <c r="E89" s="68" t="n"/>
      <c r="F89" s="68" t="n"/>
      <c r="G89" s="68" t="n"/>
      <c r="H89" s="68" t="n"/>
      <c r="I89" s="68" t="n"/>
      <c r="J89" s="68" t="n"/>
      <c r="K89" s="82" t="n"/>
      <c r="L89" s="68" t="n"/>
      <c r="M89" s="68" t="n"/>
      <c r="N89" s="68" t="n"/>
      <c r="O89" s="68" t="n"/>
      <c r="P89" s="68" t="n"/>
      <c r="Q89" s="83" t="n"/>
      <c r="R89" s="83" t="n"/>
      <c r="S89" s="84" t="n"/>
      <c r="T89" s="72">
        <f>SUM(C89:S89)</f>
        <v/>
      </c>
      <c r="U89" s="73">
        <f>T89/T$7</f>
        <v/>
      </c>
      <c r="V89" s="74" t="n"/>
      <c r="W89" s="76">
        <f>T89*V89</f>
        <v/>
      </c>
      <c r="X89" s="169" t="n"/>
    </row>
    <row r="90" ht="14" customHeight="1">
      <c r="A90" s="65" t="n"/>
      <c r="B90" s="79" t="n"/>
      <c r="C90" s="67" t="n"/>
      <c r="D90" s="68" t="n"/>
      <c r="E90" s="68" t="n"/>
      <c r="F90" s="68" t="n"/>
      <c r="G90" s="68" t="n"/>
      <c r="H90" s="68" t="n"/>
      <c r="I90" s="68" t="n"/>
      <c r="J90" s="68" t="n"/>
      <c r="K90" s="82" t="n"/>
      <c r="L90" s="68" t="n"/>
      <c r="M90" s="68" t="n"/>
      <c r="N90" s="68" t="n"/>
      <c r="O90" s="68" t="n"/>
      <c r="P90" s="68" t="n"/>
      <c r="Q90" s="83" t="n"/>
      <c r="R90" s="83" t="n"/>
      <c r="S90" s="84" t="n"/>
      <c r="T90" s="72">
        <f>SUM(C90:S90)</f>
        <v/>
      </c>
      <c r="U90" s="73">
        <f>T90/T$7</f>
        <v/>
      </c>
      <c r="V90" s="74" t="n"/>
      <c r="W90" s="76">
        <f>T90*V90</f>
        <v/>
      </c>
      <c r="X90" s="169" t="n"/>
    </row>
    <row r="91" ht="14" customHeight="1">
      <c r="A91" s="65" t="n"/>
      <c r="B91" s="79" t="n"/>
      <c r="C91" s="67" t="n"/>
      <c r="D91" s="68" t="n"/>
      <c r="E91" s="68" t="n"/>
      <c r="F91" s="68" t="n"/>
      <c r="G91" s="68" t="n"/>
      <c r="H91" s="68" t="n"/>
      <c r="I91" s="68" t="n"/>
      <c r="J91" s="68" t="n"/>
      <c r="K91" s="82" t="n"/>
      <c r="L91" s="68" t="n"/>
      <c r="M91" s="68" t="n"/>
      <c r="N91" s="68" t="n"/>
      <c r="O91" s="68" t="n"/>
      <c r="P91" s="68" t="n"/>
      <c r="Q91" s="83" t="n"/>
      <c r="R91" s="83" t="n"/>
      <c r="S91" s="84" t="n"/>
      <c r="T91" s="72">
        <f>SUM(C91:S91)</f>
        <v/>
      </c>
      <c r="U91" s="73">
        <f>T91/T$7</f>
        <v/>
      </c>
      <c r="V91" s="74" t="n"/>
      <c r="W91" s="76">
        <f>T91*V91</f>
        <v/>
      </c>
      <c r="X91" s="169" t="n"/>
    </row>
    <row r="92" ht="14" customHeight="1">
      <c r="A92" s="65" t="n"/>
      <c r="B92" s="79" t="n"/>
      <c r="C92" s="67" t="n"/>
      <c r="D92" s="68" t="n"/>
      <c r="E92" s="68" t="n"/>
      <c r="F92" s="68" t="n"/>
      <c r="G92" s="68" t="n"/>
      <c r="H92" s="68" t="n"/>
      <c r="I92" s="68" t="n"/>
      <c r="J92" s="68" t="n"/>
      <c r="K92" s="82" t="n"/>
      <c r="L92" s="68" t="n"/>
      <c r="M92" s="68" t="n"/>
      <c r="N92" s="68" t="n"/>
      <c r="O92" s="68" t="n"/>
      <c r="P92" s="68" t="n"/>
      <c r="Q92" s="83" t="n"/>
      <c r="R92" s="83" t="n"/>
      <c r="S92" s="84" t="n"/>
      <c r="T92" s="72">
        <f>SUM(C92:S92)</f>
        <v/>
      </c>
      <c r="U92" s="73">
        <f>T92/T$7</f>
        <v/>
      </c>
      <c r="V92" s="74" t="n"/>
      <c r="W92" s="76">
        <f>T92*V92</f>
        <v/>
      </c>
      <c r="X92" s="169" t="n"/>
    </row>
    <row r="93" ht="14" customHeight="1">
      <c r="A93" s="65" t="n"/>
      <c r="B93" s="79" t="n"/>
      <c r="C93" s="67" t="n"/>
      <c r="D93" s="68" t="n"/>
      <c r="E93" s="68" t="n"/>
      <c r="F93" s="68" t="n"/>
      <c r="G93" s="68" t="n"/>
      <c r="H93" s="68" t="n"/>
      <c r="I93" s="68" t="n"/>
      <c r="J93" s="68" t="n"/>
      <c r="K93" s="82" t="n"/>
      <c r="L93" s="68" t="n"/>
      <c r="M93" s="68" t="n"/>
      <c r="N93" s="68" t="n"/>
      <c r="O93" s="68" t="n"/>
      <c r="P93" s="68" t="n"/>
      <c r="Q93" s="83" t="n"/>
      <c r="R93" s="83" t="n"/>
      <c r="S93" s="84" t="n"/>
      <c r="T93" s="72">
        <f>SUM(C93:S93)</f>
        <v/>
      </c>
      <c r="U93" s="73">
        <f>T93/T$7</f>
        <v/>
      </c>
      <c r="V93" s="74" t="n"/>
      <c r="W93" s="76">
        <f>T93*V93</f>
        <v/>
      </c>
      <c r="X93" s="169" t="n"/>
    </row>
    <row r="94" ht="14" customHeight="1">
      <c r="A94" s="65" t="n"/>
      <c r="B94" s="79" t="n"/>
      <c r="C94" s="67" t="n"/>
      <c r="D94" s="68" t="n"/>
      <c r="E94" s="68" t="n"/>
      <c r="F94" s="68" t="n"/>
      <c r="G94" s="68" t="n"/>
      <c r="H94" s="68" t="n"/>
      <c r="I94" s="68" t="n"/>
      <c r="J94" s="68" t="n"/>
      <c r="K94" s="82" t="n"/>
      <c r="L94" s="68" t="n"/>
      <c r="M94" s="68" t="n"/>
      <c r="N94" s="68" t="n"/>
      <c r="O94" s="68" t="n"/>
      <c r="P94" s="68" t="n"/>
      <c r="Q94" s="83" t="n"/>
      <c r="R94" s="83" t="n"/>
      <c r="S94" s="84" t="n"/>
      <c r="T94" s="72">
        <f>SUM(C94:S94)</f>
        <v/>
      </c>
      <c r="U94" s="73">
        <f>T94/T$7</f>
        <v/>
      </c>
      <c r="V94" s="74" t="n"/>
      <c r="W94" s="76">
        <f>T94*V94</f>
        <v/>
      </c>
      <c r="X94" s="169" t="n"/>
    </row>
    <row r="95" ht="14" customHeight="1">
      <c r="A95" s="65" t="n"/>
      <c r="B95" s="79" t="n"/>
      <c r="C95" s="67" t="n"/>
      <c r="D95" s="68" t="n"/>
      <c r="E95" s="68" t="n"/>
      <c r="F95" s="68" t="n"/>
      <c r="G95" s="68" t="n"/>
      <c r="H95" s="68" t="n"/>
      <c r="I95" s="68" t="n"/>
      <c r="J95" s="68" t="n"/>
      <c r="K95" s="82" t="n"/>
      <c r="L95" s="68" t="n"/>
      <c r="M95" s="68" t="n"/>
      <c r="N95" s="68" t="n"/>
      <c r="O95" s="68" t="n"/>
      <c r="P95" s="68" t="n"/>
      <c r="Q95" s="83" t="n"/>
      <c r="R95" s="83" t="n"/>
      <c r="S95" s="84" t="n"/>
      <c r="T95" s="72">
        <f>SUM(C95:S95)</f>
        <v/>
      </c>
      <c r="U95" s="73">
        <f>T95/T$7</f>
        <v/>
      </c>
      <c r="V95" s="74" t="n"/>
      <c r="W95" s="76">
        <f>T95*V95</f>
        <v/>
      </c>
      <c r="X95" s="169" t="n"/>
    </row>
    <row r="96" ht="14" customHeight="1">
      <c r="A96" s="65" t="n"/>
      <c r="B96" s="79" t="n"/>
      <c r="C96" s="67" t="n"/>
      <c r="D96" s="67" t="n"/>
      <c r="E96" s="67" t="n"/>
      <c r="F96" s="67" t="n"/>
      <c r="G96" s="67" t="n"/>
      <c r="H96" s="67" t="n"/>
      <c r="I96" s="67" t="n"/>
      <c r="J96" s="67" t="n"/>
      <c r="K96" s="69" t="n"/>
      <c r="L96" s="67" t="n"/>
      <c r="M96" s="67" t="n"/>
      <c r="N96" s="67" t="n"/>
      <c r="O96" s="67" t="n"/>
      <c r="P96" s="67" t="n"/>
      <c r="Q96" s="70" t="n"/>
      <c r="R96" s="70" t="n"/>
      <c r="S96" s="71" t="n"/>
      <c r="T96" s="72">
        <f>SUM(C96:S96)</f>
        <v/>
      </c>
      <c r="U96" s="73">
        <f>T96/T$7</f>
        <v/>
      </c>
      <c r="V96" s="74" t="n"/>
      <c r="W96" s="76">
        <f>T96*V96</f>
        <v/>
      </c>
      <c r="X96" s="169" t="n"/>
    </row>
    <row r="97" ht="14" customHeight="1">
      <c r="A97" s="65" t="n"/>
      <c r="B97" s="79" t="n"/>
      <c r="C97" s="67" t="n"/>
      <c r="D97" s="67" t="n"/>
      <c r="E97" s="67" t="n"/>
      <c r="F97" s="67" t="n"/>
      <c r="G97" s="67" t="n"/>
      <c r="H97" s="67" t="n"/>
      <c r="I97" s="67" t="n"/>
      <c r="J97" s="67" t="n"/>
      <c r="K97" s="69" t="n"/>
      <c r="L97" s="67" t="n"/>
      <c r="M97" s="67" t="n"/>
      <c r="N97" s="67" t="n"/>
      <c r="O97" s="67" t="n"/>
      <c r="P97" s="67" t="n"/>
      <c r="Q97" s="70" t="n"/>
      <c r="R97" s="70" t="n"/>
      <c r="S97" s="71" t="n"/>
      <c r="T97" s="72">
        <f>SUM(C97:S97)</f>
        <v/>
      </c>
      <c r="U97" s="73">
        <f>T97/T$7</f>
        <v/>
      </c>
      <c r="V97" s="74" t="n"/>
      <c r="W97" s="76">
        <f>T97*V97</f>
        <v/>
      </c>
      <c r="X97" s="169" t="n"/>
    </row>
    <row r="98" ht="14" customHeight="1">
      <c r="A98" s="65" t="n"/>
      <c r="B98" s="79" t="n"/>
      <c r="C98" s="67" t="n"/>
      <c r="D98" s="67" t="n"/>
      <c r="E98" s="67" t="n"/>
      <c r="F98" s="67" t="n"/>
      <c r="G98" s="67" t="n"/>
      <c r="H98" s="67" t="n"/>
      <c r="I98" s="67" t="n"/>
      <c r="J98" s="67" t="n"/>
      <c r="K98" s="69" t="n"/>
      <c r="L98" s="67" t="n"/>
      <c r="M98" s="67" t="n"/>
      <c r="N98" s="67" t="n"/>
      <c r="O98" s="67" t="n"/>
      <c r="P98" s="67" t="n"/>
      <c r="Q98" s="70" t="n"/>
      <c r="R98" s="70" t="n"/>
      <c r="S98" s="71" t="n"/>
      <c r="T98" s="72">
        <f>SUM(C98:S98)</f>
        <v/>
      </c>
      <c r="U98" s="73">
        <f>T98/T$7</f>
        <v/>
      </c>
      <c r="V98" s="74" t="n"/>
      <c r="W98" s="76">
        <f>T98*V98</f>
        <v/>
      </c>
      <c r="X98" s="169" t="n"/>
    </row>
    <row r="99" ht="14" customHeight="1">
      <c r="A99" s="65" t="n"/>
      <c r="B99" s="79" t="n"/>
      <c r="C99" s="67" t="n"/>
      <c r="D99" s="68" t="n"/>
      <c r="E99" s="68" t="n"/>
      <c r="F99" s="68" t="n"/>
      <c r="G99" s="68" t="n"/>
      <c r="H99" s="68" t="n"/>
      <c r="I99" s="68" t="n"/>
      <c r="J99" s="68" t="n"/>
      <c r="K99" s="82" t="n"/>
      <c r="L99" s="68" t="n"/>
      <c r="M99" s="68" t="n"/>
      <c r="N99" s="68" t="n"/>
      <c r="O99" s="68" t="n"/>
      <c r="P99" s="68" t="n"/>
      <c r="Q99" s="83" t="n"/>
      <c r="R99" s="83" t="n"/>
      <c r="S99" s="84" t="n"/>
      <c r="T99" s="72">
        <f>SUM(C99:S99)</f>
        <v/>
      </c>
      <c r="U99" s="73">
        <f>T99/T$7</f>
        <v/>
      </c>
      <c r="V99" s="74" t="n"/>
      <c r="W99" s="76">
        <f>T99*V99</f>
        <v/>
      </c>
      <c r="X99" s="169" t="n"/>
    </row>
    <row r="100" ht="14" customHeight="1">
      <c r="A100" s="146" t="inlineStr">
        <is>
          <t>Hedge Fund</t>
        </is>
      </c>
      <c r="B100" s="147" t="n"/>
      <c r="C100" s="148">
        <f>SUM(C101:C138)</f>
        <v/>
      </c>
      <c r="D100" s="148">
        <f>SUM(D101:D138)</f>
        <v/>
      </c>
      <c r="E100" s="148">
        <f>SUM(E101:E138)</f>
        <v/>
      </c>
      <c r="F100" s="148">
        <f>SUM(F101:F138)</f>
        <v/>
      </c>
      <c r="G100" s="148">
        <f>SUM(G101:G138)</f>
        <v/>
      </c>
      <c r="H100" s="148">
        <f>SUM(H101:H138)</f>
        <v/>
      </c>
      <c r="I100" s="148">
        <f>SUM(I101:I138)</f>
        <v/>
      </c>
      <c r="J100" s="148">
        <f>SUM(J101:J138)</f>
        <v/>
      </c>
      <c r="K100" s="148">
        <f>SUM(K101:K138)</f>
        <v/>
      </c>
      <c r="L100" s="148">
        <f>SUM(L101:L138)</f>
        <v/>
      </c>
      <c r="M100" s="148">
        <f>SUM(M101:M138)</f>
        <v/>
      </c>
      <c r="N100" s="148">
        <f>SUM(N101:N138)</f>
        <v/>
      </c>
      <c r="O100" s="148">
        <f>SUM(O101:O138)</f>
        <v/>
      </c>
      <c r="P100" s="148">
        <f>SUM(P101:P138)</f>
        <v/>
      </c>
      <c r="Q100" s="148">
        <f>SUM(Q101:Q138)</f>
        <v/>
      </c>
      <c r="R100" s="148">
        <f>SUM(R101:R138)</f>
        <v/>
      </c>
      <c r="S100" s="148">
        <f>SUM(S101:S138)</f>
        <v/>
      </c>
      <c r="T100" s="149">
        <f>SUM(C100:S100)</f>
        <v/>
      </c>
      <c r="U100" s="150">
        <f>SUM(U101:U138)</f>
        <v/>
      </c>
      <c r="V100" s="151" t="n"/>
      <c r="W100" s="208" t="n"/>
      <c r="X100" s="209" t="n"/>
    </row>
    <row r="101" ht="14" customHeight="1">
      <c r="A101" s="65" t="inlineStr">
        <is>
          <t>Helium Performance A EUR</t>
        </is>
      </c>
      <c r="B101" s="77" t="inlineStr">
        <is>
          <t>LU0912261970</t>
        </is>
      </c>
      <c r="C101" s="67" t="n"/>
      <c r="D101" s="67" t="n"/>
      <c r="E101" s="67" t="n"/>
      <c r="F101" s="67" t="n"/>
      <c r="G101" s="67" t="n"/>
      <c r="H101" s="67" t="n"/>
      <c r="I101" s="67" t="n"/>
      <c r="J101" s="67" t="n"/>
      <c r="K101" s="69" t="n"/>
      <c r="L101" s="67" t="n"/>
      <c r="M101" s="67" t="n"/>
      <c r="N101" s="67" t="n"/>
      <c r="O101" s="67" t="n"/>
      <c r="P101" s="67" t="n"/>
      <c r="Q101" s="70" t="n"/>
      <c r="R101" s="70" t="n"/>
      <c r="S101" s="71" t="n"/>
      <c r="T101" s="72">
        <f>SUM(C101:S101)</f>
        <v/>
      </c>
      <c r="U101" s="73">
        <f>T101/T$7</f>
        <v/>
      </c>
      <c r="V101" s="74" t="n">
        <v>2</v>
      </c>
      <c r="W101" s="76">
        <f>T101*V101</f>
        <v/>
      </c>
      <c r="X101" s="169" t="n"/>
    </row>
    <row r="102" ht="14" customHeight="1">
      <c r="A102" s="65" t="inlineStr">
        <is>
          <t>Helium Sélection A EUR</t>
        </is>
      </c>
      <c r="B102" s="77" t="inlineStr">
        <is>
          <t>LU1112771255</t>
        </is>
      </c>
      <c r="C102" s="67" t="n"/>
      <c r="D102" s="68" t="n"/>
      <c r="E102" s="68" t="n"/>
      <c r="F102" s="68" t="n"/>
      <c r="G102" s="68" t="n"/>
      <c r="H102" s="68" t="n"/>
      <c r="I102" s="68" t="n"/>
      <c r="J102" s="67" t="n"/>
      <c r="K102" s="69" t="n"/>
      <c r="L102" s="67" t="n"/>
      <c r="M102" s="67" t="n"/>
      <c r="N102" s="67" t="n"/>
      <c r="O102" s="67" t="n"/>
      <c r="P102" s="67" t="n"/>
      <c r="Q102" s="70" t="n"/>
      <c r="R102" s="70" t="n"/>
      <c r="S102" s="71" t="n"/>
      <c r="T102" s="72">
        <f>SUM(C102:S102)</f>
        <v/>
      </c>
      <c r="U102" s="73">
        <f>T102/T$7</f>
        <v/>
      </c>
      <c r="V102" s="74" t="n">
        <v>2</v>
      </c>
      <c r="W102" s="76">
        <f>T102*V102</f>
        <v/>
      </c>
      <c r="X102" s="169" t="n"/>
    </row>
    <row r="103" ht="14" customHeight="1">
      <c r="A103" s="65" t="inlineStr">
        <is>
          <t>Helium Sélection B clean EUR</t>
        </is>
      </c>
      <c r="B103" s="77" t="inlineStr">
        <is>
          <t>LU1734046979</t>
        </is>
      </c>
      <c r="C103" s="67" t="n"/>
      <c r="D103" s="68" t="n"/>
      <c r="E103" s="68" t="n"/>
      <c r="F103" s="68" t="n"/>
      <c r="G103" s="68" t="n"/>
      <c r="H103" s="68" t="n"/>
      <c r="I103" s="68" t="n"/>
      <c r="J103" s="67" t="n"/>
      <c r="K103" s="69" t="n"/>
      <c r="L103" s="67" t="n"/>
      <c r="M103" s="67" t="n"/>
      <c r="N103" s="67" t="n"/>
      <c r="O103" s="67" t="n"/>
      <c r="P103" s="67" t="n"/>
      <c r="Q103" s="70" t="n"/>
      <c r="R103" s="70" t="n"/>
      <c r="S103" s="71" t="n"/>
      <c r="T103" s="72">
        <f>SUM(C103:S103)</f>
        <v/>
      </c>
      <c r="U103" s="73">
        <f>T103/T$7</f>
        <v/>
      </c>
      <c r="V103" s="74" t="n">
        <v>2</v>
      </c>
      <c r="W103" s="76">
        <f>T103*V103</f>
        <v/>
      </c>
      <c r="X103" s="169" t="n"/>
    </row>
    <row r="104" ht="14" customHeight="1">
      <c r="A104" s="65" t="inlineStr">
        <is>
          <t>Helium Fund B EUR</t>
        </is>
      </c>
      <c r="B104" s="77" t="inlineStr">
        <is>
          <t>LU0912261624</t>
        </is>
      </c>
      <c r="C104" s="67" t="n"/>
      <c r="D104" s="68" t="n"/>
      <c r="E104" s="68" t="n"/>
      <c r="F104" s="68" t="n"/>
      <c r="G104" s="68" t="n"/>
      <c r="H104" s="68" t="n"/>
      <c r="I104" s="68" t="n"/>
      <c r="J104" s="67" t="n"/>
      <c r="K104" s="69" t="n"/>
      <c r="L104" s="67" t="n"/>
      <c r="M104" s="67" t="n"/>
      <c r="N104" s="67" t="n"/>
      <c r="O104" s="67" t="n"/>
      <c r="P104" s="67" t="n"/>
      <c r="Q104" s="70" t="n"/>
      <c r="R104" s="70" t="n"/>
      <c r="S104" s="71" t="n"/>
      <c r="T104" s="72">
        <f>SUM(C104:S104)</f>
        <v/>
      </c>
      <c r="U104" s="73">
        <f>T104/T$7</f>
        <v/>
      </c>
      <c r="V104" s="74" t="n">
        <v>2</v>
      </c>
      <c r="W104" s="76">
        <f>T104*V104</f>
        <v/>
      </c>
      <c r="X104" s="169" t="n"/>
    </row>
    <row r="105" ht="14" customHeight="1">
      <c r="A105" s="65" t="inlineStr">
        <is>
          <t>Helium Global S EUR</t>
        </is>
      </c>
      <c r="B105" s="77" t="inlineStr">
        <is>
          <t>IE000F31HWX5</t>
        </is>
      </c>
      <c r="C105" s="67" t="n"/>
      <c r="D105" s="68" t="n"/>
      <c r="E105" s="68" t="n"/>
      <c r="F105" s="68" t="n"/>
      <c r="G105" s="68" t="n"/>
      <c r="H105" s="68" t="n"/>
      <c r="I105" s="68" t="n"/>
      <c r="J105" s="67" t="n"/>
      <c r="K105" s="69" t="n"/>
      <c r="L105" s="67" t="n"/>
      <c r="M105" s="67" t="n"/>
      <c r="N105" s="67" t="n"/>
      <c r="O105" s="67" t="n"/>
      <c r="P105" s="67" t="n"/>
      <c r="Q105" s="70" t="n"/>
      <c r="R105" s="70" t="n"/>
      <c r="S105" s="71" t="n"/>
      <c r="T105" s="72">
        <f>SUM(C105:S105)</f>
        <v/>
      </c>
      <c r="U105" s="73">
        <f>T105/T$7</f>
        <v/>
      </c>
      <c r="V105" s="74" t="n">
        <v>5</v>
      </c>
      <c r="W105" s="76">
        <f>T105*V105</f>
        <v/>
      </c>
      <c r="X105" s="169" t="n"/>
    </row>
    <row r="106" ht="14" customHeight="1">
      <c r="A106" s="65" t="inlineStr">
        <is>
          <t>Helium Selection B-EUR</t>
        </is>
      </c>
      <c r="B106" s="77" t="inlineStr">
        <is>
          <t>LU1112771503</t>
        </is>
      </c>
      <c r="C106" s="67" t="n"/>
      <c r="D106" s="67" t="n"/>
      <c r="E106" s="67" t="n"/>
      <c r="F106" s="67" t="n"/>
      <c r="G106" s="67" t="n"/>
      <c r="H106" s="67" t="n"/>
      <c r="I106" s="67" t="n"/>
      <c r="J106" s="67" t="n"/>
      <c r="K106" s="69" t="n"/>
      <c r="L106" s="67" t="n"/>
      <c r="M106" s="67" t="n"/>
      <c r="N106" s="67" t="n"/>
      <c r="O106" s="67" t="n"/>
      <c r="P106" s="67" t="n"/>
      <c r="Q106" s="70" t="n"/>
      <c r="R106" s="70" t="n"/>
      <c r="S106" s="71" t="n"/>
      <c r="T106" s="72">
        <f>SUM(C106:S106)</f>
        <v/>
      </c>
      <c r="U106" s="73">
        <f>T106/T$7</f>
        <v/>
      </c>
      <c r="V106" s="74" t="n">
        <v>2</v>
      </c>
      <c r="W106" s="76">
        <f>T106*V106</f>
        <v/>
      </c>
      <c r="X106" s="169" t="n"/>
    </row>
    <row r="107" ht="14" customHeight="1">
      <c r="A107" s="65" t="inlineStr">
        <is>
          <t>Helium Performance B EUR</t>
        </is>
      </c>
      <c r="B107" s="77" t="inlineStr">
        <is>
          <t>LU0912262275</t>
        </is>
      </c>
      <c r="C107" s="67" t="n"/>
      <c r="D107" s="67" t="n"/>
      <c r="E107" s="67" t="n"/>
      <c r="F107" s="67" t="n"/>
      <c r="G107" s="67" t="n"/>
      <c r="H107" s="67" t="n"/>
      <c r="I107" s="67" t="n"/>
      <c r="J107" s="67" t="n"/>
      <c r="K107" s="69" t="n"/>
      <c r="L107" s="67" t="n"/>
      <c r="M107" s="67" t="n"/>
      <c r="N107" s="67" t="n"/>
      <c r="O107" s="67" t="n"/>
      <c r="P107" s="67" t="n"/>
      <c r="Q107" s="70" t="n"/>
      <c r="R107" s="70" t="n"/>
      <c r="S107" s="71" t="n"/>
      <c r="T107" s="72">
        <f>SUM(C107:S107)</f>
        <v/>
      </c>
      <c r="U107" s="73">
        <f>T107/T$7</f>
        <v/>
      </c>
      <c r="V107" s="74" t="n">
        <v>2</v>
      </c>
      <c r="W107" s="76">
        <f>T107*V107</f>
        <v/>
      </c>
      <c r="X107" s="169" t="n"/>
    </row>
    <row r="108" ht="14" customHeight="1">
      <c r="A108" s="65" t="inlineStr">
        <is>
          <t>Cypanga Diversified Portfolio A</t>
        </is>
      </c>
      <c r="B108" s="77" t="inlineStr">
        <is>
          <t>LU0672299830</t>
        </is>
      </c>
      <c r="C108" s="67" t="n"/>
      <c r="D108" s="67" t="n"/>
      <c r="E108" s="67" t="n"/>
      <c r="F108" s="67" t="n"/>
      <c r="G108" s="67" t="n"/>
      <c r="H108" s="67" t="n"/>
      <c r="I108" s="67" t="n"/>
      <c r="J108" s="67" t="n"/>
      <c r="K108" s="69" t="n"/>
      <c r="L108" s="67" t="n"/>
      <c r="M108" s="67" t="n"/>
      <c r="N108" s="67" t="n"/>
      <c r="O108" s="67" t="n"/>
      <c r="P108" s="67" t="n"/>
      <c r="Q108" s="70" t="n"/>
      <c r="R108" s="70" t="n"/>
      <c r="S108" s="71" t="n"/>
      <c r="T108" s="72">
        <f>SUM(C108:S108)</f>
        <v/>
      </c>
      <c r="U108" s="73">
        <f>T108/T$7</f>
        <v/>
      </c>
      <c r="V108" s="74" t="n">
        <v>4</v>
      </c>
      <c r="W108" s="76">
        <f>T108*V108</f>
        <v/>
      </c>
      <c r="X108" s="169" t="n"/>
    </row>
    <row r="109" ht="28" customHeight="1">
      <c r="A109" s="65" t="inlineStr">
        <is>
          <t>Tikehau International Cross Assets R Acc EUR</t>
        </is>
      </c>
      <c r="B109" s="77" t="inlineStr">
        <is>
          <t>LU2147879543</t>
        </is>
      </c>
      <c r="C109" s="67" t="n"/>
      <c r="D109" s="67" t="n"/>
      <c r="E109" s="67" t="n"/>
      <c r="F109" s="67" t="n"/>
      <c r="G109" s="67" t="n"/>
      <c r="H109" s="67" t="n"/>
      <c r="I109" s="67" t="n"/>
      <c r="J109" s="67" t="n"/>
      <c r="K109" s="69" t="n"/>
      <c r="L109" s="67" t="n"/>
      <c r="M109" s="67" t="n"/>
      <c r="N109" s="67" t="n"/>
      <c r="O109" s="67" t="n"/>
      <c r="P109" s="67" t="n"/>
      <c r="Q109" s="70" t="n"/>
      <c r="R109" s="70" t="n"/>
      <c r="S109" s="71" t="n"/>
      <c r="T109" s="72">
        <f>SUM(C109:S109)</f>
        <v/>
      </c>
      <c r="U109" s="73">
        <f>T109/T$7</f>
        <v/>
      </c>
      <c r="V109" s="74" t="n">
        <v>3</v>
      </c>
      <c r="W109" s="76">
        <f>T109*V109</f>
        <v/>
      </c>
      <c r="X109" s="169" t="n"/>
    </row>
    <row r="110" ht="14" customHeight="1">
      <c r="A110" s="65" t="inlineStr">
        <is>
          <t>H2O Adagio I</t>
        </is>
      </c>
      <c r="B110" s="77" t="inlineStr">
        <is>
          <t>FR0010929794</t>
        </is>
      </c>
      <c r="C110" s="67" t="n"/>
      <c r="D110" s="67" t="n"/>
      <c r="E110" s="67" t="n"/>
      <c r="F110" s="67" t="n"/>
      <c r="G110" s="67" t="n"/>
      <c r="H110" s="67" t="n"/>
      <c r="I110" s="67" t="n"/>
      <c r="J110" s="67" t="n"/>
      <c r="K110" s="69" t="n"/>
      <c r="L110" s="67" t="n"/>
      <c r="M110" s="67" t="n"/>
      <c r="N110" s="67" t="n"/>
      <c r="O110" s="67" t="n"/>
      <c r="P110" s="67" t="n"/>
      <c r="Q110" s="70" t="n"/>
      <c r="R110" s="70" t="n"/>
      <c r="S110" s="71" t="n"/>
      <c r="T110" s="72">
        <f>SUM(C110:S110)</f>
        <v/>
      </c>
      <c r="U110" s="73">
        <f>T110/T$7</f>
        <v/>
      </c>
      <c r="V110" s="74" t="n">
        <v>3</v>
      </c>
      <c r="W110" s="76">
        <f>T110*V110</f>
        <v/>
      </c>
      <c r="X110" s="169" t="n"/>
    </row>
    <row r="111" ht="14" customHeight="1">
      <c r="A111" s="65" t="inlineStr">
        <is>
          <t>H2O Adagio NC</t>
        </is>
      </c>
      <c r="B111" s="77" t="inlineStr">
        <is>
          <t xml:space="preserve">FR0013186772 </t>
        </is>
      </c>
      <c r="C111" s="67" t="n"/>
      <c r="D111" s="67" t="n"/>
      <c r="E111" s="67" t="n"/>
      <c r="F111" s="67" t="n"/>
      <c r="G111" s="67" t="n"/>
      <c r="H111" s="67" t="n"/>
      <c r="I111" s="67" t="n"/>
      <c r="J111" s="67" t="n"/>
      <c r="K111" s="69" t="n"/>
      <c r="L111" s="67" t="n"/>
      <c r="M111" s="67" t="n"/>
      <c r="N111" s="67" t="n"/>
      <c r="O111" s="67" t="n"/>
      <c r="P111" s="67" t="n"/>
      <c r="Q111" s="70" t="n"/>
      <c r="R111" s="70" t="n"/>
      <c r="S111" s="71" t="n"/>
      <c r="T111" s="72">
        <f>SUM(C111:S111)</f>
        <v/>
      </c>
      <c r="U111" s="73">
        <f>T111/T$7</f>
        <v/>
      </c>
      <c r="V111" s="74" t="n">
        <v>3</v>
      </c>
      <c r="W111" s="76">
        <f>T111*V111</f>
        <v/>
      </c>
      <c r="X111" s="169" t="n"/>
    </row>
    <row r="112" ht="14" customHeight="1">
      <c r="A112" s="65" t="inlineStr">
        <is>
          <t>H2O Adagio RC</t>
        </is>
      </c>
      <c r="B112" s="77" t="inlineStr">
        <is>
          <t xml:space="preserve">FR0010923359 </t>
        </is>
      </c>
      <c r="C112" s="67" t="n"/>
      <c r="D112" s="67" t="n"/>
      <c r="E112" s="67" t="n"/>
      <c r="F112" s="67" t="n"/>
      <c r="G112" s="67" t="n"/>
      <c r="H112" s="67" t="n"/>
      <c r="I112" s="67" t="n"/>
      <c r="J112" s="67" t="n"/>
      <c r="K112" s="69" t="n"/>
      <c r="L112" s="67" t="n"/>
      <c r="M112" s="67" t="n"/>
      <c r="N112" s="67" t="n"/>
      <c r="O112" s="67" t="n"/>
      <c r="P112" s="67" t="n"/>
      <c r="Q112" s="70" t="n"/>
      <c r="R112" s="70" t="n"/>
      <c r="S112" s="71" t="n"/>
      <c r="T112" s="72">
        <f>SUM(C112:S112)</f>
        <v/>
      </c>
      <c r="U112" s="73">
        <f>T112/T$7</f>
        <v/>
      </c>
      <c r="V112" s="74" t="n">
        <v>3</v>
      </c>
      <c r="W112" s="76">
        <f>T112*V112</f>
        <v/>
      </c>
      <c r="X112" s="169" t="n"/>
    </row>
    <row r="113" ht="14" customHeight="1">
      <c r="A113" s="65" t="inlineStr">
        <is>
          <t>H2O Adagio SR</t>
        </is>
      </c>
      <c r="B113" s="77" t="inlineStr">
        <is>
          <t>FR0013393188</t>
        </is>
      </c>
      <c r="C113" s="67" t="n"/>
      <c r="D113" s="67" t="n"/>
      <c r="E113" s="67" t="n"/>
      <c r="F113" s="67" t="n"/>
      <c r="G113" s="67" t="n"/>
      <c r="H113" s="67" t="n"/>
      <c r="I113" s="67" t="n"/>
      <c r="J113" s="67" t="n"/>
      <c r="K113" s="69" t="n"/>
      <c r="L113" s="67" t="n"/>
      <c r="M113" s="67" t="n"/>
      <c r="N113" s="67" t="n"/>
      <c r="O113" s="67" t="n"/>
      <c r="P113" s="67" t="n"/>
      <c r="Q113" s="70" t="n"/>
      <c r="R113" s="70" t="n"/>
      <c r="S113" s="71" t="n"/>
      <c r="T113" s="72">
        <f>SUM(C113:S113)</f>
        <v/>
      </c>
      <c r="U113" s="73">
        <f>T113/T$7</f>
        <v/>
      </c>
      <c r="V113" s="74" t="n">
        <v>3</v>
      </c>
      <c r="W113" s="76">
        <f>T113*V113</f>
        <v/>
      </c>
      <c r="X113" s="169" t="n"/>
    </row>
    <row r="114" ht="14" customHeight="1">
      <c r="A114" s="65" t="inlineStr">
        <is>
          <t>H2O Moderato N</t>
        </is>
      </c>
      <c r="B114" s="77" t="inlineStr">
        <is>
          <t>FR0013185196</t>
        </is>
      </c>
      <c r="C114" s="67" t="n"/>
      <c r="D114" s="67" t="n"/>
      <c r="E114" s="67" t="n"/>
      <c r="F114" s="67" t="n"/>
      <c r="G114" s="67" t="n"/>
      <c r="H114" s="67" t="n"/>
      <c r="I114" s="67" t="n"/>
      <c r="J114" s="67" t="n"/>
      <c r="K114" s="69" t="n"/>
      <c r="L114" s="67" t="n"/>
      <c r="M114" s="67" t="n"/>
      <c r="N114" s="67" t="n"/>
      <c r="O114" s="67" t="n"/>
      <c r="P114" s="67" t="n"/>
      <c r="Q114" s="70" t="n"/>
      <c r="R114" s="70" t="n"/>
      <c r="S114" s="71" t="n"/>
      <c r="T114" s="72">
        <f>SUM(C114:S114)</f>
        <v/>
      </c>
      <c r="U114" s="73">
        <f>T114/T$7</f>
        <v/>
      </c>
      <c r="V114" s="74" t="n">
        <v>4</v>
      </c>
      <c r="W114" s="76">
        <f>T114*V114</f>
        <v/>
      </c>
      <c r="X114" s="169" t="n"/>
    </row>
    <row r="115" ht="14" customHeight="1">
      <c r="A115" s="65" t="inlineStr">
        <is>
          <t>H2O Moderato R</t>
        </is>
      </c>
      <c r="B115" s="77" t="inlineStr">
        <is>
          <t>FR0010923367</t>
        </is>
      </c>
      <c r="C115" s="67" t="n"/>
      <c r="D115" s="67" t="n"/>
      <c r="E115" s="67" t="n"/>
      <c r="F115" s="67" t="n"/>
      <c r="G115" s="67" t="n"/>
      <c r="H115" s="67" t="n"/>
      <c r="I115" s="67" t="n"/>
      <c r="J115" s="67" t="n"/>
      <c r="K115" s="69" t="n"/>
      <c r="L115" s="67" t="n"/>
      <c r="M115" s="67" t="n"/>
      <c r="N115" s="67" t="n"/>
      <c r="O115" s="67" t="n"/>
      <c r="P115" s="67" t="n"/>
      <c r="Q115" s="70" t="n"/>
      <c r="R115" s="70" t="n"/>
      <c r="S115" s="71" t="n"/>
      <c r="T115" s="72">
        <f>SUM(C115:S115)</f>
        <v/>
      </c>
      <c r="U115" s="73">
        <f>T115/T$7</f>
        <v/>
      </c>
      <c r="V115" s="74" t="n">
        <v>5</v>
      </c>
      <c r="W115" s="76">
        <f>T115*V115</f>
        <v/>
      </c>
      <c r="X115" s="169" t="n"/>
    </row>
    <row r="116" ht="14" customHeight="1">
      <c r="A116" s="65" t="inlineStr">
        <is>
          <t>H2O Moderato SR</t>
        </is>
      </c>
      <c r="B116" s="77" t="inlineStr">
        <is>
          <t>FR0013393295</t>
        </is>
      </c>
      <c r="C116" s="67" t="n"/>
      <c r="D116" s="67" t="n"/>
      <c r="E116" s="67" t="n"/>
      <c r="F116" s="67" t="n"/>
      <c r="G116" s="67" t="n"/>
      <c r="H116" s="67" t="n"/>
      <c r="I116" s="67" t="n"/>
      <c r="J116" s="67" t="n"/>
      <c r="K116" s="69" t="n"/>
      <c r="L116" s="67" t="n"/>
      <c r="M116" s="67" t="n"/>
      <c r="N116" s="67" t="n"/>
      <c r="O116" s="67" t="n"/>
      <c r="P116" s="67" t="n"/>
      <c r="Q116" s="70" t="n"/>
      <c r="R116" s="70" t="n"/>
      <c r="S116" s="71" t="n"/>
      <c r="T116" s="72">
        <f>SUM(C116:S116)</f>
        <v/>
      </c>
      <c r="U116" s="73">
        <f>T116/T$7</f>
        <v/>
      </c>
      <c r="V116" s="74" t="n">
        <v>5</v>
      </c>
      <c r="W116" s="76">
        <f>T116*V116</f>
        <v/>
      </c>
      <c r="X116" s="169" t="n"/>
    </row>
    <row r="117" ht="14" customHeight="1">
      <c r="A117" s="65" t="inlineStr">
        <is>
          <t>H2O Multistrategies N C</t>
        </is>
      </c>
      <c r="B117" s="77" t="inlineStr">
        <is>
          <t>FR0013186749</t>
        </is>
      </c>
      <c r="C117" s="67" t="n"/>
      <c r="D117" s="67" t="n"/>
      <c r="E117" s="67" t="n"/>
      <c r="F117" s="67" t="n"/>
      <c r="G117" s="67" t="n"/>
      <c r="H117" s="67" t="n"/>
      <c r="I117" s="67" t="n"/>
      <c r="J117" s="67" t="n"/>
      <c r="K117" s="69" t="n"/>
      <c r="L117" s="67" t="n"/>
      <c r="M117" s="67" t="n"/>
      <c r="N117" s="67" t="n"/>
      <c r="O117" s="67" t="n"/>
      <c r="P117" s="67" t="n"/>
      <c r="Q117" s="70" t="n"/>
      <c r="R117" s="70" t="n"/>
      <c r="S117" s="71" t="n"/>
      <c r="T117" s="72">
        <f>SUM(C117:S117)</f>
        <v/>
      </c>
      <c r="U117" s="73">
        <f>T117/T$7</f>
        <v/>
      </c>
      <c r="V117" s="74" t="n">
        <v>7</v>
      </c>
      <c r="W117" s="76">
        <f>T117*V117</f>
        <v/>
      </c>
      <c r="X117" s="169" t="n"/>
    </row>
    <row r="118" ht="14" customHeight="1">
      <c r="A118" s="65" t="inlineStr">
        <is>
          <t>H2O Multistrategies R C</t>
        </is>
      </c>
      <c r="B118" s="77" t="inlineStr">
        <is>
          <t>FR0010923383</t>
        </is>
      </c>
      <c r="C118" s="67" t="n"/>
      <c r="D118" s="67" t="n"/>
      <c r="E118" s="67" t="n"/>
      <c r="F118" s="67" t="n"/>
      <c r="G118" s="67" t="n"/>
      <c r="H118" s="67" t="n"/>
      <c r="I118" s="67" t="n"/>
      <c r="J118" s="67" t="n"/>
      <c r="K118" s="69" t="n"/>
      <c r="L118" s="67" t="n"/>
      <c r="M118" s="67" t="n"/>
      <c r="N118" s="67" t="n"/>
      <c r="O118" s="67" t="n"/>
      <c r="P118" s="67" t="n"/>
      <c r="Q118" s="70" t="n"/>
      <c r="R118" s="70" t="n"/>
      <c r="S118" s="71" t="n"/>
      <c r="T118" s="72">
        <f>SUM(C118:S118)</f>
        <v/>
      </c>
      <c r="U118" s="73">
        <f>T118/T$7</f>
        <v/>
      </c>
      <c r="V118" s="74" t="n">
        <v>7</v>
      </c>
      <c r="W118" s="76">
        <f>T118*V118</f>
        <v/>
      </c>
      <c r="X118" s="169" t="n"/>
    </row>
    <row r="119" ht="14" customHeight="1">
      <c r="A119" s="65" t="inlineStr">
        <is>
          <t>H2O Moderato SP N ©</t>
        </is>
      </c>
      <c r="B119" s="77" t="inlineStr">
        <is>
          <t>FR0013535242</t>
        </is>
      </c>
      <c r="C119" s="67" t="n"/>
      <c r="D119" s="67" t="n"/>
      <c r="E119" s="67" t="n"/>
      <c r="F119" s="67" t="n"/>
      <c r="G119" s="67" t="n"/>
      <c r="H119" s="67" t="n"/>
      <c r="I119" s="67" t="n"/>
      <c r="J119" s="67" t="n"/>
      <c r="K119" s="69" t="n"/>
      <c r="L119" s="67" t="n"/>
      <c r="M119" s="67" t="n"/>
      <c r="N119" s="67" t="n"/>
      <c r="O119" s="67" t="n"/>
      <c r="P119" s="67" t="n"/>
      <c r="Q119" s="70" t="n"/>
      <c r="R119" s="70" t="n"/>
      <c r="S119" s="71" t="n"/>
      <c r="T119" s="72">
        <f>SUM(C119:S119)</f>
        <v/>
      </c>
      <c r="U119" s="73">
        <f>T119/T$7</f>
        <v/>
      </c>
      <c r="V119" s="74" t="n">
        <v>7</v>
      </c>
      <c r="W119" s="76">
        <f>T119*V119</f>
        <v/>
      </c>
      <c r="X119" s="169" t="n"/>
    </row>
    <row r="120" ht="14" customHeight="1">
      <c r="A120" s="65" t="inlineStr">
        <is>
          <t>H2O Multistrategies SP R ©</t>
        </is>
      </c>
      <c r="B120" s="77" t="inlineStr">
        <is>
          <t>FR0013535408</t>
        </is>
      </c>
      <c r="C120" s="67" t="n"/>
      <c r="D120" s="67" t="n"/>
      <c r="E120" s="67" t="n"/>
      <c r="F120" s="67" t="n"/>
      <c r="G120" s="67" t="n"/>
      <c r="H120" s="67" t="n"/>
      <c r="I120" s="67" t="n"/>
      <c r="J120" s="67" t="n"/>
      <c r="K120" s="69" t="n"/>
      <c r="L120" s="67" t="n"/>
      <c r="M120" s="67" t="n"/>
      <c r="N120" s="67" t="n"/>
      <c r="O120" s="67" t="n"/>
      <c r="P120" s="67" t="n"/>
      <c r="Q120" s="70" t="n"/>
      <c r="R120" s="70" t="n"/>
      <c r="S120" s="71" t="n"/>
      <c r="T120" s="72">
        <f>SUM(C120:S120)</f>
        <v/>
      </c>
      <c r="U120" s="73">
        <f>T120/T$7</f>
        <v/>
      </c>
      <c r="V120" s="74" t="n">
        <v>7</v>
      </c>
      <c r="W120" s="76">
        <f>T120*V120</f>
        <v/>
      </c>
      <c r="X120" s="169" t="n"/>
    </row>
    <row r="121" ht="14" customHeight="1">
      <c r="A121" s="65" t="inlineStr">
        <is>
          <t xml:space="preserve">H2O Multistrategies </t>
        </is>
      </c>
      <c r="B121" s="77" t="inlineStr">
        <is>
          <t>/</t>
        </is>
      </c>
      <c r="C121" s="67" t="n"/>
      <c r="D121" s="67" t="n"/>
      <c r="E121" s="67" t="n"/>
      <c r="F121" s="67" t="n"/>
      <c r="G121" s="67" t="n"/>
      <c r="H121" s="67" t="n"/>
      <c r="I121" s="67" t="n"/>
      <c r="J121" s="67" t="n"/>
      <c r="K121" s="69" t="n"/>
      <c r="L121" s="67" t="n"/>
      <c r="M121" s="67" t="n"/>
      <c r="N121" s="67" t="n"/>
      <c r="O121" s="67" t="n"/>
      <c r="P121" s="67" t="n"/>
      <c r="Q121" s="70" t="n"/>
      <c r="R121" s="70" t="n"/>
      <c r="S121" s="71" t="n"/>
      <c r="T121" s="72">
        <f>SUM(C121:S121)</f>
        <v/>
      </c>
      <c r="U121" s="73">
        <f>T121/T$7</f>
        <v/>
      </c>
      <c r="V121" s="74" t="n">
        <v>6</v>
      </c>
      <c r="W121" s="76">
        <f>T121*V121</f>
        <v/>
      </c>
      <c r="X121" s="169" t="n"/>
    </row>
    <row r="122" ht="14" customHeight="1">
      <c r="A122" s="78" t="inlineStr">
        <is>
          <t>JPMorgan Funds Europe Equity Absolute Alpha fund A</t>
        </is>
      </c>
      <c r="B122" s="79" t="inlineStr">
        <is>
          <t>LU1001747408</t>
        </is>
      </c>
      <c r="C122" s="67" t="n"/>
      <c r="D122" s="67" t="n"/>
      <c r="E122" s="67" t="n"/>
      <c r="F122" s="67" t="n"/>
      <c r="G122" s="67" t="n"/>
      <c r="H122" s="67" t="n"/>
      <c r="I122" s="67" t="n"/>
      <c r="J122" s="67" t="n"/>
      <c r="K122" s="69" t="n"/>
      <c r="L122" s="67" t="n"/>
      <c r="M122" s="67" t="n"/>
      <c r="N122" s="67" t="n"/>
      <c r="O122" s="67" t="n"/>
      <c r="P122" s="67" t="n"/>
      <c r="Q122" s="70" t="n"/>
      <c r="R122" s="70" t="n"/>
      <c r="S122" s="71" t="n"/>
      <c r="T122" s="80">
        <f>SUM(C122:S122)</f>
        <v/>
      </c>
      <c r="U122" s="73">
        <f>T122/T$7</f>
        <v/>
      </c>
      <c r="V122" s="81" t="n">
        <v>3</v>
      </c>
      <c r="W122" s="76">
        <f>T122*V122</f>
        <v/>
      </c>
      <c r="X122" s="169" t="n"/>
      <c r="Y122" s="28" t="n"/>
      <c r="Z122" s="28" t="n"/>
    </row>
    <row r="123" ht="14" customHeight="1">
      <c r="A123" s="65" t="n"/>
      <c r="B123" s="79" t="n"/>
      <c r="C123" s="67" t="n"/>
      <c r="D123" s="67" t="n"/>
      <c r="E123" s="67" t="n"/>
      <c r="F123" s="67" t="n"/>
      <c r="G123" s="67" t="n"/>
      <c r="H123" s="67" t="n"/>
      <c r="I123" s="67" t="n"/>
      <c r="J123" s="67" t="n"/>
      <c r="K123" s="69" t="n"/>
      <c r="L123" s="67" t="n"/>
      <c r="M123" s="67" t="n"/>
      <c r="N123" s="67" t="n"/>
      <c r="O123" s="67" t="n"/>
      <c r="P123" s="67" t="n"/>
      <c r="Q123" s="70" t="n"/>
      <c r="R123" s="70" t="n"/>
      <c r="S123" s="71" t="n"/>
      <c r="T123" s="72">
        <f>SUM(C123:S123)</f>
        <v/>
      </c>
      <c r="U123" s="73">
        <f>T123/T$7</f>
        <v/>
      </c>
      <c r="V123" s="74" t="n"/>
      <c r="W123" s="76">
        <f>T123*V123</f>
        <v/>
      </c>
      <c r="X123" s="169" t="n"/>
    </row>
    <row r="124" ht="14" customHeight="1">
      <c r="A124" s="65" t="n"/>
      <c r="B124" s="79" t="n"/>
      <c r="C124" s="67" t="n"/>
      <c r="D124" s="67" t="n"/>
      <c r="E124" s="67" t="n"/>
      <c r="F124" s="67" t="n"/>
      <c r="G124" s="67" t="n"/>
      <c r="H124" s="67" t="n"/>
      <c r="I124" s="67" t="n"/>
      <c r="J124" s="67" t="n"/>
      <c r="K124" s="69" t="n"/>
      <c r="L124" s="67" t="n"/>
      <c r="M124" s="67" t="n"/>
      <c r="N124" s="67" t="n"/>
      <c r="O124" s="67" t="n"/>
      <c r="P124" s="67" t="n"/>
      <c r="Q124" s="70" t="n"/>
      <c r="R124" s="70" t="n"/>
      <c r="S124" s="71" t="n"/>
      <c r="T124" s="72">
        <f>SUM(C124:S124)</f>
        <v/>
      </c>
      <c r="U124" s="73">
        <f>T124/T$7</f>
        <v/>
      </c>
      <c r="V124" s="74" t="n"/>
      <c r="W124" s="76">
        <f>T124*V124</f>
        <v/>
      </c>
      <c r="X124" s="169" t="n"/>
    </row>
    <row r="125" ht="14" customHeight="1">
      <c r="A125" s="65" t="n"/>
      <c r="B125" s="79" t="n"/>
      <c r="C125" s="67" t="n"/>
      <c r="D125" s="67" t="n"/>
      <c r="E125" s="67" t="n"/>
      <c r="F125" s="67" t="n"/>
      <c r="G125" s="67" t="n"/>
      <c r="H125" s="67" t="n"/>
      <c r="I125" s="67" t="n"/>
      <c r="J125" s="67" t="n"/>
      <c r="K125" s="69" t="n"/>
      <c r="L125" s="67" t="n"/>
      <c r="M125" s="67" t="n"/>
      <c r="N125" s="67" t="n"/>
      <c r="O125" s="67" t="n"/>
      <c r="P125" s="67" t="n"/>
      <c r="Q125" s="70" t="n"/>
      <c r="R125" s="70" t="n"/>
      <c r="S125" s="71" t="n"/>
      <c r="T125" s="72">
        <f>SUM(C125:S125)</f>
        <v/>
      </c>
      <c r="U125" s="73">
        <f>T125/T$7</f>
        <v/>
      </c>
      <c r="V125" s="74" t="n"/>
      <c r="W125" s="76">
        <f>T125*V125</f>
        <v/>
      </c>
      <c r="X125" s="169" t="n"/>
    </row>
    <row r="126" ht="14" customHeight="1">
      <c r="A126" s="65" t="n"/>
      <c r="B126" s="79" t="n"/>
      <c r="C126" s="67" t="n"/>
      <c r="D126" s="67" t="n"/>
      <c r="E126" s="67" t="n"/>
      <c r="F126" s="67" t="n"/>
      <c r="G126" s="67" t="n"/>
      <c r="H126" s="67" t="n"/>
      <c r="I126" s="67" t="n"/>
      <c r="J126" s="67" t="n"/>
      <c r="K126" s="69" t="n"/>
      <c r="L126" s="67" t="n"/>
      <c r="M126" s="67" t="n"/>
      <c r="N126" s="67" t="n"/>
      <c r="O126" s="67" t="n"/>
      <c r="P126" s="67" t="n"/>
      <c r="Q126" s="70" t="n"/>
      <c r="R126" s="70" t="n"/>
      <c r="S126" s="71" t="n"/>
      <c r="T126" s="72">
        <f>SUM(C126:S126)</f>
        <v/>
      </c>
      <c r="U126" s="73">
        <f>T126/T$7</f>
        <v/>
      </c>
      <c r="V126" s="74" t="n"/>
      <c r="W126" s="76">
        <f>T126*V126</f>
        <v/>
      </c>
      <c r="X126" s="169" t="n"/>
    </row>
    <row r="127" ht="14" customHeight="1">
      <c r="A127" s="65" t="n"/>
      <c r="B127" s="79" t="n"/>
      <c r="C127" s="67" t="n"/>
      <c r="D127" s="67" t="n"/>
      <c r="E127" s="67" t="n"/>
      <c r="F127" s="67" t="n"/>
      <c r="G127" s="67" t="n"/>
      <c r="H127" s="67" t="n"/>
      <c r="I127" s="67" t="n"/>
      <c r="J127" s="67" t="n"/>
      <c r="K127" s="69" t="n"/>
      <c r="L127" s="67" t="n"/>
      <c r="M127" s="67" t="n"/>
      <c r="N127" s="67" t="n"/>
      <c r="O127" s="67" t="n"/>
      <c r="P127" s="67" t="n"/>
      <c r="Q127" s="70" t="n"/>
      <c r="R127" s="70" t="n"/>
      <c r="S127" s="71" t="n"/>
      <c r="T127" s="72">
        <f>SUM(C127:S127)</f>
        <v/>
      </c>
      <c r="U127" s="73">
        <f>T127/T$7</f>
        <v/>
      </c>
      <c r="V127" s="74" t="n"/>
      <c r="W127" s="76">
        <f>T127*V127</f>
        <v/>
      </c>
      <c r="X127" s="169" t="n"/>
    </row>
    <row r="128" ht="14" customHeight="1">
      <c r="A128" s="65" t="n"/>
      <c r="B128" s="79" t="n"/>
      <c r="C128" s="67" t="n"/>
      <c r="D128" s="67" t="n"/>
      <c r="E128" s="67" t="n"/>
      <c r="F128" s="67" t="n"/>
      <c r="G128" s="67" t="n"/>
      <c r="H128" s="67" t="n"/>
      <c r="I128" s="67" t="n"/>
      <c r="J128" s="67" t="n"/>
      <c r="K128" s="69" t="n"/>
      <c r="L128" s="67" t="n"/>
      <c r="M128" s="67" t="n"/>
      <c r="N128" s="67" t="n"/>
      <c r="O128" s="67" t="n"/>
      <c r="P128" s="67" t="n"/>
      <c r="Q128" s="70" t="n"/>
      <c r="R128" s="70" t="n"/>
      <c r="S128" s="71" t="n"/>
      <c r="T128" s="72">
        <f>SUM(C128:S128)</f>
        <v/>
      </c>
      <c r="U128" s="73">
        <f>T128/T$7</f>
        <v/>
      </c>
      <c r="V128" s="74" t="n"/>
      <c r="W128" s="76">
        <f>T128*V128</f>
        <v/>
      </c>
      <c r="X128" s="169" t="n"/>
    </row>
    <row r="129" ht="14" customHeight="1">
      <c r="A129" s="65" t="n"/>
      <c r="B129" s="79" t="n"/>
      <c r="C129" s="67" t="n"/>
      <c r="D129" s="67" t="n"/>
      <c r="E129" s="67" t="n"/>
      <c r="F129" s="67" t="n"/>
      <c r="G129" s="67" t="n"/>
      <c r="H129" s="67" t="n"/>
      <c r="I129" s="67" t="n"/>
      <c r="J129" s="67" t="n"/>
      <c r="K129" s="69" t="n"/>
      <c r="L129" s="67" t="n"/>
      <c r="M129" s="67" t="n"/>
      <c r="N129" s="67" t="n"/>
      <c r="O129" s="67" t="n"/>
      <c r="P129" s="67" t="n"/>
      <c r="Q129" s="70" t="n"/>
      <c r="R129" s="70" t="n"/>
      <c r="S129" s="71" t="n"/>
      <c r="T129" s="72">
        <f>SUM(C129:S129)</f>
        <v/>
      </c>
      <c r="U129" s="73">
        <f>T129/T$7</f>
        <v/>
      </c>
      <c r="V129" s="74" t="n"/>
      <c r="W129" s="76">
        <f>T129*V129</f>
        <v/>
      </c>
      <c r="X129" s="169" t="n"/>
    </row>
    <row r="130" ht="14" customHeight="1">
      <c r="A130" s="65" t="n"/>
      <c r="B130" s="79" t="n"/>
      <c r="C130" s="67" t="n"/>
      <c r="D130" s="67" t="n"/>
      <c r="E130" s="67" t="n"/>
      <c r="F130" s="67" t="n"/>
      <c r="G130" s="67" t="n"/>
      <c r="H130" s="67" t="n"/>
      <c r="I130" s="67" t="n"/>
      <c r="J130" s="67" t="n"/>
      <c r="K130" s="69" t="n"/>
      <c r="L130" s="67" t="n"/>
      <c r="M130" s="67" t="n"/>
      <c r="N130" s="67" t="n"/>
      <c r="O130" s="67" t="n"/>
      <c r="P130" s="67" t="n"/>
      <c r="Q130" s="70" t="n"/>
      <c r="R130" s="70" t="n"/>
      <c r="S130" s="71" t="n"/>
      <c r="T130" s="72">
        <f>SUM(C130:S130)</f>
        <v/>
      </c>
      <c r="U130" s="73">
        <f>T130/T$7</f>
        <v/>
      </c>
      <c r="V130" s="74" t="n"/>
      <c r="W130" s="76">
        <f>T130*V130</f>
        <v/>
      </c>
      <c r="X130" s="169" t="n"/>
    </row>
    <row r="131" ht="14" customHeight="1">
      <c r="A131" s="65" t="n"/>
      <c r="B131" s="79" t="n"/>
      <c r="C131" s="67" t="n"/>
      <c r="D131" s="67" t="n"/>
      <c r="E131" s="67" t="n"/>
      <c r="F131" s="67" t="n"/>
      <c r="G131" s="67" t="n"/>
      <c r="H131" s="67" t="n"/>
      <c r="I131" s="67" t="n"/>
      <c r="J131" s="67" t="n"/>
      <c r="K131" s="69" t="n"/>
      <c r="L131" s="67" t="n"/>
      <c r="M131" s="67" t="n"/>
      <c r="N131" s="67" t="n"/>
      <c r="O131" s="67" t="n"/>
      <c r="P131" s="67" t="n"/>
      <c r="Q131" s="70" t="n"/>
      <c r="R131" s="70" t="n"/>
      <c r="S131" s="71" t="n"/>
      <c r="T131" s="72">
        <f>SUM(C131:S131)</f>
        <v/>
      </c>
      <c r="U131" s="73">
        <f>T131/T$7</f>
        <v/>
      </c>
      <c r="V131" s="74" t="n"/>
      <c r="W131" s="76">
        <f>T131*V131</f>
        <v/>
      </c>
      <c r="X131" s="169" t="n"/>
    </row>
    <row r="132" ht="14" customHeight="1">
      <c r="A132" s="65" t="n"/>
      <c r="B132" s="79" t="n"/>
      <c r="C132" s="67" t="n"/>
      <c r="D132" s="67" t="n"/>
      <c r="E132" s="67" t="n"/>
      <c r="F132" s="67" t="n"/>
      <c r="G132" s="67" t="n"/>
      <c r="H132" s="67" t="n"/>
      <c r="I132" s="67" t="n"/>
      <c r="J132" s="67" t="n"/>
      <c r="K132" s="69" t="n"/>
      <c r="L132" s="67" t="n"/>
      <c r="M132" s="67" t="n"/>
      <c r="N132" s="67" t="n"/>
      <c r="O132" s="67" t="n"/>
      <c r="P132" s="67" t="n"/>
      <c r="Q132" s="70" t="n"/>
      <c r="R132" s="70" t="n"/>
      <c r="S132" s="71" t="n"/>
      <c r="T132" s="72">
        <f>SUM(C132:S132)</f>
        <v/>
      </c>
      <c r="U132" s="73">
        <f>T132/T$7</f>
        <v/>
      </c>
      <c r="V132" s="74" t="n"/>
      <c r="W132" s="76">
        <f>T132*V132</f>
        <v/>
      </c>
      <c r="X132" s="169" t="n"/>
    </row>
    <row r="133" ht="14" customHeight="1">
      <c r="A133" s="65" t="n"/>
      <c r="B133" s="79" t="n"/>
      <c r="C133" s="67" t="n"/>
      <c r="D133" s="67" t="n"/>
      <c r="E133" s="67" t="n"/>
      <c r="F133" s="67" t="n"/>
      <c r="G133" s="67" t="n"/>
      <c r="H133" s="67" t="n"/>
      <c r="I133" s="67" t="n"/>
      <c r="J133" s="67" t="n"/>
      <c r="K133" s="69" t="n"/>
      <c r="L133" s="67" t="n"/>
      <c r="M133" s="67" t="n"/>
      <c r="N133" s="67" t="n"/>
      <c r="O133" s="67" t="n"/>
      <c r="P133" s="67" t="n"/>
      <c r="Q133" s="70" t="n"/>
      <c r="R133" s="70" t="n"/>
      <c r="S133" s="71" t="n"/>
      <c r="T133" s="72">
        <f>SUM(C133:S133)</f>
        <v/>
      </c>
      <c r="U133" s="73">
        <f>T133/T$7</f>
        <v/>
      </c>
      <c r="V133" s="74" t="n"/>
      <c r="W133" s="76">
        <f>T133*V133</f>
        <v/>
      </c>
      <c r="X133" s="169" t="n"/>
    </row>
    <row r="134" ht="14" customHeight="1">
      <c r="A134" s="65" t="n"/>
      <c r="B134" s="79" t="n"/>
      <c r="C134" s="67" t="n"/>
      <c r="D134" s="67" t="n"/>
      <c r="E134" s="67" t="n"/>
      <c r="F134" s="67" t="n"/>
      <c r="G134" s="67" t="n"/>
      <c r="H134" s="67" t="n"/>
      <c r="I134" s="67" t="n"/>
      <c r="J134" s="67" t="n"/>
      <c r="K134" s="69" t="n"/>
      <c r="L134" s="67" t="n"/>
      <c r="M134" s="67" t="n"/>
      <c r="N134" s="67" t="n"/>
      <c r="O134" s="67" t="n"/>
      <c r="P134" s="67" t="n"/>
      <c r="Q134" s="70" t="n"/>
      <c r="R134" s="70" t="n"/>
      <c r="S134" s="71" t="n"/>
      <c r="T134" s="72">
        <f>SUM(C134:S134)</f>
        <v/>
      </c>
      <c r="U134" s="73">
        <f>T134/T$7</f>
        <v/>
      </c>
      <c r="V134" s="74" t="n"/>
      <c r="W134" s="76">
        <f>T134*V134</f>
        <v/>
      </c>
      <c r="X134" s="169" t="n"/>
    </row>
    <row r="135" ht="14" customHeight="1">
      <c r="A135" s="65" t="n"/>
      <c r="B135" s="79" t="n"/>
      <c r="C135" s="67" t="n"/>
      <c r="D135" s="67" t="n"/>
      <c r="E135" s="67" t="n"/>
      <c r="F135" s="67" t="n"/>
      <c r="G135" s="67" t="n"/>
      <c r="H135" s="67" t="n"/>
      <c r="I135" s="67" t="n"/>
      <c r="J135" s="67" t="n"/>
      <c r="K135" s="69" t="n"/>
      <c r="L135" s="67" t="n"/>
      <c r="M135" s="67" t="n"/>
      <c r="N135" s="67" t="n"/>
      <c r="O135" s="67" t="n"/>
      <c r="P135" s="67" t="n"/>
      <c r="Q135" s="70" t="n"/>
      <c r="R135" s="70" t="n"/>
      <c r="S135" s="71" t="n"/>
      <c r="T135" s="72">
        <f>SUM(C135:S135)</f>
        <v/>
      </c>
      <c r="U135" s="73">
        <f>T135/T$7</f>
        <v/>
      </c>
      <c r="V135" s="74" t="n"/>
      <c r="W135" s="76">
        <f>T135*V135</f>
        <v/>
      </c>
      <c r="X135" s="169" t="n"/>
    </row>
    <row r="136" ht="14" customHeight="1">
      <c r="A136" s="65" t="n"/>
      <c r="B136" s="79" t="n"/>
      <c r="C136" s="67" t="n"/>
      <c r="D136" s="67" t="n"/>
      <c r="E136" s="67" t="n"/>
      <c r="F136" s="67" t="n"/>
      <c r="G136" s="67" t="n"/>
      <c r="H136" s="67" t="n"/>
      <c r="I136" s="67" t="n"/>
      <c r="J136" s="67" t="n"/>
      <c r="K136" s="69" t="n"/>
      <c r="L136" s="67" t="n"/>
      <c r="M136" s="67" t="n"/>
      <c r="N136" s="67" t="n"/>
      <c r="O136" s="67" t="n"/>
      <c r="P136" s="67" t="n"/>
      <c r="Q136" s="70" t="n"/>
      <c r="R136" s="70" t="n"/>
      <c r="S136" s="71" t="n"/>
      <c r="T136" s="72">
        <f>SUM(C136:S136)</f>
        <v/>
      </c>
      <c r="U136" s="73">
        <f>T136/T$7</f>
        <v/>
      </c>
      <c r="V136" s="74" t="n"/>
      <c r="W136" s="76">
        <f>T136*V136</f>
        <v/>
      </c>
      <c r="X136" s="169" t="n"/>
    </row>
    <row r="137" ht="14" customHeight="1">
      <c r="A137" s="65" t="n"/>
      <c r="B137" s="79" t="n"/>
      <c r="C137" s="67" t="n"/>
      <c r="D137" s="67" t="n"/>
      <c r="E137" s="67" t="n"/>
      <c r="F137" s="67" t="n"/>
      <c r="G137" s="67" t="n"/>
      <c r="H137" s="67" t="n"/>
      <c r="I137" s="67" t="n"/>
      <c r="J137" s="67" t="n"/>
      <c r="K137" s="69" t="n"/>
      <c r="L137" s="67" t="n"/>
      <c r="M137" s="67" t="n"/>
      <c r="N137" s="67" t="n"/>
      <c r="O137" s="67" t="n"/>
      <c r="P137" s="67" t="n"/>
      <c r="Q137" s="70" t="n"/>
      <c r="R137" s="70" t="n"/>
      <c r="S137" s="71" t="n"/>
      <c r="T137" s="72">
        <f>SUM(C137:S137)</f>
        <v/>
      </c>
      <c r="U137" s="73">
        <f>T137/T$7</f>
        <v/>
      </c>
      <c r="V137" s="74" t="n"/>
      <c r="W137" s="76">
        <f>T137*V137</f>
        <v/>
      </c>
      <c r="X137" s="169" t="n"/>
    </row>
    <row r="138" ht="14" customHeight="1">
      <c r="A138" s="65" t="n"/>
      <c r="B138" s="79" t="n"/>
      <c r="C138" s="67" t="n"/>
      <c r="D138" s="67" t="n"/>
      <c r="E138" s="67" t="n"/>
      <c r="F138" s="67" t="n"/>
      <c r="G138" s="67" t="n"/>
      <c r="H138" s="67" t="n"/>
      <c r="I138" s="67" t="n"/>
      <c r="J138" s="67" t="n"/>
      <c r="K138" s="69" t="n"/>
      <c r="L138" s="67" t="n"/>
      <c r="M138" s="67" t="n"/>
      <c r="N138" s="67" t="n"/>
      <c r="O138" s="67" t="n"/>
      <c r="P138" s="67" t="n"/>
      <c r="Q138" s="70" t="n"/>
      <c r="R138" s="70" t="n"/>
      <c r="S138" s="71" t="n"/>
      <c r="T138" s="72">
        <f>SUM(C138:S138)</f>
        <v/>
      </c>
      <c r="U138" s="73">
        <f>T138/T$7</f>
        <v/>
      </c>
      <c r="V138" s="74" t="n"/>
      <c r="W138" s="76">
        <f>T138*V138</f>
        <v/>
      </c>
      <c r="X138" s="169" t="n"/>
    </row>
    <row r="139" ht="14" customHeight="1">
      <c r="A139" s="235" t="inlineStr">
        <is>
          <t>Immobilier</t>
        </is>
      </c>
      <c r="B139" s="236" t="n"/>
      <c r="C139" s="135">
        <f>SUM(C140:C172)</f>
        <v/>
      </c>
      <c r="D139" s="135">
        <f>SUM(D140:D172)</f>
        <v/>
      </c>
      <c r="E139" s="135">
        <f>SUM(E140:E172)</f>
        <v/>
      </c>
      <c r="F139" s="135">
        <f>SUM(F140:F172)</f>
        <v/>
      </c>
      <c r="G139" s="135">
        <f>SUM(G140:G172)</f>
        <v/>
      </c>
      <c r="H139" s="135">
        <f>SUM(H140:H172)</f>
        <v/>
      </c>
      <c r="I139" s="135">
        <f>SUM(I140:I172)</f>
        <v/>
      </c>
      <c r="J139" s="135">
        <f>SUM(J140:J172)</f>
        <v/>
      </c>
      <c r="K139" s="135">
        <f>SUM(K140:K172)</f>
        <v/>
      </c>
      <c r="L139" s="135">
        <f>SUM(L140:L172)</f>
        <v/>
      </c>
      <c r="M139" s="135">
        <f>SUM(M140:M172)</f>
        <v/>
      </c>
      <c r="N139" s="135">
        <f>SUM(N140:N172)</f>
        <v/>
      </c>
      <c r="O139" s="135">
        <f>SUM(O140:O172)</f>
        <v/>
      </c>
      <c r="P139" s="135">
        <f>SUM(P140:P172)</f>
        <v/>
      </c>
      <c r="Q139" s="135">
        <f>SUM(Q140:Q172)</f>
        <v/>
      </c>
      <c r="R139" s="135">
        <f>SUM(R140:R172)</f>
        <v/>
      </c>
      <c r="S139" s="135">
        <f>SUM(S140:S172)</f>
        <v/>
      </c>
      <c r="T139" s="136">
        <f>SUM(C139:S139)</f>
        <v/>
      </c>
      <c r="U139" s="137">
        <f>SUM(U140:U172)</f>
        <v/>
      </c>
      <c r="V139" s="138" t="n"/>
      <c r="W139" s="210" t="n"/>
      <c r="X139" s="211" t="n"/>
    </row>
    <row r="140" ht="13.5" customHeight="1">
      <c r="A140" s="65" t="inlineStr">
        <is>
          <t>BK OPCI A</t>
        </is>
      </c>
      <c r="B140" s="66" t="inlineStr">
        <is>
          <t>FR0013144094</t>
        </is>
      </c>
      <c r="C140" s="67" t="n"/>
      <c r="D140" s="67" t="n"/>
      <c r="E140" s="67" t="n"/>
      <c r="F140" s="67" t="n"/>
      <c r="G140" s="67" t="n"/>
      <c r="H140" s="67" t="n"/>
      <c r="I140" s="67" t="n"/>
      <c r="J140" s="67" t="n"/>
      <c r="K140" s="69" t="n"/>
      <c r="L140" s="67" t="n"/>
      <c r="M140" s="67" t="n"/>
      <c r="N140" s="67" t="n"/>
      <c r="O140" s="67" t="n"/>
      <c r="P140" s="67" t="n"/>
      <c r="Q140" s="70" t="n"/>
      <c r="R140" s="70" t="n"/>
      <c r="S140" s="71" t="n"/>
      <c r="T140" s="72">
        <f>SUM(C140:S140)</f>
        <v/>
      </c>
      <c r="U140" s="73">
        <f>T140/T$7</f>
        <v/>
      </c>
      <c r="V140" s="74" t="n">
        <v>4</v>
      </c>
      <c r="W140" s="76">
        <f>T140*V140</f>
        <v/>
      </c>
      <c r="X140" s="169" t="n"/>
    </row>
    <row r="141" ht="13.5" customHeight="1">
      <c r="A141" s="65" t="inlineStr">
        <is>
          <t>BK OPCI B</t>
        </is>
      </c>
      <c r="B141" s="66" t="inlineStr">
        <is>
          <t>FR0013182664</t>
        </is>
      </c>
      <c r="C141" s="67" t="n"/>
      <c r="D141" s="67" t="n"/>
      <c r="E141" s="67" t="n"/>
      <c r="F141" s="67" t="n"/>
      <c r="G141" s="67" t="n"/>
      <c r="H141" s="67" t="n"/>
      <c r="I141" s="67" t="n"/>
      <c r="J141" s="67" t="n"/>
      <c r="K141" s="69" t="n"/>
      <c r="L141" s="67" t="n"/>
      <c r="M141" s="67" t="n"/>
      <c r="N141" s="67" t="n"/>
      <c r="O141" s="67" t="n"/>
      <c r="P141" s="67" t="n"/>
      <c r="Q141" s="70" t="n"/>
      <c r="R141" s="70" t="n"/>
      <c r="S141" s="71" t="n"/>
      <c r="T141" s="72">
        <f>SUM(C141:S141)</f>
        <v/>
      </c>
      <c r="U141" s="73">
        <f>T141/T$7</f>
        <v/>
      </c>
      <c r="V141" s="74" t="n">
        <v>4</v>
      </c>
      <c r="W141" s="76">
        <f>T141*V141</f>
        <v/>
      </c>
      <c r="X141" s="169" t="n"/>
    </row>
    <row r="142" ht="13.5" customHeight="1">
      <c r="A142" s="65" t="inlineStr">
        <is>
          <t>FIC PPG Retail</t>
        </is>
      </c>
      <c r="B142" s="66" t="inlineStr">
        <is>
          <t>ALZ013324662</t>
        </is>
      </c>
      <c r="C142" s="67" t="n"/>
      <c r="D142" s="67" t="n"/>
      <c r="E142" s="67" t="n"/>
      <c r="F142" s="67" t="n"/>
      <c r="G142" s="67" t="n"/>
      <c r="H142" s="67" t="n"/>
      <c r="I142" s="67" t="n"/>
      <c r="J142" s="67" t="n"/>
      <c r="K142" s="69" t="n"/>
      <c r="L142" s="67" t="n"/>
      <c r="M142" s="67" t="n"/>
      <c r="N142" s="67" t="n"/>
      <c r="O142" s="67" t="n"/>
      <c r="P142" s="67" t="n"/>
      <c r="Q142" s="70" t="n"/>
      <c r="R142" s="70" t="n"/>
      <c r="S142" s="71" t="n"/>
      <c r="T142" s="72">
        <f>SUM(C142:S142)</f>
        <v/>
      </c>
      <c r="U142" s="73">
        <f>T142/T$7</f>
        <v/>
      </c>
      <c r="V142" s="74" t="n">
        <v>4</v>
      </c>
      <c r="W142" s="76">
        <f>T142*V142</f>
        <v/>
      </c>
      <c r="X142" s="169" t="n"/>
    </row>
    <row r="143" ht="13.5" customHeight="1">
      <c r="A143" s="65" t="inlineStr">
        <is>
          <t>OPPCI PPG Retail A</t>
        </is>
      </c>
      <c r="B143" s="66" t="inlineStr">
        <is>
          <t>FR0013324662</t>
        </is>
      </c>
      <c r="C143" s="67" t="n"/>
      <c r="D143" s="67" t="n"/>
      <c r="E143" s="67" t="n"/>
      <c r="F143" s="67" t="n"/>
      <c r="G143" s="67" t="n"/>
      <c r="H143" s="67" t="n"/>
      <c r="I143" s="67" t="n"/>
      <c r="J143" s="67" t="n"/>
      <c r="K143" s="69" t="n"/>
      <c r="L143" s="67" t="n"/>
      <c r="M143" s="67" t="n"/>
      <c r="N143" s="67" t="n"/>
      <c r="O143" s="67" t="n"/>
      <c r="P143" s="67" t="n"/>
      <c r="Q143" s="70" t="n"/>
      <c r="R143" s="70" t="n"/>
      <c r="S143" s="71" t="n"/>
      <c r="T143" s="72">
        <f>SUM(C143:S143)</f>
        <v/>
      </c>
      <c r="U143" s="73">
        <f>T143/T$7</f>
        <v/>
      </c>
      <c r="V143" s="74" t="n">
        <v>4</v>
      </c>
      <c r="W143" s="76">
        <f>T143*V143</f>
        <v/>
      </c>
      <c r="X143" s="169" t="n"/>
    </row>
    <row r="144" ht="13.5" customHeight="1">
      <c r="A144" s="65" t="inlineStr">
        <is>
          <t>OPPCI PPG Retail B</t>
        </is>
      </c>
      <c r="B144" s="66" t="inlineStr">
        <is>
          <t>FR0013324670</t>
        </is>
      </c>
      <c r="C144" s="67" t="n"/>
      <c r="D144" s="67" t="n"/>
      <c r="E144" s="67" t="n"/>
      <c r="F144" s="67" t="n"/>
      <c r="G144" s="67" t="n"/>
      <c r="H144" s="67" t="n"/>
      <c r="I144" s="67" t="n"/>
      <c r="J144" s="67" t="n"/>
      <c r="K144" s="69" t="n"/>
      <c r="L144" s="67" t="n"/>
      <c r="M144" s="67" t="n"/>
      <c r="N144" s="67" t="n"/>
      <c r="O144" s="67" t="n"/>
      <c r="P144" s="67" t="n"/>
      <c r="Q144" s="70" t="n"/>
      <c r="R144" s="70" t="n"/>
      <c r="S144" s="71" t="n"/>
      <c r="T144" s="72">
        <f>SUM(C144:S144)</f>
        <v/>
      </c>
      <c r="U144" s="73">
        <f>T144/T$7</f>
        <v/>
      </c>
      <c r="V144" s="74" t="n">
        <v>4</v>
      </c>
      <c r="W144" s="76">
        <f>T144*V144</f>
        <v/>
      </c>
      <c r="X144" s="169" t="n"/>
    </row>
    <row r="145" ht="13.5" customHeight="1">
      <c r="A145" s="65" t="inlineStr">
        <is>
          <t>PPG Croissance A</t>
        </is>
      </c>
      <c r="B145" s="66" t="inlineStr">
        <is>
          <t>FR0013265683</t>
        </is>
      </c>
      <c r="C145" s="67" t="n"/>
      <c r="D145" s="67" t="n"/>
      <c r="E145" s="67" t="n"/>
      <c r="F145" s="67" t="n"/>
      <c r="G145" s="67" t="n"/>
      <c r="H145" s="67" t="n"/>
      <c r="I145" s="67" t="n"/>
      <c r="J145" s="67" t="n"/>
      <c r="K145" s="69" t="n"/>
      <c r="L145" s="67" t="n"/>
      <c r="M145" s="67" t="n"/>
      <c r="N145" s="67" t="n"/>
      <c r="O145" s="67" t="n"/>
      <c r="P145" s="67" t="n"/>
      <c r="Q145" s="70" t="n"/>
      <c r="R145" s="70" t="n"/>
      <c r="S145" s="71" t="n"/>
      <c r="T145" s="72">
        <f>SUM(C145:S145)</f>
        <v/>
      </c>
      <c r="U145" s="73">
        <f>T145/T$7</f>
        <v/>
      </c>
      <c r="V145" s="74" t="n">
        <v>4</v>
      </c>
      <c r="W145" s="76">
        <f>T145*V145</f>
        <v/>
      </c>
      <c r="X145" s="169" t="n"/>
    </row>
    <row r="146" ht="13.5" customHeight="1">
      <c r="A146" s="65" t="inlineStr">
        <is>
          <t>PPG Croissance B</t>
        </is>
      </c>
      <c r="B146" s="66" t="inlineStr">
        <is>
          <t>FR001400LW94</t>
        </is>
      </c>
      <c r="C146" s="67" t="n"/>
      <c r="D146" s="67" t="n"/>
      <c r="E146" s="67" t="n"/>
      <c r="F146" s="67" t="n"/>
      <c r="G146" s="67" t="n"/>
      <c r="H146" s="67" t="n"/>
      <c r="I146" s="67" t="n"/>
      <c r="J146" s="67" t="n"/>
      <c r="K146" s="69" t="n"/>
      <c r="L146" s="67" t="n"/>
      <c r="M146" s="67" t="n"/>
      <c r="N146" s="67" t="n"/>
      <c r="O146" s="67" t="n"/>
      <c r="P146" s="67" t="n"/>
      <c r="Q146" s="70" t="n"/>
      <c r="R146" s="70" t="n"/>
      <c r="S146" s="71" t="n"/>
      <c r="T146" s="72">
        <f>SUM(C146:S146)</f>
        <v/>
      </c>
      <c r="U146" s="73">
        <f>T146/T$7</f>
        <v/>
      </c>
      <c r="V146" s="74" t="n">
        <v>4</v>
      </c>
      <c r="W146" s="76">
        <f>T146*V146</f>
        <v/>
      </c>
      <c r="X146" s="169" t="n"/>
    </row>
    <row r="147" ht="13.5" customHeight="1">
      <c r="A147" s="65" t="inlineStr">
        <is>
          <t>FCPR PPG Valeur Immo - Part A - EUR</t>
        </is>
      </c>
      <c r="B147" s="66" t="inlineStr">
        <is>
          <t>FR001400C5U8</t>
        </is>
      </c>
      <c r="C147" s="67" t="n"/>
      <c r="D147" s="67" t="n"/>
      <c r="E147" s="67" t="n"/>
      <c r="F147" s="67" t="n"/>
      <c r="G147" s="67" t="n"/>
      <c r="H147" s="67" t="n"/>
      <c r="I147" s="67" t="n"/>
      <c r="J147" s="67" t="n"/>
      <c r="K147" s="69" t="n"/>
      <c r="L147" s="67" t="n"/>
      <c r="M147" s="67" t="n"/>
      <c r="N147" s="67" t="n"/>
      <c r="O147" s="67" t="n"/>
      <c r="P147" s="67" t="n"/>
      <c r="Q147" s="70" t="n"/>
      <c r="R147" s="70" t="n"/>
      <c r="S147" s="71" t="n"/>
      <c r="T147" s="72">
        <f>SUM(C147:S147)</f>
        <v/>
      </c>
      <c r="U147" s="73">
        <f>T147/T$7</f>
        <v/>
      </c>
      <c r="V147" s="74" t="n">
        <v>6</v>
      </c>
      <c r="W147" s="76">
        <f>T147*V147</f>
        <v/>
      </c>
      <c r="X147" s="169" t="n"/>
    </row>
    <row r="148" ht="13.5" customHeight="1">
      <c r="A148" s="65" t="inlineStr">
        <is>
          <t>FCPR PPG Valeur Immo - Part B</t>
        </is>
      </c>
      <c r="B148" s="66" t="inlineStr">
        <is>
          <t>FR001400C5V6</t>
        </is>
      </c>
      <c r="C148" s="67" t="n"/>
      <c r="D148" s="67" t="n"/>
      <c r="E148" s="67" t="n"/>
      <c r="F148" s="67" t="n"/>
      <c r="G148" s="67" t="n"/>
      <c r="H148" s="67" t="n"/>
      <c r="I148" s="67" t="n"/>
      <c r="J148" s="67" t="n"/>
      <c r="K148" s="69" t="n"/>
      <c r="L148" s="67" t="n"/>
      <c r="M148" s="67" t="n"/>
      <c r="N148" s="67" t="n"/>
      <c r="O148" s="67" t="n"/>
      <c r="P148" s="67" t="n"/>
      <c r="Q148" s="70" t="n"/>
      <c r="R148" s="70" t="n"/>
      <c r="S148" s="71" t="n"/>
      <c r="T148" s="72">
        <f>SUM(C148:S148)</f>
        <v/>
      </c>
      <c r="U148" s="73">
        <f>T148/T$7</f>
        <v/>
      </c>
      <c r="V148" s="74" t="n">
        <v>6</v>
      </c>
      <c r="W148" s="76">
        <f>T148*V148</f>
        <v/>
      </c>
      <c r="X148" s="169" t="n"/>
    </row>
    <row r="149" ht="13.5" customHeight="1">
      <c r="A149" s="65" t="inlineStr">
        <is>
          <t>PPG Valeur Immo I</t>
        </is>
      </c>
      <c r="B149" s="66" t="inlineStr">
        <is>
          <t>FR001400C5W4</t>
        </is>
      </c>
      <c r="C149" s="67" t="n"/>
      <c r="D149" s="67" t="n"/>
      <c r="E149" s="67" t="n"/>
      <c r="F149" s="67" t="n"/>
      <c r="G149" s="67" t="n"/>
      <c r="H149" s="67" t="n"/>
      <c r="I149" s="67" t="n"/>
      <c r="J149" s="67" t="n"/>
      <c r="K149" s="69" t="n"/>
      <c r="L149" s="67" t="n"/>
      <c r="M149" s="67" t="n"/>
      <c r="N149" s="67" t="n"/>
      <c r="O149" s="67" t="n"/>
      <c r="P149" s="67" t="n"/>
      <c r="Q149" s="70" t="n"/>
      <c r="R149" s="70" t="n"/>
      <c r="S149" s="71" t="n"/>
      <c r="T149" s="72">
        <f>SUM(C149:S149)</f>
        <v/>
      </c>
      <c r="U149" s="73">
        <f>T149/T$7</f>
        <v/>
      </c>
      <c r="V149" s="74" t="n">
        <v>6</v>
      </c>
      <c r="W149" s="76">
        <f>T149*V149</f>
        <v/>
      </c>
      <c r="X149" s="169" t="n"/>
    </row>
    <row r="150" ht="13.5" customHeight="1">
      <c r="A150" s="65" t="inlineStr">
        <is>
          <t>Iroko Zen</t>
        </is>
      </c>
      <c r="B150" s="66" t="inlineStr">
        <is>
          <t>/</t>
        </is>
      </c>
      <c r="C150" s="67" t="n"/>
      <c r="D150" s="67" t="n"/>
      <c r="E150" s="67" t="n"/>
      <c r="F150" s="67" t="n"/>
      <c r="G150" s="67" t="n"/>
      <c r="H150" s="67" t="n"/>
      <c r="I150" s="67" t="n"/>
      <c r="J150" s="67" t="n"/>
      <c r="K150" s="69" t="n"/>
      <c r="L150" s="67" t="n"/>
      <c r="M150" s="67" t="n"/>
      <c r="N150" s="67" t="n"/>
      <c r="O150" s="67" t="n"/>
      <c r="P150" s="67" t="n"/>
      <c r="Q150" s="70" t="n"/>
      <c r="R150" s="70" t="n"/>
      <c r="S150" s="71" t="n"/>
      <c r="T150" s="72">
        <f>SUM(C150:S150)</f>
        <v/>
      </c>
      <c r="U150" s="73">
        <f>T150/T$7</f>
        <v/>
      </c>
      <c r="V150" s="74" t="n">
        <v>3</v>
      </c>
      <c r="W150" s="76">
        <f>T150*V150</f>
        <v/>
      </c>
      <c r="X150" s="169" t="n"/>
    </row>
    <row r="151" ht="13.5" customHeight="1">
      <c r="A151" s="65" t="inlineStr">
        <is>
          <t>Iroko Atlas</t>
        </is>
      </c>
      <c r="B151" s="66" t="inlineStr">
        <is>
          <t>/</t>
        </is>
      </c>
      <c r="C151" s="67" t="n"/>
      <c r="D151" s="67" t="n"/>
      <c r="E151" s="67" t="n"/>
      <c r="F151" s="67" t="n"/>
      <c r="G151" s="67" t="n"/>
      <c r="H151" s="67" t="n"/>
      <c r="I151" s="67" t="n"/>
      <c r="J151" s="67" t="n"/>
      <c r="K151" s="69" t="n"/>
      <c r="L151" s="67" t="n"/>
      <c r="M151" s="67" t="n"/>
      <c r="N151" s="67" t="n"/>
      <c r="O151" s="67" t="n"/>
      <c r="P151" s="67" t="n"/>
      <c r="Q151" s="70" t="n"/>
      <c r="R151" s="70" t="n"/>
      <c r="S151" s="71" t="n"/>
      <c r="T151" s="72">
        <f>SUM(C151:S151)</f>
        <v/>
      </c>
      <c r="U151" s="73">
        <f>T151/T$7</f>
        <v/>
      </c>
      <c r="V151" s="74" t="n">
        <v>4</v>
      </c>
      <c r="W151" s="76">
        <f>T151*V151</f>
        <v/>
      </c>
      <c r="X151" s="169" t="n"/>
    </row>
    <row r="152" ht="13.5" customHeight="1">
      <c r="A152" s="65" t="inlineStr">
        <is>
          <t>Remake Live</t>
        </is>
      </c>
      <c r="B152" s="66" t="inlineStr">
        <is>
          <t>SCPI00004799</t>
        </is>
      </c>
      <c r="C152" s="67" t="n"/>
      <c r="D152" s="67" t="n"/>
      <c r="E152" s="67" t="n"/>
      <c r="F152" s="67" t="n"/>
      <c r="G152" s="67" t="n"/>
      <c r="H152" s="67" t="n"/>
      <c r="I152" s="67" t="n"/>
      <c r="J152" s="67" t="n"/>
      <c r="K152" s="69" t="n"/>
      <c r="L152" s="67" t="n"/>
      <c r="M152" s="67" t="n"/>
      <c r="N152" s="67" t="n"/>
      <c r="O152" s="67" t="n"/>
      <c r="P152" s="67" t="n"/>
      <c r="Q152" s="70" t="n"/>
      <c r="R152" s="70" t="n"/>
      <c r="S152" s="71" t="n"/>
      <c r="T152" s="72">
        <f>SUM(C152:S152)</f>
        <v/>
      </c>
      <c r="U152" s="73">
        <f>T152/T$7</f>
        <v/>
      </c>
      <c r="V152" s="74" t="n">
        <v>3</v>
      </c>
      <c r="W152" s="76">
        <f>T152*V152</f>
        <v/>
      </c>
      <c r="X152" s="169" t="n"/>
    </row>
    <row r="153" ht="13.5" customHeight="1">
      <c r="A153" s="65" t="inlineStr">
        <is>
          <t>SCPI Remake Live - Part D</t>
        </is>
      </c>
      <c r="B153" s="66" t="inlineStr">
        <is>
          <t>FR001400E052</t>
        </is>
      </c>
      <c r="C153" s="67" t="n"/>
      <c r="D153" s="67" t="n"/>
      <c r="E153" s="67" t="n"/>
      <c r="F153" s="67" t="n"/>
      <c r="G153" s="67" t="n"/>
      <c r="H153" s="67" t="n"/>
      <c r="I153" s="67" t="n"/>
      <c r="J153" s="67" t="n"/>
      <c r="K153" s="69" t="n"/>
      <c r="L153" s="67" t="n"/>
      <c r="M153" s="67" t="n"/>
      <c r="N153" s="67" t="n"/>
      <c r="O153" s="67" t="n"/>
      <c r="P153" s="67" t="n"/>
      <c r="Q153" s="70" t="n"/>
      <c r="R153" s="70" t="n"/>
      <c r="S153" s="71" t="n"/>
      <c r="T153" s="72">
        <f>SUM(C153:S153)</f>
        <v/>
      </c>
      <c r="U153" s="73">
        <f>T153/T$7</f>
        <v/>
      </c>
      <c r="V153" s="74" t="n">
        <v>3</v>
      </c>
      <c r="W153" s="76">
        <f>T153*V153</f>
        <v/>
      </c>
      <c r="X153" s="169" t="n"/>
    </row>
    <row r="154" ht="13.5" customHeight="1">
      <c r="A154" s="65" t="inlineStr">
        <is>
          <t>Partners Group Global Real Estate FCP I</t>
        </is>
      </c>
      <c r="B154" s="66" t="inlineStr">
        <is>
          <t>LU1346205443</t>
        </is>
      </c>
      <c r="C154" s="67" t="n"/>
      <c r="D154" s="67" t="n"/>
      <c r="E154" s="67" t="n"/>
      <c r="F154" s="67" t="n"/>
      <c r="G154" s="67" t="n"/>
      <c r="H154" s="67" t="n"/>
      <c r="I154" s="67" t="n"/>
      <c r="J154" s="67" t="n"/>
      <c r="K154" s="69" t="n"/>
      <c r="L154" s="67" t="n"/>
      <c r="M154" s="67" t="n"/>
      <c r="N154" s="67" t="n"/>
      <c r="O154" s="67" t="n"/>
      <c r="P154" s="67" t="n"/>
      <c r="Q154" s="70" t="n"/>
      <c r="R154" s="70" t="n"/>
      <c r="S154" s="71" t="n"/>
      <c r="T154" s="72">
        <f>SUM(C154:S154)</f>
        <v/>
      </c>
      <c r="U154" s="73">
        <f>T154/T$7</f>
        <v/>
      </c>
      <c r="V154" s="74" t="n">
        <v>4</v>
      </c>
      <c r="W154" s="76">
        <f>T154*V154</f>
        <v/>
      </c>
      <c r="X154" s="169" t="n"/>
    </row>
    <row r="155" ht="13.5" customHeight="1">
      <c r="A155" s="65" t="inlineStr">
        <is>
          <t>Schroder Global Real Estate Total Return</t>
        </is>
      </c>
      <c r="B155" s="66" t="inlineStr">
        <is>
          <t>LU2658265710</t>
        </is>
      </c>
      <c r="C155" s="67" t="n"/>
      <c r="D155" s="67" t="n"/>
      <c r="E155" s="67" t="n"/>
      <c r="F155" s="67" t="n"/>
      <c r="G155" s="67" t="n"/>
      <c r="H155" s="67" t="n"/>
      <c r="I155" s="67" t="n"/>
      <c r="J155" s="67" t="n"/>
      <c r="K155" s="69" t="n"/>
      <c r="L155" s="67" t="n"/>
      <c r="M155" s="67" t="n"/>
      <c r="N155" s="67" t="n"/>
      <c r="O155" s="67" t="n"/>
      <c r="P155" s="67" t="n"/>
      <c r="Q155" s="70" t="n"/>
      <c r="R155" s="70" t="n"/>
      <c r="S155" s="71" t="n"/>
      <c r="T155" s="72">
        <f>SUM(C155:S155)</f>
        <v/>
      </c>
      <c r="U155" s="73">
        <f>T155/T$7</f>
        <v/>
      </c>
      <c r="V155" s="74" t="n">
        <v>4</v>
      </c>
      <c r="W155" s="76">
        <f>T155*V155</f>
        <v/>
      </c>
      <c r="X155" s="169" t="n"/>
    </row>
    <row r="156" ht="13.5" customHeight="1">
      <c r="A156" s="65" t="inlineStr">
        <is>
          <t>SLP June Opportunity</t>
        </is>
      </c>
      <c r="B156" s="66" t="inlineStr">
        <is>
          <t>FR00140001C5</t>
        </is>
      </c>
      <c r="C156" s="67" t="n"/>
      <c r="D156" s="67" t="n"/>
      <c r="E156" s="67" t="n"/>
      <c r="F156" s="67" t="n"/>
      <c r="G156" s="67" t="n"/>
      <c r="H156" s="67" t="n"/>
      <c r="I156" s="67" t="n"/>
      <c r="J156" s="67" t="n"/>
      <c r="K156" s="69" t="n"/>
      <c r="L156" s="67" t="n"/>
      <c r="M156" s="67" t="n"/>
      <c r="N156" s="67" t="n"/>
      <c r="O156" s="67" t="n"/>
      <c r="P156" s="67" t="n"/>
      <c r="Q156" s="70" t="n"/>
      <c r="R156" s="70" t="n"/>
      <c r="S156" s="71" t="n"/>
      <c r="T156" s="72">
        <f>SUM(C156:S156)</f>
        <v/>
      </c>
      <c r="U156" s="73">
        <f>T156/T$7</f>
        <v/>
      </c>
      <c r="V156" s="74" t="n">
        <v>4</v>
      </c>
      <c r="W156" s="76">
        <f>T156*V156</f>
        <v/>
      </c>
      <c r="X156" s="169" t="n"/>
    </row>
    <row r="157" ht="13.5" customFormat="1" customHeight="1" s="29">
      <c r="A157" s="65" t="inlineStr">
        <is>
          <t>White Stone Value</t>
        </is>
      </c>
      <c r="B157" s="66" t="inlineStr">
        <is>
          <t>FR0013324993</t>
        </is>
      </c>
      <c r="C157" s="67" t="n"/>
      <c r="D157" s="67" t="n"/>
      <c r="E157" s="68" t="n"/>
      <c r="F157" s="67" t="n"/>
      <c r="G157" s="68" t="n"/>
      <c r="H157" s="67" t="n"/>
      <c r="I157" s="67" t="n"/>
      <c r="J157" s="67" t="n"/>
      <c r="K157" s="69" t="n"/>
      <c r="L157" s="67" t="n"/>
      <c r="M157" s="67" t="n"/>
      <c r="N157" s="67" t="n"/>
      <c r="O157" s="67" t="n"/>
      <c r="P157" s="67" t="n"/>
      <c r="Q157" s="70" t="n"/>
      <c r="R157" s="70" t="n"/>
      <c r="S157" s="71" t="n"/>
      <c r="T157" s="72">
        <f>SUM(C157:S157)</f>
        <v/>
      </c>
      <c r="U157" s="73">
        <f>T157/T$7</f>
        <v/>
      </c>
      <c r="V157" s="74" t="n">
        <v>6</v>
      </c>
      <c r="W157" s="76">
        <f>T157*V157</f>
        <v/>
      </c>
      <c r="X157" s="169" t="n"/>
    </row>
    <row r="158" ht="13.5" customFormat="1" customHeight="1" s="29">
      <c r="A158" s="65" t="inlineStr">
        <is>
          <t>Vadora</t>
        </is>
      </c>
      <c r="B158" s="66" t="inlineStr">
        <is>
          <t>FR00140047N5</t>
        </is>
      </c>
      <c r="C158" s="67" t="n"/>
      <c r="D158" s="67" t="n"/>
      <c r="E158" s="68" t="n"/>
      <c r="F158" s="67" t="n"/>
      <c r="G158" s="68" t="n"/>
      <c r="H158" s="67" t="n"/>
      <c r="I158" s="67" t="n"/>
      <c r="J158" s="67" t="n"/>
      <c r="K158" s="69" t="n"/>
      <c r="L158" s="67" t="n"/>
      <c r="M158" s="67" t="n"/>
      <c r="N158" s="67" t="n"/>
      <c r="O158" s="67" t="n"/>
      <c r="P158" s="67" t="n"/>
      <c r="Q158" s="70" t="n"/>
      <c r="R158" s="70" t="n"/>
      <c r="S158" s="71" t="n"/>
      <c r="T158" s="72">
        <f>SUM(C158:S158)</f>
        <v/>
      </c>
      <c r="U158" s="73">
        <f>T158/T$7</f>
        <v/>
      </c>
      <c r="V158" s="74" t="n">
        <v>6</v>
      </c>
      <c r="W158" s="76">
        <f>T158*V158</f>
        <v/>
      </c>
      <c r="X158" s="169" t="n"/>
    </row>
    <row r="159" ht="13.5" customHeight="1">
      <c r="A159" s="65" t="inlineStr">
        <is>
          <t>Club OSAE Real Estate 2 A</t>
        </is>
      </c>
      <c r="B159" s="66" t="inlineStr">
        <is>
          <t>/</t>
        </is>
      </c>
      <c r="C159" s="67" t="n"/>
      <c r="D159" s="67" t="n"/>
      <c r="E159" s="67" t="n"/>
      <c r="F159" s="67" t="n"/>
      <c r="G159" s="67" t="n"/>
      <c r="H159" s="67" t="n"/>
      <c r="I159" s="67" t="n"/>
      <c r="J159" s="67" t="n"/>
      <c r="K159" s="69" t="n"/>
      <c r="L159" s="67" t="n"/>
      <c r="M159" s="67" t="n"/>
      <c r="N159" s="67" t="n"/>
      <c r="O159" s="67" t="n"/>
      <c r="P159" s="67" t="n"/>
      <c r="Q159" s="70" t="n"/>
      <c r="R159" s="70" t="n"/>
      <c r="S159" s="71" t="n"/>
      <c r="T159" s="72">
        <f>SUM(C159:S159)</f>
        <v/>
      </c>
      <c r="U159" s="73">
        <f>T159/T$7</f>
        <v/>
      </c>
      <c r="V159" s="74" t="n">
        <v>4</v>
      </c>
      <c r="W159" s="76">
        <f>T159*V159</f>
        <v/>
      </c>
      <c r="X159" s="169" t="n"/>
    </row>
    <row r="160" ht="13.5" customHeight="1">
      <c r="A160" s="65" t="inlineStr">
        <is>
          <t>SAS Palladium</t>
        </is>
      </c>
      <c r="B160" s="66" t="inlineStr">
        <is>
          <t>/</t>
        </is>
      </c>
      <c r="C160" s="67" t="n"/>
      <c r="D160" s="67" t="n"/>
      <c r="E160" s="67" t="n"/>
      <c r="F160" s="67" t="n"/>
      <c r="G160" s="67" t="n"/>
      <c r="H160" s="67" t="n"/>
      <c r="I160" s="67" t="n"/>
      <c r="J160" s="67" t="n"/>
      <c r="K160" s="69" t="n"/>
      <c r="L160" s="67" t="n"/>
      <c r="M160" s="67" t="n"/>
      <c r="N160" s="67" t="n"/>
      <c r="O160" s="67" t="n"/>
      <c r="P160" s="67" t="n"/>
      <c r="Q160" s="70" t="n"/>
      <c r="R160" s="70" t="n"/>
      <c r="S160" s="71" t="n"/>
      <c r="T160" s="72">
        <f>SUM(C160:S160)</f>
        <v/>
      </c>
      <c r="U160" s="73">
        <f>T160/T$7</f>
        <v/>
      </c>
      <c r="V160" s="74" t="n">
        <v>7</v>
      </c>
      <c r="W160" s="76">
        <f>T160*V160</f>
        <v/>
      </c>
      <c r="X160" s="169" t="n"/>
    </row>
    <row r="161" ht="13.5" customHeight="1">
      <c r="A161" s="65" t="inlineStr">
        <is>
          <t>SCPI Allianz Pierre</t>
        </is>
      </c>
      <c r="B161" s="66" t="inlineStr">
        <is>
          <t>/</t>
        </is>
      </c>
      <c r="C161" s="67" t="n"/>
      <c r="D161" s="67" t="n"/>
      <c r="E161" s="67" t="n"/>
      <c r="F161" s="67" t="n"/>
      <c r="G161" s="67" t="n"/>
      <c r="H161" s="67" t="n"/>
      <c r="I161" s="67" t="n"/>
      <c r="J161" s="67" t="n"/>
      <c r="K161" s="69" t="n"/>
      <c r="L161" s="67" t="n"/>
      <c r="M161" s="67" t="n"/>
      <c r="N161" s="67" t="n"/>
      <c r="O161" s="67" t="n"/>
      <c r="P161" s="67" t="n"/>
      <c r="Q161" s="70" t="n"/>
      <c r="R161" s="70" t="n"/>
      <c r="S161" s="71" t="n"/>
      <c r="T161" s="72">
        <f>SUM(C161:S161)</f>
        <v/>
      </c>
      <c r="U161" s="73">
        <f>T161/T$7</f>
        <v/>
      </c>
      <c r="V161" s="74" t="n"/>
      <c r="W161" s="76">
        <f>T161*V161</f>
        <v/>
      </c>
      <c r="X161" s="169" t="n"/>
    </row>
    <row r="162" ht="13.5" customHeight="1">
      <c r="A162" s="65" t="inlineStr">
        <is>
          <t>SCPI Neo</t>
        </is>
      </c>
      <c r="B162" s="66" t="inlineStr">
        <is>
          <t>/</t>
        </is>
      </c>
      <c r="C162" s="67" t="n"/>
      <c r="D162" s="67" t="n"/>
      <c r="E162" s="67" t="n"/>
      <c r="F162" s="67" t="n"/>
      <c r="G162" s="67" t="n"/>
      <c r="H162" s="67" t="n"/>
      <c r="I162" s="67" t="n"/>
      <c r="J162" s="67" t="n"/>
      <c r="K162" s="69" t="n"/>
      <c r="L162" s="67" t="n"/>
      <c r="M162" s="67" t="n"/>
      <c r="N162" s="67" t="n"/>
      <c r="O162" s="67" t="n"/>
      <c r="P162" s="67" t="n"/>
      <c r="Q162" s="70" t="n"/>
      <c r="R162" s="70" t="n"/>
      <c r="S162" s="71" t="n"/>
      <c r="T162" s="72">
        <f>SUM(C162:S162)</f>
        <v/>
      </c>
      <c r="U162" s="73">
        <f>T162/T$7</f>
        <v/>
      </c>
      <c r="V162" s="74" t="n">
        <v>3</v>
      </c>
      <c r="W162" s="76">
        <f>T162*V162</f>
        <v/>
      </c>
      <c r="X162" s="169" t="n"/>
    </row>
    <row r="163" ht="13.5" customHeight="1">
      <c r="A163" s="65" t="inlineStr">
        <is>
          <t>SCI Primonial Capimmo</t>
        </is>
      </c>
      <c r="B163" s="66" t="inlineStr">
        <is>
          <t>/</t>
        </is>
      </c>
      <c r="C163" s="67" t="n"/>
      <c r="D163" s="67" t="n"/>
      <c r="E163" s="67" t="n"/>
      <c r="F163" s="67" t="n"/>
      <c r="G163" s="67" t="n"/>
      <c r="H163" s="67" t="n"/>
      <c r="I163" s="67" t="n"/>
      <c r="J163" s="67" t="n"/>
      <c r="K163" s="69" t="n"/>
      <c r="L163" s="67" t="n"/>
      <c r="M163" s="67" t="n"/>
      <c r="N163" s="67" t="n"/>
      <c r="O163" s="67" t="n"/>
      <c r="P163" s="67" t="n"/>
      <c r="Q163" s="70" t="n"/>
      <c r="R163" s="70" t="n"/>
      <c r="S163" s="71" t="n"/>
      <c r="T163" s="72">
        <f>SUM(C163:S163)</f>
        <v/>
      </c>
      <c r="U163" s="73">
        <f>T163/T$7</f>
        <v/>
      </c>
      <c r="V163" s="74" t="n"/>
      <c r="W163" s="76">
        <f>T163*V163</f>
        <v/>
      </c>
      <c r="X163" s="169" t="n"/>
    </row>
    <row r="164" ht="13.5" customHeight="1">
      <c r="A164" s="65" t="inlineStr">
        <is>
          <t>SCI Convictions Immobilières</t>
        </is>
      </c>
      <c r="B164" s="66" t="inlineStr">
        <is>
          <t>/</t>
        </is>
      </c>
      <c r="C164" s="67" t="n"/>
      <c r="D164" s="67" t="n"/>
      <c r="E164" s="67" t="n"/>
      <c r="F164" s="67" t="n"/>
      <c r="G164" s="67" t="n"/>
      <c r="H164" s="67" t="n"/>
      <c r="I164" s="67" t="n"/>
      <c r="J164" s="67" t="n"/>
      <c r="K164" s="69" t="n"/>
      <c r="L164" s="67" t="n"/>
      <c r="M164" s="67" t="n"/>
      <c r="N164" s="67" t="n"/>
      <c r="O164" s="67" t="n"/>
      <c r="P164" s="67" t="n"/>
      <c r="Q164" s="70" t="n"/>
      <c r="R164" s="70" t="n"/>
      <c r="S164" s="71" t="n"/>
      <c r="T164" s="72">
        <f>SUM(C164:S164)</f>
        <v/>
      </c>
      <c r="U164" s="73">
        <f>T164/T$7</f>
        <v/>
      </c>
      <c r="V164" s="74" t="n"/>
      <c r="W164" s="76">
        <f>T164*V164</f>
        <v/>
      </c>
      <c r="X164" s="169" t="n"/>
    </row>
    <row r="165" ht="13.5" customHeight="1">
      <c r="A165" s="65" t="n"/>
      <c r="B165" s="75" t="n"/>
      <c r="C165" s="67" t="n"/>
      <c r="D165" s="67" t="n"/>
      <c r="E165" s="67" t="n"/>
      <c r="F165" s="67" t="n"/>
      <c r="G165" s="67" t="n"/>
      <c r="H165" s="67" t="n"/>
      <c r="I165" s="67" t="n"/>
      <c r="J165" s="67" t="n"/>
      <c r="K165" s="69" t="n"/>
      <c r="L165" s="67" t="n"/>
      <c r="M165" s="67" t="n"/>
      <c r="N165" s="67" t="n"/>
      <c r="O165" s="67" t="n"/>
      <c r="P165" s="67" t="n"/>
      <c r="Q165" s="70" t="n"/>
      <c r="R165" s="70" t="n"/>
      <c r="S165" s="71" t="n"/>
      <c r="T165" s="72">
        <f>SUM(C165:S165)</f>
        <v/>
      </c>
      <c r="U165" s="73">
        <f>T165/T$7</f>
        <v/>
      </c>
      <c r="V165" s="74" t="n"/>
      <c r="W165" s="76">
        <f>T165*V165</f>
        <v/>
      </c>
      <c r="X165" s="169" t="n"/>
    </row>
    <row r="166" ht="13.5" customHeight="1">
      <c r="A166" s="65" t="n"/>
      <c r="B166" s="75" t="n"/>
      <c r="C166" s="67" t="n"/>
      <c r="D166" s="67" t="n"/>
      <c r="E166" s="67" t="n"/>
      <c r="F166" s="67" t="n"/>
      <c r="G166" s="67" t="n"/>
      <c r="H166" s="67" t="n"/>
      <c r="I166" s="67" t="n"/>
      <c r="J166" s="67" t="n"/>
      <c r="K166" s="69" t="n"/>
      <c r="L166" s="67" t="n"/>
      <c r="M166" s="67" t="n"/>
      <c r="N166" s="67" t="n"/>
      <c r="O166" s="67" t="n"/>
      <c r="P166" s="67" t="n"/>
      <c r="Q166" s="70" t="n"/>
      <c r="R166" s="70" t="n"/>
      <c r="S166" s="71" t="n"/>
      <c r="T166" s="72">
        <f>SUM(C166:S166)</f>
        <v/>
      </c>
      <c r="U166" s="73">
        <f>T166/T$7</f>
        <v/>
      </c>
      <c r="V166" s="74" t="n"/>
      <c r="W166" s="76">
        <f>T166*V166</f>
        <v/>
      </c>
      <c r="X166" s="169" t="n"/>
    </row>
    <row r="167" ht="13.5" customHeight="1">
      <c r="A167" s="65" t="n"/>
      <c r="B167" s="75" t="n"/>
      <c r="C167" s="67" t="n"/>
      <c r="D167" s="67" t="n"/>
      <c r="E167" s="67" t="n"/>
      <c r="F167" s="67" t="n"/>
      <c r="G167" s="67" t="n"/>
      <c r="H167" s="67" t="n"/>
      <c r="I167" s="67" t="n"/>
      <c r="J167" s="67" t="n"/>
      <c r="K167" s="69" t="n"/>
      <c r="L167" s="67" t="n"/>
      <c r="M167" s="67" t="n"/>
      <c r="N167" s="67" t="n"/>
      <c r="O167" s="67" t="n"/>
      <c r="P167" s="67" t="n"/>
      <c r="Q167" s="70" t="n"/>
      <c r="R167" s="70" t="n"/>
      <c r="S167" s="71" t="n"/>
      <c r="T167" s="72">
        <f>SUM(C167:S167)</f>
        <v/>
      </c>
      <c r="U167" s="73">
        <f>T167/T$7</f>
        <v/>
      </c>
      <c r="V167" s="74" t="n"/>
      <c r="W167" s="76">
        <f>T167*V167</f>
        <v/>
      </c>
      <c r="X167" s="169" t="n"/>
    </row>
    <row r="168" ht="13.5" customHeight="1">
      <c r="A168" s="65" t="n"/>
      <c r="B168" s="75" t="n"/>
      <c r="C168" s="67" t="n"/>
      <c r="D168" s="67" t="n"/>
      <c r="E168" s="67" t="n"/>
      <c r="F168" s="67" t="n"/>
      <c r="G168" s="67" t="n"/>
      <c r="H168" s="67" t="n"/>
      <c r="I168" s="67" t="n"/>
      <c r="J168" s="67" t="n"/>
      <c r="K168" s="69" t="n"/>
      <c r="L168" s="67" t="n"/>
      <c r="M168" s="67" t="n"/>
      <c r="N168" s="67" t="n"/>
      <c r="O168" s="67" t="n"/>
      <c r="P168" s="67" t="n"/>
      <c r="Q168" s="70" t="n"/>
      <c r="R168" s="70" t="n"/>
      <c r="S168" s="71" t="n"/>
      <c r="T168" s="72">
        <f>SUM(C168:S168)</f>
        <v/>
      </c>
      <c r="U168" s="73">
        <f>T168/T$7</f>
        <v/>
      </c>
      <c r="V168" s="74" t="n"/>
      <c r="W168" s="76">
        <f>T168*V168</f>
        <v/>
      </c>
      <c r="X168" s="169" t="n"/>
    </row>
    <row r="169" ht="13.5" customHeight="1">
      <c r="A169" s="65" t="n"/>
      <c r="B169" s="75" t="n"/>
      <c r="C169" s="67" t="n"/>
      <c r="D169" s="67" t="n"/>
      <c r="E169" s="67" t="n"/>
      <c r="F169" s="67" t="n"/>
      <c r="G169" s="67" t="n"/>
      <c r="H169" s="67" t="n"/>
      <c r="I169" s="67" t="n"/>
      <c r="J169" s="67" t="n"/>
      <c r="K169" s="69" t="n"/>
      <c r="L169" s="67" t="n"/>
      <c r="M169" s="67" t="n"/>
      <c r="N169" s="67" t="n"/>
      <c r="O169" s="67" t="n"/>
      <c r="P169" s="67" t="n"/>
      <c r="Q169" s="70" t="n"/>
      <c r="R169" s="70" t="n"/>
      <c r="S169" s="71" t="n"/>
      <c r="T169" s="72">
        <f>SUM(C169:S169)</f>
        <v/>
      </c>
      <c r="U169" s="73">
        <f>T169/T$7</f>
        <v/>
      </c>
      <c r="V169" s="74" t="n"/>
      <c r="W169" s="76">
        <f>T169*V169</f>
        <v/>
      </c>
      <c r="X169" s="169" t="n"/>
    </row>
    <row r="170" ht="13.5" customHeight="1">
      <c r="A170" s="65" t="n"/>
      <c r="B170" s="75" t="n"/>
      <c r="C170" s="67" t="n"/>
      <c r="D170" s="67" t="n"/>
      <c r="E170" s="67" t="n"/>
      <c r="F170" s="67" t="n"/>
      <c r="G170" s="67" t="n"/>
      <c r="H170" s="67" t="n"/>
      <c r="I170" s="67" t="n"/>
      <c r="J170" s="67" t="n"/>
      <c r="K170" s="69" t="n"/>
      <c r="L170" s="67" t="n"/>
      <c r="M170" s="67" t="n"/>
      <c r="N170" s="67" t="n"/>
      <c r="O170" s="67" t="n"/>
      <c r="P170" s="67" t="n"/>
      <c r="Q170" s="70" t="n"/>
      <c r="R170" s="70" t="n"/>
      <c r="S170" s="71" t="n"/>
      <c r="T170" s="72">
        <f>SUM(C170:S170)</f>
        <v/>
      </c>
      <c r="U170" s="73">
        <f>T170/T$7</f>
        <v/>
      </c>
      <c r="V170" s="74" t="n"/>
      <c r="W170" s="76">
        <f>T170*V170</f>
        <v/>
      </c>
      <c r="X170" s="169" t="n"/>
    </row>
    <row r="171" ht="13.5" customHeight="1">
      <c r="A171" s="65" t="n"/>
      <c r="B171" s="75" t="n"/>
      <c r="C171" s="67" t="n"/>
      <c r="D171" s="67" t="n"/>
      <c r="E171" s="67" t="n"/>
      <c r="F171" s="67" t="n"/>
      <c r="G171" s="67" t="n"/>
      <c r="H171" s="67" t="n"/>
      <c r="I171" s="67" t="n"/>
      <c r="J171" s="67" t="n"/>
      <c r="K171" s="69" t="n"/>
      <c r="L171" s="67" t="n"/>
      <c r="M171" s="67" t="n"/>
      <c r="N171" s="67" t="n"/>
      <c r="O171" s="67" t="n"/>
      <c r="P171" s="67" t="n"/>
      <c r="Q171" s="70" t="n"/>
      <c r="R171" s="70" t="n"/>
      <c r="S171" s="71" t="n"/>
      <c r="T171" s="72">
        <f>SUM(C171:S171)</f>
        <v/>
      </c>
      <c r="U171" s="73">
        <f>T171/T$7</f>
        <v/>
      </c>
      <c r="V171" s="74" t="n"/>
      <c r="W171" s="76">
        <f>T171*V171</f>
        <v/>
      </c>
      <c r="X171" s="169" t="n"/>
    </row>
    <row r="172" ht="13.5" customHeight="1">
      <c r="A172" s="65" t="n"/>
      <c r="B172" s="75" t="n"/>
      <c r="C172" s="67" t="n"/>
      <c r="D172" s="67" t="n"/>
      <c r="E172" s="67" t="n"/>
      <c r="F172" s="67" t="n"/>
      <c r="G172" s="67" t="n"/>
      <c r="H172" s="67" t="n"/>
      <c r="I172" s="67" t="n"/>
      <c r="J172" s="67" t="n"/>
      <c r="K172" s="69" t="n"/>
      <c r="L172" s="67" t="n"/>
      <c r="M172" s="67" t="n"/>
      <c r="N172" s="67" t="n"/>
      <c r="O172" s="67" t="n"/>
      <c r="P172" s="67" t="n"/>
      <c r="Q172" s="70" t="n"/>
      <c r="R172" s="70" t="n"/>
      <c r="S172" s="71" t="n"/>
      <c r="T172" s="72">
        <f>SUM(C172:S172)</f>
        <v/>
      </c>
      <c r="U172" s="73">
        <f>T172/T$7</f>
        <v/>
      </c>
      <c r="V172" s="74" t="n"/>
      <c r="W172" s="76">
        <f>T172*V172</f>
        <v/>
      </c>
      <c r="X172" s="169" t="n"/>
    </row>
    <row r="173" ht="14" customHeight="1">
      <c r="A173" s="235" t="inlineStr">
        <is>
          <t>Infrastructures non cotées</t>
        </is>
      </c>
      <c r="B173" s="236" t="n"/>
      <c r="C173" s="135">
        <f>SUM(C174:C193)</f>
        <v/>
      </c>
      <c r="D173" s="135">
        <f>SUM(D174:D193)</f>
        <v/>
      </c>
      <c r="E173" s="135">
        <f>SUM(E174:E193)</f>
        <v/>
      </c>
      <c r="F173" s="135">
        <f>SUM(F174:F193)</f>
        <v/>
      </c>
      <c r="G173" s="135">
        <f>SUM(G174:G193)</f>
        <v/>
      </c>
      <c r="H173" s="135">
        <f>SUM(H174:H193)</f>
        <v/>
      </c>
      <c r="I173" s="135">
        <f>SUM(I174:I193)</f>
        <v/>
      </c>
      <c r="J173" s="135">
        <f>SUM(J174:J193)</f>
        <v/>
      </c>
      <c r="K173" s="135">
        <f>SUM(K174:K193)</f>
        <v/>
      </c>
      <c r="L173" s="135">
        <f>SUM(L174:L193)</f>
        <v/>
      </c>
      <c r="M173" s="135">
        <f>SUM(M174:M193)</f>
        <v/>
      </c>
      <c r="N173" s="135">
        <f>SUM(N174:N193)</f>
        <v/>
      </c>
      <c r="O173" s="135">
        <f>SUM(O174:O193)</f>
        <v/>
      </c>
      <c r="P173" s="135">
        <f>SUM(P174:P193)</f>
        <v/>
      </c>
      <c r="Q173" s="135">
        <f>SUM(Q174:Q193)</f>
        <v/>
      </c>
      <c r="R173" s="135">
        <f>SUM(R174:R193)</f>
        <v/>
      </c>
      <c r="S173" s="135">
        <f>SUM(S174:S193)</f>
        <v/>
      </c>
      <c r="T173" s="136">
        <f>SUM(C173:S173)</f>
        <v/>
      </c>
      <c r="U173" s="137">
        <f>SUM(U174:U193)</f>
        <v/>
      </c>
      <c r="V173" s="138" t="n"/>
      <c r="W173" s="210" t="n"/>
      <c r="X173" s="211" t="n"/>
    </row>
    <row r="174" ht="13.5" customHeight="1">
      <c r="A174" s="65" t="inlineStr">
        <is>
          <t>Antheor Private Infrastructure part F</t>
        </is>
      </c>
      <c r="B174" s="66" t="inlineStr">
        <is>
          <t>FR001400ZM09</t>
        </is>
      </c>
      <c r="C174" s="67" t="n"/>
      <c r="D174" s="67" t="n"/>
      <c r="E174" s="67" t="n"/>
      <c r="F174" s="67" t="n"/>
      <c r="G174" s="68" t="n"/>
      <c r="H174" s="67" t="n"/>
      <c r="I174" s="67" t="n"/>
      <c r="J174" s="67" t="n"/>
      <c r="K174" s="69" t="n"/>
      <c r="L174" s="67" t="n"/>
      <c r="M174" s="67" t="n"/>
      <c r="N174" s="67" t="n"/>
      <c r="O174" s="67" t="n"/>
      <c r="P174" s="67" t="n"/>
      <c r="Q174" s="70" t="n"/>
      <c r="R174" s="70" t="n"/>
      <c r="S174" s="71" t="n"/>
      <c r="T174" s="72">
        <f>SUM(C174:S174)</f>
        <v/>
      </c>
      <c r="U174" s="73">
        <f>T174/T$7</f>
        <v/>
      </c>
      <c r="V174" s="74" t="n">
        <v>6</v>
      </c>
      <c r="W174" s="76">
        <f>T174*V174</f>
        <v/>
      </c>
      <c r="X174" s="169" t="n"/>
      <c r="Z174" s="232" t="n"/>
    </row>
    <row r="175" ht="13.5" customHeight="1">
      <c r="A175" s="65" t="inlineStr">
        <is>
          <t>Antheor Private Infrastructure part A</t>
        </is>
      </c>
      <c r="B175" s="66" t="inlineStr">
        <is>
          <t>FR001400ZLZ0</t>
        </is>
      </c>
      <c r="C175" s="67" t="n"/>
      <c r="D175" s="67" t="n"/>
      <c r="E175" s="67" t="n"/>
      <c r="F175" s="67" t="n"/>
      <c r="G175" s="68" t="n"/>
      <c r="H175" s="67" t="n"/>
      <c r="I175" s="67" t="n"/>
      <c r="J175" s="67" t="n"/>
      <c r="K175" s="69" t="n"/>
      <c r="L175" s="67" t="n"/>
      <c r="M175" s="67" t="n"/>
      <c r="N175" s="67" t="n"/>
      <c r="O175" s="67" t="n"/>
      <c r="P175" s="67" t="n"/>
      <c r="Q175" s="70" t="n"/>
      <c r="R175" s="70" t="n"/>
      <c r="S175" s="71" t="n"/>
      <c r="T175" s="72">
        <f>SUM(C175:S175)</f>
        <v/>
      </c>
      <c r="U175" s="73">
        <f>T175/T$7</f>
        <v/>
      </c>
      <c r="V175" s="74" t="n">
        <v>6</v>
      </c>
      <c r="W175" s="76">
        <f>T175*V175</f>
        <v/>
      </c>
      <c r="X175" s="169" t="n"/>
    </row>
    <row r="176" ht="13.5" customHeight="1">
      <c r="A176" s="65" t="inlineStr">
        <is>
          <t>Antheor Private Infrastructure part B</t>
        </is>
      </c>
      <c r="B176" s="66" t="inlineStr">
        <is>
          <t>FR001400ZM58</t>
        </is>
      </c>
      <c r="C176" s="67" t="n"/>
      <c r="D176" s="67" t="n"/>
      <c r="E176" s="67" t="n"/>
      <c r="F176" s="67" t="n"/>
      <c r="G176" s="67" t="n"/>
      <c r="H176" s="67" t="n"/>
      <c r="I176" s="67" t="n"/>
      <c r="J176" s="67" t="n"/>
      <c r="K176" s="69" t="n"/>
      <c r="L176" s="67" t="n"/>
      <c r="M176" s="67" t="n"/>
      <c r="N176" s="67" t="n"/>
      <c r="O176" s="67" t="n"/>
      <c r="P176" s="67" t="n"/>
      <c r="Q176" s="70" t="n"/>
      <c r="R176" s="70" t="n"/>
      <c r="S176" s="71" t="n"/>
      <c r="T176" s="72">
        <f>SUM(C176:S176)</f>
        <v/>
      </c>
      <c r="U176" s="73">
        <f>T176/T$7</f>
        <v/>
      </c>
      <c r="V176" s="74" t="n">
        <v>6</v>
      </c>
      <c r="W176" s="76">
        <f>T176*V176</f>
        <v/>
      </c>
      <c r="X176" s="169" t="n"/>
    </row>
    <row r="177" ht="13.5" customHeight="1">
      <c r="A177" s="65" t="inlineStr">
        <is>
          <t>StepStone Structure</t>
        </is>
      </c>
      <c r="B177" s="66" t="inlineStr">
        <is>
          <t>LU3084311938</t>
        </is>
      </c>
      <c r="C177" s="67" t="n"/>
      <c r="D177" s="67" t="n"/>
      <c r="E177" s="67" t="n"/>
      <c r="F177" s="67" t="n"/>
      <c r="G177" s="67" t="n"/>
      <c r="H177" s="67" t="n"/>
      <c r="I177" s="67" t="n"/>
      <c r="J177" s="67" t="n"/>
      <c r="K177" s="69" t="n"/>
      <c r="L177" s="67" t="n"/>
      <c r="M177" s="67" t="n"/>
      <c r="N177" s="67" t="n"/>
      <c r="O177" s="67" t="n"/>
      <c r="P177" s="67" t="n"/>
      <c r="Q177" s="70" t="n"/>
      <c r="R177" s="70" t="n"/>
      <c r="S177" s="71" t="n"/>
      <c r="T177" s="72">
        <f>SUM(C177:S177)</f>
        <v/>
      </c>
      <c r="U177" s="73">
        <f>T177/T$7</f>
        <v/>
      </c>
      <c r="V177" s="74" t="n">
        <v>6</v>
      </c>
      <c r="W177" s="76">
        <f>T177*V177</f>
        <v/>
      </c>
      <c r="X177" s="169" t="n"/>
    </row>
    <row r="178" ht="13.5" customHeight="1">
      <c r="A178" s="65" t="inlineStr">
        <is>
          <t>EQT Nexus Infrastructure</t>
        </is>
      </c>
      <c r="B178" s="66" t="inlineStr">
        <is>
          <t>LU2984100870</t>
        </is>
      </c>
      <c r="C178" s="67" t="n"/>
      <c r="D178" s="67" t="n"/>
      <c r="E178" s="67" t="n"/>
      <c r="F178" s="67" t="n"/>
      <c r="G178" s="68" t="n"/>
      <c r="H178" s="67" t="n"/>
      <c r="I178" s="67" t="n"/>
      <c r="J178" s="67" t="n"/>
      <c r="K178" s="69" t="n"/>
      <c r="L178" s="67" t="n"/>
      <c r="M178" s="67" t="n"/>
      <c r="N178" s="67" t="n"/>
      <c r="O178" s="67" t="n"/>
      <c r="P178" s="67" t="n"/>
      <c r="Q178" s="70" t="n"/>
      <c r="R178" s="70" t="n"/>
      <c r="S178" s="71" t="n"/>
      <c r="T178" s="72">
        <f>SUM(C178:S178)</f>
        <v/>
      </c>
      <c r="U178" s="73">
        <f>T178/T$7</f>
        <v/>
      </c>
      <c r="V178" s="74" t="n">
        <v>5</v>
      </c>
      <c r="W178" s="76">
        <f>T178*V178</f>
        <v/>
      </c>
      <c r="X178" s="169" t="n"/>
      <c r="Z178" s="232" t="n"/>
    </row>
    <row r="179" ht="13.5" customHeight="1">
      <c r="A179" s="65" t="inlineStr">
        <is>
          <t xml:space="preserve">Partners Group Next Generation Infrastructure </t>
        </is>
      </c>
      <c r="B179" s="66" t="inlineStr">
        <is>
          <t>LU2710930046</t>
        </is>
      </c>
      <c r="C179" s="67" t="n"/>
      <c r="D179" s="67" t="n"/>
      <c r="E179" s="67" t="n"/>
      <c r="F179" s="67" t="n"/>
      <c r="G179" s="68" t="n"/>
      <c r="H179" s="67" t="n"/>
      <c r="I179" s="67" t="n"/>
      <c r="J179" s="67" t="n"/>
      <c r="K179" s="69" t="n"/>
      <c r="L179" s="67" t="n"/>
      <c r="M179" s="67" t="n"/>
      <c r="N179" s="67" t="n"/>
      <c r="O179" s="67" t="n"/>
      <c r="P179" s="67" t="n"/>
      <c r="Q179" s="70" t="n"/>
      <c r="R179" s="70" t="n"/>
      <c r="S179" s="71" t="n"/>
      <c r="T179" s="72">
        <f>SUM(C179:S179)</f>
        <v/>
      </c>
      <c r="U179" s="73">
        <f>T179/T$7</f>
        <v/>
      </c>
      <c r="V179" s="74" t="n">
        <v>4</v>
      </c>
      <c r="W179" s="76">
        <f>T179*V179</f>
        <v/>
      </c>
      <c r="X179" s="169" t="n"/>
    </row>
    <row r="180" ht="13.5" customHeight="1">
      <c r="A180" s="65" t="inlineStr">
        <is>
          <t>Brookfield Infrastructure Income</t>
        </is>
      </c>
      <c r="B180" s="66" t="inlineStr">
        <is>
          <t>LU2571548820</t>
        </is>
      </c>
      <c r="C180" s="67" t="n"/>
      <c r="D180" s="67" t="n"/>
      <c r="E180" s="67" t="n"/>
      <c r="F180" s="67" t="n"/>
      <c r="G180" s="67" t="n"/>
      <c r="H180" s="67" t="n"/>
      <c r="I180" s="67" t="n"/>
      <c r="J180" s="67" t="n"/>
      <c r="K180" s="69" t="n"/>
      <c r="L180" s="67" t="n"/>
      <c r="M180" s="67" t="n"/>
      <c r="N180" s="67" t="n"/>
      <c r="O180" s="67" t="n"/>
      <c r="P180" s="67" t="n"/>
      <c r="Q180" s="70" t="n"/>
      <c r="R180" s="70" t="n"/>
      <c r="S180" s="71" t="n"/>
      <c r="T180" s="72">
        <f>SUM(C180:S180)</f>
        <v/>
      </c>
      <c r="U180" s="73">
        <f>T180/T$7</f>
        <v/>
      </c>
      <c r="V180" s="74" t="n">
        <v>6</v>
      </c>
      <c r="W180" s="76">
        <f>T180*V180</f>
        <v/>
      </c>
      <c r="X180" s="169" t="n"/>
    </row>
    <row r="181" ht="13.5" customHeight="1">
      <c r="A181" s="65" t="inlineStr">
        <is>
          <t>Stepstone Priv Infra A</t>
        </is>
      </c>
      <c r="B181" s="66" t="inlineStr">
        <is>
          <t>LU2677665254</t>
        </is>
      </c>
      <c r="C181" s="67" t="n"/>
      <c r="D181" s="67" t="n"/>
      <c r="E181" s="67" t="n"/>
      <c r="F181" s="67" t="n"/>
      <c r="G181" s="67" t="n"/>
      <c r="H181" s="67" t="n"/>
      <c r="I181" s="67" t="n"/>
      <c r="J181" s="67" t="n"/>
      <c r="K181" s="69" t="n"/>
      <c r="L181" s="67" t="n"/>
      <c r="M181" s="67" t="n"/>
      <c r="N181" s="67" t="n"/>
      <c r="O181" s="67" t="n"/>
      <c r="P181" s="67" t="n"/>
      <c r="Q181" s="70" t="n"/>
      <c r="R181" s="70" t="n"/>
      <c r="S181" s="71" t="n"/>
      <c r="T181" s="72">
        <f>SUM(C181:S181)</f>
        <v/>
      </c>
      <c r="U181" s="73">
        <f>T181/T$7</f>
        <v/>
      </c>
      <c r="V181" s="74" t="n">
        <v>6</v>
      </c>
      <c r="W181" s="76">
        <f>T181*V181</f>
        <v/>
      </c>
      <c r="X181" s="169" t="n"/>
    </row>
    <row r="182" ht="13.5" customHeight="1">
      <c r="A182" s="65" t="inlineStr">
        <is>
          <t>FCPR Eiffel Infrastructures Vertes C</t>
        </is>
      </c>
      <c r="B182" s="66" t="inlineStr">
        <is>
          <t>FR001400BCG0</t>
        </is>
      </c>
      <c r="C182" s="67" t="n"/>
      <c r="D182" s="67" t="n"/>
      <c r="E182" s="67" t="n"/>
      <c r="F182" s="67" t="n"/>
      <c r="G182" s="67" t="n"/>
      <c r="H182" s="67" t="n"/>
      <c r="I182" s="67" t="n"/>
      <c r="J182" s="67" t="n"/>
      <c r="K182" s="69" t="n"/>
      <c r="L182" s="67" t="n"/>
      <c r="M182" s="67" t="n"/>
      <c r="N182" s="67" t="n"/>
      <c r="O182" s="67" t="n"/>
      <c r="P182" s="67" t="n"/>
      <c r="Q182" s="70" t="n"/>
      <c r="R182" s="70" t="n"/>
      <c r="S182" s="71" t="n"/>
      <c r="T182" s="72">
        <f>SUM(C182:S182)</f>
        <v/>
      </c>
      <c r="U182" s="73">
        <f>T182/T$7</f>
        <v/>
      </c>
      <c r="V182" s="74" t="n">
        <v>3</v>
      </c>
      <c r="W182" s="76">
        <f>T182*V182</f>
        <v/>
      </c>
      <c r="X182" s="169" t="n"/>
    </row>
    <row r="183" ht="13.5" customHeight="1">
      <c r="A183" s="65" t="inlineStr">
        <is>
          <t>Rive Tangible Assets Income Fund</t>
        </is>
      </c>
      <c r="B183" s="66" t="inlineStr">
        <is>
          <t>LU2441620379</t>
        </is>
      </c>
      <c r="C183" s="67" t="n"/>
      <c r="D183" s="67" t="n"/>
      <c r="E183" s="67" t="n"/>
      <c r="F183" s="67" t="n"/>
      <c r="G183" s="67" t="n"/>
      <c r="H183" s="67" t="n"/>
      <c r="I183" s="67" t="n"/>
      <c r="J183" s="67" t="n"/>
      <c r="K183" s="69" t="n"/>
      <c r="L183" s="67" t="n"/>
      <c r="M183" s="67" t="n"/>
      <c r="N183" s="67" t="n"/>
      <c r="O183" s="67" t="n"/>
      <c r="P183" s="67" t="n"/>
      <c r="Q183" s="70" t="n"/>
      <c r="R183" s="70" t="n"/>
      <c r="S183" s="71" t="n"/>
      <c r="T183" s="72">
        <f>SUM(C183:S183)</f>
        <v/>
      </c>
      <c r="U183" s="73">
        <f>T183/T$7</f>
        <v/>
      </c>
      <c r="V183" s="74" t="n">
        <v>7</v>
      </c>
      <c r="W183" s="76">
        <f>T183*V183</f>
        <v/>
      </c>
      <c r="X183" s="169" t="n"/>
    </row>
    <row r="184" ht="13.5" customHeight="1">
      <c r="A184" s="65" t="inlineStr">
        <is>
          <t>FCPR AXA Avenir Infrastructures Parts T</t>
        </is>
      </c>
      <c r="B184" s="75" t="inlineStr">
        <is>
          <t>FR001400BZG1</t>
        </is>
      </c>
      <c r="C184" s="67" t="n"/>
      <c r="D184" s="67" t="n"/>
      <c r="E184" s="67" t="n"/>
      <c r="F184" s="67" t="n"/>
      <c r="G184" s="67" t="n"/>
      <c r="H184" s="67" t="n"/>
      <c r="I184" s="67" t="n"/>
      <c r="J184" s="67" t="n"/>
      <c r="K184" s="69" t="n"/>
      <c r="L184" s="67" t="n"/>
      <c r="M184" s="67" t="n"/>
      <c r="N184" s="67" t="n"/>
      <c r="O184" s="67" t="n"/>
      <c r="P184" s="67" t="n"/>
      <c r="Q184" s="70" t="n"/>
      <c r="R184" s="70" t="n"/>
      <c r="S184" s="71" t="n"/>
      <c r="T184" s="72">
        <f>SUM(C184:S184)</f>
        <v/>
      </c>
      <c r="U184" s="73">
        <f>T184/T$7</f>
        <v/>
      </c>
      <c r="V184" s="74" t="n">
        <v>2</v>
      </c>
      <c r="W184" s="76">
        <f>T184*V184</f>
        <v/>
      </c>
      <c r="X184" s="169" t="n"/>
    </row>
    <row r="185" ht="13.5" customHeight="1">
      <c r="A185" s="65" t="inlineStr">
        <is>
          <t>GF Infrastructures Durables</t>
        </is>
      </c>
      <c r="B185" s="75" t="inlineStr">
        <is>
          <t>FR0013473667</t>
        </is>
      </c>
      <c r="C185" s="67" t="n"/>
      <c r="D185" s="67" t="n"/>
      <c r="E185" s="67" t="n"/>
      <c r="F185" s="67" t="n"/>
      <c r="G185" s="67" t="n"/>
      <c r="H185" s="67" t="n"/>
      <c r="I185" s="67" t="n"/>
      <c r="J185" s="67" t="n"/>
      <c r="K185" s="69" t="n"/>
      <c r="L185" s="67" t="n"/>
      <c r="M185" s="67" t="n"/>
      <c r="N185" s="67" t="n"/>
      <c r="O185" s="67" t="n"/>
      <c r="P185" s="67" t="n"/>
      <c r="Q185" s="70" t="n"/>
      <c r="R185" s="70" t="n"/>
      <c r="S185" s="71" t="n"/>
      <c r="T185" s="72">
        <f>SUM(C185:S185)</f>
        <v/>
      </c>
      <c r="U185" s="73">
        <f>T185/T$7</f>
        <v/>
      </c>
      <c r="V185" s="74" t="n">
        <v>3</v>
      </c>
      <c r="W185" s="76">
        <f>T185*V185</f>
        <v/>
      </c>
      <c r="X185" s="169" t="n"/>
    </row>
    <row r="186" ht="13.5" customHeight="1">
      <c r="A186" s="65" t="inlineStr">
        <is>
          <t>Rive Tangible Assets Income Fund</t>
        </is>
      </c>
      <c r="B186" s="205" t="inlineStr">
        <is>
          <t>LU2842989936</t>
        </is>
      </c>
      <c r="C186" s="69" t="n"/>
      <c r="D186" s="67" t="n"/>
      <c r="E186" s="67" t="n"/>
      <c r="F186" s="67" t="n"/>
      <c r="G186" s="67" t="n"/>
      <c r="H186" s="67" t="n"/>
      <c r="I186" s="67" t="n"/>
      <c r="J186" s="67" t="n"/>
      <c r="K186" s="69" t="n"/>
      <c r="L186" s="67" t="n"/>
      <c r="M186" s="67" t="n"/>
      <c r="N186" s="67" t="n"/>
      <c r="O186" s="67" t="n"/>
      <c r="P186" s="67" t="n"/>
      <c r="Q186" s="70" t="n"/>
      <c r="R186" s="70" t="n"/>
      <c r="S186" s="71" t="n"/>
      <c r="T186" s="72">
        <f>SUM(C186:S186)</f>
        <v/>
      </c>
      <c r="U186" s="73">
        <f>T186/T$7</f>
        <v/>
      </c>
      <c r="V186" s="74" t="n">
        <v>7</v>
      </c>
      <c r="W186" s="76">
        <f>T186*V186</f>
        <v/>
      </c>
      <c r="X186" s="169" t="n"/>
    </row>
    <row r="187" ht="13.5" customHeight="1">
      <c r="A187" s="65" t="inlineStr">
        <is>
          <t>Rive Tangible Assets Income Fund AS3</t>
        </is>
      </c>
      <c r="B187" s="75" t="inlineStr">
        <is>
          <t>LU2563800726</t>
        </is>
      </c>
      <c r="C187" s="67" t="n"/>
      <c r="D187" s="67" t="n"/>
      <c r="E187" s="67" t="n"/>
      <c r="F187" s="67" t="n"/>
      <c r="G187" s="67" t="n"/>
      <c r="H187" s="67" t="n"/>
      <c r="I187" s="67" t="n"/>
      <c r="J187" s="67" t="n"/>
      <c r="K187" s="69" t="n"/>
      <c r="L187" s="67" t="n"/>
      <c r="M187" s="67" t="n"/>
      <c r="N187" s="67" t="n"/>
      <c r="O187" s="67" t="n"/>
      <c r="P187" s="67" t="n"/>
      <c r="Q187" s="70" t="n"/>
      <c r="R187" s="70" t="n"/>
      <c r="S187" s="71" t="n"/>
      <c r="T187" s="72">
        <f>SUM(C187:S187)</f>
        <v/>
      </c>
      <c r="U187" s="73">
        <f>T187/T$7</f>
        <v/>
      </c>
      <c r="V187" s="74" t="n">
        <v>7</v>
      </c>
      <c r="W187" s="76">
        <f>T187*V187</f>
        <v/>
      </c>
      <c r="X187" s="169" t="n"/>
    </row>
    <row r="188" ht="13.5" customHeight="1">
      <c r="A188" s="65" t="n"/>
      <c r="B188" s="75" t="n"/>
      <c r="C188" s="67" t="n"/>
      <c r="D188" s="67" t="n"/>
      <c r="E188" s="67" t="n"/>
      <c r="F188" s="67" t="n"/>
      <c r="G188" s="67" t="n"/>
      <c r="H188" s="67" t="n"/>
      <c r="I188" s="67" t="n"/>
      <c r="J188" s="67" t="n"/>
      <c r="K188" s="69" t="n"/>
      <c r="L188" s="67" t="n"/>
      <c r="M188" s="67" t="n"/>
      <c r="N188" s="67" t="n"/>
      <c r="O188" s="67" t="n"/>
      <c r="P188" s="67" t="n"/>
      <c r="Q188" s="70" t="n"/>
      <c r="R188" s="70" t="n"/>
      <c r="S188" s="71" t="n"/>
      <c r="T188" s="72">
        <f>SUM(C188:S188)</f>
        <v/>
      </c>
      <c r="U188" s="73">
        <f>T188/T$7</f>
        <v/>
      </c>
      <c r="V188" s="74" t="n"/>
      <c r="W188" s="76">
        <f>T188*V188</f>
        <v/>
      </c>
      <c r="X188" s="169" t="n"/>
    </row>
    <row r="189" ht="13.5" customHeight="1">
      <c r="A189" s="65" t="n"/>
      <c r="B189" s="75" t="n"/>
      <c r="C189" s="67" t="n"/>
      <c r="D189" s="67" t="n"/>
      <c r="E189" s="67" t="n"/>
      <c r="F189" s="67" t="n"/>
      <c r="G189" s="67" t="n"/>
      <c r="H189" s="67" t="n"/>
      <c r="I189" s="67" t="n"/>
      <c r="J189" s="67" t="n"/>
      <c r="K189" s="69" t="n"/>
      <c r="L189" s="67" t="n"/>
      <c r="M189" s="67" t="n"/>
      <c r="N189" s="67" t="n"/>
      <c r="O189" s="67" t="n"/>
      <c r="P189" s="67" t="n"/>
      <c r="Q189" s="70" t="n"/>
      <c r="R189" s="70" t="n"/>
      <c r="S189" s="71" t="n"/>
      <c r="T189" s="72">
        <f>SUM(C189:S189)</f>
        <v/>
      </c>
      <c r="U189" s="73">
        <f>T189/T$7</f>
        <v/>
      </c>
      <c r="V189" s="74" t="n"/>
      <c r="W189" s="76">
        <f>T189*V189</f>
        <v/>
      </c>
      <c r="X189" s="169" t="n"/>
    </row>
    <row r="190" ht="13.5" customHeight="1">
      <c r="A190" s="65" t="n"/>
      <c r="B190" s="75" t="n"/>
      <c r="C190" s="67" t="n"/>
      <c r="D190" s="67" t="n"/>
      <c r="E190" s="67" t="n"/>
      <c r="F190" s="67" t="n"/>
      <c r="G190" s="67" t="n"/>
      <c r="H190" s="67" t="n"/>
      <c r="I190" s="67" t="n"/>
      <c r="J190" s="67" t="n"/>
      <c r="K190" s="69" t="n"/>
      <c r="L190" s="67" t="n"/>
      <c r="M190" s="67" t="n"/>
      <c r="N190" s="67" t="n"/>
      <c r="O190" s="67" t="n"/>
      <c r="P190" s="67" t="n"/>
      <c r="Q190" s="70" t="n"/>
      <c r="R190" s="70" t="n"/>
      <c r="S190" s="71" t="n"/>
      <c r="T190" s="72">
        <f>SUM(C190:S190)</f>
        <v/>
      </c>
      <c r="U190" s="73">
        <f>T190/T$7</f>
        <v/>
      </c>
      <c r="V190" s="74" t="n"/>
      <c r="W190" s="76">
        <f>T190*V190</f>
        <v/>
      </c>
      <c r="X190" s="169" t="n"/>
    </row>
    <row r="191" ht="13.5" customHeight="1">
      <c r="A191" s="65" t="n"/>
      <c r="B191" s="75" t="n"/>
      <c r="C191" s="67" t="n"/>
      <c r="D191" s="67" t="n"/>
      <c r="E191" s="67" t="n"/>
      <c r="F191" s="67" t="n"/>
      <c r="G191" s="67" t="n"/>
      <c r="H191" s="67" t="n"/>
      <c r="I191" s="67" t="n"/>
      <c r="J191" s="67" t="n"/>
      <c r="K191" s="69" t="n"/>
      <c r="L191" s="67" t="n"/>
      <c r="M191" s="67" t="n"/>
      <c r="N191" s="67" t="n"/>
      <c r="O191" s="67" t="n"/>
      <c r="P191" s="67" t="n"/>
      <c r="Q191" s="70" t="n"/>
      <c r="R191" s="70" t="n"/>
      <c r="S191" s="71" t="n"/>
      <c r="T191" s="72">
        <f>SUM(C191:S191)</f>
        <v/>
      </c>
      <c r="U191" s="73">
        <f>T191/T$7</f>
        <v/>
      </c>
      <c r="V191" s="74" t="n"/>
      <c r="W191" s="76">
        <f>T191*V191</f>
        <v/>
      </c>
      <c r="X191" s="169" t="n"/>
    </row>
    <row r="192" ht="13.5" customHeight="1">
      <c r="A192" s="65" t="n"/>
      <c r="B192" s="75" t="n"/>
      <c r="C192" s="67" t="n"/>
      <c r="D192" s="67" t="n"/>
      <c r="E192" s="67" t="n"/>
      <c r="F192" s="67" t="n"/>
      <c r="G192" s="67" t="n"/>
      <c r="H192" s="67" t="n"/>
      <c r="I192" s="67" t="n"/>
      <c r="J192" s="67" t="n"/>
      <c r="K192" s="69" t="n"/>
      <c r="L192" s="67" t="n"/>
      <c r="M192" s="67" t="n"/>
      <c r="N192" s="67" t="n"/>
      <c r="O192" s="67" t="n"/>
      <c r="P192" s="67" t="n"/>
      <c r="Q192" s="70" t="n"/>
      <c r="R192" s="70" t="n"/>
      <c r="S192" s="71" t="n"/>
      <c r="T192" s="72">
        <f>SUM(C192:S192)</f>
        <v/>
      </c>
      <c r="U192" s="73">
        <f>T192/T$7</f>
        <v/>
      </c>
      <c r="V192" s="74" t="n"/>
      <c r="W192" s="76">
        <f>T192*V192</f>
        <v/>
      </c>
      <c r="X192" s="169" t="n"/>
    </row>
    <row r="193" ht="13.5" customHeight="1">
      <c r="A193" s="65" t="n"/>
      <c r="B193" s="75" t="n"/>
      <c r="C193" s="67" t="n"/>
      <c r="D193" s="67" t="n"/>
      <c r="E193" s="67" t="n"/>
      <c r="F193" s="67" t="n"/>
      <c r="G193" s="67" t="n"/>
      <c r="H193" s="67" t="n"/>
      <c r="I193" s="67" t="n"/>
      <c r="J193" s="67" t="n"/>
      <c r="K193" s="69" t="n"/>
      <c r="L193" s="67" t="n"/>
      <c r="M193" s="67" t="n"/>
      <c r="N193" s="67" t="n"/>
      <c r="O193" s="67" t="n"/>
      <c r="P193" s="67" t="n"/>
      <c r="Q193" s="70" t="n"/>
      <c r="R193" s="70" t="n"/>
      <c r="S193" s="71" t="n"/>
      <c r="T193" s="72">
        <f>SUM(C193:S193)</f>
        <v/>
      </c>
      <c r="U193" s="73">
        <f>T193/T$7</f>
        <v/>
      </c>
      <c r="V193" s="74" t="n"/>
      <c r="W193" s="76">
        <f>T193*V193</f>
        <v/>
      </c>
      <c r="X193" s="169" t="n"/>
    </row>
    <row r="194" ht="14" customFormat="1" customHeight="1" s="258">
      <c r="A194" s="235" t="inlineStr">
        <is>
          <t>Dette privée</t>
        </is>
      </c>
      <c r="B194" s="236" t="n"/>
      <c r="C194" s="135">
        <f>SUM(C195:C229)</f>
        <v/>
      </c>
      <c r="D194" s="135">
        <f>SUM(D195:D229)</f>
        <v/>
      </c>
      <c r="E194" s="135">
        <f>SUM(E195:E229)</f>
        <v/>
      </c>
      <c r="F194" s="135">
        <f>SUM(F195:F229)</f>
        <v/>
      </c>
      <c r="G194" s="135">
        <f>SUM(G195:G229)</f>
        <v/>
      </c>
      <c r="H194" s="135">
        <f>SUM(H195:H229)</f>
        <v/>
      </c>
      <c r="I194" s="135">
        <f>SUM(I195:I229)</f>
        <v/>
      </c>
      <c r="J194" s="135">
        <f>SUM(J195:J229)</f>
        <v/>
      </c>
      <c r="K194" s="135">
        <f>SUM(K195:K229)</f>
        <v/>
      </c>
      <c r="L194" s="135">
        <f>SUM(L195:L229)</f>
        <v/>
      </c>
      <c r="M194" s="135">
        <f>SUM(M195:M229)</f>
        <v/>
      </c>
      <c r="N194" s="135">
        <f>SUM(N195:N229)</f>
        <v/>
      </c>
      <c r="O194" s="135">
        <f>SUM(O195:O229)</f>
        <v/>
      </c>
      <c r="P194" s="135">
        <f>SUM(P195:P229)</f>
        <v/>
      </c>
      <c r="Q194" s="135">
        <f>SUM(Q195:Q229)</f>
        <v/>
      </c>
      <c r="R194" s="135">
        <f>SUM(R195:R229)</f>
        <v/>
      </c>
      <c r="S194" s="135">
        <f>SUM(S195:S229)</f>
        <v/>
      </c>
      <c r="T194" s="152">
        <f>SUM(C194:S194)</f>
        <v/>
      </c>
      <c r="U194" s="137">
        <f>SUM(U195:U229)</f>
        <v/>
      </c>
      <c r="V194" s="138" t="n"/>
      <c r="W194" s="210" t="n"/>
      <c r="X194" s="211" t="n"/>
    </row>
    <row r="195" ht="13.5" customHeight="1">
      <c r="A195" s="65" t="inlineStr">
        <is>
          <t>Althos Private Credit part F  - Capitalisante</t>
        </is>
      </c>
      <c r="B195" s="66" t="inlineStr">
        <is>
          <t>FR001400XGV4</t>
        </is>
      </c>
      <c r="C195" s="67" t="n"/>
      <c r="D195" s="67" t="n"/>
      <c r="E195" s="67" t="n"/>
      <c r="F195" s="67" t="n"/>
      <c r="G195" s="67" t="n"/>
      <c r="H195" s="67" t="n"/>
      <c r="I195" s="67" t="n"/>
      <c r="J195" s="67" t="n"/>
      <c r="K195" s="69" t="n"/>
      <c r="L195" s="67" t="n"/>
      <c r="M195" s="67" t="n"/>
      <c r="N195" s="67" t="n"/>
      <c r="O195" s="67" t="n"/>
      <c r="P195" s="67" t="n"/>
      <c r="Q195" s="70" t="n"/>
      <c r="R195" s="70" t="n"/>
      <c r="S195" s="71" t="n"/>
      <c r="T195" s="72">
        <f>SUM(C195:S195)</f>
        <v/>
      </c>
      <c r="U195" s="73">
        <f>T195/T$7</f>
        <v/>
      </c>
      <c r="V195" s="74" t="n">
        <v>6</v>
      </c>
      <c r="W195" s="76">
        <f>T195*V195</f>
        <v/>
      </c>
      <c r="X195" s="169" t="n"/>
    </row>
    <row r="196" ht="13.5" customHeight="1">
      <c r="A196" s="65" t="inlineStr">
        <is>
          <t>Althos Private Credit part F  - Distribuant</t>
        </is>
      </c>
      <c r="B196" s="66" t="inlineStr">
        <is>
          <t>FR001400XGQ4</t>
        </is>
      </c>
      <c r="C196" s="67" t="n"/>
      <c r="D196" s="67" t="n"/>
      <c r="E196" s="67" t="n"/>
      <c r="F196" s="67" t="n"/>
      <c r="G196" s="68" t="n"/>
      <c r="H196" s="67" t="n"/>
      <c r="I196" s="67" t="n"/>
      <c r="J196" s="67" t="n"/>
      <c r="K196" s="69" t="n"/>
      <c r="L196" s="67" t="n"/>
      <c r="M196" s="67" t="n"/>
      <c r="N196" s="67" t="n"/>
      <c r="O196" s="67" t="n"/>
      <c r="P196" s="67" t="n"/>
      <c r="Q196" s="70" t="n"/>
      <c r="R196" s="70" t="n"/>
      <c r="S196" s="71" t="n"/>
      <c r="T196" s="72">
        <f>SUM(C196:S196)</f>
        <v/>
      </c>
      <c r="U196" s="73">
        <f>T196/T$7</f>
        <v/>
      </c>
      <c r="V196" s="74" t="n">
        <v>6</v>
      </c>
      <c r="W196" s="76">
        <f>T196*V196</f>
        <v/>
      </c>
      <c r="X196" s="169" t="n"/>
    </row>
    <row r="197" ht="13.5" customHeight="1">
      <c r="A197" s="65" t="inlineStr">
        <is>
          <t>Althos Private Credit part A  - Capitalisante</t>
        </is>
      </c>
      <c r="B197" s="66" t="inlineStr">
        <is>
          <t>FR001400XGO9</t>
        </is>
      </c>
      <c r="C197" s="67" t="n"/>
      <c r="D197" s="67" t="n"/>
      <c r="E197" s="67" t="n"/>
      <c r="F197" s="67" t="n"/>
      <c r="G197" s="68" t="n"/>
      <c r="H197" s="67" t="n"/>
      <c r="I197" s="67" t="n"/>
      <c r="J197" s="67" t="n"/>
      <c r="K197" s="69" t="n"/>
      <c r="L197" s="67" t="n"/>
      <c r="M197" s="67" t="n"/>
      <c r="N197" s="67" t="n"/>
      <c r="O197" s="67" t="n"/>
      <c r="P197" s="67" t="n"/>
      <c r="Q197" s="70" t="n"/>
      <c r="R197" s="70" t="n"/>
      <c r="S197" s="71" t="n"/>
      <c r="T197" s="72">
        <f>SUM(C197:S197)</f>
        <v/>
      </c>
      <c r="U197" s="73">
        <f>T197/T$7</f>
        <v/>
      </c>
      <c r="V197" s="74" t="n">
        <v>6</v>
      </c>
      <c r="W197" s="76">
        <f>T197*V197</f>
        <v/>
      </c>
      <c r="X197" s="169" t="n"/>
    </row>
    <row r="198" ht="13.5" customHeight="1">
      <c r="A198" s="65" t="inlineStr">
        <is>
          <t>Althos Private Credit part A  - Distribuant</t>
        </is>
      </c>
      <c r="B198" s="66" t="inlineStr">
        <is>
          <t>FR001400XGM3</t>
        </is>
      </c>
      <c r="C198" s="67" t="n"/>
      <c r="D198" s="67" t="n"/>
      <c r="E198" s="67" t="n"/>
      <c r="F198" s="67" t="n"/>
      <c r="G198" s="68" t="n"/>
      <c r="H198" s="67" t="n"/>
      <c r="I198" s="67" t="n"/>
      <c r="J198" s="67" t="n"/>
      <c r="K198" s="69" t="n"/>
      <c r="L198" s="67" t="n"/>
      <c r="M198" s="67" t="n"/>
      <c r="N198" s="67" t="n"/>
      <c r="O198" s="67" t="n"/>
      <c r="P198" s="67" t="n"/>
      <c r="Q198" s="70" t="n"/>
      <c r="R198" s="70" t="n"/>
      <c r="S198" s="71" t="n"/>
      <c r="T198" s="72">
        <f>SUM(C198:S198)</f>
        <v/>
      </c>
      <c r="U198" s="73">
        <f>T198/T$7</f>
        <v/>
      </c>
      <c r="V198" s="74" t="n">
        <v>6</v>
      </c>
      <c r="W198" s="76">
        <f>T198*V198</f>
        <v/>
      </c>
      <c r="X198" s="169" t="n"/>
    </row>
    <row r="199" ht="13.5" customHeight="1">
      <c r="A199" s="65" t="inlineStr">
        <is>
          <t xml:space="preserve">Morgan Stanley EPIF </t>
        </is>
      </c>
      <c r="B199" s="66" t="inlineStr">
        <is>
          <t>LU2860459879</t>
        </is>
      </c>
      <c r="C199" s="67" t="n"/>
      <c r="D199" s="67" t="n"/>
      <c r="E199" s="67" t="n"/>
      <c r="F199" s="67" t="n"/>
      <c r="G199" s="68" t="n"/>
      <c r="H199" s="67" t="n"/>
      <c r="I199" s="67" t="n"/>
      <c r="J199" s="67" t="n"/>
      <c r="K199" s="69" t="n"/>
      <c r="L199" s="67" t="n"/>
      <c r="M199" s="67" t="n"/>
      <c r="N199" s="67" t="n"/>
      <c r="O199" s="67" t="n"/>
      <c r="P199" s="67" t="n"/>
      <c r="Q199" s="70" t="n"/>
      <c r="R199" s="70" t="n"/>
      <c r="S199" s="71" t="n"/>
      <c r="T199" s="72">
        <f>SUM(C199:S199)</f>
        <v/>
      </c>
      <c r="U199" s="73">
        <f>T199/T$7</f>
        <v/>
      </c>
      <c r="V199" s="74" t="n">
        <v>3</v>
      </c>
      <c r="W199" s="76">
        <f>T199*V199</f>
        <v/>
      </c>
      <c r="X199" s="169" t="n"/>
    </row>
    <row r="200" ht="13.5" customHeight="1">
      <c r="A200" s="65" t="inlineStr">
        <is>
          <t>Pantheon GCS S Acc</t>
        </is>
      </c>
      <c r="B200" s="66" t="inlineStr">
        <is>
          <t>LU3047997575</t>
        </is>
      </c>
      <c r="C200" s="67" t="n"/>
      <c r="D200" s="67" t="n"/>
      <c r="E200" s="67" t="n"/>
      <c r="F200" s="67" t="n"/>
      <c r="G200" s="68" t="n"/>
      <c r="H200" s="67" t="n"/>
      <c r="I200" s="67" t="n"/>
      <c r="J200" s="67" t="n"/>
      <c r="K200" s="69" t="n"/>
      <c r="L200" s="67" t="n"/>
      <c r="M200" s="67" t="n"/>
      <c r="N200" s="67" t="n"/>
      <c r="O200" s="67" t="n"/>
      <c r="P200" s="67" t="n"/>
      <c r="Q200" s="70" t="n"/>
      <c r="R200" s="70" t="n"/>
      <c r="S200" s="71" t="n"/>
      <c r="T200" s="72">
        <f>SUM(C200:S200)</f>
        <v/>
      </c>
      <c r="U200" s="73">
        <f>T200/T$7</f>
        <v/>
      </c>
      <c r="V200" s="74" t="n">
        <v>4</v>
      </c>
      <c r="W200" s="76">
        <f>T200*V200</f>
        <v/>
      </c>
      <c r="X200" s="169" t="n"/>
    </row>
    <row r="201" ht="13.5" customHeight="1">
      <c r="A201" s="65" t="inlineStr">
        <is>
          <t>Blackstone Crédit Privé Europe SC</t>
        </is>
      </c>
      <c r="B201" s="66" t="inlineStr">
        <is>
          <t>FR001400L0X2</t>
        </is>
      </c>
      <c r="C201" s="67" t="n"/>
      <c r="D201" s="67" t="n"/>
      <c r="E201" s="67" t="n"/>
      <c r="F201" s="67" t="n"/>
      <c r="G201" s="68" t="n"/>
      <c r="H201" s="67" t="n"/>
      <c r="I201" s="67" t="n"/>
      <c r="J201" s="67" t="n"/>
      <c r="K201" s="69" t="n"/>
      <c r="L201" s="67" t="n"/>
      <c r="M201" s="67" t="n"/>
      <c r="N201" s="67" t="n"/>
      <c r="O201" s="67" t="n"/>
      <c r="P201" s="67" t="n"/>
      <c r="Q201" s="70" t="n"/>
      <c r="R201" s="70" t="n"/>
      <c r="S201" s="71" t="n"/>
      <c r="T201" s="72">
        <f>SUM(C201:S201)</f>
        <v/>
      </c>
      <c r="U201" s="73">
        <f>T201/T$7</f>
        <v/>
      </c>
      <c r="V201" s="74" t="n">
        <v>3</v>
      </c>
      <c r="W201" s="76">
        <f>T201*V201</f>
        <v/>
      </c>
      <c r="X201" s="169" t="n"/>
    </row>
    <row r="202" ht="13.5" customHeight="1">
      <c r="A202" s="65" t="inlineStr">
        <is>
          <t>ARES Strategic Income Fund</t>
        </is>
      </c>
      <c r="B202" s="66" t="inlineStr">
        <is>
          <t>LU2702162343</t>
        </is>
      </c>
      <c r="C202" s="67" t="n"/>
      <c r="D202" s="67" t="n"/>
      <c r="E202" s="67" t="n"/>
      <c r="F202" s="67" t="n"/>
      <c r="G202" s="68" t="n"/>
      <c r="H202" s="67" t="n"/>
      <c r="I202" s="67" t="n"/>
      <c r="J202" s="67" t="n"/>
      <c r="K202" s="69" t="n"/>
      <c r="L202" s="67" t="n"/>
      <c r="M202" s="67" t="n"/>
      <c r="N202" s="67" t="n"/>
      <c r="O202" s="67" t="n"/>
      <c r="P202" s="67" t="n"/>
      <c r="Q202" s="70" t="n"/>
      <c r="R202" s="70" t="n"/>
      <c r="S202" s="71" t="n"/>
      <c r="T202" s="72">
        <f>SUM(C202:S202)</f>
        <v/>
      </c>
      <c r="U202" s="73">
        <f>T202/T$7</f>
        <v/>
      </c>
      <c r="V202" s="74" t="n">
        <v>3</v>
      </c>
      <c r="W202" s="76">
        <f>T202*V202</f>
        <v/>
      </c>
      <c r="X202" s="169" t="n"/>
    </row>
    <row r="203" ht="13.5" customHeight="1">
      <c r="A203" s="65" t="inlineStr">
        <is>
          <t xml:space="preserve">AXA IM Private Credit Income Fund S1A EUR </t>
        </is>
      </c>
      <c r="B203" s="66" t="inlineStr">
        <is>
          <t>LU3005168235</t>
        </is>
      </c>
      <c r="C203" s="67" t="n"/>
      <c r="D203" s="67" t="n"/>
      <c r="E203" s="67" t="n"/>
      <c r="F203" s="67" t="n"/>
      <c r="G203" s="68" t="n"/>
      <c r="H203" s="67" t="n"/>
      <c r="I203" s="67" t="n"/>
      <c r="J203" s="67" t="n"/>
      <c r="K203" s="69" t="n"/>
      <c r="L203" s="67" t="n"/>
      <c r="M203" s="67" t="n"/>
      <c r="N203" s="67" t="n"/>
      <c r="O203" s="67" t="n"/>
      <c r="P203" s="67" t="n"/>
      <c r="Q203" s="70" t="n"/>
      <c r="R203" s="70" t="n"/>
      <c r="S203" s="71" t="n"/>
      <c r="T203" s="72">
        <f>SUM(C203:S203)</f>
        <v/>
      </c>
      <c r="U203" s="73">
        <f>T203/T$7</f>
        <v/>
      </c>
      <c r="V203" s="74" t="n">
        <v>3</v>
      </c>
      <c r="W203" s="76">
        <f>T203*V203</f>
        <v/>
      </c>
      <c r="X203" s="169" t="n"/>
    </row>
    <row r="204" ht="13.5" customHeight="1">
      <c r="A204" s="65" t="inlineStr">
        <is>
          <t>Morgan Stanley Dette Privée Europe SLP part IA</t>
        </is>
      </c>
      <c r="B204" s="66" t="inlineStr">
        <is>
          <t>FR001400ZI88</t>
        </is>
      </c>
      <c r="C204" s="67" t="n"/>
      <c r="D204" s="67" t="n"/>
      <c r="E204" s="67" t="n"/>
      <c r="F204" s="67" t="n"/>
      <c r="G204" s="67" t="n"/>
      <c r="H204" s="67" t="n"/>
      <c r="I204" s="67" t="n"/>
      <c r="J204" s="67" t="n"/>
      <c r="K204" s="69" t="n"/>
      <c r="L204" s="67" t="n"/>
      <c r="M204" s="67" t="n"/>
      <c r="N204" s="67" t="n"/>
      <c r="O204" s="67" t="n"/>
      <c r="P204" s="67" t="n"/>
      <c r="Q204" s="70" t="n"/>
      <c r="R204" s="70" t="n"/>
      <c r="S204" s="71" t="n"/>
      <c r="T204" s="72">
        <f>SUM(C204:S204)</f>
        <v/>
      </c>
      <c r="U204" s="73">
        <f>T204/T$7</f>
        <v/>
      </c>
      <c r="V204" s="74" t="n">
        <v>3</v>
      </c>
      <c r="W204" s="76">
        <f>T204*V204</f>
        <v/>
      </c>
      <c r="X204" s="169" t="n"/>
    </row>
    <row r="205" ht="13.5" customHeight="1">
      <c r="A205" s="65" t="inlineStr">
        <is>
          <t>Pantheon GCS S Dis</t>
        </is>
      </c>
      <c r="B205" s="66" t="inlineStr">
        <is>
          <t>LU3047997658</t>
        </is>
      </c>
      <c r="C205" s="67" t="n"/>
      <c r="D205" s="67" t="n"/>
      <c r="E205" s="67" t="n"/>
      <c r="F205" s="67" t="n"/>
      <c r="G205" s="68" t="n"/>
      <c r="H205" s="67" t="n"/>
      <c r="I205" s="67" t="n"/>
      <c r="J205" s="67" t="n"/>
      <c r="K205" s="69" t="n"/>
      <c r="L205" s="67" t="n"/>
      <c r="M205" s="67" t="n"/>
      <c r="N205" s="67" t="n"/>
      <c r="O205" s="67" t="n"/>
      <c r="P205" s="67" t="n"/>
      <c r="Q205" s="70" t="n"/>
      <c r="R205" s="70" t="n"/>
      <c r="S205" s="71" t="n"/>
      <c r="T205" s="72">
        <f>SUM(C205:S205)</f>
        <v/>
      </c>
      <c r="U205" s="73">
        <f>T205/T$7</f>
        <v/>
      </c>
      <c r="V205" s="74" t="n">
        <v>3</v>
      </c>
      <c r="W205" s="76">
        <f>T205*V205</f>
        <v/>
      </c>
      <c r="X205" s="169" t="n"/>
    </row>
    <row r="206" ht="13.5" customFormat="1" customHeight="1" s="29">
      <c r="A206" s="65" t="inlineStr">
        <is>
          <t>Blackstone Ecred</t>
        </is>
      </c>
      <c r="B206" s="66" t="inlineStr">
        <is>
          <t>LU2480032510</t>
        </is>
      </c>
      <c r="C206" s="67" t="n"/>
      <c r="D206" s="67" t="n"/>
      <c r="E206" s="68" t="n"/>
      <c r="F206" s="67" t="n"/>
      <c r="G206" s="68" t="n"/>
      <c r="H206" s="67" t="n"/>
      <c r="I206" s="67" t="n"/>
      <c r="J206" s="67" t="n"/>
      <c r="K206" s="69" t="n"/>
      <c r="L206" s="67" t="n"/>
      <c r="M206" s="67" t="n"/>
      <c r="N206" s="67" t="n"/>
      <c r="O206" s="67" t="n"/>
      <c r="P206" s="67" t="n"/>
      <c r="Q206" s="70" t="n"/>
      <c r="R206" s="70" t="n"/>
      <c r="S206" s="71" t="n"/>
      <c r="T206" s="72">
        <f>SUM(C206:S206)</f>
        <v/>
      </c>
      <c r="U206" s="73">
        <f>T206/T$7</f>
        <v/>
      </c>
      <c r="V206" s="74" t="n">
        <v>3</v>
      </c>
      <c r="W206" s="76">
        <f>T206*V206</f>
        <v/>
      </c>
      <c r="X206" s="169" t="n"/>
    </row>
    <row r="207" ht="13.5" customFormat="1" customHeight="1" s="29">
      <c r="A207" s="65" t="inlineStr">
        <is>
          <t>FCPR Eurazeo Private Value Europe 3 - part D</t>
        </is>
      </c>
      <c r="B207" s="66" t="inlineStr">
        <is>
          <t>FR0013301561</t>
        </is>
      </c>
      <c r="C207" s="67" t="n"/>
      <c r="D207" s="67" t="n"/>
      <c r="E207" s="68" t="n"/>
      <c r="F207" s="67" t="n"/>
      <c r="G207" s="68" t="n"/>
      <c r="H207" s="67" t="n"/>
      <c r="I207" s="67" t="n"/>
      <c r="J207" s="67" t="n"/>
      <c r="K207" s="69" t="n"/>
      <c r="L207" s="67" t="n"/>
      <c r="M207" s="67" t="n"/>
      <c r="N207" s="67" t="n"/>
      <c r="O207" s="67" t="n"/>
      <c r="P207" s="67" t="n"/>
      <c r="Q207" s="70" t="n"/>
      <c r="R207" s="70" t="n"/>
      <c r="S207" s="71" t="n"/>
      <c r="T207" s="72">
        <f>SUM(C207:S207)</f>
        <v/>
      </c>
      <c r="U207" s="73">
        <f>T207/T$7</f>
        <v/>
      </c>
      <c r="V207" s="74" t="n">
        <v>3</v>
      </c>
      <c r="W207" s="76">
        <f>T207*V207</f>
        <v/>
      </c>
      <c r="X207" s="169" t="n"/>
    </row>
    <row r="208" ht="13.5" customFormat="1" customHeight="1" s="29">
      <c r="A208" s="65" t="inlineStr">
        <is>
          <t>FCPR Eurazeo Private Value Europe 3 - part C</t>
        </is>
      </c>
      <c r="B208" s="66" t="inlineStr">
        <is>
          <t>FR0013301553</t>
        </is>
      </c>
      <c r="C208" s="67" t="n"/>
      <c r="D208" s="67" t="n"/>
      <c r="E208" s="68" t="n"/>
      <c r="F208" s="67" t="n"/>
      <c r="G208" s="68" t="n"/>
      <c r="H208" s="67" t="n"/>
      <c r="I208" s="67" t="n"/>
      <c r="J208" s="67" t="n"/>
      <c r="K208" s="69" t="n"/>
      <c r="L208" s="67" t="n"/>
      <c r="M208" s="67" t="n"/>
      <c r="N208" s="67" t="n"/>
      <c r="O208" s="67" t="n"/>
      <c r="P208" s="67" t="n"/>
      <c r="Q208" s="70" t="n"/>
      <c r="R208" s="70" t="n"/>
      <c r="S208" s="71" t="n"/>
      <c r="T208" s="72">
        <f>SUM(C208:S208)</f>
        <v/>
      </c>
      <c r="U208" s="73">
        <f>T208/T$7</f>
        <v/>
      </c>
      <c r="V208" s="74" t="n">
        <v>3</v>
      </c>
      <c r="W208" s="76">
        <f>T208*V208</f>
        <v/>
      </c>
      <c r="X208" s="169" t="n"/>
    </row>
    <row r="209" ht="13.5" customHeight="1">
      <c r="A209" s="65" t="inlineStr">
        <is>
          <t>FCPR Eurazeo Private Value Europe 3 - part A</t>
        </is>
      </c>
      <c r="B209" s="66" t="inlineStr">
        <is>
          <t>FR0013301546</t>
        </is>
      </c>
      <c r="C209" s="67" t="n"/>
      <c r="D209" s="67" t="n"/>
      <c r="E209" s="67" t="n"/>
      <c r="F209" s="67" t="n"/>
      <c r="G209" s="68" t="n"/>
      <c r="H209" s="67" t="n"/>
      <c r="I209" s="67" t="n"/>
      <c r="J209" s="67" t="n"/>
      <c r="K209" s="69" t="n"/>
      <c r="L209" s="67" t="n"/>
      <c r="M209" s="67" t="n"/>
      <c r="N209" s="67" t="n"/>
      <c r="O209" s="67" t="n"/>
      <c r="P209" s="67" t="n"/>
      <c r="Q209" s="70" t="n"/>
      <c r="R209" s="70" t="n"/>
      <c r="S209" s="71" t="n"/>
      <c r="T209" s="72">
        <f>SUM(C209:S209)</f>
        <v/>
      </c>
      <c r="U209" s="73">
        <f>T209/T$7</f>
        <v/>
      </c>
      <c r="V209" s="74" t="n">
        <v>4</v>
      </c>
      <c r="W209" s="76">
        <f>T209*V209</f>
        <v/>
      </c>
      <c r="X209" s="169" t="n"/>
    </row>
    <row r="210" ht="13.5" customHeight="1">
      <c r="A210" s="65" t="inlineStr">
        <is>
          <t xml:space="preserve">Goldman Sachs European Credit </t>
        </is>
      </c>
      <c r="B210" s="66" t="inlineStr">
        <is>
          <t>LU2605912075</t>
        </is>
      </c>
      <c r="C210" s="67" t="n"/>
      <c r="D210" s="67" t="n"/>
      <c r="E210" s="67" t="n"/>
      <c r="F210" s="67" t="n"/>
      <c r="G210" s="68" t="n"/>
      <c r="H210" s="67" t="n"/>
      <c r="I210" s="67" t="n"/>
      <c r="J210" s="67" t="n"/>
      <c r="K210" s="69" t="n"/>
      <c r="L210" s="67" t="n"/>
      <c r="M210" s="67" t="n"/>
      <c r="N210" s="67" t="n"/>
      <c r="O210" s="67" t="n"/>
      <c r="P210" s="67" t="n"/>
      <c r="Q210" s="70" t="n"/>
      <c r="R210" s="70" t="n"/>
      <c r="S210" s="71" t="n"/>
      <c r="T210" s="72">
        <f>SUM(C210:S210)</f>
        <v/>
      </c>
      <c r="U210" s="73">
        <f>T210/T$7</f>
        <v/>
      </c>
      <c r="V210" s="74" t="n">
        <v>3</v>
      </c>
      <c r="W210" s="76">
        <f>T210*V210</f>
        <v/>
      </c>
      <c r="X210" s="169" t="n"/>
    </row>
    <row r="211" ht="13.5" customHeight="1">
      <c r="A211" s="65" t="inlineStr">
        <is>
          <t>Ares European Credit Solutions A</t>
        </is>
      </c>
      <c r="B211" s="66" t="inlineStr">
        <is>
          <t>LU2702161618</t>
        </is>
      </c>
      <c r="C211" s="67" t="n"/>
      <c r="D211" s="67" t="n"/>
      <c r="E211" s="67" t="n"/>
      <c r="F211" s="67" t="n"/>
      <c r="G211" s="68" t="n"/>
      <c r="H211" s="67" t="n"/>
      <c r="I211" s="67" t="n"/>
      <c r="J211" s="67" t="n"/>
      <c r="K211" s="69" t="n"/>
      <c r="L211" s="67" t="n"/>
      <c r="M211" s="67" t="n"/>
      <c r="N211" s="67" t="n"/>
      <c r="O211" s="67" t="n"/>
      <c r="P211" s="67" t="n"/>
      <c r="Q211" s="70" t="n"/>
      <c r="R211" s="70" t="n"/>
      <c r="S211" s="71" t="n"/>
      <c r="T211" s="72">
        <f>SUM(C211:S211)</f>
        <v/>
      </c>
      <c r="U211" s="73">
        <f>T211/T$7</f>
        <v/>
      </c>
      <c r="V211" s="74" t="n">
        <v>3</v>
      </c>
      <c r="W211" s="76">
        <f>T211*V211</f>
        <v/>
      </c>
      <c r="X211" s="169" t="n"/>
    </row>
    <row r="212" ht="13.5" customFormat="1" customHeight="1" s="29">
      <c r="A212" s="101" t="inlineStr">
        <is>
          <t xml:space="preserve">Ares European Credit Solutions I </t>
        </is>
      </c>
      <c r="B212" s="102" t="inlineStr">
        <is>
          <t>LU2702162343</t>
        </is>
      </c>
      <c r="C212" s="67" t="n"/>
      <c r="D212" s="67" t="n"/>
      <c r="E212" s="68" t="n"/>
      <c r="F212" s="67" t="n"/>
      <c r="G212" s="68" t="n"/>
      <c r="H212" s="67" t="n"/>
      <c r="I212" s="67" t="n"/>
      <c r="J212" s="67" t="n"/>
      <c r="K212" s="69" t="n"/>
      <c r="L212" s="67" t="n"/>
      <c r="M212" s="67" t="n"/>
      <c r="N212" s="67" t="n"/>
      <c r="O212" s="67" t="n"/>
      <c r="P212" s="67" t="n"/>
      <c r="Q212" s="70" t="n"/>
      <c r="R212" s="70" t="n"/>
      <c r="S212" s="71" t="n"/>
      <c r="T212" s="72">
        <f>SUM(C212:S212)</f>
        <v/>
      </c>
      <c r="U212" s="73">
        <f>T212/T$7</f>
        <v/>
      </c>
      <c r="V212" s="74" t="n">
        <v>3</v>
      </c>
      <c r="W212" s="76">
        <f>T212*V212</f>
        <v/>
      </c>
      <c r="X212" s="169" t="n"/>
    </row>
    <row r="213" ht="13.5" customHeight="1">
      <c r="A213" s="65" t="inlineStr">
        <is>
          <t>Hamilton Lane SCOPE</t>
        </is>
      </c>
      <c r="B213" s="66" t="inlineStr">
        <is>
          <t>LU2547277330</t>
        </is>
      </c>
      <c r="C213" s="67" t="n"/>
      <c r="D213" s="67" t="n"/>
      <c r="E213" s="67" t="n"/>
      <c r="F213" s="67" t="n"/>
      <c r="G213" s="68" t="n"/>
      <c r="H213" s="67" t="n"/>
      <c r="I213" s="67" t="n"/>
      <c r="J213" s="67" t="n"/>
      <c r="K213" s="69" t="n"/>
      <c r="L213" s="67" t="n"/>
      <c r="M213" s="67" t="n"/>
      <c r="N213" s="67" t="n"/>
      <c r="O213" s="67" t="n"/>
      <c r="P213" s="67" t="n"/>
      <c r="Q213" s="70" t="n"/>
      <c r="R213" s="70" t="n"/>
      <c r="S213" s="71" t="n"/>
      <c r="T213" s="72">
        <f>SUM(C213:S213)</f>
        <v/>
      </c>
      <c r="U213" s="73">
        <f>T213/T$7</f>
        <v/>
      </c>
      <c r="V213" s="74" t="n">
        <v>5</v>
      </c>
      <c r="W213" s="76">
        <f>T213*V213</f>
        <v/>
      </c>
      <c r="X213" s="169" t="n"/>
    </row>
    <row r="214" ht="13.5" customHeight="1">
      <c r="A214" s="65" t="inlineStr">
        <is>
          <t>GF Lumyna Private Debt Fund</t>
        </is>
      </c>
      <c r="B214" s="66" t="inlineStr">
        <is>
          <t>FR001400NQN1</t>
        </is>
      </c>
      <c r="C214" s="67" t="n"/>
      <c r="D214" s="67" t="n"/>
      <c r="E214" s="67" t="n"/>
      <c r="F214" s="67" t="n"/>
      <c r="G214" s="68" t="n"/>
      <c r="H214" s="67" t="n"/>
      <c r="I214" s="67" t="n"/>
      <c r="J214" s="67" t="n"/>
      <c r="K214" s="69" t="n"/>
      <c r="L214" s="67" t="n"/>
      <c r="M214" s="67" t="n"/>
      <c r="N214" s="67" t="n"/>
      <c r="O214" s="67" t="n"/>
      <c r="P214" s="67" t="n"/>
      <c r="Q214" s="70" t="n"/>
      <c r="R214" s="70" t="n"/>
      <c r="S214" s="71" t="n"/>
      <c r="T214" s="72">
        <f>SUM(C214:S214)</f>
        <v/>
      </c>
      <c r="U214" s="73">
        <f>T214/T$7</f>
        <v/>
      </c>
      <c r="V214" s="74" t="n">
        <v>3</v>
      </c>
      <c r="W214" s="76">
        <f>T214*V214</f>
        <v/>
      </c>
      <c r="X214" s="169" t="n"/>
    </row>
    <row r="215" ht="13.5" customHeight="1">
      <c r="A215" s="65" t="inlineStr">
        <is>
          <t>FPS UNIPHARMA II – Parts A</t>
        </is>
      </c>
      <c r="B215" s="66" t="inlineStr">
        <is>
          <t>FR0014001LJ0</t>
        </is>
      </c>
      <c r="C215" s="67" t="n"/>
      <c r="D215" s="67" t="n"/>
      <c r="E215" s="67" t="n"/>
      <c r="F215" s="67" t="n"/>
      <c r="G215" s="68" t="n"/>
      <c r="H215" s="67" t="n"/>
      <c r="I215" s="67" t="n"/>
      <c r="J215" s="67" t="n"/>
      <c r="K215" s="69" t="n"/>
      <c r="L215" s="67" t="n"/>
      <c r="M215" s="67" t="n"/>
      <c r="N215" s="67" t="n"/>
      <c r="O215" s="67" t="n"/>
      <c r="P215" s="67" t="n"/>
      <c r="Q215" s="70" t="n"/>
      <c r="R215" s="70" t="n"/>
      <c r="S215" s="71" t="n"/>
      <c r="T215" s="72">
        <f>SUM(C215:S215)</f>
        <v/>
      </c>
      <c r="U215" s="73">
        <f>T215/T$7</f>
        <v/>
      </c>
      <c r="V215" s="74" t="n">
        <v>3</v>
      </c>
      <c r="W215" s="76">
        <f>T215*V215</f>
        <v/>
      </c>
      <c r="X215" s="169" t="n"/>
    </row>
    <row r="216" ht="13.5" customHeight="1">
      <c r="A216" s="65" t="inlineStr">
        <is>
          <t>FPS UNI III - Parts A2</t>
        </is>
      </c>
      <c r="B216" s="66" t="inlineStr">
        <is>
          <t>FR001400IEE6</t>
        </is>
      </c>
      <c r="C216" s="67" t="n"/>
      <c r="D216" s="67" t="n"/>
      <c r="E216" s="67" t="n"/>
      <c r="F216" s="67" t="n"/>
      <c r="G216" s="68" t="n"/>
      <c r="H216" s="67" t="n"/>
      <c r="I216" s="67" t="n"/>
      <c r="J216" s="67" t="n"/>
      <c r="K216" s="69" t="n"/>
      <c r="L216" s="67" t="n"/>
      <c r="M216" s="67" t="n"/>
      <c r="N216" s="67" t="n"/>
      <c r="O216" s="67" t="n"/>
      <c r="P216" s="67" t="n"/>
      <c r="Q216" s="70" t="n"/>
      <c r="R216" s="70" t="n"/>
      <c r="S216" s="71" t="n"/>
      <c r="T216" s="72">
        <f>SUM(C216:S216)</f>
        <v/>
      </c>
      <c r="U216" s="73">
        <f>T216/T$7</f>
        <v/>
      </c>
      <c r="V216" s="74" t="n"/>
      <c r="W216" s="76">
        <f>T216*V216</f>
        <v/>
      </c>
      <c r="X216" s="169" t="n"/>
    </row>
    <row r="217" ht="13.5" customHeight="1">
      <c r="A217" s="65" t="inlineStr">
        <is>
          <t>FCPR SG Tikehau Dette Privée</t>
        </is>
      </c>
      <c r="B217" s="66" t="inlineStr">
        <is>
          <t>FR001400AZ60</t>
        </is>
      </c>
      <c r="C217" s="67" t="n"/>
      <c r="D217" s="67" t="n"/>
      <c r="E217" s="67" t="n"/>
      <c r="F217" s="67" t="n"/>
      <c r="G217" s="68" t="n"/>
      <c r="H217" s="67" t="n"/>
      <c r="I217" s="67" t="n"/>
      <c r="J217" s="67" t="n"/>
      <c r="K217" s="69" t="n"/>
      <c r="L217" s="67" t="n"/>
      <c r="M217" s="67" t="n"/>
      <c r="N217" s="67" t="n"/>
      <c r="O217" s="67" t="n"/>
      <c r="P217" s="67" t="n"/>
      <c r="Q217" s="70" t="n"/>
      <c r="R217" s="70" t="n"/>
      <c r="S217" s="71" t="n"/>
      <c r="T217" s="72">
        <f>SUM(C217:S217)</f>
        <v/>
      </c>
      <c r="U217" s="73">
        <f>T217/T$7</f>
        <v/>
      </c>
      <c r="V217" s="74" t="n"/>
      <c r="W217" s="76">
        <f>T217*V217</f>
        <v/>
      </c>
      <c r="X217" s="169" t="n"/>
    </row>
    <row r="218" ht="13.5" customHeight="1">
      <c r="A218" s="65" t="n"/>
      <c r="B218" s="75" t="n"/>
      <c r="C218" s="67" t="n"/>
      <c r="D218" s="67" t="n"/>
      <c r="E218" s="67" t="n"/>
      <c r="F218" s="67" t="n"/>
      <c r="G218" s="68" t="n"/>
      <c r="H218" s="67" t="n"/>
      <c r="I218" s="67" t="n"/>
      <c r="J218" s="67" t="n"/>
      <c r="K218" s="69" t="n"/>
      <c r="L218" s="67" t="n"/>
      <c r="M218" s="67" t="n"/>
      <c r="N218" s="67" t="n"/>
      <c r="O218" s="67" t="n"/>
      <c r="P218" s="67" t="n"/>
      <c r="Q218" s="70" t="n"/>
      <c r="R218" s="70" t="n"/>
      <c r="S218" s="71" t="n"/>
      <c r="T218" s="72">
        <f>SUM(C218:S218)</f>
        <v/>
      </c>
      <c r="U218" s="73">
        <f>T218/T$7</f>
        <v/>
      </c>
      <c r="V218" s="74" t="n"/>
      <c r="W218" s="76">
        <f>T218*V218</f>
        <v/>
      </c>
      <c r="X218" s="169" t="n"/>
    </row>
    <row r="219" ht="13.5" customHeight="1">
      <c r="A219" s="65" t="n"/>
      <c r="B219" s="75" t="n"/>
      <c r="C219" s="67" t="n"/>
      <c r="D219" s="67" t="n"/>
      <c r="E219" s="67" t="n"/>
      <c r="F219" s="67" t="n"/>
      <c r="G219" s="68" t="n"/>
      <c r="H219" s="67" t="n"/>
      <c r="I219" s="67" t="n"/>
      <c r="J219" s="67" t="n"/>
      <c r="K219" s="69" t="n"/>
      <c r="L219" s="67" t="n"/>
      <c r="M219" s="67" t="n"/>
      <c r="N219" s="67" t="n"/>
      <c r="O219" s="67" t="n"/>
      <c r="P219" s="67" t="n"/>
      <c r="Q219" s="70" t="n"/>
      <c r="R219" s="70" t="n"/>
      <c r="S219" s="71" t="n"/>
      <c r="T219" s="72">
        <f>SUM(C219:S219)</f>
        <v/>
      </c>
      <c r="U219" s="73">
        <f>T219/T$7</f>
        <v/>
      </c>
      <c r="V219" s="74" t="n"/>
      <c r="W219" s="76">
        <f>T219*V219</f>
        <v/>
      </c>
      <c r="X219" s="169" t="n"/>
    </row>
    <row r="220" ht="13.5" customHeight="1">
      <c r="A220" s="65" t="n"/>
      <c r="B220" s="75" t="n"/>
      <c r="C220" s="67" t="n"/>
      <c r="D220" s="67" t="n"/>
      <c r="E220" s="67" t="n"/>
      <c r="F220" s="67" t="n"/>
      <c r="G220" s="68" t="n"/>
      <c r="H220" s="67" t="n"/>
      <c r="I220" s="67" t="n"/>
      <c r="J220" s="67" t="n"/>
      <c r="K220" s="69" t="n"/>
      <c r="L220" s="67" t="n"/>
      <c r="M220" s="67" t="n"/>
      <c r="N220" s="67" t="n"/>
      <c r="O220" s="67" t="n"/>
      <c r="P220" s="67" t="n"/>
      <c r="Q220" s="70" t="n"/>
      <c r="R220" s="70" t="n"/>
      <c r="S220" s="71" t="n"/>
      <c r="T220" s="72">
        <f>SUM(C220:S220)</f>
        <v/>
      </c>
      <c r="U220" s="73">
        <f>T220/T$7</f>
        <v/>
      </c>
      <c r="V220" s="74" t="n"/>
      <c r="W220" s="76">
        <f>T220*V220</f>
        <v/>
      </c>
      <c r="X220" s="169" t="n"/>
    </row>
    <row r="221" ht="13.5" customHeight="1">
      <c r="A221" s="65" t="n"/>
      <c r="B221" s="75" t="n"/>
      <c r="C221" s="67" t="n"/>
      <c r="D221" s="67" t="n"/>
      <c r="E221" s="67" t="n"/>
      <c r="F221" s="67" t="n"/>
      <c r="G221" s="68" t="n"/>
      <c r="H221" s="67" t="n"/>
      <c r="I221" s="67" t="n"/>
      <c r="J221" s="67" t="n"/>
      <c r="K221" s="69" t="n"/>
      <c r="L221" s="67" t="n"/>
      <c r="M221" s="67" t="n"/>
      <c r="N221" s="67" t="n"/>
      <c r="O221" s="67" t="n"/>
      <c r="P221" s="67" t="n"/>
      <c r="Q221" s="70" t="n"/>
      <c r="R221" s="70" t="n"/>
      <c r="S221" s="71" t="n"/>
      <c r="T221" s="72">
        <f>SUM(C221:S221)</f>
        <v/>
      </c>
      <c r="U221" s="73">
        <f>T221/T$7</f>
        <v/>
      </c>
      <c r="V221" s="74" t="n"/>
      <c r="W221" s="76">
        <f>T221*V221</f>
        <v/>
      </c>
      <c r="X221" s="169" t="n"/>
    </row>
    <row r="222" ht="13.5" customHeight="1">
      <c r="A222" s="65" t="n"/>
      <c r="B222" s="75" t="n"/>
      <c r="C222" s="67" t="n"/>
      <c r="D222" s="67" t="n"/>
      <c r="E222" s="67" t="n"/>
      <c r="F222" s="67" t="n"/>
      <c r="G222" s="68" t="n"/>
      <c r="H222" s="67" t="n"/>
      <c r="I222" s="67" t="n"/>
      <c r="J222" s="67" t="n"/>
      <c r="K222" s="69" t="n"/>
      <c r="L222" s="67" t="n"/>
      <c r="M222" s="67" t="n"/>
      <c r="N222" s="67" t="n"/>
      <c r="O222" s="67" t="n"/>
      <c r="P222" s="67" t="n"/>
      <c r="Q222" s="70" t="n"/>
      <c r="R222" s="70" t="n"/>
      <c r="S222" s="71" t="n"/>
      <c r="T222" s="72">
        <f>SUM(C222:S222)</f>
        <v/>
      </c>
      <c r="U222" s="73">
        <f>T222/T$7</f>
        <v/>
      </c>
      <c r="V222" s="74" t="n"/>
      <c r="W222" s="76">
        <f>T222*V222</f>
        <v/>
      </c>
      <c r="X222" s="169" t="n"/>
    </row>
    <row r="223" ht="13.5" customHeight="1">
      <c r="A223" s="65" t="n"/>
      <c r="B223" s="75" t="n"/>
      <c r="C223" s="67" t="n"/>
      <c r="D223" s="67" t="n"/>
      <c r="E223" s="67" t="n"/>
      <c r="F223" s="67" t="n"/>
      <c r="G223" s="68" t="n"/>
      <c r="H223" s="67" t="n"/>
      <c r="I223" s="67" t="n"/>
      <c r="J223" s="67" t="n"/>
      <c r="K223" s="69" t="n"/>
      <c r="L223" s="67" t="n"/>
      <c r="M223" s="67" t="n"/>
      <c r="N223" s="67" t="n"/>
      <c r="O223" s="67" t="n"/>
      <c r="P223" s="67" t="n"/>
      <c r="Q223" s="70" t="n"/>
      <c r="R223" s="70" t="n"/>
      <c r="S223" s="71" t="n"/>
      <c r="T223" s="72">
        <f>SUM(C223:S223)</f>
        <v/>
      </c>
      <c r="U223" s="73">
        <f>T223/T$7</f>
        <v/>
      </c>
      <c r="V223" s="74" t="n"/>
      <c r="W223" s="76">
        <f>T223*V223</f>
        <v/>
      </c>
      <c r="X223" s="169" t="n"/>
    </row>
    <row r="224" ht="13.5" customHeight="1">
      <c r="A224" s="65" t="n"/>
      <c r="B224" s="75" t="n"/>
      <c r="C224" s="67" t="n"/>
      <c r="D224" s="67" t="n"/>
      <c r="E224" s="67" t="n"/>
      <c r="F224" s="67" t="n"/>
      <c r="G224" s="68" t="n"/>
      <c r="H224" s="67" t="n"/>
      <c r="I224" s="67" t="n"/>
      <c r="J224" s="67" t="n"/>
      <c r="K224" s="69" t="n"/>
      <c r="L224" s="67" t="n"/>
      <c r="M224" s="67" t="n"/>
      <c r="N224" s="67" t="n"/>
      <c r="O224" s="67" t="n"/>
      <c r="P224" s="67" t="n"/>
      <c r="Q224" s="70" t="n"/>
      <c r="R224" s="70" t="n"/>
      <c r="S224" s="71" t="n"/>
      <c r="T224" s="72">
        <f>SUM(C224:S224)</f>
        <v/>
      </c>
      <c r="U224" s="73">
        <f>T224/T$7</f>
        <v/>
      </c>
      <c r="V224" s="74" t="n"/>
      <c r="W224" s="76">
        <f>T224*V224</f>
        <v/>
      </c>
      <c r="X224" s="169" t="n"/>
    </row>
    <row r="225" ht="13.5" customHeight="1">
      <c r="A225" s="65" t="n"/>
      <c r="B225" s="75" t="n"/>
      <c r="C225" s="67" t="n"/>
      <c r="D225" s="67" t="n"/>
      <c r="E225" s="67" t="n"/>
      <c r="F225" s="67" t="n"/>
      <c r="G225" s="68" t="n"/>
      <c r="H225" s="67" t="n"/>
      <c r="I225" s="67" t="n"/>
      <c r="J225" s="67" t="n"/>
      <c r="K225" s="69" t="n"/>
      <c r="L225" s="67" t="n"/>
      <c r="M225" s="67" t="n"/>
      <c r="N225" s="67" t="n"/>
      <c r="O225" s="67" t="n"/>
      <c r="P225" s="67" t="n"/>
      <c r="Q225" s="70" t="n"/>
      <c r="R225" s="70" t="n"/>
      <c r="S225" s="71" t="n"/>
      <c r="T225" s="72">
        <f>SUM(C225:S225)</f>
        <v/>
      </c>
      <c r="U225" s="73">
        <f>T225/T$7</f>
        <v/>
      </c>
      <c r="V225" s="74" t="n"/>
      <c r="W225" s="76">
        <f>T225*V225</f>
        <v/>
      </c>
      <c r="X225" s="169" t="n"/>
    </row>
    <row r="226" ht="13.5" customHeight="1">
      <c r="A226" s="65" t="n"/>
      <c r="B226" s="75" t="n"/>
      <c r="C226" s="67" t="n"/>
      <c r="D226" s="67" t="n"/>
      <c r="E226" s="67" t="n"/>
      <c r="F226" s="67" t="n"/>
      <c r="G226" s="68" t="n"/>
      <c r="H226" s="67" t="n"/>
      <c r="I226" s="67" t="n"/>
      <c r="J226" s="67" t="n"/>
      <c r="K226" s="69" t="n"/>
      <c r="L226" s="67" t="n"/>
      <c r="M226" s="67" t="n"/>
      <c r="N226" s="67" t="n"/>
      <c r="O226" s="67" t="n"/>
      <c r="P226" s="67" t="n"/>
      <c r="Q226" s="70" t="n"/>
      <c r="R226" s="70" t="n"/>
      <c r="S226" s="71" t="n"/>
      <c r="T226" s="72">
        <f>SUM(C226:S226)</f>
        <v/>
      </c>
      <c r="U226" s="73">
        <f>T226/T$7</f>
        <v/>
      </c>
      <c r="V226" s="74" t="n"/>
      <c r="W226" s="76">
        <f>T226*V226</f>
        <v/>
      </c>
      <c r="X226" s="169" t="n"/>
    </row>
    <row r="227" ht="13.5" customHeight="1">
      <c r="A227" s="65" t="n"/>
      <c r="B227" s="75" t="n"/>
      <c r="C227" s="67" t="n"/>
      <c r="D227" s="67" t="n"/>
      <c r="E227" s="67" t="n"/>
      <c r="F227" s="67" t="n"/>
      <c r="G227" s="68" t="n"/>
      <c r="H227" s="67" t="n"/>
      <c r="I227" s="67" t="n"/>
      <c r="J227" s="67" t="n"/>
      <c r="K227" s="69" t="n"/>
      <c r="L227" s="67" t="n"/>
      <c r="M227" s="67" t="n"/>
      <c r="N227" s="67" t="n"/>
      <c r="O227" s="67" t="n"/>
      <c r="P227" s="67" t="n"/>
      <c r="Q227" s="70" t="n"/>
      <c r="R227" s="70" t="n"/>
      <c r="S227" s="71" t="n"/>
      <c r="T227" s="72">
        <f>SUM(C227:S227)</f>
        <v/>
      </c>
      <c r="U227" s="73">
        <f>T227/T$7</f>
        <v/>
      </c>
      <c r="V227" s="74" t="n"/>
      <c r="W227" s="76">
        <f>T227*V227</f>
        <v/>
      </c>
      <c r="X227" s="169" t="n"/>
    </row>
    <row r="228" ht="13.5" customHeight="1">
      <c r="A228" s="65" t="n"/>
      <c r="B228" s="75" t="n"/>
      <c r="C228" s="67" t="n"/>
      <c r="D228" s="67" t="n"/>
      <c r="E228" s="67" t="n"/>
      <c r="F228" s="67" t="n"/>
      <c r="G228" s="68" t="n"/>
      <c r="H228" s="67" t="n"/>
      <c r="I228" s="67" t="n"/>
      <c r="J228" s="67" t="n"/>
      <c r="K228" s="69" t="n"/>
      <c r="L228" s="67" t="n"/>
      <c r="M228" s="67" t="n"/>
      <c r="N228" s="67" t="n"/>
      <c r="O228" s="67" t="n"/>
      <c r="P228" s="67" t="n"/>
      <c r="Q228" s="70" t="n"/>
      <c r="R228" s="70" t="n"/>
      <c r="S228" s="71" t="n"/>
      <c r="T228" s="72">
        <f>SUM(C228:S228)</f>
        <v/>
      </c>
      <c r="U228" s="73">
        <f>T228/T$7</f>
        <v/>
      </c>
      <c r="V228" s="74" t="n"/>
      <c r="W228" s="76">
        <f>T228*V228</f>
        <v/>
      </c>
      <c r="X228" s="169" t="n"/>
    </row>
    <row r="229" ht="13.5" customHeight="1">
      <c r="A229" s="65" t="n"/>
      <c r="B229" s="75" t="n"/>
      <c r="C229" s="67" t="n"/>
      <c r="D229" s="67" t="n"/>
      <c r="E229" s="67" t="n"/>
      <c r="F229" s="67" t="n"/>
      <c r="G229" s="68" t="n"/>
      <c r="H229" s="67" t="n"/>
      <c r="I229" s="67" t="n"/>
      <c r="J229" s="67" t="n"/>
      <c r="K229" s="69" t="n"/>
      <c r="L229" s="67" t="n"/>
      <c r="M229" s="67" t="n"/>
      <c r="N229" s="67" t="n"/>
      <c r="O229" s="67" t="n"/>
      <c r="P229" s="67" t="n"/>
      <c r="Q229" s="70" t="n"/>
      <c r="R229" s="70" t="n"/>
      <c r="S229" s="71" t="n"/>
      <c r="T229" s="72">
        <f>SUM(C229:S229)</f>
        <v/>
      </c>
      <c r="U229" s="73">
        <f>T229/T$7</f>
        <v/>
      </c>
      <c r="V229" s="74" t="n"/>
      <c r="W229" s="76">
        <f>T229*V229</f>
        <v/>
      </c>
      <c r="X229" s="169" t="n"/>
    </row>
    <row r="230" ht="14" customFormat="1" customHeight="1" s="258">
      <c r="A230" s="235" t="inlineStr">
        <is>
          <t>Private Equity</t>
        </is>
      </c>
      <c r="B230" s="236" t="n"/>
      <c r="C230" s="135">
        <f>SUM(C231:C310)</f>
        <v/>
      </c>
      <c r="D230" s="135">
        <f>SUM(D231:D310)</f>
        <v/>
      </c>
      <c r="E230" s="135">
        <f>SUM(E231:E310)</f>
        <v/>
      </c>
      <c r="F230" s="135">
        <f>SUM(F231:F310)</f>
        <v/>
      </c>
      <c r="G230" s="135">
        <f>SUM(G231:G310)</f>
        <v/>
      </c>
      <c r="H230" s="135">
        <f>SUM(H231:H310)</f>
        <v/>
      </c>
      <c r="I230" s="135">
        <f>SUM(I231:I310)</f>
        <v/>
      </c>
      <c r="J230" s="135">
        <f>SUM(J231:J310)</f>
        <v/>
      </c>
      <c r="K230" s="135">
        <f>SUM(K231:K310)</f>
        <v/>
      </c>
      <c r="L230" s="135">
        <f>SUM(L231:L310)</f>
        <v/>
      </c>
      <c r="M230" s="135">
        <f>SUM(M231:M310)</f>
        <v/>
      </c>
      <c r="N230" s="135">
        <f>SUM(N231:N310)</f>
        <v/>
      </c>
      <c r="O230" s="135">
        <f>SUM(O231:O310)</f>
        <v/>
      </c>
      <c r="P230" s="135">
        <f>SUM(P231:P310)</f>
        <v/>
      </c>
      <c r="Q230" s="135">
        <f>SUM(Q231:Q310)</f>
        <v/>
      </c>
      <c r="R230" s="135">
        <f>SUM(R231:R310)</f>
        <v/>
      </c>
      <c r="S230" s="135">
        <f>SUM(S231:S310)</f>
        <v/>
      </c>
      <c r="T230" s="152">
        <f>SUM(C230:S230)</f>
        <v/>
      </c>
      <c r="U230" s="137">
        <f>SUM(U231:U310)</f>
        <v/>
      </c>
      <c r="V230" s="138" t="n"/>
      <c r="W230" s="210" t="n"/>
      <c r="X230" s="211" t="n"/>
    </row>
    <row r="231" ht="13.5" customHeight="1">
      <c r="A231" s="65" t="inlineStr">
        <is>
          <t>Althos Private Equity F</t>
        </is>
      </c>
      <c r="B231" s="66" t="inlineStr">
        <is>
          <t>FR001400QZD6</t>
        </is>
      </c>
      <c r="C231" s="67" t="n"/>
      <c r="D231" s="67" t="n"/>
      <c r="E231" s="67" t="n"/>
      <c r="F231" s="67" t="n"/>
      <c r="G231" s="67" t="n"/>
      <c r="H231" s="67" t="n"/>
      <c r="I231" s="67" t="n"/>
      <c r="J231" s="67" t="n"/>
      <c r="K231" s="69" t="n"/>
      <c r="L231" s="67" t="n"/>
      <c r="M231" s="67" t="n"/>
      <c r="N231" s="67" t="n"/>
      <c r="O231" s="67" t="n"/>
      <c r="P231" s="67" t="n"/>
      <c r="Q231" s="70" t="n"/>
      <c r="R231" s="70" t="n"/>
      <c r="S231" s="71" t="n"/>
      <c r="T231" s="72">
        <f>SUM(C231:S231)</f>
        <v/>
      </c>
      <c r="U231" s="73">
        <f>T231/T$7</f>
        <v/>
      </c>
      <c r="V231" s="74" t="n">
        <v>6</v>
      </c>
      <c r="W231" s="76">
        <f>T231*V231</f>
        <v/>
      </c>
      <c r="X231" s="169" t="n"/>
    </row>
    <row r="232" ht="13.5" customHeight="1">
      <c r="A232" s="65" t="inlineStr">
        <is>
          <t>Althos Private Equity part A</t>
        </is>
      </c>
      <c r="B232" s="66" t="inlineStr">
        <is>
          <t>FR001400QZ70</t>
        </is>
      </c>
      <c r="C232" s="67" t="n"/>
      <c r="D232" s="67" t="n"/>
      <c r="E232" s="68" t="n"/>
      <c r="F232" s="68" t="n"/>
      <c r="G232" s="68" t="n"/>
      <c r="H232" s="67" t="n"/>
      <c r="I232" s="67" t="n"/>
      <c r="J232" s="67" t="n"/>
      <c r="K232" s="69" t="n"/>
      <c r="L232" s="67" t="n"/>
      <c r="M232" s="67" t="n"/>
      <c r="N232" s="67" t="n"/>
      <c r="O232" s="67" t="n"/>
      <c r="P232" s="67" t="n"/>
      <c r="Q232" s="70" t="n"/>
      <c r="R232" s="70" t="n"/>
      <c r="S232" s="71" t="n"/>
      <c r="T232" s="72">
        <f>SUM(C232:S232)</f>
        <v/>
      </c>
      <c r="U232" s="73">
        <f>T232/T$7</f>
        <v/>
      </c>
      <c r="V232" s="74" t="n">
        <v>6</v>
      </c>
      <c r="W232" s="76">
        <f>T232*V232</f>
        <v/>
      </c>
      <c r="X232" s="169" t="n"/>
    </row>
    <row r="233" ht="13.5" customHeight="1">
      <c r="A233" s="65" t="inlineStr">
        <is>
          <t>Althos Private Equity part B</t>
        </is>
      </c>
      <c r="B233" s="66" t="inlineStr">
        <is>
          <t>FR001400QZB0</t>
        </is>
      </c>
      <c r="C233" s="67" t="n"/>
      <c r="D233" s="67" t="n"/>
      <c r="E233" s="68" t="n"/>
      <c r="F233" s="68" t="n"/>
      <c r="G233" s="68" t="n"/>
      <c r="H233" s="67" t="n"/>
      <c r="I233" s="67" t="n"/>
      <c r="J233" s="67" t="n"/>
      <c r="K233" s="69" t="n"/>
      <c r="L233" s="67" t="n"/>
      <c r="M233" s="67" t="n"/>
      <c r="N233" s="67" t="n"/>
      <c r="O233" s="67" t="n"/>
      <c r="P233" s="67" t="n"/>
      <c r="Q233" s="70" t="n"/>
      <c r="R233" s="70" t="n"/>
      <c r="S233" s="71" t="n"/>
      <c r="T233" s="72">
        <f>SUM(C233:S233)</f>
        <v/>
      </c>
      <c r="U233" s="73">
        <f>T233/T$7</f>
        <v/>
      </c>
      <c r="V233" s="74" t="n">
        <v>6</v>
      </c>
      <c r="W233" s="76">
        <f>T233*V233</f>
        <v/>
      </c>
      <c r="X233" s="169" t="n"/>
    </row>
    <row r="234" ht="13.5" customHeight="1">
      <c r="A234" s="65" t="inlineStr">
        <is>
          <t>Althos Private Equity part C</t>
        </is>
      </c>
      <c r="B234" s="66" t="inlineStr">
        <is>
          <t>FR001400QZ88</t>
        </is>
      </c>
      <c r="C234" s="67" t="n"/>
      <c r="D234" s="67" t="n"/>
      <c r="E234" s="68" t="n"/>
      <c r="F234" s="68" t="n"/>
      <c r="G234" s="68" t="n"/>
      <c r="H234" s="67" t="n"/>
      <c r="I234" s="67" t="n"/>
      <c r="J234" s="67" t="n"/>
      <c r="K234" s="69" t="n"/>
      <c r="L234" s="67" t="n"/>
      <c r="M234" s="67" t="n"/>
      <c r="N234" s="67" t="n"/>
      <c r="O234" s="67" t="n"/>
      <c r="P234" s="67" t="n"/>
      <c r="Q234" s="70" t="n"/>
      <c r="R234" s="70" t="n"/>
      <c r="S234" s="71" t="n"/>
      <c r="T234" s="72">
        <f>SUM(C234:S234)</f>
        <v/>
      </c>
      <c r="U234" s="73">
        <f>T234/T$7</f>
        <v/>
      </c>
      <c r="V234" s="74" t="n">
        <v>6</v>
      </c>
      <c r="W234" s="76">
        <f>T234*V234</f>
        <v/>
      </c>
      <c r="X234" s="169" t="n"/>
    </row>
    <row r="235" ht="13.5" customHeight="1">
      <c r="A235" s="65" t="inlineStr">
        <is>
          <t>Althos Private Equity part D</t>
        </is>
      </c>
      <c r="B235" s="66" t="inlineStr">
        <is>
          <t>FR001400QZA2</t>
        </is>
      </c>
      <c r="C235" s="67" t="n"/>
      <c r="D235" s="67" t="n"/>
      <c r="E235" s="68" t="n"/>
      <c r="F235" s="68" t="n"/>
      <c r="G235" s="68" t="n"/>
      <c r="H235" s="67" t="n"/>
      <c r="I235" s="67" t="n"/>
      <c r="J235" s="67" t="n"/>
      <c r="K235" s="69" t="n"/>
      <c r="L235" s="67" t="n"/>
      <c r="M235" s="67" t="n"/>
      <c r="N235" s="67" t="n"/>
      <c r="O235" s="67" t="n"/>
      <c r="P235" s="67" t="n"/>
      <c r="Q235" s="70" t="n"/>
      <c r="R235" s="70" t="n"/>
      <c r="S235" s="71" t="n"/>
      <c r="T235" s="72">
        <f>SUM(C235:S235)</f>
        <v/>
      </c>
      <c r="U235" s="73">
        <f>T235/T$7</f>
        <v/>
      </c>
      <c r="V235" s="74" t="n">
        <v>6</v>
      </c>
      <c r="W235" s="76">
        <f>T235*V235</f>
        <v/>
      </c>
      <c r="X235" s="169" t="n"/>
    </row>
    <row r="236" ht="13.5" customHeight="1">
      <c r="A236" s="65" t="inlineStr">
        <is>
          <t>Althos Private Equity part E</t>
        </is>
      </c>
      <c r="B236" s="66" t="inlineStr">
        <is>
          <t>FR001400QZC8</t>
        </is>
      </c>
      <c r="C236" s="67" t="n"/>
      <c r="D236" s="67" t="n"/>
      <c r="E236" s="68" t="n"/>
      <c r="F236" s="68" t="n"/>
      <c r="G236" s="68" t="n"/>
      <c r="H236" s="67" t="n"/>
      <c r="I236" s="67" t="n"/>
      <c r="J236" s="67" t="n"/>
      <c r="K236" s="69" t="n"/>
      <c r="L236" s="67" t="n"/>
      <c r="M236" s="67" t="n"/>
      <c r="N236" s="67" t="n"/>
      <c r="O236" s="67" t="n"/>
      <c r="P236" s="67" t="n"/>
      <c r="Q236" s="70" t="n"/>
      <c r="R236" s="70" t="n"/>
      <c r="S236" s="71" t="n"/>
      <c r="T236" s="72">
        <f>SUM(C236:S236)</f>
        <v/>
      </c>
      <c r="U236" s="73">
        <f>T236/T$7</f>
        <v/>
      </c>
      <c r="V236" s="74" t="n">
        <v>6</v>
      </c>
      <c r="W236" s="76">
        <f>T236*V236</f>
        <v/>
      </c>
      <c r="X236" s="169" t="n"/>
    </row>
    <row r="237" ht="13.5" customHeight="1">
      <c r="A237" s="65" t="inlineStr">
        <is>
          <t>Pantheon Global Private Equity S EUR</t>
        </is>
      </c>
      <c r="B237" s="66" t="inlineStr">
        <is>
          <t>LU2756307729</t>
        </is>
      </c>
      <c r="C237" s="67" t="n"/>
      <c r="D237" s="67" t="n"/>
      <c r="E237" s="67" t="n"/>
      <c r="F237" s="67" t="n"/>
      <c r="G237" s="67" t="n"/>
      <c r="H237" s="67" t="n"/>
      <c r="I237" s="67" t="n"/>
      <c r="J237" s="67" t="n"/>
      <c r="K237" s="69" t="n"/>
      <c r="L237" s="67" t="n"/>
      <c r="M237" s="67" t="n"/>
      <c r="N237" s="67" t="n"/>
      <c r="O237" s="67" t="n"/>
      <c r="P237" s="67" t="n"/>
      <c r="Q237" s="70" t="n"/>
      <c r="R237" s="70" t="n"/>
      <c r="S237" s="71" t="n"/>
      <c r="T237" s="72">
        <f>SUM(C237:S237)</f>
        <v/>
      </c>
      <c r="U237" s="73">
        <f>T237/T$7</f>
        <v/>
      </c>
      <c r="V237" s="74" t="n">
        <v>5</v>
      </c>
      <c r="W237" s="76">
        <f>T237*V237</f>
        <v/>
      </c>
      <c r="X237" s="169" t="n"/>
    </row>
    <row r="238" ht="13.5" customFormat="1" customHeight="1" s="29">
      <c r="A238" s="65" t="inlineStr">
        <is>
          <t>Hg Fusion</t>
        </is>
      </c>
      <c r="B238" s="66" t="inlineStr">
        <is>
          <t>LU2862929846</t>
        </is>
      </c>
      <c r="C238" s="67" t="n"/>
      <c r="D238" s="67" t="n"/>
      <c r="E238" s="68" t="n"/>
      <c r="F238" s="67" t="n"/>
      <c r="G238" s="68" t="n"/>
      <c r="H238" s="67" t="n"/>
      <c r="I238" s="67" t="n"/>
      <c r="J238" s="67" t="n"/>
      <c r="K238" s="69" t="n"/>
      <c r="L238" s="67" t="n"/>
      <c r="M238" s="67" t="n"/>
      <c r="N238" s="67" t="n"/>
      <c r="O238" s="67" t="n"/>
      <c r="P238" s="67" t="n"/>
      <c r="Q238" s="70" t="n"/>
      <c r="R238" s="70" t="n"/>
      <c r="S238" s="71" t="n"/>
      <c r="T238" s="72">
        <f>SUM(C238:S238)</f>
        <v/>
      </c>
      <c r="U238" s="73">
        <f>T238/T$7</f>
        <v/>
      </c>
      <c r="V238" s="74" t="n">
        <v>4</v>
      </c>
      <c r="W238" s="76">
        <f>T238*V238</f>
        <v/>
      </c>
      <c r="X238" s="169" t="n"/>
    </row>
    <row r="239" ht="13.5" customFormat="1" customHeight="1" s="29">
      <c r="A239" s="65" t="inlineStr">
        <is>
          <t>StepStone SPRIM - Private Market</t>
        </is>
      </c>
      <c r="B239" s="66" t="inlineStr">
        <is>
          <t>LU2485281419</t>
        </is>
      </c>
      <c r="C239" s="67" t="n"/>
      <c r="D239" s="67" t="n"/>
      <c r="E239" s="68" t="n"/>
      <c r="F239" s="67" t="n"/>
      <c r="G239" s="68" t="n"/>
      <c r="H239" s="67" t="n"/>
      <c r="I239" s="67" t="n"/>
      <c r="J239" s="67" t="n"/>
      <c r="K239" s="69" t="n"/>
      <c r="L239" s="67" t="n"/>
      <c r="M239" s="67" t="n"/>
      <c r="N239" s="67" t="n"/>
      <c r="O239" s="67" t="n"/>
      <c r="P239" s="67" t="n"/>
      <c r="Q239" s="70" t="n"/>
      <c r="R239" s="70" t="n"/>
      <c r="S239" s="71" t="n"/>
      <c r="T239" s="72">
        <f>SUM(C239:S239)</f>
        <v/>
      </c>
      <c r="U239" s="73">
        <f>T239/T$7</f>
        <v/>
      </c>
      <c r="V239" s="74" t="n">
        <v>4</v>
      </c>
      <c r="W239" s="76">
        <f>T239*V239</f>
        <v/>
      </c>
      <c r="X239" s="169" t="n"/>
    </row>
    <row r="240" ht="13.5" customFormat="1" customHeight="1" s="29">
      <c r="A240" s="65" t="inlineStr">
        <is>
          <t>StepStone SPRING</t>
        </is>
      </c>
      <c r="B240" s="66" t="inlineStr">
        <is>
          <t>LU2528864353</t>
        </is>
      </c>
      <c r="C240" s="67" t="n"/>
      <c r="D240" s="67" t="n"/>
      <c r="E240" s="68" t="n"/>
      <c r="F240" s="67" t="n"/>
      <c r="G240" s="68" t="n"/>
      <c r="H240" s="67" t="n"/>
      <c r="I240" s="67" t="n"/>
      <c r="J240" s="67" t="n"/>
      <c r="K240" s="69" t="n"/>
      <c r="L240" s="67" t="n"/>
      <c r="M240" s="67" t="n"/>
      <c r="N240" s="67" t="n"/>
      <c r="O240" s="67" t="n"/>
      <c r="P240" s="67" t="n"/>
      <c r="Q240" s="70" t="n"/>
      <c r="R240" s="70" t="n"/>
      <c r="S240" s="71" t="n"/>
      <c r="T240" s="72">
        <f>SUM(C240:S240)</f>
        <v/>
      </c>
      <c r="U240" s="73">
        <f>T240/T$7</f>
        <v/>
      </c>
      <c r="V240" s="74" t="n">
        <v>6</v>
      </c>
      <c r="W240" s="76">
        <f>T240*V240</f>
        <v/>
      </c>
      <c r="X240" s="169" t="n"/>
    </row>
    <row r="241" ht="13.5" customFormat="1" customHeight="1" s="29">
      <c r="A241" s="65" t="inlineStr">
        <is>
          <t>CollerEquity</t>
        </is>
      </c>
      <c r="B241" s="66" t="inlineStr">
        <is>
          <t>LU2884017059</t>
        </is>
      </c>
      <c r="C241" s="67" t="n"/>
      <c r="D241" s="67" t="n"/>
      <c r="E241" s="68" t="n"/>
      <c r="F241" s="67" t="n"/>
      <c r="G241" s="68" t="n"/>
      <c r="H241" s="67" t="n"/>
      <c r="I241" s="67" t="n"/>
      <c r="J241" s="67" t="n"/>
      <c r="K241" s="69" t="n"/>
      <c r="L241" s="67" t="n"/>
      <c r="M241" s="67" t="n"/>
      <c r="N241" s="67" t="n"/>
      <c r="O241" s="67" t="n"/>
      <c r="P241" s="67" t="n"/>
      <c r="Q241" s="70" t="n"/>
      <c r="R241" s="70" t="n"/>
      <c r="S241" s="71" t="n"/>
      <c r="T241" s="72">
        <f>SUM(C241:S241)</f>
        <v/>
      </c>
      <c r="U241" s="73">
        <f>T241/T$7</f>
        <v/>
      </c>
      <c r="V241" s="74" t="n">
        <v>6</v>
      </c>
      <c r="W241" s="76">
        <f>T241*V241</f>
        <v/>
      </c>
      <c r="X241" s="169" t="n"/>
    </row>
    <row r="242" ht="13.5" customFormat="1" customHeight="1" s="29">
      <c r="A242" s="65" t="inlineStr">
        <is>
          <t>CVC PE Global Private Equity</t>
        </is>
      </c>
      <c r="B242" s="66" t="inlineStr">
        <is>
          <t>LU2926063467</t>
        </is>
      </c>
      <c r="C242" s="67" t="n"/>
      <c r="D242" s="67" t="n"/>
      <c r="E242" s="68" t="n"/>
      <c r="F242" s="67" t="n"/>
      <c r="G242" s="68" t="n"/>
      <c r="H242" s="67" t="n"/>
      <c r="I242" s="67" t="n"/>
      <c r="J242" s="67" t="n"/>
      <c r="K242" s="69" t="n"/>
      <c r="L242" s="67" t="n"/>
      <c r="M242" s="67" t="n"/>
      <c r="N242" s="67" t="n"/>
      <c r="O242" s="67" t="n"/>
      <c r="P242" s="67" t="n"/>
      <c r="Q242" s="70" t="n"/>
      <c r="R242" s="70" t="n"/>
      <c r="S242" s="71" t="n"/>
      <c r="T242" s="72">
        <f>SUM(C242:S242)</f>
        <v/>
      </c>
      <c r="U242" s="73">
        <f>T242/T$7</f>
        <v/>
      </c>
      <c r="V242" s="74" t="n">
        <v>4</v>
      </c>
      <c r="W242" s="76">
        <f>T242*V242</f>
        <v/>
      </c>
      <c r="X242" s="169" t="n"/>
    </row>
    <row r="243" ht="13.5" customFormat="1" customHeight="1" s="29">
      <c r="A243" s="65" t="inlineStr">
        <is>
          <t>BridgePoint Generations</t>
        </is>
      </c>
      <c r="B243" s="66" t="inlineStr">
        <is>
          <t>LU3192960857</t>
        </is>
      </c>
      <c r="C243" s="67" t="n"/>
      <c r="D243" s="67" t="n"/>
      <c r="E243" s="68" t="n"/>
      <c r="F243" s="67" t="n"/>
      <c r="G243" s="68" t="n"/>
      <c r="H243" s="67" t="n"/>
      <c r="I243" s="67" t="n"/>
      <c r="J243" s="67" t="n"/>
      <c r="K243" s="69" t="n"/>
      <c r="L243" s="67" t="n"/>
      <c r="M243" s="67" t="n"/>
      <c r="N243" s="67" t="n"/>
      <c r="O243" s="67" t="n"/>
      <c r="P243" s="67" t="n"/>
      <c r="Q243" s="70" t="n"/>
      <c r="R243" s="70" t="n"/>
      <c r="S243" s="71" t="n"/>
      <c r="T243" s="72">
        <f>SUM(C243:S243)</f>
        <v/>
      </c>
      <c r="U243" s="73">
        <f>T243/T$7</f>
        <v/>
      </c>
      <c r="V243" s="74" t="n">
        <v>4</v>
      </c>
      <c r="W243" s="76">
        <f>T243*V243</f>
        <v/>
      </c>
      <c r="X243" s="169" t="n"/>
    </row>
    <row r="244" ht="13.5" customFormat="1" customHeight="1" s="29">
      <c r="A244" s="65" t="inlineStr">
        <is>
          <t>EQT Nexus Fund SICAV I</t>
        </is>
      </c>
      <c r="B244" s="66" t="inlineStr">
        <is>
          <t>LU2617117614</t>
        </is>
      </c>
      <c r="C244" s="67" t="n"/>
      <c r="D244" s="67" t="n"/>
      <c r="E244" s="68" t="n"/>
      <c r="F244" s="67" t="n"/>
      <c r="G244" s="68" t="n"/>
      <c r="H244" s="67" t="n"/>
      <c r="I244" s="67" t="n"/>
      <c r="J244" s="67" t="n"/>
      <c r="K244" s="69" t="n"/>
      <c r="L244" s="67" t="n"/>
      <c r="M244" s="67" t="n"/>
      <c r="N244" s="67" t="n"/>
      <c r="O244" s="67" t="n"/>
      <c r="P244" s="67" t="n"/>
      <c r="Q244" s="70" t="n"/>
      <c r="R244" s="70" t="n"/>
      <c r="S244" s="71" t="n"/>
      <c r="T244" s="72">
        <f>SUM(C244:S244)</f>
        <v/>
      </c>
      <c r="U244" s="73">
        <f>T244/T$7</f>
        <v/>
      </c>
      <c r="V244" s="74" t="n">
        <v>5</v>
      </c>
      <c r="W244" s="76">
        <f>T244*V244</f>
        <v/>
      </c>
      <c r="X244" s="169" t="n"/>
    </row>
    <row r="245" ht="13.5" customFormat="1" customHeight="1" s="29">
      <c r="A245" s="65" t="inlineStr">
        <is>
          <t>Archimed Med Access</t>
        </is>
      </c>
      <c r="B245" s="66" t="inlineStr">
        <is>
          <t>FR001400K4L0</t>
        </is>
      </c>
      <c r="C245" s="67" t="n"/>
      <c r="D245" s="67" t="n"/>
      <c r="E245" s="68" t="n"/>
      <c r="F245" s="67" t="n"/>
      <c r="G245" s="68" t="n"/>
      <c r="H245" s="67" t="n"/>
      <c r="I245" s="67" t="n"/>
      <c r="J245" s="67" t="n"/>
      <c r="K245" s="69" t="n"/>
      <c r="L245" s="67" t="n"/>
      <c r="M245" s="67" t="n"/>
      <c r="N245" s="67" t="n"/>
      <c r="O245" s="67" t="n"/>
      <c r="P245" s="67" t="n"/>
      <c r="Q245" s="70" t="n"/>
      <c r="R245" s="70" t="n"/>
      <c r="S245" s="71" t="n"/>
      <c r="T245" s="72">
        <f>SUM(C245:S245)</f>
        <v/>
      </c>
      <c r="U245" s="73">
        <f>T245/T$7</f>
        <v/>
      </c>
      <c r="V245" s="74" t="n">
        <v>6</v>
      </c>
      <c r="W245" s="76">
        <f>T245*V245</f>
        <v/>
      </c>
      <c r="X245" s="169" t="n"/>
    </row>
    <row r="246" ht="13.5" customFormat="1" customHeight="1" s="29">
      <c r="A246" s="65" t="inlineStr">
        <is>
          <t>Eurazeo ISF III</t>
        </is>
      </c>
      <c r="B246" s="66" t="inlineStr">
        <is>
          <t>/</t>
        </is>
      </c>
      <c r="C246" s="67" t="n"/>
      <c r="D246" s="67" t="n"/>
      <c r="E246" s="68" t="n"/>
      <c r="F246" s="67" t="n"/>
      <c r="G246" s="68" t="n"/>
      <c r="H246" s="67" t="n"/>
      <c r="I246" s="67" t="n"/>
      <c r="J246" s="67" t="n"/>
      <c r="K246" s="69" t="n"/>
      <c r="L246" s="67" t="n"/>
      <c r="M246" s="67" t="n"/>
      <c r="N246" s="67" t="n"/>
      <c r="O246" s="67" t="n"/>
      <c r="P246" s="67" t="n"/>
      <c r="Q246" s="70" t="n"/>
      <c r="R246" s="70" t="n"/>
      <c r="S246" s="71" t="n"/>
      <c r="T246" s="72">
        <f>SUM(C246:S246)</f>
        <v/>
      </c>
      <c r="U246" s="73">
        <f>T246/T$7</f>
        <v/>
      </c>
      <c r="V246" s="74" t="n">
        <v>6</v>
      </c>
      <c r="W246" s="76">
        <f>T246*V246</f>
        <v/>
      </c>
      <c r="X246" s="169" t="n"/>
    </row>
    <row r="247" ht="13.5" customFormat="1" customHeight="1" s="29">
      <c r="A247" s="65" t="inlineStr">
        <is>
          <t>Carlyle CPEP</t>
        </is>
      </c>
      <c r="B247" s="66" t="inlineStr">
        <is>
          <t>LU3212532884</t>
        </is>
      </c>
      <c r="C247" s="67" t="n"/>
      <c r="D247" s="67" t="n"/>
      <c r="E247" s="68" t="n"/>
      <c r="F247" s="67" t="n"/>
      <c r="G247" s="68" t="n"/>
      <c r="H247" s="67" t="n"/>
      <c r="I247" s="67" t="n"/>
      <c r="J247" s="67" t="n"/>
      <c r="K247" s="69" t="n"/>
      <c r="L247" s="67" t="n"/>
      <c r="M247" s="67" t="n"/>
      <c r="N247" s="67" t="n"/>
      <c r="O247" s="67" t="n"/>
      <c r="P247" s="67" t="n"/>
      <c r="Q247" s="70" t="n"/>
      <c r="R247" s="70" t="n"/>
      <c r="S247" s="71" t="n"/>
      <c r="T247" s="72">
        <f>SUM(C247:S247)</f>
        <v/>
      </c>
      <c r="U247" s="73">
        <f>T247/T$7</f>
        <v/>
      </c>
      <c r="V247" s="74" t="n">
        <v>6</v>
      </c>
      <c r="W247" s="76">
        <f>T247*V247</f>
        <v/>
      </c>
      <c r="X247" s="169" t="n"/>
    </row>
    <row r="248" ht="13.5" customFormat="1" customHeight="1" s="29">
      <c r="A248" s="65" t="inlineStr">
        <is>
          <t>Feeder RAISE Investissement S.L.P. A1</t>
        </is>
      </c>
      <c r="B248" s="66" t="inlineStr">
        <is>
          <t>FR001400IL92</t>
        </is>
      </c>
      <c r="C248" s="67" t="n"/>
      <c r="D248" s="67" t="n"/>
      <c r="E248" s="68" t="n"/>
      <c r="F248" s="67" t="n"/>
      <c r="G248" s="68" t="n"/>
      <c r="H248" s="67" t="n"/>
      <c r="I248" s="67" t="n"/>
      <c r="J248" s="67" t="n"/>
      <c r="K248" s="69" t="n"/>
      <c r="L248" s="67" t="n"/>
      <c r="M248" s="67" t="n"/>
      <c r="N248" s="67" t="n"/>
      <c r="O248" s="67" t="n"/>
      <c r="P248" s="67" t="n"/>
      <c r="Q248" s="70" t="n"/>
      <c r="R248" s="70" t="n"/>
      <c r="S248" s="71" t="n"/>
      <c r="T248" s="72">
        <f>SUM(C248:S248)</f>
        <v/>
      </c>
      <c r="U248" s="73">
        <f>T248/T$7</f>
        <v/>
      </c>
      <c r="V248" s="74" t="n">
        <v>6</v>
      </c>
      <c r="W248" s="76">
        <f>T248*V248</f>
        <v/>
      </c>
      <c r="X248" s="169" t="n"/>
    </row>
    <row r="249" ht="13.5" customHeight="1">
      <c r="A249" s="65" t="inlineStr">
        <is>
          <t>Co-Investissement Arlane - Santé</t>
        </is>
      </c>
      <c r="B249" s="75" t="inlineStr">
        <is>
          <t>/</t>
        </is>
      </c>
      <c r="C249" s="67" t="n"/>
      <c r="D249" s="67" t="n"/>
      <c r="E249" s="68" t="n"/>
      <c r="F249" s="68" t="n"/>
      <c r="G249" s="68" t="n"/>
      <c r="H249" s="67" t="n"/>
      <c r="I249" s="67" t="n"/>
      <c r="J249" s="67" t="n"/>
      <c r="K249" s="69" t="n"/>
      <c r="L249" s="67" t="n"/>
      <c r="M249" s="67" t="n"/>
      <c r="N249" s="67" t="n"/>
      <c r="O249" s="67" t="n"/>
      <c r="P249" s="67" t="n"/>
      <c r="Q249" s="70" t="n"/>
      <c r="R249" s="70" t="n"/>
      <c r="S249" s="71" t="n"/>
      <c r="T249" s="72">
        <f>SUM(C249:S249)</f>
        <v/>
      </c>
      <c r="U249" s="73">
        <f>T249/T$7</f>
        <v/>
      </c>
      <c r="V249" s="94" t="n">
        <v>6</v>
      </c>
      <c r="W249" s="76">
        <f>T249*V249</f>
        <v/>
      </c>
      <c r="X249" s="169" t="n"/>
    </row>
    <row r="250" ht="13.5" customHeight="1">
      <c r="A250" s="65" t="inlineStr">
        <is>
          <t>Adams Street</t>
        </is>
      </c>
      <c r="B250" s="75" t="inlineStr">
        <is>
          <t>/</t>
        </is>
      </c>
      <c r="C250" s="67" t="n"/>
      <c r="D250" s="67" t="n"/>
      <c r="E250" s="68" t="n"/>
      <c r="F250" s="68" t="n"/>
      <c r="G250" s="68" t="n"/>
      <c r="H250" s="67" t="n"/>
      <c r="I250" s="67" t="n"/>
      <c r="J250" s="67" t="n"/>
      <c r="K250" s="69" t="n"/>
      <c r="L250" s="67" t="n"/>
      <c r="M250" s="67" t="n"/>
      <c r="N250" s="67" t="n"/>
      <c r="O250" s="67" t="n"/>
      <c r="P250" s="67" t="n"/>
      <c r="Q250" s="70" t="n"/>
      <c r="R250" s="70" t="n"/>
      <c r="S250" s="71" t="n"/>
      <c r="T250" s="72">
        <f>SUM(C250:S250)</f>
        <v/>
      </c>
      <c r="U250" s="73">
        <f>T250/T$7</f>
        <v/>
      </c>
      <c r="V250" s="94" t="n">
        <v>6</v>
      </c>
      <c r="W250" s="76">
        <f>T250*V250</f>
        <v/>
      </c>
      <c r="X250" s="169" t="n"/>
    </row>
    <row r="251" ht="13.5" customHeight="1">
      <c r="A251" s="65" t="inlineStr">
        <is>
          <t>KeenSight</t>
        </is>
      </c>
      <c r="B251" s="75" t="inlineStr">
        <is>
          <t>/</t>
        </is>
      </c>
      <c r="C251" s="67" t="n"/>
      <c r="D251" s="67" t="n"/>
      <c r="E251" s="68" t="n"/>
      <c r="F251" s="68" t="n"/>
      <c r="G251" s="68" t="n"/>
      <c r="H251" s="67" t="n"/>
      <c r="I251" s="67" t="n"/>
      <c r="J251" s="67" t="n"/>
      <c r="K251" s="69" t="n"/>
      <c r="L251" s="67" t="n"/>
      <c r="M251" s="67" t="n"/>
      <c r="N251" s="67" t="n"/>
      <c r="O251" s="67" t="n"/>
      <c r="P251" s="67" t="n"/>
      <c r="Q251" s="70" t="n"/>
      <c r="R251" s="70" t="n"/>
      <c r="S251" s="71" t="n"/>
      <c r="T251" s="72">
        <f>SUM(C251:S251)</f>
        <v/>
      </c>
      <c r="U251" s="73">
        <f>T251/T$7</f>
        <v/>
      </c>
      <c r="V251" s="94" t="n">
        <v>6</v>
      </c>
      <c r="W251" s="76">
        <f>T251*V251</f>
        <v/>
      </c>
      <c r="X251" s="169" t="n"/>
    </row>
    <row r="252" ht="13.5" customHeight="1">
      <c r="A252" s="65" t="inlineStr">
        <is>
          <t>Partners Group Global Value SICAV Class R-N</t>
        </is>
      </c>
      <c r="B252" s="66" t="inlineStr">
        <is>
          <t>LU1911739370</t>
        </is>
      </c>
      <c r="C252" s="67" t="n"/>
      <c r="D252" s="67" t="n"/>
      <c r="E252" s="68" t="n"/>
      <c r="F252" s="68" t="n"/>
      <c r="G252" s="68" t="n"/>
      <c r="H252" s="67" t="n"/>
      <c r="I252" s="67" t="n"/>
      <c r="J252" s="67" t="n"/>
      <c r="K252" s="69" t="n"/>
      <c r="L252" s="67" t="n"/>
      <c r="M252" s="67" t="n"/>
      <c r="N252" s="67" t="n"/>
      <c r="O252" s="67" t="n"/>
      <c r="P252" s="67" t="n"/>
      <c r="Q252" s="70" t="n"/>
      <c r="R252" s="70" t="n"/>
      <c r="S252" s="71" t="n"/>
      <c r="T252" s="72">
        <f>SUM(C252:S252)</f>
        <v/>
      </c>
      <c r="U252" s="73">
        <f>T252/T$7</f>
        <v/>
      </c>
      <c r="V252" s="74" t="n">
        <v>4</v>
      </c>
      <c r="W252" s="76">
        <f>T252*V252</f>
        <v/>
      </c>
      <c r="X252" s="169" t="n"/>
    </row>
    <row r="253" ht="13.5" customFormat="1" customHeight="1" s="29">
      <c r="A253" s="65" t="inlineStr">
        <is>
          <t>Partners Group Global Value SICAV E-N</t>
        </is>
      </c>
      <c r="B253" s="66" t="inlineStr">
        <is>
          <t>LU1911739297</t>
        </is>
      </c>
      <c r="C253" s="67" t="n"/>
      <c r="D253" s="67" t="n"/>
      <c r="E253" s="68" t="n"/>
      <c r="F253" s="67" t="n"/>
      <c r="G253" s="68" t="n"/>
      <c r="H253" s="67" t="n"/>
      <c r="I253" s="67" t="n"/>
      <c r="J253" s="67" t="n"/>
      <c r="K253" s="69" t="n"/>
      <c r="L253" s="67" t="n"/>
      <c r="M253" s="67" t="n"/>
      <c r="N253" s="67" t="n"/>
      <c r="O253" s="67" t="n"/>
      <c r="P253" s="67" t="n"/>
      <c r="Q253" s="70" t="n"/>
      <c r="R253" s="70" t="n"/>
      <c r="S253" s="71" t="n"/>
      <c r="T253" s="72">
        <f>SUM(C253:S253)</f>
        <v/>
      </c>
      <c r="U253" s="73">
        <f>T253/T$7</f>
        <v/>
      </c>
      <c r="V253" s="74" t="n">
        <v>4</v>
      </c>
      <c r="W253" s="76">
        <f>T253*V253</f>
        <v/>
      </c>
      <c r="X253" s="169" t="n"/>
    </row>
    <row r="254" ht="13.5" customFormat="1" customHeight="1" s="29">
      <c r="A254" s="65" t="inlineStr">
        <is>
          <t>Pantheon Global Private Equity B EUR</t>
        </is>
      </c>
      <c r="B254" s="66" t="inlineStr">
        <is>
          <t>LU2996228198</t>
        </is>
      </c>
      <c r="C254" s="67" t="n"/>
      <c r="D254" s="67" t="n"/>
      <c r="E254" s="68" t="n"/>
      <c r="F254" s="67" t="n"/>
      <c r="G254" s="68" t="n"/>
      <c r="H254" s="67" t="n"/>
      <c r="I254" s="67" t="n"/>
      <c r="J254" s="67" t="n"/>
      <c r="K254" s="69" t="n"/>
      <c r="L254" s="67" t="n"/>
      <c r="M254" s="67" t="n"/>
      <c r="N254" s="67" t="n"/>
      <c r="O254" s="67" t="n"/>
      <c r="P254" s="67" t="n"/>
      <c r="Q254" s="70" t="n"/>
      <c r="R254" s="70" t="n"/>
      <c r="S254" s="71" t="n"/>
      <c r="T254" s="72">
        <f>SUM(C254:S254)</f>
        <v/>
      </c>
      <c r="U254" s="73">
        <f>T254/T$7</f>
        <v/>
      </c>
      <c r="V254" s="74" t="n">
        <v>5</v>
      </c>
      <c r="W254" s="76">
        <f>T254*V254</f>
        <v/>
      </c>
      <c r="X254" s="169" t="n"/>
    </row>
    <row r="255" ht="13.5" customFormat="1" customHeight="1" s="29">
      <c r="A255" s="65" t="inlineStr">
        <is>
          <t>S64 VI PM Altoflex F00724</t>
        </is>
      </c>
      <c r="B255" s="66" t="inlineStr">
        <is>
          <t>LU2824051721</t>
        </is>
      </c>
      <c r="C255" s="67" t="n"/>
      <c r="D255" s="67" t="n"/>
      <c r="E255" s="68" t="n"/>
      <c r="F255" s="67" t="n"/>
      <c r="G255" s="68" t="n"/>
      <c r="H255" s="67" t="n"/>
      <c r="I255" s="67" t="n"/>
      <c r="J255" s="67" t="n"/>
      <c r="K255" s="69" t="n"/>
      <c r="L255" s="67" t="n"/>
      <c r="M255" s="67" t="n"/>
      <c r="N255" s="67" t="n"/>
      <c r="O255" s="67" t="n"/>
      <c r="P255" s="67" t="n"/>
      <c r="Q255" s="70" t="n"/>
      <c r="R255" s="70" t="n"/>
      <c r="S255" s="71" t="n"/>
      <c r="T255" s="72">
        <f>SUM(C255:S255)</f>
        <v/>
      </c>
      <c r="U255" s="73">
        <f>T255/T$7</f>
        <v/>
      </c>
      <c r="V255" s="74" t="n">
        <v>4</v>
      </c>
      <c r="W255" s="76">
        <f>T255*V255</f>
        <v/>
      </c>
      <c r="X255" s="169" t="n"/>
    </row>
    <row r="256" ht="13.5" customFormat="1" customHeight="1" s="29">
      <c r="A256" s="65" t="inlineStr">
        <is>
          <t>S64 VI PM Altoflex FPC F2</t>
        </is>
      </c>
      <c r="B256" s="66" t="inlineStr">
        <is>
          <t>LU2871047580</t>
        </is>
      </c>
      <c r="C256" s="67" t="n"/>
      <c r="D256" s="67" t="n"/>
      <c r="E256" s="68" t="n"/>
      <c r="F256" s="67" t="n"/>
      <c r="G256" s="68" t="n"/>
      <c r="H256" s="67" t="n"/>
      <c r="I256" s="67" t="n"/>
      <c r="J256" s="67" t="n"/>
      <c r="K256" s="69" t="n"/>
      <c r="L256" s="67" t="n"/>
      <c r="M256" s="67" t="n"/>
      <c r="N256" s="67" t="n"/>
      <c r="O256" s="67" t="n"/>
      <c r="P256" s="67" t="n"/>
      <c r="Q256" s="70" t="n"/>
      <c r="R256" s="70" t="n"/>
      <c r="S256" s="71" t="n"/>
      <c r="T256" s="72">
        <f>SUM(C256:S256)</f>
        <v/>
      </c>
      <c r="U256" s="73">
        <f>T256/T$7</f>
        <v/>
      </c>
      <c r="V256" s="74" t="n">
        <v>4</v>
      </c>
      <c r="W256" s="76">
        <f>T256*V256</f>
        <v/>
      </c>
      <c r="X256" s="169" t="n"/>
    </row>
    <row r="257" ht="13.5" customFormat="1" customHeight="1" s="29">
      <c r="A257" s="65" t="inlineStr">
        <is>
          <t>Clos Aquitaine 2017</t>
        </is>
      </c>
      <c r="B257" s="66" t="inlineStr">
        <is>
          <t>CLOSAQUI2017</t>
        </is>
      </c>
      <c r="C257" s="67" t="n"/>
      <c r="D257" s="67" t="n"/>
      <c r="E257" s="68" t="n"/>
      <c r="F257" s="67" t="n"/>
      <c r="G257" s="68" t="n"/>
      <c r="H257" s="67" t="n"/>
      <c r="I257" s="67" t="n"/>
      <c r="J257" s="67" t="n"/>
      <c r="K257" s="69" t="n"/>
      <c r="L257" s="67" t="n"/>
      <c r="M257" s="67" t="n"/>
      <c r="N257" s="67" t="n"/>
      <c r="O257" s="67" t="n"/>
      <c r="P257" s="67" t="n"/>
      <c r="Q257" s="70" t="n"/>
      <c r="R257" s="70" t="n"/>
      <c r="S257" s="71" t="n"/>
      <c r="T257" s="72">
        <f>SUM(C257:S257)</f>
        <v/>
      </c>
      <c r="U257" s="73">
        <f>T257/T$7</f>
        <v/>
      </c>
      <c r="V257" s="74" t="n">
        <v>6</v>
      </c>
      <c r="W257" s="76">
        <f>T257*V257</f>
        <v/>
      </c>
      <c r="X257" s="169" t="n"/>
    </row>
    <row r="258" ht="13.5" customFormat="1" customHeight="1" s="29">
      <c r="A258" s="65" t="inlineStr">
        <is>
          <t>FCPI Idinvest Patrimoine N°7</t>
        </is>
      </c>
      <c r="B258" s="66" t="inlineStr">
        <is>
          <t>FR0013224375</t>
        </is>
      </c>
      <c r="C258" s="67" t="n"/>
      <c r="D258" s="67" t="n"/>
      <c r="E258" s="68" t="n"/>
      <c r="F258" s="67" t="n"/>
      <c r="G258" s="68" t="n"/>
      <c r="H258" s="67" t="n"/>
      <c r="I258" s="67" t="n"/>
      <c r="J258" s="67" t="n"/>
      <c r="K258" s="69" t="n"/>
      <c r="L258" s="67" t="n"/>
      <c r="M258" s="67" t="n"/>
      <c r="N258" s="67" t="n"/>
      <c r="O258" s="67" t="n"/>
      <c r="P258" s="67" t="n"/>
      <c r="Q258" s="70" t="n"/>
      <c r="R258" s="70" t="n"/>
      <c r="S258" s="71" t="n"/>
      <c r="T258" s="72">
        <f>SUM(C258:S258)</f>
        <v/>
      </c>
      <c r="U258" s="73">
        <f>T258/T$7</f>
        <v/>
      </c>
      <c r="V258" s="74" t="n">
        <v>7</v>
      </c>
      <c r="W258" s="76">
        <f>T258*V258</f>
        <v/>
      </c>
      <c r="X258" s="169" t="n"/>
    </row>
    <row r="259" ht="13.5" customFormat="1" customHeight="1" s="29">
      <c r="A259" s="65" t="inlineStr">
        <is>
          <t>FCPR Idinvest Entrepreneur Club - Parts A</t>
        </is>
      </c>
      <c r="B259" s="66" t="inlineStr">
        <is>
          <t>FR0013415056</t>
        </is>
      </c>
      <c r="C259" s="67" t="n"/>
      <c r="D259" s="67" t="n"/>
      <c r="E259" s="68" t="n"/>
      <c r="F259" s="67" t="n"/>
      <c r="G259" s="68" t="n"/>
      <c r="H259" s="67" t="n"/>
      <c r="I259" s="67" t="n"/>
      <c r="J259" s="67" t="n"/>
      <c r="K259" s="69" t="n"/>
      <c r="L259" s="67" t="n"/>
      <c r="M259" s="67" t="n"/>
      <c r="N259" s="67" t="n"/>
      <c r="O259" s="67" t="n"/>
      <c r="P259" s="67" t="n"/>
      <c r="Q259" s="70" t="n"/>
      <c r="R259" s="70" t="n"/>
      <c r="S259" s="71" t="n"/>
      <c r="T259" s="72">
        <f>SUM(C259:S259)</f>
        <v/>
      </c>
      <c r="U259" s="73">
        <f>T259/T$7</f>
        <v/>
      </c>
      <c r="V259" s="74" t="n">
        <v>7</v>
      </c>
      <c r="W259" s="76">
        <f>T259*V259</f>
        <v/>
      </c>
      <c r="X259" s="169" t="n"/>
    </row>
    <row r="260" ht="13.5" customHeight="1">
      <c r="A260" s="65" t="inlineStr">
        <is>
          <t>FCPR Idinvest Strategic Opportunities 2 A</t>
        </is>
      </c>
      <c r="B260" s="66" t="inlineStr">
        <is>
          <t>FR0013411451</t>
        </is>
      </c>
      <c r="C260" s="67" t="n"/>
      <c r="D260" s="67" t="n"/>
      <c r="E260" s="67" t="n"/>
      <c r="F260" s="67" t="n"/>
      <c r="G260" s="68" t="n"/>
      <c r="H260" s="67" t="n"/>
      <c r="I260" s="67" t="n"/>
      <c r="J260" s="67" t="n"/>
      <c r="K260" s="69" t="n"/>
      <c r="L260" s="67" t="n"/>
      <c r="M260" s="67" t="n"/>
      <c r="N260" s="67" t="n"/>
      <c r="O260" s="67" t="n"/>
      <c r="P260" s="67" t="n"/>
      <c r="Q260" s="70" t="n"/>
      <c r="R260" s="70" t="n"/>
      <c r="S260" s="71" t="n"/>
      <c r="T260" s="72">
        <f>SUM(C260:S260)</f>
        <v/>
      </c>
      <c r="U260" s="73">
        <f>T260/T$7</f>
        <v/>
      </c>
      <c r="V260" s="74" t="n">
        <v>7</v>
      </c>
      <c r="W260" s="76">
        <f>T260*V260</f>
        <v/>
      </c>
      <c r="X260" s="169" t="n"/>
    </row>
    <row r="261" ht="13.5" customHeight="1">
      <c r="A261" s="65" t="inlineStr">
        <is>
          <t>FCPR Idinvest Strategic Opportunities Part A</t>
        </is>
      </c>
      <c r="B261" s="66" t="inlineStr">
        <is>
          <t>FR0013144128</t>
        </is>
      </c>
      <c r="C261" s="67" t="n"/>
      <c r="D261" s="67" t="n"/>
      <c r="E261" s="67" t="n"/>
      <c r="F261" s="67" t="n"/>
      <c r="G261" s="68" t="n"/>
      <c r="H261" s="67" t="n"/>
      <c r="I261" s="67" t="n"/>
      <c r="J261" s="67" t="n"/>
      <c r="K261" s="69" t="n"/>
      <c r="L261" s="67" t="n"/>
      <c r="M261" s="67" t="n"/>
      <c r="N261" s="67" t="n"/>
      <c r="O261" s="67" t="n"/>
      <c r="P261" s="67" t="n"/>
      <c r="Q261" s="70" t="n"/>
      <c r="R261" s="70" t="n"/>
      <c r="S261" s="71" t="n"/>
      <c r="T261" s="72">
        <f>SUM(C261:S261)</f>
        <v/>
      </c>
      <c r="U261" s="73">
        <f>T261/T$7</f>
        <v/>
      </c>
      <c r="V261" s="74" t="n">
        <v>7</v>
      </c>
      <c r="W261" s="76">
        <f>T261*V261</f>
        <v/>
      </c>
      <c r="X261" s="169" t="n"/>
    </row>
    <row r="262" ht="13.5" customFormat="1" customHeight="1" s="29">
      <c r="A262" s="65" t="inlineStr">
        <is>
          <t>Schroder Semi Liquid GPE</t>
        </is>
      </c>
      <c r="B262" s="66" t="inlineStr">
        <is>
          <t>LU2098888824</t>
        </is>
      </c>
      <c r="C262" s="67" t="n"/>
      <c r="D262" s="67" t="n"/>
      <c r="E262" s="68" t="n"/>
      <c r="F262" s="67" t="n"/>
      <c r="G262" s="68" t="n"/>
      <c r="H262" s="67" t="n"/>
      <c r="I262" s="67" t="n"/>
      <c r="J262" s="67" t="n"/>
      <c r="K262" s="69" t="n"/>
      <c r="L262" s="67" t="n"/>
      <c r="M262" s="67" t="n"/>
      <c r="N262" s="67" t="n"/>
      <c r="O262" s="67" t="n"/>
      <c r="P262" s="67" t="n"/>
      <c r="Q262" s="70" t="n"/>
      <c r="R262" s="70" t="n"/>
      <c r="S262" s="71" t="n"/>
      <c r="T262" s="72">
        <f>SUM(C262:S262)</f>
        <v/>
      </c>
      <c r="U262" s="73">
        <f>T262/T$7</f>
        <v/>
      </c>
      <c r="V262" s="74" t="n">
        <v>4</v>
      </c>
      <c r="W262" s="76">
        <f>T262*V262</f>
        <v/>
      </c>
      <c r="X262" s="169" t="n"/>
    </row>
    <row r="263" ht="13.5" customFormat="1" customHeight="1" s="29">
      <c r="A263" s="65" t="inlineStr">
        <is>
          <t xml:space="preserve">GF Lumyna Private Equity World </t>
        </is>
      </c>
      <c r="B263" s="66" t="inlineStr">
        <is>
          <t>FR0013504479</t>
        </is>
      </c>
      <c r="C263" s="67" t="n"/>
      <c r="D263" s="67" t="n"/>
      <c r="E263" s="68" t="n"/>
      <c r="F263" s="67" t="n"/>
      <c r="G263" s="68" t="n"/>
      <c r="H263" s="67" t="n"/>
      <c r="I263" s="67" t="n"/>
      <c r="J263" s="67" t="n"/>
      <c r="K263" s="69" t="n"/>
      <c r="L263" s="67" t="n"/>
      <c r="M263" s="67" t="n"/>
      <c r="N263" s="67" t="n"/>
      <c r="O263" s="67" t="n"/>
      <c r="P263" s="67" t="n"/>
      <c r="Q263" s="70" t="n"/>
      <c r="R263" s="70" t="n"/>
      <c r="S263" s="71" t="n"/>
      <c r="T263" s="72">
        <f>SUM(C263:S263)</f>
        <v/>
      </c>
      <c r="U263" s="73">
        <f>T263/T$7</f>
        <v/>
      </c>
      <c r="V263" s="74" t="n">
        <v>4</v>
      </c>
      <c r="W263" s="76">
        <f>T263*V263</f>
        <v/>
      </c>
      <c r="X263" s="169" t="n"/>
    </row>
    <row r="264" ht="13.5" customHeight="1">
      <c r="A264" s="65" t="inlineStr">
        <is>
          <t>NB Global Private Equity Access Fund I</t>
        </is>
      </c>
      <c r="B264" s="66" t="inlineStr">
        <is>
          <t>LU2496022059</t>
        </is>
      </c>
      <c r="C264" s="67" t="n"/>
      <c r="D264" s="67" t="n"/>
      <c r="E264" s="67" t="n"/>
      <c r="F264" s="67" t="n"/>
      <c r="G264" s="67" t="n"/>
      <c r="H264" s="67" t="n"/>
      <c r="I264" s="67" t="n"/>
      <c r="J264" s="67" t="n"/>
      <c r="K264" s="69" t="n"/>
      <c r="L264" s="67" t="n"/>
      <c r="M264" s="67" t="n"/>
      <c r="N264" s="67" t="n"/>
      <c r="O264" s="67" t="n"/>
      <c r="P264" s="67" t="n"/>
      <c r="Q264" s="70" t="n"/>
      <c r="R264" s="70" t="n"/>
      <c r="S264" s="71" t="n"/>
      <c r="T264" s="72">
        <f>SUM(C264:S264)</f>
        <v/>
      </c>
      <c r="U264" s="73">
        <f>T264/T$7</f>
        <v/>
      </c>
      <c r="V264" s="74" t="n">
        <v>4</v>
      </c>
      <c r="W264" s="76">
        <f>T264*V264</f>
        <v/>
      </c>
      <c r="X264" s="169" t="n"/>
    </row>
    <row r="265" ht="13.5" customFormat="1" customHeight="1" s="29">
      <c r="A265" s="65" t="inlineStr">
        <is>
          <t>Idinvest Secondary Fund III</t>
        </is>
      </c>
      <c r="B265" s="66" t="inlineStr">
        <is>
          <t>FR0013080140</t>
        </is>
      </c>
      <c r="C265" s="67" t="n"/>
      <c r="D265" s="67" t="n"/>
      <c r="E265" s="68" t="n"/>
      <c r="F265" s="67" t="n"/>
      <c r="G265" s="68" t="n"/>
      <c r="H265" s="67" t="n"/>
      <c r="I265" s="67" t="n"/>
      <c r="J265" s="67" t="n"/>
      <c r="K265" s="69" t="n"/>
      <c r="L265" s="67" t="n"/>
      <c r="M265" s="67" t="n"/>
      <c r="N265" s="67" t="n"/>
      <c r="O265" s="67" t="n"/>
      <c r="P265" s="67" t="n"/>
      <c r="Q265" s="70" t="n"/>
      <c r="R265" s="70" t="n"/>
      <c r="S265" s="71" t="n"/>
      <c r="T265" s="72">
        <f>SUM(C265:S265)</f>
        <v/>
      </c>
      <c r="U265" s="73">
        <f>T265/T$7</f>
        <v/>
      </c>
      <c r="V265" s="74" t="n">
        <v>6</v>
      </c>
      <c r="W265" s="76">
        <f>T265*V265</f>
        <v/>
      </c>
      <c r="X265" s="169" t="n"/>
    </row>
    <row r="266" ht="13.5" customFormat="1" customHeight="1" s="29">
      <c r="A266" s="65" t="inlineStr">
        <is>
          <t>Partners Fund SICAV Class I-N</t>
        </is>
      </c>
      <c r="B266" s="66" t="inlineStr">
        <is>
          <t>LU1912496582</t>
        </is>
      </c>
      <c r="C266" s="67" t="n"/>
      <c r="D266" s="67" t="n"/>
      <c r="E266" s="68" t="n"/>
      <c r="F266" s="67" t="n"/>
      <c r="G266" s="68" t="n"/>
      <c r="H266" s="67" t="n"/>
      <c r="I266" s="67" t="n"/>
      <c r="J266" s="67" t="n"/>
      <c r="K266" s="69" t="n"/>
      <c r="L266" s="67" t="n"/>
      <c r="M266" s="67" t="n"/>
      <c r="N266" s="67" t="n"/>
      <c r="O266" s="67" t="n"/>
      <c r="P266" s="67" t="n"/>
      <c r="Q266" s="70" t="n"/>
      <c r="R266" s="70" t="n"/>
      <c r="S266" s="71" t="n"/>
      <c r="T266" s="72">
        <f>SUM(C266:S266)</f>
        <v/>
      </c>
      <c r="U266" s="73">
        <f>T266/T$7</f>
        <v/>
      </c>
      <c r="V266" s="74" t="n">
        <v>4</v>
      </c>
      <c r="W266" s="76">
        <f>T266*V266</f>
        <v/>
      </c>
      <c r="X266" s="169" t="n"/>
    </row>
    <row r="267" ht="13.5" customFormat="1" customHeight="1" s="29">
      <c r="A267" s="65" t="inlineStr">
        <is>
          <t>Hamilton Lane Global Private Assets Fund - I EUR</t>
        </is>
      </c>
      <c r="B267" s="66" t="inlineStr">
        <is>
          <t>LU2097348770</t>
        </is>
      </c>
      <c r="C267" s="67" t="n"/>
      <c r="D267" s="67" t="n"/>
      <c r="E267" s="68" t="n"/>
      <c r="F267" s="67" t="n"/>
      <c r="G267" s="68" t="n"/>
      <c r="H267" s="67" t="n"/>
      <c r="I267" s="67" t="n"/>
      <c r="J267" s="67" t="n"/>
      <c r="K267" s="69" t="n"/>
      <c r="L267" s="67" t="n"/>
      <c r="M267" s="67" t="n"/>
      <c r="N267" s="67" t="n"/>
      <c r="O267" s="67" t="n"/>
      <c r="P267" s="67" t="n"/>
      <c r="Q267" s="70" t="n"/>
      <c r="R267" s="70" t="n"/>
      <c r="S267" s="71" t="n"/>
      <c r="T267" s="72">
        <f>SUM(C267:S267)</f>
        <v/>
      </c>
      <c r="U267" s="73">
        <f>T267/T$7</f>
        <v/>
      </c>
      <c r="V267" s="74" t="n">
        <v>6</v>
      </c>
      <c r="W267" s="76">
        <f>T267*V267</f>
        <v/>
      </c>
      <c r="X267" s="169" t="n"/>
    </row>
    <row r="268" ht="13.5" customFormat="1" customHeight="1" s="29">
      <c r="A268" s="65" t="inlineStr">
        <is>
          <t>LGT Multi-Alternatives Sub-Fund Class F (EUR)</t>
        </is>
      </c>
      <c r="B268" s="66" t="inlineStr">
        <is>
          <t>IE00BK5BHW86</t>
        </is>
      </c>
      <c r="C268" s="67" t="n"/>
      <c r="D268" s="67" t="n"/>
      <c r="E268" s="68" t="n"/>
      <c r="F268" s="68" t="n"/>
      <c r="G268" s="68" t="n"/>
      <c r="H268" s="67" t="n"/>
      <c r="I268" s="67" t="n"/>
      <c r="J268" s="67" t="n"/>
      <c r="K268" s="69" t="n"/>
      <c r="L268" s="67" t="n"/>
      <c r="M268" s="67" t="n"/>
      <c r="N268" s="67" t="n"/>
      <c r="O268" s="67" t="n"/>
      <c r="P268" s="67" t="n"/>
      <c r="Q268" s="70" t="n"/>
      <c r="R268" s="70" t="n"/>
      <c r="S268" s="71" t="n"/>
      <c r="T268" s="72">
        <f>SUM(C268:S268)</f>
        <v/>
      </c>
      <c r="U268" s="73">
        <f>T268/T$7</f>
        <v/>
      </c>
      <c r="V268" s="74" t="n">
        <v>4</v>
      </c>
      <c r="W268" s="76">
        <f>T268*V268</f>
        <v/>
      </c>
      <c r="X268" s="169" t="n"/>
    </row>
    <row r="269" ht="13.5" customHeight="1">
      <c r="A269" s="65" t="inlineStr">
        <is>
          <t>Andera Co-Invest I</t>
        </is>
      </c>
      <c r="B269" s="66" t="inlineStr">
        <is>
          <t>FR0014007HA4</t>
        </is>
      </c>
      <c r="C269" s="67" t="n"/>
      <c r="D269" s="67" t="n"/>
      <c r="E269" s="68" t="n"/>
      <c r="F269" s="68" t="n"/>
      <c r="G269" s="68" t="n"/>
      <c r="H269" s="67" t="n"/>
      <c r="I269" s="67" t="n"/>
      <c r="J269" s="67" t="n"/>
      <c r="K269" s="69" t="n"/>
      <c r="L269" s="67" t="n"/>
      <c r="M269" s="67" t="n"/>
      <c r="N269" s="67" t="n"/>
      <c r="O269" s="67" t="n"/>
      <c r="P269" s="67" t="n"/>
      <c r="Q269" s="70" t="n"/>
      <c r="R269" s="70" t="n"/>
      <c r="S269" s="71" t="n"/>
      <c r="T269" s="72">
        <f>SUM(C269:S269)</f>
        <v/>
      </c>
      <c r="U269" s="73">
        <f>T269/T$7</f>
        <v/>
      </c>
      <c r="V269" s="74" t="n">
        <v>7</v>
      </c>
      <c r="W269" s="76">
        <f>T269*V269</f>
        <v/>
      </c>
      <c r="X269" s="169" t="n"/>
    </row>
    <row r="270" ht="13.5" customHeight="1">
      <c r="A270" s="65" t="inlineStr">
        <is>
          <t>Apax Private Equity Opportunities</t>
        </is>
      </c>
      <c r="B270" s="66" t="inlineStr">
        <is>
          <t>FR0013533619</t>
        </is>
      </c>
      <c r="C270" s="67" t="n"/>
      <c r="D270" s="67" t="n"/>
      <c r="E270" s="68" t="n"/>
      <c r="F270" s="68" t="n"/>
      <c r="G270" s="68" t="n"/>
      <c r="H270" s="67" t="n"/>
      <c r="I270" s="67" t="n"/>
      <c r="J270" s="67" t="n"/>
      <c r="K270" s="69" t="n"/>
      <c r="L270" s="67" t="n"/>
      <c r="M270" s="67" t="n"/>
      <c r="N270" s="67" t="n"/>
      <c r="O270" s="67" t="n"/>
      <c r="P270" s="67" t="n"/>
      <c r="Q270" s="70" t="n"/>
      <c r="R270" s="70" t="n"/>
      <c r="S270" s="71" t="n"/>
      <c r="T270" s="72">
        <f>SUM(C270:S270)</f>
        <v/>
      </c>
      <c r="U270" s="73">
        <f>T270/T$7</f>
        <v/>
      </c>
      <c r="V270" s="74" t="n">
        <v>6</v>
      </c>
      <c r="W270" s="76">
        <f>T270*V270</f>
        <v/>
      </c>
      <c r="X270" s="169" t="n"/>
    </row>
    <row r="271" ht="13.5" customHeight="1">
      <c r="A271" s="65" t="inlineStr">
        <is>
          <t>Partners Fund SICAV Class R-N</t>
        </is>
      </c>
      <c r="B271" s="66" t="inlineStr">
        <is>
          <t>LU1912497127</t>
        </is>
      </c>
      <c r="C271" s="67" t="n"/>
      <c r="D271" s="67" t="n"/>
      <c r="E271" s="68" t="n"/>
      <c r="F271" s="68" t="n"/>
      <c r="G271" s="68" t="n"/>
      <c r="H271" s="67" t="n"/>
      <c r="I271" s="67" t="n"/>
      <c r="J271" s="67" t="n"/>
      <c r="K271" s="69" t="n"/>
      <c r="L271" s="67" t="n"/>
      <c r="M271" s="67" t="n"/>
      <c r="N271" s="67" t="n"/>
      <c r="O271" s="67" t="n"/>
      <c r="P271" s="67" t="n"/>
      <c r="Q271" s="70" t="n"/>
      <c r="R271" s="70" t="n"/>
      <c r="S271" s="71" t="n"/>
      <c r="T271" s="72">
        <f>SUM(C271:S271)</f>
        <v/>
      </c>
      <c r="U271" s="73">
        <f>T271/T$7</f>
        <v/>
      </c>
      <c r="V271" s="74" t="n">
        <v>4</v>
      </c>
      <c r="W271" s="76">
        <f>T271*V271</f>
        <v/>
      </c>
      <c r="X271" s="169" t="n"/>
    </row>
    <row r="272" ht="13.5" customHeight="1">
      <c r="A272" s="65" t="inlineStr">
        <is>
          <t>Private Corner Secondary Fund 2022 A1</t>
        </is>
      </c>
      <c r="B272" s="66" t="inlineStr">
        <is>
          <t>FR0014009FU2</t>
        </is>
      </c>
      <c r="C272" s="67" t="n"/>
      <c r="D272" s="67" t="n"/>
      <c r="E272" s="68" t="n"/>
      <c r="F272" s="68" t="n"/>
      <c r="G272" s="68" t="n"/>
      <c r="H272" s="67" t="n"/>
      <c r="I272" s="67" t="n"/>
      <c r="J272" s="67" t="n"/>
      <c r="K272" s="69" t="n"/>
      <c r="L272" s="67" t="n"/>
      <c r="M272" s="67" t="n"/>
      <c r="N272" s="67" t="n"/>
      <c r="O272" s="67" t="n"/>
      <c r="P272" s="67" t="n"/>
      <c r="Q272" s="70" t="n"/>
      <c r="R272" s="70" t="n"/>
      <c r="S272" s="71" t="n"/>
      <c r="T272" s="72">
        <f>SUM(C272:S272)</f>
        <v/>
      </c>
      <c r="U272" s="73">
        <f>T272/T$7</f>
        <v/>
      </c>
      <c r="V272" s="74" t="n">
        <v>6</v>
      </c>
      <c r="W272" s="76">
        <f>T272*V272</f>
        <v/>
      </c>
      <c r="X272" s="169" t="n"/>
    </row>
    <row r="273" ht="13.5" customHeight="1">
      <c r="A273" s="65" t="inlineStr">
        <is>
          <t>Private Corner Secondary Fund 2022 A2</t>
        </is>
      </c>
      <c r="B273" s="66" t="inlineStr">
        <is>
          <t>FR0014009FV0</t>
        </is>
      </c>
      <c r="C273" s="67" t="n"/>
      <c r="D273" s="67" t="n"/>
      <c r="E273" s="68" t="n"/>
      <c r="F273" s="68" t="n"/>
      <c r="G273" s="68" t="n"/>
      <c r="H273" s="67" t="n"/>
      <c r="I273" s="67" t="n"/>
      <c r="J273" s="67" t="n"/>
      <c r="K273" s="69" t="n"/>
      <c r="L273" s="67" t="n"/>
      <c r="M273" s="67" t="n"/>
      <c r="N273" s="67" t="n"/>
      <c r="O273" s="67" t="n"/>
      <c r="P273" s="67" t="n"/>
      <c r="Q273" s="70" t="n"/>
      <c r="R273" s="70" t="n"/>
      <c r="S273" s="71" t="n"/>
      <c r="T273" s="72">
        <f>SUM(C273:S273)</f>
        <v/>
      </c>
      <c r="U273" s="73">
        <f>T273/T$7</f>
        <v/>
      </c>
      <c r="V273" s="74" t="n">
        <v>6</v>
      </c>
      <c r="W273" s="76">
        <f>T273*V273</f>
        <v/>
      </c>
      <c r="X273" s="169" t="n"/>
    </row>
    <row r="274" ht="13.5" customHeight="1">
      <c r="A274" s="65" t="inlineStr">
        <is>
          <t>Private Corner Wealth Co-Investment A1</t>
        </is>
      </c>
      <c r="B274" s="66" t="inlineStr">
        <is>
          <t>FR0014005Z14</t>
        </is>
      </c>
      <c r="C274" s="67" t="n"/>
      <c r="D274" s="67" t="n"/>
      <c r="E274" s="68" t="n"/>
      <c r="F274" s="68" t="n"/>
      <c r="G274" s="68" t="n"/>
      <c r="H274" s="67" t="n"/>
      <c r="I274" s="67" t="n"/>
      <c r="J274" s="67" t="n"/>
      <c r="K274" s="69" t="n"/>
      <c r="L274" s="67" t="n"/>
      <c r="M274" s="67" t="n"/>
      <c r="N274" s="67" t="n"/>
      <c r="O274" s="67" t="n"/>
      <c r="P274" s="67" t="n"/>
      <c r="Q274" s="70" t="n"/>
      <c r="R274" s="70" t="n"/>
      <c r="S274" s="71" t="n"/>
      <c r="T274" s="72">
        <f>SUM(C274:S274)</f>
        <v/>
      </c>
      <c r="U274" s="73">
        <f>T274/T$7</f>
        <v/>
      </c>
      <c r="V274" s="74" t="n">
        <v>6</v>
      </c>
      <c r="W274" s="76">
        <f>T274*V274</f>
        <v/>
      </c>
      <c r="X274" s="169" t="n"/>
    </row>
    <row r="275" ht="13.5" customHeight="1">
      <c r="A275" s="65" t="inlineStr">
        <is>
          <t>Private Corner Wealth Co-Investment A2</t>
        </is>
      </c>
      <c r="B275" s="66" t="inlineStr">
        <is>
          <t>FR0014005Z22</t>
        </is>
      </c>
      <c r="C275" s="67" t="n"/>
      <c r="D275" s="67" t="n"/>
      <c r="E275" s="68" t="n"/>
      <c r="F275" s="68" t="n"/>
      <c r="G275" s="68" t="n"/>
      <c r="H275" s="67" t="n"/>
      <c r="I275" s="67" t="n"/>
      <c r="J275" s="67" t="n"/>
      <c r="K275" s="69" t="n"/>
      <c r="L275" s="67" t="n"/>
      <c r="M275" s="67" t="n"/>
      <c r="N275" s="67" t="n"/>
      <c r="O275" s="67" t="n"/>
      <c r="P275" s="67" t="n"/>
      <c r="Q275" s="70" t="n"/>
      <c r="R275" s="70" t="n"/>
      <c r="S275" s="71" t="n"/>
      <c r="T275" s="72">
        <f>SUM(C275:S275)</f>
        <v/>
      </c>
      <c r="U275" s="73">
        <f>T275/T$7</f>
        <v/>
      </c>
      <c r="V275" s="74" t="n">
        <v>6</v>
      </c>
      <c r="W275" s="76">
        <f>T275*V275</f>
        <v/>
      </c>
      <c r="X275" s="169" t="n"/>
    </row>
    <row r="276" ht="13.5" customHeight="1">
      <c r="A276" s="65" t="inlineStr">
        <is>
          <t>Eurazeo Principal Investments</t>
        </is>
      </c>
      <c r="B276" s="66" t="inlineStr">
        <is>
          <t>FR00140086L7</t>
        </is>
      </c>
      <c r="C276" s="67" t="n"/>
      <c r="D276" s="67" t="n"/>
      <c r="E276" s="68" t="n"/>
      <c r="F276" s="68" t="n"/>
      <c r="G276" s="68" t="n"/>
      <c r="H276" s="67" t="n"/>
      <c r="I276" s="67" t="n"/>
      <c r="J276" s="67" t="n"/>
      <c r="K276" s="69" t="n"/>
      <c r="L276" s="67" t="n"/>
      <c r="M276" s="67" t="n"/>
      <c r="N276" s="67" t="n"/>
      <c r="O276" s="67" t="n"/>
      <c r="P276" s="67" t="n"/>
      <c r="Q276" s="70" t="n"/>
      <c r="R276" s="70" t="n"/>
      <c r="S276" s="71" t="n"/>
      <c r="T276" s="72">
        <f>SUM(C276:S276)</f>
        <v/>
      </c>
      <c r="U276" s="73">
        <f>T276/T$7</f>
        <v/>
      </c>
      <c r="V276" s="74" t="n">
        <v>7</v>
      </c>
      <c r="W276" s="76">
        <f>T276*V276</f>
        <v/>
      </c>
      <c r="X276" s="169" t="n"/>
    </row>
    <row r="277" ht="13.5" customHeight="1">
      <c r="A277" s="65" t="inlineStr">
        <is>
          <t>Siparex Equivie</t>
        </is>
      </c>
      <c r="B277" s="66" t="inlineStr">
        <is>
          <t>FR0013351947</t>
        </is>
      </c>
      <c r="C277" s="67" t="n"/>
      <c r="D277" s="67" t="n"/>
      <c r="E277" s="68" t="n"/>
      <c r="F277" s="68" t="n"/>
      <c r="G277" s="68" t="n"/>
      <c r="H277" s="67" t="n"/>
      <c r="I277" s="67" t="n"/>
      <c r="J277" s="67" t="n"/>
      <c r="K277" s="69" t="n"/>
      <c r="L277" s="67" t="n"/>
      <c r="M277" s="67" t="n"/>
      <c r="N277" s="67" t="n"/>
      <c r="O277" s="67" t="n"/>
      <c r="P277" s="67" t="n"/>
      <c r="Q277" s="70" t="n"/>
      <c r="R277" s="70" t="n"/>
      <c r="S277" s="71" t="n"/>
      <c r="T277" s="72">
        <f>SUM(C277:S277)</f>
        <v/>
      </c>
      <c r="U277" s="73">
        <f>T277/T$7</f>
        <v/>
      </c>
      <c r="V277" s="74" t="n">
        <v>6</v>
      </c>
      <c r="W277" s="76">
        <f>T277*V277</f>
        <v/>
      </c>
      <c r="X277" s="169" t="n"/>
    </row>
    <row r="278" ht="13.5" customHeight="1">
      <c r="A278" s="65" t="inlineStr">
        <is>
          <t>Ardian Access Solution</t>
        </is>
      </c>
      <c r="B278" s="66" t="inlineStr">
        <is>
          <t>FR001400AUA7</t>
        </is>
      </c>
      <c r="C278" s="67" t="n"/>
      <c r="D278" s="67" t="n"/>
      <c r="E278" s="68" t="n"/>
      <c r="F278" s="68" t="n"/>
      <c r="G278" s="68" t="n"/>
      <c r="H278" s="67" t="n"/>
      <c r="I278" s="67" t="n"/>
      <c r="J278" s="67" t="n"/>
      <c r="K278" s="69" t="n"/>
      <c r="L278" s="67" t="n"/>
      <c r="M278" s="67" t="n"/>
      <c r="N278" s="67" t="n"/>
      <c r="O278" s="67" t="n"/>
      <c r="P278" s="67" t="n"/>
      <c r="Q278" s="70" t="n"/>
      <c r="R278" s="70" t="n"/>
      <c r="S278" s="71" t="n"/>
      <c r="T278" s="72">
        <f>SUM(C278:S278)</f>
        <v/>
      </c>
      <c r="U278" s="73">
        <f>T278/T$7</f>
        <v/>
      </c>
      <c r="V278" s="74" t="n">
        <v>7</v>
      </c>
      <c r="W278" s="76">
        <f>T278*V278</f>
        <v/>
      </c>
      <c r="X278" s="169" t="n"/>
    </row>
    <row r="279" ht="13.5" customHeight="1">
      <c r="A279" s="65" t="inlineStr">
        <is>
          <t>FCPR Entrepreneurs Sélection Secondaire</t>
        </is>
      </c>
      <c r="B279" s="66" t="inlineStr">
        <is>
          <t>FR001400HHK8</t>
        </is>
      </c>
      <c r="C279" s="67" t="n"/>
      <c r="D279" s="67" t="n"/>
      <c r="E279" s="67" t="n"/>
      <c r="F279" s="67" t="n"/>
      <c r="G279" s="68" t="n"/>
      <c r="H279" s="67" t="n"/>
      <c r="I279" s="67" t="n"/>
      <c r="J279" s="67" t="n"/>
      <c r="K279" s="69" t="n"/>
      <c r="L279" s="67" t="n"/>
      <c r="M279" s="67" t="n"/>
      <c r="N279" s="67" t="n"/>
      <c r="O279" s="67" t="n"/>
      <c r="P279" s="67" t="n"/>
      <c r="Q279" s="70" t="n"/>
      <c r="R279" s="70" t="n"/>
      <c r="S279" s="71" t="n"/>
      <c r="T279" s="72">
        <f>SUM(C279:S279)</f>
        <v/>
      </c>
      <c r="U279" s="73">
        <f>T279/T$7</f>
        <v/>
      </c>
      <c r="V279" s="74" t="n">
        <v>6</v>
      </c>
      <c r="W279" s="76">
        <f>T279*V279</f>
        <v/>
      </c>
      <c r="X279" s="169" t="n"/>
    </row>
    <row r="280" ht="13.5" customHeight="1">
      <c r="A280" s="65" t="inlineStr">
        <is>
          <t>FCPR Entrepreneurs &amp; Rendement N°8 Part E</t>
        </is>
      </c>
      <c r="B280" s="66" t="inlineStr">
        <is>
          <t>FR001400K9O3</t>
        </is>
      </c>
      <c r="C280" s="67" t="n"/>
      <c r="D280" s="67" t="n"/>
      <c r="E280" s="67" t="n"/>
      <c r="F280" s="67" t="n"/>
      <c r="G280" s="68" t="n"/>
      <c r="H280" s="67" t="n"/>
      <c r="I280" s="67" t="n"/>
      <c r="J280" s="67" t="n"/>
      <c r="K280" s="69" t="n"/>
      <c r="L280" s="67" t="n"/>
      <c r="M280" s="67" t="n"/>
      <c r="N280" s="67" t="n"/>
      <c r="O280" s="67" t="n"/>
      <c r="P280" s="67" t="n"/>
      <c r="Q280" s="70" t="n"/>
      <c r="R280" s="70" t="n"/>
      <c r="S280" s="71" t="n"/>
      <c r="T280" s="72">
        <f>SUM(C280:S280)</f>
        <v/>
      </c>
      <c r="U280" s="73">
        <f>T280/T$7</f>
        <v/>
      </c>
      <c r="V280" s="74" t="n">
        <v>6</v>
      </c>
      <c r="W280" s="76">
        <f>T280*V280</f>
        <v/>
      </c>
      <c r="X280" s="169" t="n"/>
    </row>
    <row r="281" ht="13.5" customFormat="1" customHeight="1" s="29">
      <c r="A281" s="65" t="inlineStr">
        <is>
          <t>FPCI Cairn Capital I A1</t>
        </is>
      </c>
      <c r="B281" s="66" t="inlineStr">
        <is>
          <t>FR0011347277</t>
        </is>
      </c>
      <c r="C281" s="67" t="n"/>
      <c r="D281" s="67" t="n"/>
      <c r="E281" s="68" t="n"/>
      <c r="F281" s="67" t="n"/>
      <c r="G281" s="68" t="n"/>
      <c r="H281" s="67" t="n"/>
      <c r="I281" s="67" t="n"/>
      <c r="J281" s="67" t="n"/>
      <c r="K281" s="69" t="n"/>
      <c r="L281" s="67" t="n"/>
      <c r="M281" s="67" t="n"/>
      <c r="N281" s="67" t="n"/>
      <c r="O281" s="67" t="n"/>
      <c r="P281" s="67" t="n"/>
      <c r="Q281" s="70" t="n"/>
      <c r="R281" s="70" t="n"/>
      <c r="S281" s="71" t="n"/>
      <c r="T281" s="72">
        <f>SUM(C281:S281)</f>
        <v/>
      </c>
      <c r="U281" s="73">
        <f>T281/T$7</f>
        <v/>
      </c>
      <c r="V281" s="74" t="n">
        <v>6</v>
      </c>
      <c r="W281" s="76">
        <f>T281*V281</f>
        <v/>
      </c>
      <c r="X281" s="169" t="n"/>
    </row>
    <row r="282" ht="13.5" customFormat="1" customHeight="1" s="29">
      <c r="A282" s="65" t="inlineStr">
        <is>
          <t>FPCI Cairn Capital II A1</t>
        </is>
      </c>
      <c r="B282" s="66" t="inlineStr">
        <is>
          <t>FR0013372687</t>
        </is>
      </c>
      <c r="C282" s="67" t="n"/>
      <c r="D282" s="67" t="n"/>
      <c r="E282" s="68" t="n"/>
      <c r="F282" s="67" t="n"/>
      <c r="G282" s="68" t="n"/>
      <c r="H282" s="67" t="n"/>
      <c r="I282" s="67" t="n"/>
      <c r="J282" s="67" t="n"/>
      <c r="K282" s="69" t="n"/>
      <c r="L282" s="67" t="n"/>
      <c r="M282" s="67" t="n"/>
      <c r="N282" s="67" t="n"/>
      <c r="O282" s="67" t="n"/>
      <c r="P282" s="67" t="n"/>
      <c r="Q282" s="70" t="n"/>
      <c r="R282" s="70" t="n"/>
      <c r="S282" s="71" t="n"/>
      <c r="T282" s="72">
        <f>SUM(C282:S282)</f>
        <v/>
      </c>
      <c r="U282" s="73">
        <f>T282/T$7</f>
        <v/>
      </c>
      <c r="V282" s="74" t="n">
        <v>6</v>
      </c>
      <c r="W282" s="76">
        <f>T282*V282</f>
        <v/>
      </c>
      <c r="X282" s="169" t="n"/>
    </row>
    <row r="283" ht="13.5" customFormat="1" customHeight="1" s="29">
      <c r="A283" s="65" t="inlineStr">
        <is>
          <t>FPCI Cairn Capital III - A3</t>
        </is>
      </c>
      <c r="B283" s="66" t="inlineStr">
        <is>
          <t>FR001400E052</t>
        </is>
      </c>
      <c r="C283" s="67" t="n"/>
      <c r="D283" s="67" t="n"/>
      <c r="E283" s="68" t="n"/>
      <c r="F283" s="67" t="n"/>
      <c r="G283" s="68" t="n"/>
      <c r="H283" s="67" t="n"/>
      <c r="I283" s="67" t="n"/>
      <c r="J283" s="67" t="n"/>
      <c r="K283" s="69" t="n"/>
      <c r="L283" s="67" t="n"/>
      <c r="M283" s="67" t="n"/>
      <c r="N283" s="67" t="n"/>
      <c r="O283" s="67" t="n"/>
      <c r="P283" s="67" t="n"/>
      <c r="Q283" s="70" t="n"/>
      <c r="R283" s="70" t="n"/>
      <c r="S283" s="71" t="n"/>
      <c r="T283" s="72">
        <f>SUM(C283:S283)</f>
        <v/>
      </c>
      <c r="U283" s="73">
        <f>T283/T$7</f>
        <v/>
      </c>
      <c r="V283" s="74" t="n">
        <v>6</v>
      </c>
      <c r="W283" s="76">
        <f>T283*V283</f>
        <v/>
      </c>
      <c r="X283" s="169" t="n"/>
    </row>
    <row r="284" ht="13.5" customFormat="1" customHeight="1" s="29">
      <c r="A284" s="65" t="inlineStr">
        <is>
          <t>FIP 123Horizon PME 2017</t>
        </is>
      </c>
      <c r="B284" s="66" t="inlineStr">
        <is>
          <t>FR0013236320</t>
        </is>
      </c>
      <c r="C284" s="67" t="n"/>
      <c r="D284" s="67" t="n"/>
      <c r="E284" s="68" t="n"/>
      <c r="F284" s="67" t="n"/>
      <c r="G284" s="68" t="n"/>
      <c r="H284" s="67" t="n"/>
      <c r="I284" s="67" t="n"/>
      <c r="J284" s="67" t="n"/>
      <c r="K284" s="69" t="n"/>
      <c r="L284" s="67" t="n"/>
      <c r="M284" s="67" t="n"/>
      <c r="N284" s="67" t="n"/>
      <c r="O284" s="67" t="n"/>
      <c r="P284" s="67" t="n"/>
      <c r="Q284" s="70" t="n"/>
      <c r="R284" s="70" t="n"/>
      <c r="S284" s="71" t="n"/>
      <c r="T284" s="72">
        <f>SUM(C284:S284)</f>
        <v/>
      </c>
      <c r="U284" s="73">
        <f>T284/T$7</f>
        <v/>
      </c>
      <c r="V284" s="74" t="n">
        <v>6</v>
      </c>
      <c r="W284" s="76">
        <f>T284*V284</f>
        <v/>
      </c>
      <c r="X284" s="169" t="n"/>
    </row>
    <row r="285" ht="13.5" customHeight="1">
      <c r="A285" s="65" t="inlineStr">
        <is>
          <t>Nexstage Croissance</t>
        </is>
      </c>
      <c r="B285" s="66" t="inlineStr">
        <is>
          <t>FR0013202108</t>
        </is>
      </c>
      <c r="C285" s="67" t="n"/>
      <c r="D285" s="67" t="n"/>
      <c r="E285" s="67" t="n"/>
      <c r="F285" s="67" t="n"/>
      <c r="G285" s="68" t="n"/>
      <c r="H285" s="67" t="n"/>
      <c r="I285" s="67" t="n"/>
      <c r="J285" s="67" t="n"/>
      <c r="K285" s="69" t="n"/>
      <c r="L285" s="67" t="n"/>
      <c r="M285" s="67" t="n"/>
      <c r="N285" s="67" t="n"/>
      <c r="O285" s="67" t="n"/>
      <c r="P285" s="67" t="n"/>
      <c r="Q285" s="70" t="n"/>
      <c r="R285" s="70" t="n"/>
      <c r="S285" s="71" t="n"/>
      <c r="T285" s="72">
        <f>SUM(C285:S285)</f>
        <v/>
      </c>
      <c r="U285" s="73">
        <f>T285/T$7</f>
        <v/>
      </c>
      <c r="V285" s="74" t="n">
        <v>5</v>
      </c>
      <c r="W285" s="76">
        <f>T285*V285</f>
        <v/>
      </c>
      <c r="X285" s="169" t="n"/>
    </row>
    <row r="286" ht="13.5" customHeight="1">
      <c r="A286" s="65" t="inlineStr">
        <is>
          <t>Bridgepoint Generations</t>
        </is>
      </c>
      <c r="B286" s="66" t="inlineStr">
        <is>
          <t>LU3036659277</t>
        </is>
      </c>
      <c r="C286" s="67" t="n"/>
      <c r="D286" s="67" t="n"/>
      <c r="E286" s="67" t="n"/>
      <c r="F286" s="67" t="n"/>
      <c r="G286" s="68" t="n"/>
      <c r="H286" s="67" t="n"/>
      <c r="I286" s="67" t="n"/>
      <c r="J286" s="67" t="n"/>
      <c r="K286" s="69" t="n"/>
      <c r="L286" s="67" t="n"/>
      <c r="M286" s="67" t="n"/>
      <c r="N286" s="67" t="n"/>
      <c r="O286" s="67" t="n"/>
      <c r="P286" s="67" t="n"/>
      <c r="Q286" s="70" t="n"/>
      <c r="R286" s="70" t="n"/>
      <c r="S286" s="71" t="n"/>
      <c r="T286" s="72">
        <f>SUM(C286:S286)</f>
        <v/>
      </c>
      <c r="U286" s="73">
        <f>T286/T$7</f>
        <v/>
      </c>
      <c r="V286" s="74" t="n">
        <v>4</v>
      </c>
      <c r="W286" s="76">
        <f>T286*V286</f>
        <v/>
      </c>
      <c r="X286" s="169" t="n"/>
    </row>
    <row r="287" ht="13.5" customFormat="1" customHeight="1" s="29">
      <c r="A287" s="85" t="inlineStr">
        <is>
          <t>SIPAREX Investir en France</t>
        </is>
      </c>
      <c r="B287" s="66" t="inlineStr">
        <is>
          <t>FR001400MDE0</t>
        </is>
      </c>
      <c r="C287" s="67" t="n"/>
      <c r="D287" s="67" t="n"/>
      <c r="E287" s="68" t="n"/>
      <c r="F287" s="67" t="n"/>
      <c r="G287" s="68" t="n"/>
      <c r="H287" s="67" t="n"/>
      <c r="I287" s="67" t="n"/>
      <c r="J287" s="67" t="n"/>
      <c r="K287" s="69" t="n"/>
      <c r="L287" s="67" t="n"/>
      <c r="M287" s="67" t="n"/>
      <c r="N287" s="67" t="n"/>
      <c r="O287" s="67" t="n"/>
      <c r="P287" s="67" t="n"/>
      <c r="Q287" s="70" t="n"/>
      <c r="R287" s="70" t="n"/>
      <c r="S287" s="71" t="n"/>
      <c r="T287" s="72">
        <f>SUM(C287:S287)</f>
        <v/>
      </c>
      <c r="U287" s="73">
        <f>T287/T$7</f>
        <v/>
      </c>
      <c r="V287" s="74" t="n">
        <v>6</v>
      </c>
      <c r="W287" s="76">
        <f>T287*V287</f>
        <v/>
      </c>
      <c r="X287" s="169" t="n"/>
    </row>
    <row r="288" ht="13.5" customFormat="1" customHeight="1" s="29">
      <c r="A288" s="65" t="inlineStr">
        <is>
          <t>Feeder RAISE Investissement S.L.P. A2</t>
        </is>
      </c>
      <c r="B288" s="66" t="inlineStr">
        <is>
          <t>FR001400IL19</t>
        </is>
      </c>
      <c r="C288" s="67" t="n"/>
      <c r="D288" s="67" t="n"/>
      <c r="E288" s="68" t="n"/>
      <c r="F288" s="67" t="n"/>
      <c r="G288" s="68" t="n"/>
      <c r="H288" s="67" t="n"/>
      <c r="I288" s="67" t="n"/>
      <c r="J288" s="67" t="n"/>
      <c r="K288" s="69" t="n"/>
      <c r="L288" s="67" t="n"/>
      <c r="M288" s="67" t="n"/>
      <c r="N288" s="67" t="n"/>
      <c r="O288" s="67" t="n"/>
      <c r="P288" s="67" t="n"/>
      <c r="Q288" s="70" t="n"/>
      <c r="R288" s="70" t="n"/>
      <c r="S288" s="71" t="n"/>
      <c r="T288" s="72">
        <f>SUM(C288:S288)</f>
        <v/>
      </c>
      <c r="U288" s="73">
        <f>T288/T$7</f>
        <v/>
      </c>
      <c r="V288" s="74" t="n">
        <v>6</v>
      </c>
      <c r="W288" s="76">
        <f>T288*V288</f>
        <v/>
      </c>
      <c r="X288" s="169" t="n"/>
    </row>
    <row r="289" ht="13.5" customHeight="1">
      <c r="A289" s="65" t="inlineStr">
        <is>
          <t>Ring Altitude Growth II - entrepreneurs</t>
        </is>
      </c>
      <c r="B289" s="66" t="inlineStr">
        <is>
          <t>/</t>
        </is>
      </c>
      <c r="C289" s="67" t="n"/>
      <c r="D289" s="67" t="n"/>
      <c r="E289" s="67" t="n"/>
      <c r="F289" s="67" t="n"/>
      <c r="G289" s="68" t="n"/>
      <c r="H289" s="67" t="n"/>
      <c r="I289" s="67" t="n"/>
      <c r="J289" s="67" t="n"/>
      <c r="K289" s="69" t="n"/>
      <c r="L289" s="67" t="n"/>
      <c r="M289" s="67" t="n"/>
      <c r="N289" s="67" t="n"/>
      <c r="O289" s="67" t="n"/>
      <c r="P289" s="67" t="n"/>
      <c r="Q289" s="70" t="n"/>
      <c r="R289" s="70" t="n"/>
      <c r="S289" s="71" t="n"/>
      <c r="T289" s="72">
        <f>SUM(C289:S289)</f>
        <v/>
      </c>
      <c r="U289" s="73">
        <f>T289/T$7</f>
        <v/>
      </c>
      <c r="V289" s="74" t="n">
        <v>6</v>
      </c>
      <c r="W289" s="76">
        <f>T289*V289</f>
        <v/>
      </c>
      <c r="X289" s="169" t="n"/>
    </row>
    <row r="290" ht="13.5" customFormat="1" customHeight="1" s="29">
      <c r="A290" s="65" t="inlineStr">
        <is>
          <t>Co-Investissement Arlane - Santé</t>
        </is>
      </c>
      <c r="B290" s="66" t="inlineStr">
        <is>
          <t>/</t>
        </is>
      </c>
      <c r="C290" s="67" t="n"/>
      <c r="D290" s="67" t="n"/>
      <c r="E290" s="68" t="n"/>
      <c r="F290" s="67" t="n"/>
      <c r="G290" s="68" t="n"/>
      <c r="H290" s="67" t="n"/>
      <c r="I290" s="67" t="n"/>
      <c r="J290" s="67" t="n"/>
      <c r="K290" s="69" t="n"/>
      <c r="L290" s="67" t="n"/>
      <c r="M290" s="67" t="n"/>
      <c r="N290" s="67" t="n"/>
      <c r="O290" s="67" t="n"/>
      <c r="P290" s="67" t="n"/>
      <c r="Q290" s="70" t="n"/>
      <c r="R290" s="70" t="n"/>
      <c r="S290" s="71" t="n"/>
      <c r="T290" s="72">
        <f>SUM(C290:S290)</f>
        <v/>
      </c>
      <c r="U290" s="73">
        <f>T290/T$7</f>
        <v/>
      </c>
      <c r="V290" s="74" t="n">
        <v>7</v>
      </c>
      <c r="W290" s="76">
        <f>T290*V290</f>
        <v/>
      </c>
      <c r="X290" s="169" t="n"/>
    </row>
    <row r="291" ht="13.5" customHeight="1">
      <c r="A291" s="65" t="inlineStr">
        <is>
          <t>Committed Adv Sec V</t>
        </is>
      </c>
      <c r="B291" s="66" t="inlineStr">
        <is>
          <t>FR00140089C0</t>
        </is>
      </c>
      <c r="C291" s="67" t="n"/>
      <c r="D291" s="67" t="n"/>
      <c r="E291" s="68" t="n"/>
      <c r="F291" s="68" t="n"/>
      <c r="G291" s="68" t="n"/>
      <c r="H291" s="67" t="n"/>
      <c r="I291" s="67" t="n"/>
      <c r="J291" s="67" t="n"/>
      <c r="K291" s="69" t="n"/>
      <c r="L291" s="67" t="n"/>
      <c r="M291" s="67" t="n"/>
      <c r="N291" s="67" t="n"/>
      <c r="O291" s="67" t="n"/>
      <c r="P291" s="67" t="n"/>
      <c r="Q291" s="70" t="n"/>
      <c r="R291" s="70" t="n"/>
      <c r="S291" s="71" t="n"/>
      <c r="T291" s="72">
        <f>SUM(C291:S291)</f>
        <v/>
      </c>
      <c r="U291" s="73">
        <f>T291/T$7</f>
        <v/>
      </c>
      <c r="V291" s="74" t="n">
        <v>7</v>
      </c>
      <c r="W291" s="76">
        <f>T291*V291</f>
        <v/>
      </c>
      <c r="X291" s="169" t="n"/>
    </row>
    <row r="292" ht="13.5" customHeight="1">
      <c r="A292" s="65" t="inlineStr">
        <is>
          <t>Motion Equity Partners IV SC parts A2</t>
        </is>
      </c>
      <c r="B292" s="66" t="inlineStr">
        <is>
          <t>FR001400LUW8</t>
        </is>
      </c>
      <c r="C292" s="67" t="n"/>
      <c r="D292" s="67" t="n"/>
      <c r="E292" s="68" t="n"/>
      <c r="F292" s="68" t="n"/>
      <c r="G292" s="68" t="n"/>
      <c r="H292" s="67" t="n"/>
      <c r="I292" s="67" t="n"/>
      <c r="J292" s="67" t="n"/>
      <c r="K292" s="69" t="n"/>
      <c r="L292" s="67" t="n"/>
      <c r="M292" s="67" t="n"/>
      <c r="N292" s="67" t="n"/>
      <c r="O292" s="67" t="n"/>
      <c r="P292" s="67" t="n"/>
      <c r="Q292" s="70" t="n"/>
      <c r="R292" s="70" t="n"/>
      <c r="S292" s="71" t="n"/>
      <c r="T292" s="72">
        <f>SUM(C292:S292)</f>
        <v/>
      </c>
      <c r="U292" s="73">
        <f>T292/T$7</f>
        <v/>
      </c>
      <c r="V292" s="74" t="n">
        <v>6</v>
      </c>
      <c r="W292" s="76">
        <f>T292*V292</f>
        <v/>
      </c>
      <c r="X292" s="169" t="n"/>
    </row>
    <row r="293" ht="13.5" customFormat="1" customHeight="1" s="29">
      <c r="A293" s="65" t="inlineStr">
        <is>
          <t>Motion Equity Partners V</t>
        </is>
      </c>
      <c r="B293" s="66" t="inlineStr">
        <is>
          <t>/</t>
        </is>
      </c>
      <c r="C293" s="67" t="n"/>
      <c r="D293" s="67" t="n"/>
      <c r="E293" s="68" t="n"/>
      <c r="F293" s="68" t="n"/>
      <c r="G293" s="68" t="n"/>
      <c r="H293" s="67" t="n"/>
      <c r="I293" s="67" t="n"/>
      <c r="J293" s="67" t="n"/>
      <c r="K293" s="69" t="n"/>
      <c r="L293" s="67" t="n"/>
      <c r="M293" s="67" t="n"/>
      <c r="N293" s="67" t="n"/>
      <c r="O293" s="67" t="n"/>
      <c r="P293" s="67" t="n"/>
      <c r="Q293" s="70" t="n"/>
      <c r="R293" s="70" t="n"/>
      <c r="S293" s="71" t="n"/>
      <c r="T293" s="72">
        <f>SUM(C293:S293)</f>
        <v/>
      </c>
      <c r="U293" s="73">
        <f>T293/T$7</f>
        <v/>
      </c>
      <c r="V293" s="74" t="n">
        <v>6</v>
      </c>
      <c r="W293" s="76">
        <f>T293*V293</f>
        <v/>
      </c>
      <c r="X293" s="169" t="n"/>
    </row>
    <row r="294" ht="13.5" customHeight="1">
      <c r="A294" s="65" t="n"/>
      <c r="B294" s="75" t="n"/>
      <c r="C294" s="67" t="n"/>
      <c r="D294" s="67" t="n"/>
      <c r="E294" s="68" t="n"/>
      <c r="F294" s="68" t="n"/>
      <c r="G294" s="68" t="n"/>
      <c r="H294" s="67" t="n"/>
      <c r="I294" s="67" t="n"/>
      <c r="J294" s="67" t="n"/>
      <c r="K294" s="69" t="n"/>
      <c r="L294" s="67" t="n"/>
      <c r="M294" s="67" t="n"/>
      <c r="N294" s="67" t="n"/>
      <c r="O294" s="67" t="n"/>
      <c r="P294" s="67" t="n"/>
      <c r="Q294" s="70" t="n"/>
      <c r="R294" s="70" t="n"/>
      <c r="S294" s="71" t="n"/>
      <c r="T294" s="72">
        <f>SUM(C294:S294)</f>
        <v/>
      </c>
      <c r="U294" s="73">
        <f>T294/T$7</f>
        <v/>
      </c>
      <c r="V294" s="74" t="n"/>
      <c r="W294" s="76">
        <f>T294*V294</f>
        <v/>
      </c>
      <c r="X294" s="169" t="n"/>
    </row>
    <row r="295" ht="13.5" customHeight="1">
      <c r="A295" s="65" t="n"/>
      <c r="B295" s="75" t="n"/>
      <c r="C295" s="67" t="n"/>
      <c r="D295" s="67" t="n"/>
      <c r="E295" s="68" t="n"/>
      <c r="F295" s="68" t="n"/>
      <c r="G295" s="68" t="n"/>
      <c r="H295" s="67" t="n"/>
      <c r="I295" s="67" t="n"/>
      <c r="J295" s="67" t="n"/>
      <c r="K295" s="69" t="n"/>
      <c r="L295" s="67" t="n"/>
      <c r="M295" s="67" t="n"/>
      <c r="N295" s="67" t="n"/>
      <c r="O295" s="67" t="n"/>
      <c r="P295" s="67" t="n"/>
      <c r="Q295" s="70" t="n"/>
      <c r="R295" s="70" t="n"/>
      <c r="S295" s="71" t="n"/>
      <c r="T295" s="72">
        <f>SUM(C295:S295)</f>
        <v/>
      </c>
      <c r="U295" s="73">
        <f>T295/T$7</f>
        <v/>
      </c>
      <c r="V295" s="74" t="n"/>
      <c r="W295" s="76">
        <f>T295*V295</f>
        <v/>
      </c>
      <c r="X295" s="169" t="n"/>
    </row>
    <row r="296" ht="13.5" customHeight="1">
      <c r="A296" s="65" t="n"/>
      <c r="B296" s="75" t="n"/>
      <c r="C296" s="67" t="n"/>
      <c r="D296" s="67" t="n"/>
      <c r="E296" s="68" t="n"/>
      <c r="F296" s="68" t="n"/>
      <c r="G296" s="68" t="n"/>
      <c r="H296" s="67" t="n"/>
      <c r="I296" s="67" t="n"/>
      <c r="J296" s="67" t="n"/>
      <c r="K296" s="69" t="n"/>
      <c r="L296" s="67" t="n"/>
      <c r="M296" s="67" t="n"/>
      <c r="N296" s="67" t="n"/>
      <c r="O296" s="67" t="n"/>
      <c r="P296" s="67" t="n"/>
      <c r="Q296" s="70" t="n"/>
      <c r="R296" s="70" t="n"/>
      <c r="S296" s="71" t="n"/>
      <c r="T296" s="72">
        <f>SUM(C296:S296)</f>
        <v/>
      </c>
      <c r="U296" s="73">
        <f>T296/T$7</f>
        <v/>
      </c>
      <c r="V296" s="74" t="n"/>
      <c r="W296" s="76">
        <f>T296*V296</f>
        <v/>
      </c>
      <c r="X296" s="169" t="n"/>
    </row>
    <row r="297" ht="13.5" customHeight="1">
      <c r="A297" s="65" t="n"/>
      <c r="B297" s="75" t="n"/>
      <c r="C297" s="67" t="n"/>
      <c r="D297" s="67" t="n"/>
      <c r="E297" s="68" t="n"/>
      <c r="F297" s="68" t="n"/>
      <c r="G297" s="68" t="n"/>
      <c r="H297" s="67" t="n"/>
      <c r="I297" s="67" t="n"/>
      <c r="J297" s="67" t="n"/>
      <c r="K297" s="69" t="n"/>
      <c r="L297" s="67" t="n"/>
      <c r="M297" s="67" t="n"/>
      <c r="N297" s="67" t="n"/>
      <c r="O297" s="67" t="n"/>
      <c r="P297" s="67" t="n"/>
      <c r="Q297" s="70" t="n"/>
      <c r="R297" s="70" t="n"/>
      <c r="S297" s="71" t="n"/>
      <c r="T297" s="72">
        <f>SUM(C297:S297)</f>
        <v/>
      </c>
      <c r="U297" s="73">
        <f>T297/T$7</f>
        <v/>
      </c>
      <c r="V297" s="74" t="n"/>
      <c r="W297" s="76">
        <f>T297*V297</f>
        <v/>
      </c>
      <c r="X297" s="169" t="n"/>
    </row>
    <row r="298" ht="13.5" customHeight="1">
      <c r="A298" s="65" t="n"/>
      <c r="B298" s="75" t="n"/>
      <c r="C298" s="67" t="n"/>
      <c r="D298" s="67" t="n"/>
      <c r="E298" s="68" t="n"/>
      <c r="F298" s="68" t="n"/>
      <c r="G298" s="68" t="n"/>
      <c r="H298" s="67" t="n"/>
      <c r="I298" s="67" t="n"/>
      <c r="J298" s="67" t="n"/>
      <c r="K298" s="69" t="n"/>
      <c r="L298" s="67" t="n"/>
      <c r="M298" s="67" t="n"/>
      <c r="N298" s="67" t="n"/>
      <c r="O298" s="67" t="n"/>
      <c r="P298" s="67" t="n"/>
      <c r="Q298" s="70" t="n"/>
      <c r="R298" s="70" t="n"/>
      <c r="S298" s="71" t="n"/>
      <c r="T298" s="72">
        <f>SUM(C298:S298)</f>
        <v/>
      </c>
      <c r="U298" s="73">
        <f>T298/T$7</f>
        <v/>
      </c>
      <c r="V298" s="74" t="n"/>
      <c r="W298" s="76">
        <f>T298*V298</f>
        <v/>
      </c>
      <c r="X298" s="169" t="n"/>
    </row>
    <row r="299" ht="13.5" customHeight="1">
      <c r="A299" s="65" t="n"/>
      <c r="B299" s="75" t="n"/>
      <c r="C299" s="67" t="n"/>
      <c r="D299" s="67" t="n"/>
      <c r="E299" s="68" t="n"/>
      <c r="F299" s="68" t="n"/>
      <c r="G299" s="68" t="n"/>
      <c r="H299" s="67" t="n"/>
      <c r="I299" s="67" t="n"/>
      <c r="J299" s="67" t="n"/>
      <c r="K299" s="69" t="n"/>
      <c r="L299" s="67" t="n"/>
      <c r="M299" s="67" t="n"/>
      <c r="N299" s="67" t="n"/>
      <c r="O299" s="67" t="n"/>
      <c r="P299" s="67" t="n"/>
      <c r="Q299" s="70" t="n"/>
      <c r="R299" s="70" t="n"/>
      <c r="S299" s="71" t="n"/>
      <c r="T299" s="72">
        <f>SUM(C299:S299)</f>
        <v/>
      </c>
      <c r="U299" s="73">
        <f>T299/T$7</f>
        <v/>
      </c>
      <c r="V299" s="74" t="n"/>
      <c r="W299" s="76">
        <f>T299*V299</f>
        <v/>
      </c>
      <c r="X299" s="169" t="n"/>
    </row>
    <row r="300" ht="13.5" customHeight="1">
      <c r="A300" s="65" t="n"/>
      <c r="B300" s="75" t="n"/>
      <c r="C300" s="67" t="n"/>
      <c r="D300" s="67" t="n"/>
      <c r="E300" s="68" t="n"/>
      <c r="F300" s="68" t="n"/>
      <c r="G300" s="68" t="n"/>
      <c r="H300" s="67" t="n"/>
      <c r="I300" s="67" t="n"/>
      <c r="J300" s="67" t="n"/>
      <c r="K300" s="69" t="n"/>
      <c r="L300" s="67" t="n"/>
      <c r="M300" s="67" t="n"/>
      <c r="N300" s="67" t="n"/>
      <c r="O300" s="67" t="n"/>
      <c r="P300" s="67" t="n"/>
      <c r="Q300" s="70" t="n"/>
      <c r="R300" s="70" t="n"/>
      <c r="S300" s="71" t="n"/>
      <c r="T300" s="72">
        <f>SUM(C300:S300)</f>
        <v/>
      </c>
      <c r="U300" s="73">
        <f>T300/T$7</f>
        <v/>
      </c>
      <c r="V300" s="74" t="n"/>
      <c r="W300" s="76">
        <f>T300*V300</f>
        <v/>
      </c>
      <c r="X300" s="169" t="n"/>
    </row>
    <row r="301" ht="13.5" customHeight="1">
      <c r="A301" s="65" t="n"/>
      <c r="B301" s="75" t="n"/>
      <c r="C301" s="67" t="n"/>
      <c r="D301" s="67" t="n"/>
      <c r="E301" s="68" t="n"/>
      <c r="F301" s="68" t="n"/>
      <c r="G301" s="68" t="n"/>
      <c r="H301" s="67" t="n"/>
      <c r="I301" s="67" t="n"/>
      <c r="J301" s="67" t="n"/>
      <c r="K301" s="69" t="n"/>
      <c r="L301" s="67" t="n"/>
      <c r="M301" s="67" t="n"/>
      <c r="N301" s="67" t="n"/>
      <c r="O301" s="67" t="n"/>
      <c r="P301" s="67" t="n"/>
      <c r="Q301" s="70" t="n"/>
      <c r="R301" s="70" t="n"/>
      <c r="S301" s="71" t="n"/>
      <c r="T301" s="72">
        <f>SUM(C301:S301)</f>
        <v/>
      </c>
      <c r="U301" s="73">
        <f>T301/T$7</f>
        <v/>
      </c>
      <c r="V301" s="74" t="n"/>
      <c r="W301" s="76">
        <f>T301*V301</f>
        <v/>
      </c>
      <c r="X301" s="169" t="n"/>
    </row>
    <row r="302" ht="13.5" customHeight="1">
      <c r="A302" s="65" t="n"/>
      <c r="B302" s="75" t="n"/>
      <c r="C302" s="67" t="n"/>
      <c r="D302" s="67" t="n"/>
      <c r="E302" s="68" t="n"/>
      <c r="F302" s="68" t="n"/>
      <c r="G302" s="68" t="n"/>
      <c r="H302" s="67" t="n"/>
      <c r="I302" s="67" t="n"/>
      <c r="J302" s="67" t="n"/>
      <c r="K302" s="69" t="n"/>
      <c r="L302" s="67" t="n"/>
      <c r="M302" s="67" t="n"/>
      <c r="N302" s="67" t="n"/>
      <c r="O302" s="67" t="n"/>
      <c r="P302" s="67" t="n"/>
      <c r="Q302" s="70" t="n"/>
      <c r="R302" s="70" t="n"/>
      <c r="S302" s="71" t="n"/>
      <c r="T302" s="72">
        <f>SUM(C302:S302)</f>
        <v/>
      </c>
      <c r="U302" s="73">
        <f>T302/T$7</f>
        <v/>
      </c>
      <c r="V302" s="74" t="n"/>
      <c r="W302" s="76">
        <f>T302*V302</f>
        <v/>
      </c>
      <c r="X302" s="169" t="n"/>
    </row>
    <row r="303" ht="13.5" customHeight="1">
      <c r="A303" s="65" t="n"/>
      <c r="B303" s="75" t="n"/>
      <c r="C303" s="67" t="n"/>
      <c r="D303" s="67" t="n"/>
      <c r="E303" s="68" t="n"/>
      <c r="F303" s="68" t="n"/>
      <c r="G303" s="68" t="n"/>
      <c r="H303" s="67" t="n"/>
      <c r="I303" s="67" t="n"/>
      <c r="J303" s="67" t="n"/>
      <c r="K303" s="69" t="n"/>
      <c r="L303" s="67" t="n"/>
      <c r="M303" s="67" t="n"/>
      <c r="N303" s="67" t="n"/>
      <c r="O303" s="67" t="n"/>
      <c r="P303" s="67" t="n"/>
      <c r="Q303" s="70" t="n"/>
      <c r="R303" s="70" t="n"/>
      <c r="S303" s="71" t="n"/>
      <c r="T303" s="72">
        <f>SUM(C303:S303)</f>
        <v/>
      </c>
      <c r="U303" s="73">
        <f>T303/T$7</f>
        <v/>
      </c>
      <c r="V303" s="74" t="n"/>
      <c r="W303" s="76">
        <f>T303*V303</f>
        <v/>
      </c>
      <c r="X303" s="169" t="n"/>
    </row>
    <row r="304" ht="13.5" customHeight="1">
      <c r="A304" s="65" t="n"/>
      <c r="B304" s="75" t="n"/>
      <c r="C304" s="67" t="n"/>
      <c r="D304" s="67" t="n"/>
      <c r="E304" s="68" t="n"/>
      <c r="F304" s="68" t="n"/>
      <c r="G304" s="68" t="n"/>
      <c r="H304" s="67" t="n"/>
      <c r="I304" s="67" t="n"/>
      <c r="J304" s="67" t="n"/>
      <c r="K304" s="69" t="n"/>
      <c r="L304" s="67" t="n"/>
      <c r="M304" s="67" t="n"/>
      <c r="N304" s="67" t="n"/>
      <c r="O304" s="67" t="n"/>
      <c r="P304" s="67" t="n"/>
      <c r="Q304" s="70" t="n"/>
      <c r="R304" s="70" t="n"/>
      <c r="S304" s="71" t="n"/>
      <c r="T304" s="72">
        <f>SUM(C304:S304)</f>
        <v/>
      </c>
      <c r="U304" s="73">
        <f>T304/T$7</f>
        <v/>
      </c>
      <c r="V304" s="74" t="n"/>
      <c r="W304" s="76">
        <f>T304*V304</f>
        <v/>
      </c>
      <c r="X304" s="169" t="n"/>
    </row>
    <row r="305" ht="13.5" customHeight="1">
      <c r="A305" s="65" t="n"/>
      <c r="B305" s="75" t="n"/>
      <c r="C305" s="67" t="n"/>
      <c r="D305" s="67" t="n"/>
      <c r="E305" s="68" t="n"/>
      <c r="F305" s="68" t="n"/>
      <c r="G305" s="68" t="n"/>
      <c r="H305" s="67" t="n"/>
      <c r="I305" s="67" t="n"/>
      <c r="J305" s="67" t="n"/>
      <c r="K305" s="69" t="n"/>
      <c r="L305" s="67" t="n"/>
      <c r="M305" s="67" t="n"/>
      <c r="N305" s="67" t="n"/>
      <c r="O305" s="67" t="n"/>
      <c r="P305" s="67" t="n"/>
      <c r="Q305" s="70" t="n"/>
      <c r="R305" s="70" t="n"/>
      <c r="S305" s="71" t="n"/>
      <c r="T305" s="72">
        <f>SUM(C305:S305)</f>
        <v/>
      </c>
      <c r="U305" s="73">
        <f>T305/T$7</f>
        <v/>
      </c>
      <c r="V305" s="74" t="n"/>
      <c r="W305" s="76">
        <f>T305*V305</f>
        <v/>
      </c>
      <c r="X305" s="169" t="n"/>
    </row>
    <row r="306" ht="13.5" customHeight="1">
      <c r="A306" s="65" t="n"/>
      <c r="B306" s="75" t="n"/>
      <c r="C306" s="67" t="n"/>
      <c r="D306" s="67" t="n"/>
      <c r="E306" s="68" t="n"/>
      <c r="F306" s="68" t="n"/>
      <c r="G306" s="68" t="n"/>
      <c r="H306" s="67" t="n"/>
      <c r="I306" s="67" t="n"/>
      <c r="J306" s="67" t="n"/>
      <c r="K306" s="69" t="n"/>
      <c r="L306" s="67" t="n"/>
      <c r="M306" s="67" t="n"/>
      <c r="N306" s="67" t="n"/>
      <c r="O306" s="67" t="n"/>
      <c r="P306" s="67" t="n"/>
      <c r="Q306" s="70" t="n"/>
      <c r="R306" s="70" t="n"/>
      <c r="S306" s="71" t="n"/>
      <c r="T306" s="72">
        <f>SUM(C306:S306)</f>
        <v/>
      </c>
      <c r="U306" s="73">
        <f>T306/T$7</f>
        <v/>
      </c>
      <c r="V306" s="74" t="n"/>
      <c r="W306" s="76">
        <f>T306*V306</f>
        <v/>
      </c>
      <c r="X306" s="169" t="n"/>
    </row>
    <row r="307" ht="13.5" customHeight="1">
      <c r="A307" s="65" t="n"/>
      <c r="B307" s="75" t="n"/>
      <c r="C307" s="67" t="n"/>
      <c r="D307" s="67" t="n"/>
      <c r="E307" s="68" t="n"/>
      <c r="F307" s="68" t="n"/>
      <c r="G307" s="68" t="n"/>
      <c r="H307" s="67" t="n"/>
      <c r="I307" s="67" t="n"/>
      <c r="J307" s="67" t="n"/>
      <c r="K307" s="69" t="n"/>
      <c r="L307" s="67" t="n"/>
      <c r="M307" s="67" t="n"/>
      <c r="N307" s="67" t="n"/>
      <c r="O307" s="67" t="n"/>
      <c r="P307" s="67" t="n"/>
      <c r="Q307" s="70" t="n"/>
      <c r="R307" s="70" t="n"/>
      <c r="S307" s="71" t="n"/>
      <c r="T307" s="72">
        <f>SUM(C307:S307)</f>
        <v/>
      </c>
      <c r="U307" s="73">
        <f>T307/T$7</f>
        <v/>
      </c>
      <c r="V307" s="74" t="n"/>
      <c r="W307" s="76">
        <f>T307*V307</f>
        <v/>
      </c>
      <c r="X307" s="169" t="n"/>
    </row>
    <row r="308" ht="13.5" customHeight="1">
      <c r="A308" s="65" t="n"/>
      <c r="B308" s="75" t="n"/>
      <c r="C308" s="67" t="n"/>
      <c r="D308" s="67" t="n"/>
      <c r="E308" s="68" t="n"/>
      <c r="F308" s="68" t="n"/>
      <c r="G308" s="68" t="n"/>
      <c r="H308" s="67" t="n"/>
      <c r="I308" s="67" t="n"/>
      <c r="J308" s="67" t="n"/>
      <c r="K308" s="69" t="n"/>
      <c r="L308" s="67" t="n"/>
      <c r="M308" s="67" t="n"/>
      <c r="N308" s="67" t="n"/>
      <c r="O308" s="67" t="n"/>
      <c r="P308" s="67" t="n"/>
      <c r="Q308" s="70" t="n"/>
      <c r="R308" s="70" t="n"/>
      <c r="S308" s="71" t="n"/>
      <c r="T308" s="72">
        <f>SUM(C308:S308)</f>
        <v/>
      </c>
      <c r="U308" s="73">
        <f>T308/T$7</f>
        <v/>
      </c>
      <c r="V308" s="74" t="n"/>
      <c r="W308" s="76">
        <f>T308*V308</f>
        <v/>
      </c>
      <c r="X308" s="169" t="n"/>
    </row>
    <row r="309" ht="13.5" customHeight="1">
      <c r="A309" s="65" t="n"/>
      <c r="B309" s="75" t="n"/>
      <c r="C309" s="67" t="n"/>
      <c r="D309" s="67" t="n"/>
      <c r="E309" s="68" t="n"/>
      <c r="F309" s="68" t="n"/>
      <c r="G309" s="68" t="n"/>
      <c r="H309" s="67" t="n"/>
      <c r="I309" s="67" t="n"/>
      <c r="J309" s="67" t="n"/>
      <c r="K309" s="69" t="n"/>
      <c r="L309" s="67" t="n"/>
      <c r="M309" s="67" t="n"/>
      <c r="N309" s="67" t="n"/>
      <c r="O309" s="67" t="n"/>
      <c r="P309" s="67" t="n"/>
      <c r="Q309" s="70" t="n"/>
      <c r="R309" s="70" t="n"/>
      <c r="S309" s="71" t="n"/>
      <c r="T309" s="72">
        <f>SUM(C309:S309)</f>
        <v/>
      </c>
      <c r="U309" s="73">
        <f>T309/T$7</f>
        <v/>
      </c>
      <c r="V309" s="74" t="n"/>
      <c r="W309" s="76">
        <f>T309*V309</f>
        <v/>
      </c>
      <c r="X309" s="169" t="n"/>
    </row>
    <row r="310" ht="13.5" customHeight="1">
      <c r="A310" s="65" t="n"/>
      <c r="B310" s="75" t="n"/>
      <c r="C310" s="67" t="n"/>
      <c r="D310" s="67" t="n"/>
      <c r="E310" s="68" t="n"/>
      <c r="F310" s="68" t="n"/>
      <c r="G310" s="68" t="n"/>
      <c r="H310" s="67" t="n"/>
      <c r="I310" s="67" t="n"/>
      <c r="J310" s="67" t="n"/>
      <c r="K310" s="69" t="n"/>
      <c r="L310" s="67" t="n"/>
      <c r="M310" s="67" t="n"/>
      <c r="N310" s="67" t="n"/>
      <c r="O310" s="67" t="n"/>
      <c r="P310" s="67" t="n"/>
      <c r="Q310" s="70" t="n"/>
      <c r="R310" s="70" t="n"/>
      <c r="S310" s="71" t="n"/>
      <c r="T310" s="72">
        <f>SUM(C310:S310)</f>
        <v/>
      </c>
      <c r="U310" s="73">
        <f>T310/T$7</f>
        <v/>
      </c>
      <c r="V310" s="74" t="n"/>
      <c r="W310" s="76">
        <f>T310*V310</f>
        <v/>
      </c>
      <c r="X310" s="169" t="n"/>
    </row>
    <row r="311" ht="14" customFormat="1" customHeight="1" s="258">
      <c r="A311" s="235" t="inlineStr">
        <is>
          <t>Actions</t>
        </is>
      </c>
      <c r="B311" s="236" t="n"/>
      <c r="C311" s="135">
        <f>C312+C352+C389+C424+C431</f>
        <v/>
      </c>
      <c r="D311" s="135">
        <f>D312+D352+D389+D424+D431</f>
        <v/>
      </c>
      <c r="E311" s="135">
        <f>E312+E352+E389+E424+E431</f>
        <v/>
      </c>
      <c r="F311" s="135">
        <f>F312+F352+F389+F424+F431</f>
        <v/>
      </c>
      <c r="G311" s="135">
        <f>G312+G352+G389+G424+G431</f>
        <v/>
      </c>
      <c r="H311" s="135">
        <f>H312+H352+H389+H424+H431</f>
        <v/>
      </c>
      <c r="I311" s="135">
        <f>I312+I352+I389+I424+I431</f>
        <v/>
      </c>
      <c r="J311" s="135">
        <f>J312+J352+J389+J424+J431</f>
        <v/>
      </c>
      <c r="K311" s="135">
        <f>K312+K352+K389+K424+K431</f>
        <v/>
      </c>
      <c r="L311" s="135">
        <f>L312+L352+L389+L424+L431</f>
        <v/>
      </c>
      <c r="M311" s="135">
        <f>M312+M352+M389+M424+M431</f>
        <v/>
      </c>
      <c r="N311" s="135">
        <f>N312+N352+N389+N424+N431</f>
        <v/>
      </c>
      <c r="O311" s="135">
        <f>O312+O352+O389+O424+O431</f>
        <v/>
      </c>
      <c r="P311" s="135">
        <f>P312+P352+P389+P424+P431</f>
        <v/>
      </c>
      <c r="Q311" s="135">
        <f>Q312+Q352+Q389+Q424+Q431</f>
        <v/>
      </c>
      <c r="R311" s="135">
        <f>R312+R352+R389+R424+R431</f>
        <v/>
      </c>
      <c r="S311" s="135">
        <f>S312+S352+S389+S424+S431</f>
        <v/>
      </c>
      <c r="T311" s="136">
        <f>SUM(C311:S311)</f>
        <v/>
      </c>
      <c r="U311" s="137">
        <f>SUM(U313:U351)+SUM(U353:U388)+SUM(U390:U423)+SUM(U425:U430)+SUM(U432:U454)</f>
        <v/>
      </c>
      <c r="V311" s="138" t="n"/>
      <c r="W311" s="210" t="n"/>
      <c r="X311" s="211" t="n"/>
    </row>
    <row r="312" ht="14" customHeight="1">
      <c r="A312" s="184" t="inlineStr">
        <is>
          <t>dont actions européennes</t>
        </is>
      </c>
      <c r="B312" s="185" t="n"/>
      <c r="C312" s="186">
        <f>SUM(C313:C351)</f>
        <v/>
      </c>
      <c r="D312" s="186">
        <f>SUM(D313:D351)</f>
        <v/>
      </c>
      <c r="E312" s="186">
        <f>SUM(E313:E351)</f>
        <v/>
      </c>
      <c r="F312" s="186">
        <f>SUM(F313:F351)</f>
        <v/>
      </c>
      <c r="G312" s="186">
        <f>SUM(G313:G351)</f>
        <v/>
      </c>
      <c r="H312" s="186">
        <f>SUM(H313:H351)</f>
        <v/>
      </c>
      <c r="I312" s="186">
        <f>SUM(I313:I351)</f>
        <v/>
      </c>
      <c r="J312" s="186">
        <f>SUM(J313:J351)</f>
        <v/>
      </c>
      <c r="K312" s="186">
        <f>SUM(K313:K351)</f>
        <v/>
      </c>
      <c r="L312" s="186">
        <f>SUM(L313:L351)</f>
        <v/>
      </c>
      <c r="M312" s="186">
        <f>SUM(M313:M351)</f>
        <v/>
      </c>
      <c r="N312" s="186">
        <f>SUM(N313:N351)</f>
        <v/>
      </c>
      <c r="O312" s="186">
        <f>SUM(O313:O351)</f>
        <v/>
      </c>
      <c r="P312" s="186">
        <f>SUM(P313:P351)</f>
        <v/>
      </c>
      <c r="Q312" s="186">
        <f>SUM(Q313:Q351)</f>
        <v/>
      </c>
      <c r="R312" s="186">
        <f>SUM(R313:R351)</f>
        <v/>
      </c>
      <c r="S312" s="186">
        <f>SUM(S313:S351)</f>
        <v/>
      </c>
      <c r="T312" s="187">
        <f>SUM(C312:S312)</f>
        <v/>
      </c>
      <c r="U312" s="188">
        <f>T312/T311</f>
        <v/>
      </c>
      <c r="V312" s="194" t="n"/>
      <c r="W312" s="212" t="n"/>
      <c r="X312" s="213" t="n"/>
      <c r="Y312" s="32" t="n"/>
      <c r="Z312" s="32" t="n"/>
    </row>
    <row r="313" ht="14" customHeight="1">
      <c r="A313" s="78" t="inlineStr">
        <is>
          <t>JPMorgan Europe REI Equity</t>
        </is>
      </c>
      <c r="B313" s="75" t="inlineStr">
        <is>
          <t>IE00BF4G7183</t>
        </is>
      </c>
      <c r="C313" s="67" t="n"/>
      <c r="D313" s="67" t="n"/>
      <c r="E313" s="67" t="n"/>
      <c r="F313" s="67" t="n"/>
      <c r="G313" s="67" t="n"/>
      <c r="H313" s="67" t="n"/>
      <c r="I313" s="67" t="n"/>
      <c r="J313" s="67" t="n"/>
      <c r="K313" s="69" t="n"/>
      <c r="L313" s="67" t="n"/>
      <c r="M313" s="67" t="n"/>
      <c r="N313" s="67" t="n"/>
      <c r="O313" s="67" t="n"/>
      <c r="P313" s="67" t="n"/>
      <c r="Q313" s="70" t="n"/>
      <c r="R313" s="70" t="n"/>
      <c r="S313" s="71" t="n"/>
      <c r="T313" s="80">
        <f>SUM(C313:S313)</f>
        <v/>
      </c>
      <c r="U313" s="73">
        <f>T313/T$7</f>
        <v/>
      </c>
      <c r="V313" s="81" t="n">
        <v>4</v>
      </c>
      <c r="W313" s="76">
        <f>T313*V313</f>
        <v/>
      </c>
      <c r="X313" s="169" t="n"/>
      <c r="Y313" s="28" t="n"/>
      <c r="Z313" s="28" t="n"/>
    </row>
    <row r="314" ht="14" customHeight="1">
      <c r="A314" s="65" t="inlineStr">
        <is>
          <t>Amundi Eurostoxx 50 ETF</t>
        </is>
      </c>
      <c r="B314" s="66" t="inlineStr">
        <is>
          <t>FR0007054358</t>
        </is>
      </c>
      <c r="C314" s="67" t="n"/>
      <c r="D314" s="67" t="n"/>
      <c r="E314" s="67" t="n"/>
      <c r="F314" s="67" t="n"/>
      <c r="G314" s="67" t="n"/>
      <c r="H314" s="67" t="n"/>
      <c r="I314" s="67" t="n"/>
      <c r="J314" s="67" t="n"/>
      <c r="K314" s="69" t="n"/>
      <c r="L314" s="67" t="n"/>
      <c r="M314" s="67" t="n"/>
      <c r="N314" s="67" t="n"/>
      <c r="O314" s="67" t="n"/>
      <c r="P314" s="67" t="n"/>
      <c r="Q314" s="70" t="n"/>
      <c r="R314" s="70" t="n"/>
      <c r="S314" s="71" t="n"/>
      <c r="T314" s="80">
        <f>SUM(C314:S314)</f>
        <v/>
      </c>
      <c r="U314" s="73">
        <f>T314/T$7</f>
        <v/>
      </c>
      <c r="V314" s="74" t="n">
        <v>4</v>
      </c>
      <c r="W314" s="76">
        <f>T314*V314</f>
        <v/>
      </c>
      <c r="X314" s="169" t="n"/>
    </row>
    <row r="315" ht="14" customHeight="1">
      <c r="A315" s="78" t="inlineStr">
        <is>
          <t>Renaissance Europe Z</t>
        </is>
      </c>
      <c r="B315" s="75" t="inlineStr">
        <is>
          <t>FR0013290947</t>
        </is>
      </c>
      <c r="C315" s="67" t="n"/>
      <c r="D315" s="67" t="n"/>
      <c r="E315" s="67" t="n"/>
      <c r="F315" s="67" t="n"/>
      <c r="G315" s="67" t="n"/>
      <c r="H315" s="67" t="n"/>
      <c r="I315" s="67" t="n"/>
      <c r="J315" s="67" t="n"/>
      <c r="K315" s="69" t="n"/>
      <c r="L315" s="67" t="n"/>
      <c r="M315" s="67" t="n"/>
      <c r="N315" s="67" t="n"/>
      <c r="O315" s="67" t="n"/>
      <c r="P315" s="67" t="n"/>
      <c r="Q315" s="70" t="n"/>
      <c r="R315" s="70" t="n"/>
      <c r="S315" s="71" t="n"/>
      <c r="T315" s="80">
        <f>SUM(C315:S315)</f>
        <v/>
      </c>
      <c r="U315" s="73">
        <f>T315/T$7</f>
        <v/>
      </c>
      <c r="V315" s="81" t="n">
        <v>4</v>
      </c>
      <c r="W315" s="76">
        <f>T315*V315</f>
        <v/>
      </c>
      <c r="X315" s="169" t="n"/>
      <c r="Y315" s="28" t="n"/>
      <c r="Z315" s="28" t="n"/>
    </row>
    <row r="316" ht="14" customHeight="1">
      <c r="A316" s="78" t="inlineStr">
        <is>
          <t>Indépendance Europe Small I</t>
        </is>
      </c>
      <c r="B316" s="75" t="inlineStr">
        <is>
          <t>LU1832175001</t>
        </is>
      </c>
      <c r="C316" s="67" t="n"/>
      <c r="D316" s="67" t="n"/>
      <c r="E316" s="67" t="n"/>
      <c r="F316" s="67" t="n"/>
      <c r="G316" s="67" t="n"/>
      <c r="H316" s="67" t="n"/>
      <c r="I316" s="67" t="n"/>
      <c r="J316" s="67" t="n"/>
      <c r="K316" s="69" t="n"/>
      <c r="L316" s="67" t="n"/>
      <c r="M316" s="67" t="n"/>
      <c r="N316" s="67" t="n"/>
      <c r="O316" s="67" t="n"/>
      <c r="P316" s="67" t="n"/>
      <c r="Q316" s="70" t="n"/>
      <c r="R316" s="70" t="n"/>
      <c r="S316" s="71" t="n"/>
      <c r="T316" s="80">
        <f>SUM(C316:S316)</f>
        <v/>
      </c>
      <c r="U316" s="73">
        <f>T316/T$7</f>
        <v/>
      </c>
      <c r="V316" s="81" t="n">
        <v>4</v>
      </c>
      <c r="W316" s="76">
        <f>T316*V316</f>
        <v/>
      </c>
      <c r="X316" s="169" t="n"/>
      <c r="Y316" s="28" t="n"/>
      <c r="Z316" s="28" t="n"/>
    </row>
    <row r="317" ht="14" customHeight="1">
      <c r="A317" s="78" t="inlineStr">
        <is>
          <t>Indépendance Europe Small A ©</t>
        </is>
      </c>
      <c r="B317" s="75" t="inlineStr">
        <is>
          <t>LU1832174962</t>
        </is>
      </c>
      <c r="C317" s="67" t="n"/>
      <c r="D317" s="67" t="n"/>
      <c r="E317" s="67" t="n"/>
      <c r="F317" s="67" t="n"/>
      <c r="G317" s="67" t="n"/>
      <c r="H317" s="67" t="n"/>
      <c r="I317" s="67" t="n"/>
      <c r="J317" s="67" t="n"/>
      <c r="K317" s="69" t="n"/>
      <c r="L317" s="67" t="n"/>
      <c r="M317" s="67" t="n"/>
      <c r="N317" s="67" t="n"/>
      <c r="O317" s="67" t="n"/>
      <c r="P317" s="67" t="n"/>
      <c r="Q317" s="70" t="n"/>
      <c r="R317" s="70" t="n"/>
      <c r="S317" s="71" t="n"/>
      <c r="T317" s="80">
        <f>SUM(C317:S317)</f>
        <v/>
      </c>
      <c r="U317" s="73">
        <f>T317/T$7</f>
        <v/>
      </c>
      <c r="V317" s="81" t="n">
        <v>4</v>
      </c>
      <c r="W317" s="76">
        <f>T317*V317</f>
        <v/>
      </c>
      <c r="X317" s="169" t="n"/>
      <c r="Y317" s="28" t="n"/>
      <c r="Z317" s="28" t="n"/>
    </row>
    <row r="318" ht="14" customHeight="1">
      <c r="A318" s="78" t="inlineStr">
        <is>
          <t>Indépendance Mid Europe I</t>
        </is>
      </c>
      <c r="B318" s="75" t="inlineStr">
        <is>
          <t>LU2798962895</t>
        </is>
      </c>
      <c r="C318" s="67" t="n"/>
      <c r="D318" s="67" t="n"/>
      <c r="E318" s="67" t="n"/>
      <c r="F318" s="67" t="n"/>
      <c r="G318" s="67" t="n"/>
      <c r="H318" s="67" t="n"/>
      <c r="I318" s="67" t="n"/>
      <c r="J318" s="67" t="n"/>
      <c r="K318" s="69" t="n"/>
      <c r="L318" s="67" t="n"/>
      <c r="M318" s="67" t="n"/>
      <c r="N318" s="67" t="n"/>
      <c r="O318" s="67" t="n"/>
      <c r="P318" s="67" t="n"/>
      <c r="Q318" s="70" t="n"/>
      <c r="R318" s="70" t="n"/>
      <c r="S318" s="71" t="n"/>
      <c r="T318" s="80">
        <f>SUM(C318:S318)</f>
        <v/>
      </c>
      <c r="U318" s="73">
        <f>T318/T$7</f>
        <v/>
      </c>
      <c r="V318" s="81" t="n">
        <v>4</v>
      </c>
      <c r="W318" s="76">
        <f>T318*V318</f>
        <v/>
      </c>
      <c r="X318" s="169" t="n"/>
      <c r="Y318" s="28" t="n"/>
      <c r="Z318" s="28" t="n"/>
    </row>
    <row r="319" ht="14" customHeight="1">
      <c r="A319" s="78" t="inlineStr">
        <is>
          <t>Indépendance et Expansion SICAV - France Small A</t>
        </is>
      </c>
      <c r="B319" s="75" t="inlineStr">
        <is>
          <t>LU0131510165</t>
        </is>
      </c>
      <c r="C319" s="67" t="n"/>
      <c r="D319" s="67" t="n"/>
      <c r="E319" s="67" t="n"/>
      <c r="F319" s="67" t="n"/>
      <c r="G319" s="67" t="n"/>
      <c r="H319" s="67" t="n"/>
      <c r="I319" s="67" t="n"/>
      <c r="J319" s="67" t="n"/>
      <c r="K319" s="69" t="n"/>
      <c r="L319" s="67" t="n"/>
      <c r="M319" s="67" t="n"/>
      <c r="N319" s="67" t="n"/>
      <c r="O319" s="67" t="n"/>
      <c r="P319" s="67" t="n"/>
      <c r="Q319" s="70" t="n"/>
      <c r="R319" s="70" t="n"/>
      <c r="S319" s="71" t="n"/>
      <c r="T319" s="80">
        <f>SUM(C319:S319)</f>
        <v/>
      </c>
      <c r="U319" s="73">
        <f>T319/T$7</f>
        <v/>
      </c>
      <c r="V319" s="81" t="n">
        <v>4</v>
      </c>
      <c r="W319" s="76">
        <f>T319*V319</f>
        <v/>
      </c>
      <c r="X319" s="169" t="n"/>
      <c r="Y319" s="28" t="n"/>
      <c r="Z319" s="28" t="n"/>
    </row>
    <row r="320" ht="14" customHeight="1">
      <c r="A320" s="78" t="inlineStr">
        <is>
          <t>Independance et Expansion Sicav France Small I ©</t>
        </is>
      </c>
      <c r="B320" s="75" t="inlineStr">
        <is>
          <t>LU1964632324</t>
        </is>
      </c>
      <c r="C320" s="67" t="n"/>
      <c r="D320" s="67" t="n"/>
      <c r="E320" s="67" t="n"/>
      <c r="F320" s="67" t="n"/>
      <c r="G320" s="67" t="n"/>
      <c r="H320" s="67" t="n"/>
      <c r="I320" s="67" t="n"/>
      <c r="J320" s="67" t="n"/>
      <c r="K320" s="69" t="n"/>
      <c r="L320" s="67" t="n"/>
      <c r="M320" s="67" t="n"/>
      <c r="N320" s="67" t="n"/>
      <c r="O320" s="67" t="n"/>
      <c r="P320" s="67" t="n"/>
      <c r="Q320" s="70" t="n"/>
      <c r="R320" s="70" t="n"/>
      <c r="S320" s="71" t="n"/>
      <c r="T320" s="80">
        <f>SUM(C320:S320)</f>
        <v/>
      </c>
      <c r="U320" s="73">
        <f>T320/T$7</f>
        <v/>
      </c>
      <c r="V320" s="81" t="n">
        <v>4</v>
      </c>
      <c r="W320" s="76">
        <f>T320*V320</f>
        <v/>
      </c>
      <c r="X320" s="169" t="n"/>
      <c r="Y320" s="28" t="n"/>
      <c r="Z320" s="28" t="n"/>
    </row>
    <row r="321" ht="14" customHeight="1">
      <c r="A321" s="78" t="inlineStr">
        <is>
          <t>BNP Paribas Europe Small Cap Privilege</t>
        </is>
      </c>
      <c r="B321" s="75" t="inlineStr">
        <is>
          <t>LU0212180813</t>
        </is>
      </c>
      <c r="C321" s="67" t="n"/>
      <c r="D321" s="67" t="n"/>
      <c r="E321" s="67" t="n"/>
      <c r="F321" s="67" t="n"/>
      <c r="G321" s="67" t="n"/>
      <c r="H321" s="67" t="n"/>
      <c r="I321" s="67" t="n"/>
      <c r="J321" s="67" t="n"/>
      <c r="K321" s="69" t="n"/>
      <c r="L321" s="67" t="n"/>
      <c r="M321" s="67" t="n"/>
      <c r="N321" s="67" t="n"/>
      <c r="O321" s="67" t="n"/>
      <c r="P321" s="67" t="n"/>
      <c r="Q321" s="70" t="n"/>
      <c r="R321" s="70" t="n"/>
      <c r="S321" s="71" t="n"/>
      <c r="T321" s="80">
        <f>SUM(C321:S321)</f>
        <v/>
      </c>
      <c r="U321" s="73">
        <f>T321/T$7</f>
        <v/>
      </c>
      <c r="V321" s="81" t="n">
        <v>4</v>
      </c>
      <c r="W321" s="76">
        <f>T321*V321</f>
        <v/>
      </c>
      <c r="X321" s="169" t="n"/>
      <c r="Y321" s="28" t="n"/>
      <c r="Z321" s="28" t="n"/>
    </row>
    <row r="322" ht="14" customHeight="1">
      <c r="A322" s="78" t="inlineStr">
        <is>
          <t>Comgest Renaissance Europe I</t>
        </is>
      </c>
      <c r="B322" s="75" t="inlineStr">
        <is>
          <t>FR0010913624</t>
        </is>
      </c>
      <c r="C322" s="67" t="n"/>
      <c r="D322" s="67" t="n"/>
      <c r="E322" s="67" t="n"/>
      <c r="F322" s="67" t="n"/>
      <c r="G322" s="67" t="n"/>
      <c r="H322" s="67" t="n"/>
      <c r="I322" s="67" t="n"/>
      <c r="J322" s="67" t="n"/>
      <c r="K322" s="69" t="n"/>
      <c r="L322" s="67" t="n"/>
      <c r="M322" s="67" t="n"/>
      <c r="N322" s="67" t="n"/>
      <c r="O322" s="67" t="n"/>
      <c r="P322" s="67" t="n"/>
      <c r="Q322" s="70" t="n"/>
      <c r="R322" s="70" t="n"/>
      <c r="S322" s="71" t="n"/>
      <c r="T322" s="80">
        <f>SUM(C322:S322)</f>
        <v/>
      </c>
      <c r="U322" s="73">
        <f>T322/T$7</f>
        <v/>
      </c>
      <c r="V322" s="81" t="n">
        <v>4</v>
      </c>
      <c r="W322" s="76">
        <f>T322*V322</f>
        <v/>
      </c>
      <c r="X322" s="169" t="n"/>
      <c r="Y322" s="28" t="n"/>
      <c r="Z322" s="28" t="n"/>
    </row>
    <row r="323" ht="14" customHeight="1">
      <c r="A323" s="78" t="inlineStr">
        <is>
          <t xml:space="preserve">Comgest Growth Europe Smaller Companies EUR Z </t>
        </is>
      </c>
      <c r="B323" s="75" t="inlineStr">
        <is>
          <t>IE00BDZQR684</t>
        </is>
      </c>
      <c r="C323" s="67" t="n"/>
      <c r="D323" s="67" t="n"/>
      <c r="E323" s="67" t="n"/>
      <c r="F323" s="67" t="n"/>
      <c r="G323" s="67" t="n"/>
      <c r="H323" s="67" t="n"/>
      <c r="I323" s="67" t="n"/>
      <c r="J323" s="67" t="n"/>
      <c r="K323" s="69" t="n"/>
      <c r="L323" s="67" t="n"/>
      <c r="M323" s="67" t="n"/>
      <c r="N323" s="67" t="n"/>
      <c r="O323" s="67" t="n"/>
      <c r="P323" s="67" t="n"/>
      <c r="Q323" s="70" t="n"/>
      <c r="R323" s="70" t="n"/>
      <c r="S323" s="71" t="n"/>
      <c r="T323" s="80">
        <f>SUM(C323:S323)</f>
        <v/>
      </c>
      <c r="U323" s="73">
        <f>T323/T$7</f>
        <v/>
      </c>
      <c r="V323" s="81" t="n">
        <v>4</v>
      </c>
      <c r="W323" s="76">
        <f>T323*V323</f>
        <v/>
      </c>
      <c r="X323" s="169" t="n"/>
      <c r="Y323" s="28" t="n"/>
      <c r="Z323" s="28" t="n"/>
    </row>
    <row r="324" ht="14" customHeight="1">
      <c r="A324" s="78" t="inlineStr">
        <is>
          <t>Comgest Growth Europe Smaller Companies EUR Acc</t>
        </is>
      </c>
      <c r="B324" s="75" t="inlineStr">
        <is>
          <t>IE0004766014</t>
        </is>
      </c>
      <c r="C324" s="67" t="n"/>
      <c r="D324" s="67" t="n"/>
      <c r="E324" s="67" t="n"/>
      <c r="F324" s="67" t="n"/>
      <c r="G324" s="67" t="n"/>
      <c r="H324" s="67" t="n"/>
      <c r="I324" s="67" t="n"/>
      <c r="J324" s="67" t="n"/>
      <c r="K324" s="69" t="n"/>
      <c r="L324" s="67" t="n"/>
      <c r="M324" s="67" t="n"/>
      <c r="N324" s="67" t="n"/>
      <c r="O324" s="67" t="n"/>
      <c r="P324" s="67" t="n"/>
      <c r="Q324" s="70" t="n"/>
      <c r="R324" s="70" t="n"/>
      <c r="S324" s="71" t="n"/>
      <c r="T324" s="80">
        <f>SUM(C324:S324)</f>
        <v/>
      </c>
      <c r="U324" s="73">
        <f>T324/T$7</f>
        <v/>
      </c>
      <c r="V324" s="81" t="n">
        <v>4</v>
      </c>
      <c r="W324" s="76">
        <f>T324*V324</f>
        <v/>
      </c>
      <c r="X324" s="169" t="n"/>
      <c r="Y324" s="28" t="n"/>
      <c r="Z324" s="28" t="n"/>
    </row>
    <row r="325" ht="14" customHeight="1">
      <c r="A325" s="78" t="inlineStr">
        <is>
          <t>Comgest Growth Europe Smaller Companies EUR R Acc</t>
        </is>
      </c>
      <c r="B325" s="75" t="inlineStr">
        <is>
          <t>IE00BMBWVR22</t>
        </is>
      </c>
      <c r="C325" s="67" t="n"/>
      <c r="D325" s="67" t="n"/>
      <c r="E325" s="67" t="n"/>
      <c r="F325" s="67" t="n"/>
      <c r="G325" s="67" t="n"/>
      <c r="H325" s="67" t="n"/>
      <c r="I325" s="67" t="n"/>
      <c r="J325" s="67" t="n"/>
      <c r="K325" s="69" t="n"/>
      <c r="L325" s="67" t="n"/>
      <c r="M325" s="67" t="n"/>
      <c r="N325" s="67" t="n"/>
      <c r="O325" s="67" t="n"/>
      <c r="P325" s="67" t="n"/>
      <c r="Q325" s="70" t="n"/>
      <c r="R325" s="70" t="n"/>
      <c r="S325" s="71" t="n"/>
      <c r="T325" s="80">
        <f>SUM(C325:S325)</f>
        <v/>
      </c>
      <c r="U325" s="73">
        <f>T325/T$7</f>
        <v/>
      </c>
      <c r="V325" s="81" t="n">
        <v>4</v>
      </c>
      <c r="W325" s="76">
        <f>T325*V325</f>
        <v/>
      </c>
      <c r="X325" s="169" t="n"/>
      <c r="Y325" s="28" t="n"/>
      <c r="Z325" s="28" t="n"/>
    </row>
    <row r="326" ht="14" customHeight="1">
      <c r="A326" s="78" t="inlineStr">
        <is>
          <t>Comgest Growth Europe Opportunities R EUR Acc</t>
        </is>
      </c>
      <c r="B326" s="75" t="inlineStr">
        <is>
          <t>IE00BD5HXJ66</t>
        </is>
      </c>
      <c r="C326" s="67" t="n"/>
      <c r="D326" s="67" t="n"/>
      <c r="E326" s="67" t="n"/>
      <c r="F326" s="67" t="n"/>
      <c r="G326" s="67" t="n"/>
      <c r="H326" s="67" t="n"/>
      <c r="I326" s="67" t="n"/>
      <c r="J326" s="67" t="n"/>
      <c r="K326" s="69" t="n"/>
      <c r="L326" s="67" t="n"/>
      <c r="M326" s="67" t="n"/>
      <c r="N326" s="67" t="n"/>
      <c r="O326" s="67" t="n"/>
      <c r="P326" s="67" t="n"/>
      <c r="Q326" s="70" t="n"/>
      <c r="R326" s="70" t="n"/>
      <c r="S326" s="71" t="n"/>
      <c r="T326" s="80">
        <f>SUM(C326:S326)</f>
        <v/>
      </c>
      <c r="U326" s="73">
        <f>T326/T$7</f>
        <v/>
      </c>
      <c r="V326" s="81" t="n">
        <v>4</v>
      </c>
      <c r="W326" s="76">
        <f>T326*V326</f>
        <v/>
      </c>
      <c r="X326" s="169" t="n"/>
      <c r="Y326" s="28" t="n"/>
      <c r="Z326" s="28" t="n"/>
    </row>
    <row r="327" ht="14" customHeight="1">
      <c r="A327" s="78" t="inlineStr">
        <is>
          <t>Comgest Growth Europe Opportunities EUR Z Acc</t>
        </is>
      </c>
      <c r="B327" s="75" t="inlineStr">
        <is>
          <t>IE00BZ0X9T58</t>
        </is>
      </c>
      <c r="C327" s="67" t="n"/>
      <c r="D327" s="67" t="n"/>
      <c r="E327" s="67" t="n"/>
      <c r="F327" s="67" t="n"/>
      <c r="G327" s="67" t="n"/>
      <c r="H327" s="67" t="n"/>
      <c r="I327" s="67" t="n"/>
      <c r="J327" s="67" t="n"/>
      <c r="K327" s="69" t="n"/>
      <c r="L327" s="67" t="n"/>
      <c r="M327" s="67" t="n"/>
      <c r="N327" s="67" t="n"/>
      <c r="O327" s="67" t="n"/>
      <c r="P327" s="67" t="n"/>
      <c r="Q327" s="70" t="n"/>
      <c r="R327" s="70" t="n"/>
      <c r="S327" s="71" t="n"/>
      <c r="T327" s="80">
        <f>SUM(C327:S327)</f>
        <v/>
      </c>
      <c r="U327" s="73">
        <f>T327/T$7</f>
        <v/>
      </c>
      <c r="V327" s="81" t="n">
        <v>4</v>
      </c>
      <c r="W327" s="76">
        <f>T327*V327</f>
        <v/>
      </c>
      <c r="X327" s="169" t="n"/>
      <c r="Y327" s="28" t="n"/>
      <c r="Z327" s="28" t="n"/>
    </row>
    <row r="328" ht="14" customHeight="1">
      <c r="A328" s="78" t="inlineStr">
        <is>
          <t>ODDO BHF Avenir Europe CR-EUR Acc</t>
        </is>
      </c>
      <c r="B328" s="75" t="inlineStr">
        <is>
          <t>FR0000974149</t>
        </is>
      </c>
      <c r="C328" s="67" t="n"/>
      <c r="D328" s="67" t="n"/>
      <c r="E328" s="67" t="n"/>
      <c r="F328" s="67" t="n"/>
      <c r="G328" s="67" t="n"/>
      <c r="H328" s="67" t="n"/>
      <c r="I328" s="67" t="n"/>
      <c r="J328" s="67" t="n"/>
      <c r="K328" s="69" t="n"/>
      <c r="L328" s="67" t="n"/>
      <c r="M328" s="67" t="n"/>
      <c r="N328" s="67" t="n"/>
      <c r="O328" s="67" t="n"/>
      <c r="P328" s="67" t="n"/>
      <c r="Q328" s="70" t="n"/>
      <c r="R328" s="70" t="n"/>
      <c r="S328" s="71" t="n"/>
      <c r="T328" s="80">
        <f>SUM(C328:S328)</f>
        <v/>
      </c>
      <c r="U328" s="73">
        <f>T328/T$7</f>
        <v/>
      </c>
      <c r="V328" s="81" t="n">
        <v>4</v>
      </c>
      <c r="W328" s="76">
        <f>T328*V328</f>
        <v/>
      </c>
      <c r="X328" s="169" t="n"/>
      <c r="Y328" s="28" t="n"/>
      <c r="Z328" s="28" t="n"/>
    </row>
    <row r="329" ht="14" customHeight="1">
      <c r="A329" s="78" t="inlineStr">
        <is>
          <t>ODDO BHF Avenir CR-EUR</t>
        </is>
      </c>
      <c r="B329" s="75" t="inlineStr">
        <is>
          <t>FR0000989899</t>
        </is>
      </c>
      <c r="C329" s="67" t="n"/>
      <c r="D329" s="67" t="n"/>
      <c r="E329" s="67" t="n"/>
      <c r="F329" s="67" t="n"/>
      <c r="G329" s="67" t="n"/>
      <c r="H329" s="67" t="n"/>
      <c r="I329" s="67" t="n"/>
      <c r="J329" s="67" t="n"/>
      <c r="K329" s="69" t="n"/>
      <c r="L329" s="67" t="n"/>
      <c r="M329" s="67" t="n"/>
      <c r="N329" s="67" t="n"/>
      <c r="O329" s="67" t="n"/>
      <c r="P329" s="67" t="n"/>
      <c r="Q329" s="70" t="n"/>
      <c r="R329" s="70" t="n"/>
      <c r="S329" s="71" t="n"/>
      <c r="T329" s="80">
        <f>SUM(C329:S329)</f>
        <v/>
      </c>
      <c r="U329" s="73">
        <f>T329/T$7</f>
        <v/>
      </c>
      <c r="V329" s="81" t="n">
        <v>4</v>
      </c>
      <c r="W329" s="76">
        <f>T329*V329</f>
        <v/>
      </c>
      <c r="X329" s="169" t="n"/>
      <c r="Y329" s="28" t="n"/>
      <c r="Z329" s="28" t="n"/>
    </row>
    <row r="330" ht="14" customHeight="1">
      <c r="A330" s="78" t="inlineStr">
        <is>
          <t>Oddo BHF Avenir Europe CN-EUR</t>
        </is>
      </c>
      <c r="B330" s="75" t="inlineStr">
        <is>
          <t>FR0011036920</t>
        </is>
      </c>
      <c r="C330" s="67" t="n"/>
      <c r="D330" s="67" t="n"/>
      <c r="E330" s="67" t="n"/>
      <c r="F330" s="67" t="n"/>
      <c r="G330" s="67" t="n"/>
      <c r="H330" s="67" t="n"/>
      <c r="I330" s="67" t="n"/>
      <c r="J330" s="67" t="n"/>
      <c r="K330" s="69" t="n"/>
      <c r="L330" s="67" t="n"/>
      <c r="M330" s="67" t="n"/>
      <c r="N330" s="67" t="n"/>
      <c r="O330" s="67" t="n"/>
      <c r="P330" s="67" t="n"/>
      <c r="Q330" s="70" t="n"/>
      <c r="R330" s="70" t="n"/>
      <c r="S330" s="71" t="n"/>
      <c r="T330" s="80">
        <f>SUM(C330:S330)</f>
        <v/>
      </c>
      <c r="U330" s="73">
        <f>T330/T$7</f>
        <v/>
      </c>
      <c r="V330" s="81" t="n">
        <v>4</v>
      </c>
      <c r="W330" s="76">
        <f>T330*V330</f>
        <v/>
      </c>
      <c r="X330" s="169" t="n"/>
      <c r="Y330" s="28" t="n"/>
      <c r="Z330" s="28" t="n"/>
    </row>
    <row r="331" ht="14" customHeight="1">
      <c r="A331" s="78" t="inlineStr">
        <is>
          <t>Renaissance Europe C</t>
        </is>
      </c>
      <c r="B331" s="75" t="inlineStr">
        <is>
          <t>FR0000295230</t>
        </is>
      </c>
      <c r="C331" s="67" t="n"/>
      <c r="D331" s="67" t="n"/>
      <c r="E331" s="67" t="n"/>
      <c r="F331" s="67" t="n"/>
      <c r="G331" s="67" t="n"/>
      <c r="H331" s="67" t="n"/>
      <c r="I331" s="67" t="n"/>
      <c r="J331" s="67" t="n"/>
      <c r="K331" s="69" t="n"/>
      <c r="L331" s="67" t="n"/>
      <c r="M331" s="67" t="n"/>
      <c r="N331" s="67" t="n"/>
      <c r="O331" s="67" t="n"/>
      <c r="P331" s="67" t="n"/>
      <c r="Q331" s="70" t="n"/>
      <c r="R331" s="70" t="n"/>
      <c r="S331" s="71" t="n"/>
      <c r="T331" s="80">
        <f>SUM(C331:S331)</f>
        <v/>
      </c>
      <c r="U331" s="73">
        <f>T331/T$7</f>
        <v/>
      </c>
      <c r="V331" s="81" t="n">
        <v>4</v>
      </c>
      <c r="W331" s="76">
        <f>T331*V331</f>
        <v/>
      </c>
      <c r="X331" s="169" t="n"/>
      <c r="Y331" s="28" t="n"/>
      <c r="Z331" s="28" t="n"/>
    </row>
    <row r="332" ht="14" customHeight="1">
      <c r="A332" s="78" t="inlineStr">
        <is>
          <t>Moneta Multi Caps C</t>
        </is>
      </c>
      <c r="B332" s="75" t="inlineStr">
        <is>
          <t>FR0010298596</t>
        </is>
      </c>
      <c r="C332" s="67" t="n"/>
      <c r="D332" s="67" t="n"/>
      <c r="E332" s="67" t="n"/>
      <c r="F332" s="67" t="n"/>
      <c r="G332" s="67" t="n"/>
      <c r="H332" s="67" t="n"/>
      <c r="I332" s="67" t="n"/>
      <c r="J332" s="67" t="n"/>
      <c r="K332" s="69" t="n"/>
      <c r="L332" s="67" t="n"/>
      <c r="M332" s="67" t="n"/>
      <c r="N332" s="67" t="n"/>
      <c r="O332" s="67" t="n"/>
      <c r="P332" s="67" t="n"/>
      <c r="Q332" s="70" t="n"/>
      <c r="R332" s="70" t="n"/>
      <c r="S332" s="71" t="n"/>
      <c r="T332" s="80">
        <f>SUM(C332:S332)</f>
        <v/>
      </c>
      <c r="U332" s="73">
        <f>T332/T$7</f>
        <v/>
      </c>
      <c r="V332" s="81" t="n">
        <v>4</v>
      </c>
      <c r="W332" s="76">
        <f>T332*V332</f>
        <v/>
      </c>
      <c r="X332" s="169" t="n"/>
      <c r="Y332" s="28" t="n"/>
      <c r="Z332" s="28" t="n"/>
    </row>
    <row r="333" ht="14" customHeight="1">
      <c r="A333" s="78" t="inlineStr">
        <is>
          <t>Nova Europe ISR</t>
        </is>
      </c>
      <c r="B333" s="75" t="inlineStr">
        <is>
          <t>FR0011585520</t>
        </is>
      </c>
      <c r="C333" s="67" t="n"/>
      <c r="D333" s="67" t="n"/>
      <c r="E333" s="67" t="n"/>
      <c r="F333" s="67" t="n"/>
      <c r="G333" s="67" t="n"/>
      <c r="H333" s="67" t="n"/>
      <c r="I333" s="67" t="n"/>
      <c r="J333" s="67" t="n"/>
      <c r="K333" s="69" t="n"/>
      <c r="L333" s="67" t="n"/>
      <c r="M333" s="67" t="n"/>
      <c r="N333" s="67" t="n"/>
      <c r="O333" s="67" t="n"/>
      <c r="P333" s="67" t="n"/>
      <c r="Q333" s="70" t="n"/>
      <c r="R333" s="70" t="n"/>
      <c r="S333" s="71" t="n"/>
      <c r="T333" s="80">
        <f>SUM(C333:S333)</f>
        <v/>
      </c>
      <c r="U333" s="73">
        <f>T333/T$7</f>
        <v/>
      </c>
      <c r="V333" s="81" t="n">
        <v>4</v>
      </c>
      <c r="W333" s="76">
        <f>T333*V333</f>
        <v/>
      </c>
      <c r="X333" s="169" t="n"/>
      <c r="Y333" s="28" t="n"/>
      <c r="Z333" s="28" t="n"/>
    </row>
    <row r="334" ht="14" customHeight="1">
      <c r="A334" s="78" t="inlineStr">
        <is>
          <t>Echiquier Agenor SRI MID CAP Europe A</t>
        </is>
      </c>
      <c r="B334" s="75" t="inlineStr">
        <is>
          <t>FR0010321810</t>
        </is>
      </c>
      <c r="C334" s="67" t="n"/>
      <c r="D334" s="67" t="n"/>
      <c r="E334" s="67" t="n"/>
      <c r="F334" s="67" t="n"/>
      <c r="G334" s="67" t="n"/>
      <c r="H334" s="67" t="n"/>
      <c r="I334" s="67" t="n"/>
      <c r="J334" s="67" t="n"/>
      <c r="K334" s="69" t="n"/>
      <c r="L334" s="67" t="n"/>
      <c r="M334" s="67" t="n"/>
      <c r="N334" s="67" t="n"/>
      <c r="O334" s="67" t="n"/>
      <c r="P334" s="67" t="n"/>
      <c r="Q334" s="70" t="n"/>
      <c r="R334" s="70" t="n"/>
      <c r="S334" s="71" t="n"/>
      <c r="T334" s="80">
        <f>SUM(C334:S334)</f>
        <v/>
      </c>
      <c r="U334" s="73">
        <f>T334/T$7</f>
        <v/>
      </c>
      <c r="V334" s="81" t="n">
        <v>4</v>
      </c>
      <c r="W334" s="76">
        <f>T334*V334</f>
        <v/>
      </c>
      <c r="X334" s="169" t="n"/>
      <c r="Y334" s="28" t="n"/>
      <c r="Z334" s="28" t="n"/>
    </row>
    <row r="335" ht="14" customHeight="1">
      <c r="A335" s="78" t="inlineStr">
        <is>
          <t>Echiquier Positive Impact Europe AP</t>
        </is>
      </c>
      <c r="B335" s="75" t="inlineStr">
        <is>
          <t>FR0013348190</t>
        </is>
      </c>
      <c r="C335" s="67" t="n"/>
      <c r="D335" s="67" t="n"/>
      <c r="E335" s="67" t="n"/>
      <c r="F335" s="67" t="n"/>
      <c r="G335" s="67" t="n"/>
      <c r="H335" s="67" t="n"/>
      <c r="I335" s="67" t="n"/>
      <c r="J335" s="67" t="n"/>
      <c r="K335" s="69" t="n"/>
      <c r="L335" s="67" t="n"/>
      <c r="M335" s="67" t="n"/>
      <c r="N335" s="67" t="n"/>
      <c r="O335" s="67" t="n"/>
      <c r="P335" s="67" t="n"/>
      <c r="Q335" s="70" t="n"/>
      <c r="R335" s="70" t="n"/>
      <c r="S335" s="71" t="n"/>
      <c r="T335" s="80">
        <f>SUM(C335:S335)</f>
        <v/>
      </c>
      <c r="U335" s="73">
        <f>T335/T$7</f>
        <v/>
      </c>
      <c r="V335" s="81" t="n">
        <v>4</v>
      </c>
      <c r="W335" s="76">
        <f>T335*V335</f>
        <v/>
      </c>
      <c r="X335" s="169" t="n"/>
      <c r="Y335" s="28" t="n"/>
      <c r="Z335" s="28" t="n"/>
    </row>
    <row r="336" ht="14" customHeight="1">
      <c r="A336" s="78" t="inlineStr">
        <is>
          <t>Echiquier Agenor SRI Mid Cap Europe G</t>
        </is>
      </c>
      <c r="B336" s="75" t="inlineStr">
        <is>
          <t>FR0010581710</t>
        </is>
      </c>
      <c r="C336" s="67" t="n"/>
      <c r="D336" s="67" t="n"/>
      <c r="E336" s="67" t="n"/>
      <c r="F336" s="67" t="n"/>
      <c r="G336" s="67" t="n"/>
      <c r="H336" s="67" t="n"/>
      <c r="I336" s="67" t="n"/>
      <c r="J336" s="67" t="n"/>
      <c r="K336" s="69" t="n"/>
      <c r="L336" s="67" t="n"/>
      <c r="M336" s="67" t="n"/>
      <c r="N336" s="67" t="n"/>
      <c r="O336" s="67" t="n"/>
      <c r="P336" s="67" t="n"/>
      <c r="Q336" s="70" t="n"/>
      <c r="R336" s="70" t="n"/>
      <c r="S336" s="71" t="n"/>
      <c r="T336" s="80">
        <f>SUM(C336:S336)</f>
        <v/>
      </c>
      <c r="U336" s="73">
        <f>T336/T$7</f>
        <v/>
      </c>
      <c r="V336" s="81" t="n">
        <v>4</v>
      </c>
      <c r="W336" s="76">
        <f>T336*V336</f>
        <v/>
      </c>
      <c r="X336" s="169" t="n"/>
      <c r="Y336" s="28" t="n"/>
      <c r="Z336" s="28" t="n"/>
    </row>
    <row r="337" ht="14" customHeight="1">
      <c r="A337" s="78" t="inlineStr">
        <is>
          <t>Amundi Index MSCI Europe SRI PAB</t>
        </is>
      </c>
      <c r="B337" s="75" t="inlineStr">
        <is>
          <t>LU1861137484</t>
        </is>
      </c>
      <c r="C337" s="67" t="n"/>
      <c r="D337" s="67" t="n"/>
      <c r="E337" s="67" t="n"/>
      <c r="F337" s="67" t="n"/>
      <c r="G337" s="67" t="n"/>
      <c r="H337" s="67" t="n"/>
      <c r="I337" s="67" t="n"/>
      <c r="J337" s="67" t="n"/>
      <c r="K337" s="69" t="n"/>
      <c r="L337" s="67" t="n"/>
      <c r="M337" s="67" t="n"/>
      <c r="N337" s="67" t="n"/>
      <c r="O337" s="67" t="n"/>
      <c r="P337" s="67" t="n"/>
      <c r="Q337" s="70" t="n"/>
      <c r="R337" s="70" t="n"/>
      <c r="S337" s="71" t="n"/>
      <c r="T337" s="80">
        <f>SUM(C337:S337)</f>
        <v/>
      </c>
      <c r="U337" s="73">
        <f>T337/T$7</f>
        <v/>
      </c>
      <c r="V337" s="81" t="n">
        <v>4</v>
      </c>
      <c r="W337" s="76">
        <f>T337*V337</f>
        <v/>
      </c>
      <c r="X337" s="169" t="n"/>
      <c r="Y337" s="28" t="n"/>
      <c r="Z337" s="28" t="n"/>
    </row>
    <row r="338" ht="14" customHeight="1">
      <c r="A338" s="78" t="inlineStr">
        <is>
          <t>AMUNDI MSCI Europe II UC ETF A</t>
        </is>
      </c>
      <c r="B338" s="75" t="inlineStr">
        <is>
          <t>FR0010261198</t>
        </is>
      </c>
      <c r="C338" s="67" t="n"/>
      <c r="D338" s="67" t="n"/>
      <c r="E338" s="67" t="n"/>
      <c r="F338" s="67" t="n"/>
      <c r="G338" s="67" t="n"/>
      <c r="H338" s="67" t="n"/>
      <c r="I338" s="67" t="n"/>
      <c r="J338" s="67" t="n"/>
      <c r="K338" s="69" t="n"/>
      <c r="L338" s="67" t="n"/>
      <c r="M338" s="67" t="n"/>
      <c r="N338" s="67" t="n"/>
      <c r="O338" s="67" t="n"/>
      <c r="P338" s="67" t="n"/>
      <c r="Q338" s="70" t="n"/>
      <c r="R338" s="70" t="n"/>
      <c r="S338" s="71" t="n"/>
      <c r="T338" s="80">
        <f>SUM(C338:S338)</f>
        <v/>
      </c>
      <c r="U338" s="73">
        <f>T338/T$7</f>
        <v/>
      </c>
      <c r="V338" s="81" t="n">
        <v>4</v>
      </c>
      <c r="W338" s="76">
        <f>T338*V338</f>
        <v/>
      </c>
      <c r="X338" s="169" t="n"/>
      <c r="Y338" s="28" t="n"/>
      <c r="Z338" s="28" t="n"/>
    </row>
    <row r="339" ht="14" customHeight="1">
      <c r="A339" s="78" t="inlineStr">
        <is>
          <t>Amundi STOXX Europe 600 Healthcare</t>
        </is>
      </c>
      <c r="B339" s="75" t="inlineStr">
        <is>
          <t>LU1834986900</t>
        </is>
      </c>
      <c r="C339" s="67" t="n"/>
      <c r="D339" s="67" t="n"/>
      <c r="E339" s="67" t="n"/>
      <c r="F339" s="67" t="n"/>
      <c r="G339" s="67" t="n"/>
      <c r="H339" s="67" t="n"/>
      <c r="I339" s="67" t="n"/>
      <c r="J339" s="67" t="n"/>
      <c r="K339" s="69" t="n"/>
      <c r="L339" s="67" t="n"/>
      <c r="M339" s="67" t="n"/>
      <c r="N339" s="67" t="n"/>
      <c r="O339" s="67" t="n"/>
      <c r="P339" s="67" t="n"/>
      <c r="Q339" s="70" t="n"/>
      <c r="R339" s="70" t="n"/>
      <c r="S339" s="71" t="n"/>
      <c r="T339" s="80">
        <f>SUM(C339:S339)</f>
        <v/>
      </c>
      <c r="U339" s="73">
        <f>T339/T$7</f>
        <v/>
      </c>
      <c r="V339" s="81" t="n">
        <v>4</v>
      </c>
      <c r="W339" s="76">
        <f>T339*V339</f>
        <v/>
      </c>
      <c r="X339" s="169" t="n"/>
      <c r="Y339" s="28" t="n"/>
      <c r="Z339" s="28" t="n"/>
    </row>
    <row r="340" ht="14" customHeight="1">
      <c r="A340" s="78" t="inlineStr">
        <is>
          <t xml:space="preserve">iShares Core EURO STOXX 50 </t>
        </is>
      </c>
      <c r="B340" s="75" t="inlineStr">
        <is>
          <t>IE00B53L3W79</t>
        </is>
      </c>
      <c r="C340" s="67" t="n"/>
      <c r="D340" s="67" t="n"/>
      <c r="E340" s="67" t="n"/>
      <c r="F340" s="67" t="n"/>
      <c r="G340" s="67" t="n"/>
      <c r="H340" s="67" t="n"/>
      <c r="I340" s="67" t="n"/>
      <c r="J340" s="67" t="n"/>
      <c r="K340" s="69" t="n"/>
      <c r="L340" s="67" t="n"/>
      <c r="M340" s="67" t="n"/>
      <c r="N340" s="67" t="n"/>
      <c r="O340" s="67" t="n"/>
      <c r="P340" s="67" t="n"/>
      <c r="Q340" s="70" t="n"/>
      <c r="R340" s="70" t="n"/>
      <c r="S340" s="71" t="n"/>
      <c r="T340" s="80">
        <f>SUM(C340:S340)</f>
        <v/>
      </c>
      <c r="U340" s="73">
        <f>T340/T$7</f>
        <v/>
      </c>
      <c r="V340" s="81" t="n">
        <v>4</v>
      </c>
      <c r="W340" s="76">
        <f>T340*V340</f>
        <v/>
      </c>
      <c r="X340" s="169" t="n"/>
      <c r="Y340" s="28" t="n"/>
      <c r="Z340" s="28" t="n"/>
    </row>
    <row r="341" ht="14" customHeight="1">
      <c r="A341" s="78" t="inlineStr">
        <is>
          <t xml:space="preserve">Amundi Stoxx Europe Defense ETF Acc </t>
        </is>
      </c>
      <c r="B341" s="75" t="inlineStr">
        <is>
          <t>LU3038520774</t>
        </is>
      </c>
      <c r="C341" s="67" t="n"/>
      <c r="D341" s="67" t="n"/>
      <c r="E341" s="67" t="n"/>
      <c r="F341" s="67" t="n"/>
      <c r="G341" s="67" t="n"/>
      <c r="H341" s="67" t="n"/>
      <c r="I341" s="67" t="n"/>
      <c r="J341" s="67" t="n"/>
      <c r="K341" s="69" t="n"/>
      <c r="L341" s="67" t="n"/>
      <c r="M341" s="67" t="n"/>
      <c r="N341" s="67" t="n"/>
      <c r="O341" s="67" t="n"/>
      <c r="P341" s="67" t="n"/>
      <c r="Q341" s="70" t="n"/>
      <c r="R341" s="70" t="n"/>
      <c r="S341" s="71" t="n"/>
      <c r="T341" s="80">
        <f>SUM(C341:S341)</f>
        <v/>
      </c>
      <c r="U341" s="73">
        <f>T341/T$7</f>
        <v/>
      </c>
      <c r="V341" s="81" t="n">
        <v>5</v>
      </c>
      <c r="W341" s="76">
        <f>T341*V341</f>
        <v/>
      </c>
      <c r="X341" s="169" t="n"/>
      <c r="Y341" s="28" t="n"/>
      <c r="Z341" s="28" t="n"/>
    </row>
    <row r="342" ht="14" customHeight="1">
      <c r="A342" s="78" t="inlineStr">
        <is>
          <t>Amundi CAC 40 ETF</t>
        </is>
      </c>
      <c r="B342" s="75" t="inlineStr">
        <is>
          <t>FR0013380607</t>
        </is>
      </c>
      <c r="C342" s="67" t="n"/>
      <c r="D342" s="67" t="n"/>
      <c r="E342" s="67" t="n"/>
      <c r="F342" s="67" t="n"/>
      <c r="G342" s="67" t="n"/>
      <c r="H342" s="67" t="n"/>
      <c r="I342" s="67" t="n"/>
      <c r="J342" s="67" t="n"/>
      <c r="K342" s="69" t="n"/>
      <c r="L342" s="67" t="n"/>
      <c r="M342" s="67" t="n"/>
      <c r="N342" s="67" t="n"/>
      <c r="O342" s="67" t="n"/>
      <c r="P342" s="67" t="n"/>
      <c r="Q342" s="70" t="n"/>
      <c r="R342" s="70" t="n"/>
      <c r="S342" s="71" t="n"/>
      <c r="T342" s="80">
        <f>SUM(C342:S342)</f>
        <v/>
      </c>
      <c r="U342" s="73">
        <f>T342/T$7</f>
        <v/>
      </c>
      <c r="V342" s="81" t="n">
        <v>4</v>
      </c>
      <c r="W342" s="76">
        <f>T342*V342</f>
        <v/>
      </c>
      <c r="X342" s="169" t="n"/>
      <c r="Y342" s="28" t="n"/>
      <c r="Z342" s="28" t="n"/>
    </row>
    <row r="343" ht="14" customHeight="1">
      <c r="A343" s="65" t="inlineStr">
        <is>
          <t>BNP Paribas Valeurs Françaises ISR C</t>
        </is>
      </c>
      <c r="B343" s="66" t="inlineStr">
        <is>
          <t>FR0010028902</t>
        </is>
      </c>
      <c r="C343" s="67" t="n"/>
      <c r="D343" s="67" t="n"/>
      <c r="E343" s="67" t="n"/>
      <c r="F343" s="67" t="n"/>
      <c r="G343" s="67" t="n"/>
      <c r="H343" s="67" t="n"/>
      <c r="I343" s="67" t="n"/>
      <c r="J343" s="67" t="n"/>
      <c r="K343" s="69" t="n"/>
      <c r="L343" s="67" t="n"/>
      <c r="M343" s="67" t="n"/>
      <c r="N343" s="67" t="n"/>
      <c r="O343" s="67" t="n"/>
      <c r="P343" s="67" t="n"/>
      <c r="Q343" s="70" t="n"/>
      <c r="R343" s="70" t="n"/>
      <c r="S343" s="71" t="n"/>
      <c r="T343" s="72">
        <f>SUM(C343:S343)</f>
        <v/>
      </c>
      <c r="U343" s="73">
        <f>T343/T$7</f>
        <v/>
      </c>
      <c r="V343" s="74" t="n">
        <v>1</v>
      </c>
      <c r="W343" s="76">
        <f>T343*V343</f>
        <v/>
      </c>
      <c r="X343" s="169" t="n"/>
      <c r="AA343" s="232" t="n"/>
    </row>
    <row r="344" ht="14" customHeight="1">
      <c r="A344" s="78" t="n"/>
      <c r="B344" s="75" t="n"/>
      <c r="C344" s="67" t="n"/>
      <c r="D344" s="67" t="n"/>
      <c r="E344" s="67" t="n"/>
      <c r="F344" s="67" t="n"/>
      <c r="G344" s="67" t="n"/>
      <c r="H344" s="67" t="n"/>
      <c r="I344" s="67" t="n"/>
      <c r="J344" s="67" t="n"/>
      <c r="K344" s="69" t="n"/>
      <c r="L344" s="67" t="n"/>
      <c r="M344" s="67" t="n"/>
      <c r="N344" s="67" t="n"/>
      <c r="O344" s="67" t="n"/>
      <c r="P344" s="67" t="n"/>
      <c r="Q344" s="70" t="n"/>
      <c r="R344" s="70" t="n"/>
      <c r="S344" s="71" t="n"/>
      <c r="T344" s="80">
        <f>SUM(C344:S344)</f>
        <v/>
      </c>
      <c r="U344" s="73">
        <f>T344/T$7</f>
        <v/>
      </c>
      <c r="V344" s="81" t="n"/>
      <c r="W344" s="76">
        <f>T344*V344</f>
        <v/>
      </c>
      <c r="X344" s="169" t="n"/>
      <c r="Y344" s="28" t="n"/>
      <c r="Z344" s="28" t="n"/>
    </row>
    <row r="345" ht="14" customHeight="1">
      <c r="A345" s="78" t="n"/>
      <c r="B345" s="75" t="n"/>
      <c r="C345" s="67" t="n"/>
      <c r="D345" s="67" t="n"/>
      <c r="E345" s="67" t="n"/>
      <c r="F345" s="67" t="n"/>
      <c r="G345" s="67" t="n"/>
      <c r="H345" s="67" t="n"/>
      <c r="I345" s="67" t="n"/>
      <c r="J345" s="67" t="n"/>
      <c r="K345" s="69" t="n"/>
      <c r="L345" s="67" t="n"/>
      <c r="M345" s="67" t="n"/>
      <c r="N345" s="67" t="n"/>
      <c r="O345" s="67" t="n"/>
      <c r="P345" s="67" t="n"/>
      <c r="Q345" s="70" t="n"/>
      <c r="R345" s="70" t="n"/>
      <c r="S345" s="71" t="n"/>
      <c r="T345" s="80">
        <f>SUM(C345:S345)</f>
        <v/>
      </c>
      <c r="U345" s="73">
        <f>T345/T$7</f>
        <v/>
      </c>
      <c r="V345" s="81" t="n"/>
      <c r="W345" s="76">
        <f>T345*V345</f>
        <v/>
      </c>
      <c r="X345" s="169" t="n"/>
      <c r="Y345" s="28" t="n"/>
      <c r="Z345" s="28" t="n"/>
    </row>
    <row r="346" ht="14" customHeight="1">
      <c r="A346" s="78" t="n"/>
      <c r="B346" s="75" t="n"/>
      <c r="C346" s="67" t="n"/>
      <c r="D346" s="67" t="n"/>
      <c r="E346" s="67" t="n"/>
      <c r="F346" s="67" t="n"/>
      <c r="G346" s="67" t="n"/>
      <c r="H346" s="67" t="n"/>
      <c r="I346" s="67" t="n"/>
      <c r="J346" s="67" t="n"/>
      <c r="K346" s="69" t="n"/>
      <c r="L346" s="67" t="n"/>
      <c r="M346" s="67" t="n"/>
      <c r="N346" s="67" t="n"/>
      <c r="O346" s="67" t="n"/>
      <c r="P346" s="67" t="n"/>
      <c r="Q346" s="70" t="n"/>
      <c r="R346" s="70" t="n"/>
      <c r="S346" s="71" t="n"/>
      <c r="T346" s="80">
        <f>SUM(C346:S346)</f>
        <v/>
      </c>
      <c r="U346" s="73">
        <f>T346/T$7</f>
        <v/>
      </c>
      <c r="V346" s="81" t="n"/>
      <c r="W346" s="76">
        <f>T346*V346</f>
        <v/>
      </c>
      <c r="X346" s="169" t="n"/>
      <c r="Y346" s="28" t="n"/>
      <c r="Z346" s="28" t="n"/>
    </row>
    <row r="347" ht="14" customHeight="1">
      <c r="A347" s="78" t="n"/>
      <c r="B347" s="75" t="n"/>
      <c r="C347" s="67" t="n"/>
      <c r="D347" s="67" t="n"/>
      <c r="E347" s="67" t="n"/>
      <c r="F347" s="67" t="n"/>
      <c r="G347" s="67" t="n"/>
      <c r="H347" s="67" t="n"/>
      <c r="I347" s="67" t="n"/>
      <c r="J347" s="67" t="n"/>
      <c r="K347" s="69" t="n"/>
      <c r="L347" s="67" t="n"/>
      <c r="M347" s="67" t="n"/>
      <c r="N347" s="67" t="n"/>
      <c r="O347" s="67" t="n"/>
      <c r="P347" s="67" t="n"/>
      <c r="Q347" s="70" t="n"/>
      <c r="R347" s="70" t="n"/>
      <c r="S347" s="71" t="n"/>
      <c r="T347" s="80">
        <f>SUM(C347:S347)</f>
        <v/>
      </c>
      <c r="U347" s="73">
        <f>T347/T$7</f>
        <v/>
      </c>
      <c r="V347" s="81" t="n"/>
      <c r="W347" s="76">
        <f>T347*V347</f>
        <v/>
      </c>
      <c r="X347" s="169" t="n"/>
      <c r="Y347" s="28" t="n"/>
      <c r="Z347" s="28" t="n"/>
    </row>
    <row r="348" ht="14" customHeight="1">
      <c r="A348" s="78" t="n"/>
      <c r="B348" s="75" t="n"/>
      <c r="C348" s="67" t="n"/>
      <c r="D348" s="67" t="n"/>
      <c r="E348" s="67" t="n"/>
      <c r="F348" s="67" t="n"/>
      <c r="G348" s="67" t="n"/>
      <c r="H348" s="67" t="n"/>
      <c r="I348" s="67" t="n"/>
      <c r="J348" s="67" t="n"/>
      <c r="K348" s="69" t="n"/>
      <c r="L348" s="67" t="n"/>
      <c r="M348" s="67" t="n"/>
      <c r="N348" s="67" t="n"/>
      <c r="O348" s="67" t="n"/>
      <c r="P348" s="67" t="n"/>
      <c r="Q348" s="70" t="n"/>
      <c r="R348" s="70" t="n"/>
      <c r="S348" s="71" t="n"/>
      <c r="T348" s="80">
        <f>SUM(C348:S348)</f>
        <v/>
      </c>
      <c r="U348" s="73">
        <f>T348/T$7</f>
        <v/>
      </c>
      <c r="V348" s="81" t="n"/>
      <c r="W348" s="76">
        <f>T348*V348</f>
        <v/>
      </c>
      <c r="X348" s="169" t="n"/>
      <c r="Y348" s="28" t="n"/>
      <c r="Z348" s="28" t="n"/>
    </row>
    <row r="349" ht="14" customHeight="1">
      <c r="A349" s="78" t="n"/>
      <c r="B349" s="75" t="n"/>
      <c r="C349" s="67" t="n"/>
      <c r="D349" s="67" t="n"/>
      <c r="E349" s="67" t="n"/>
      <c r="F349" s="67" t="n"/>
      <c r="G349" s="67" t="n"/>
      <c r="H349" s="67" t="n"/>
      <c r="I349" s="67" t="n"/>
      <c r="J349" s="67" t="n"/>
      <c r="K349" s="69" t="n"/>
      <c r="L349" s="67" t="n"/>
      <c r="M349" s="67" t="n"/>
      <c r="N349" s="67" t="n"/>
      <c r="O349" s="67" t="n"/>
      <c r="P349" s="67" t="n"/>
      <c r="Q349" s="70" t="n"/>
      <c r="R349" s="70" t="n"/>
      <c r="S349" s="71" t="n"/>
      <c r="T349" s="80">
        <f>SUM(C349:S349)</f>
        <v/>
      </c>
      <c r="U349" s="73">
        <f>T349/T$7</f>
        <v/>
      </c>
      <c r="V349" s="81" t="n"/>
      <c r="W349" s="76">
        <f>T349*V349</f>
        <v/>
      </c>
      <c r="X349" s="169" t="n"/>
      <c r="Y349" s="28" t="n"/>
      <c r="Z349" s="28" t="n"/>
    </row>
    <row r="350" ht="14" customHeight="1">
      <c r="A350" s="78" t="n"/>
      <c r="B350" s="75" t="n"/>
      <c r="C350" s="67" t="n"/>
      <c r="D350" s="67" t="n"/>
      <c r="E350" s="67" t="n"/>
      <c r="F350" s="67" t="n"/>
      <c r="G350" s="67" t="n"/>
      <c r="H350" s="67" t="n"/>
      <c r="I350" s="67" t="n"/>
      <c r="J350" s="67" t="n"/>
      <c r="K350" s="69" t="n"/>
      <c r="L350" s="67" t="n"/>
      <c r="M350" s="67" t="n"/>
      <c r="N350" s="67" t="n"/>
      <c r="O350" s="67" t="n"/>
      <c r="P350" s="67" t="n"/>
      <c r="Q350" s="70" t="n"/>
      <c r="R350" s="70" t="n"/>
      <c r="S350" s="71" t="n"/>
      <c r="T350" s="80">
        <f>SUM(C350:S350)</f>
        <v/>
      </c>
      <c r="U350" s="73">
        <f>T350/T$7</f>
        <v/>
      </c>
      <c r="V350" s="81" t="n"/>
      <c r="W350" s="76">
        <f>T350*V350</f>
        <v/>
      </c>
      <c r="X350" s="169" t="n"/>
      <c r="Y350" s="28" t="n"/>
      <c r="Z350" s="28" t="n"/>
    </row>
    <row r="351" ht="14" customHeight="1">
      <c r="A351" s="78" t="n"/>
      <c r="B351" s="75" t="n"/>
      <c r="C351" s="67" t="n"/>
      <c r="D351" s="67" t="n"/>
      <c r="E351" s="67" t="n"/>
      <c r="F351" s="67" t="n"/>
      <c r="G351" s="67" t="n"/>
      <c r="H351" s="67" t="n"/>
      <c r="I351" s="67" t="n"/>
      <c r="J351" s="67" t="n"/>
      <c r="K351" s="69" t="n"/>
      <c r="L351" s="67" t="n"/>
      <c r="M351" s="67" t="n"/>
      <c r="N351" s="67" t="n"/>
      <c r="O351" s="67" t="n"/>
      <c r="P351" s="67" t="n"/>
      <c r="Q351" s="70" t="n"/>
      <c r="R351" s="70" t="n"/>
      <c r="S351" s="71" t="n"/>
      <c r="T351" s="80">
        <f>SUM(C351:S351)</f>
        <v/>
      </c>
      <c r="U351" s="73">
        <f>T351/T$7</f>
        <v/>
      </c>
      <c r="V351" s="81" t="n"/>
      <c r="W351" s="76">
        <f>T351*V351</f>
        <v/>
      </c>
      <c r="X351" s="169" t="n"/>
      <c r="Y351" s="28" t="n"/>
      <c r="Z351" s="28" t="n"/>
    </row>
    <row r="352" ht="14" customHeight="1">
      <c r="A352" s="154" t="inlineStr">
        <is>
          <t>dont actions américaines</t>
        </is>
      </c>
      <c r="B352" s="155" t="n"/>
      <c r="C352" s="156">
        <f>SUM(C353:C388)</f>
        <v/>
      </c>
      <c r="D352" s="156">
        <f>SUM(D353:D388)</f>
        <v/>
      </c>
      <c r="E352" s="156">
        <f>SUM(E353:E388)</f>
        <v/>
      </c>
      <c r="F352" s="156">
        <f>SUM(F353:F388)</f>
        <v/>
      </c>
      <c r="G352" s="156">
        <f>SUM(G353:G388)</f>
        <v/>
      </c>
      <c r="H352" s="156">
        <f>SUM(H353:H388)</f>
        <v/>
      </c>
      <c r="I352" s="156">
        <f>SUM(I353:I388)</f>
        <v/>
      </c>
      <c r="J352" s="156">
        <f>SUM(J353:J388)</f>
        <v/>
      </c>
      <c r="K352" s="156">
        <f>SUM(K353:K388)</f>
        <v/>
      </c>
      <c r="L352" s="156">
        <f>SUM(L353:L388)</f>
        <v/>
      </c>
      <c r="M352" s="156">
        <f>SUM(M353:M388)</f>
        <v/>
      </c>
      <c r="N352" s="156">
        <f>SUM(N353:N388)</f>
        <v/>
      </c>
      <c r="O352" s="156">
        <f>SUM(O353:O388)</f>
        <v/>
      </c>
      <c r="P352" s="156">
        <f>SUM(P353:P388)</f>
        <v/>
      </c>
      <c r="Q352" s="156">
        <f>SUM(Q353:Q388)</f>
        <v/>
      </c>
      <c r="R352" s="156">
        <f>SUM(R353:R388)</f>
        <v/>
      </c>
      <c r="S352" s="156">
        <f>SUM(S353:S388)</f>
        <v/>
      </c>
      <c r="T352" s="157">
        <f>SUM(C352:S352)</f>
        <v/>
      </c>
      <c r="U352" s="158">
        <f>T352/T311</f>
        <v/>
      </c>
      <c r="V352" s="159" t="n"/>
      <c r="W352" s="214" t="n"/>
      <c r="X352" s="215" t="n"/>
      <c r="Y352" s="28" t="n"/>
      <c r="Z352" s="28" t="n"/>
    </row>
    <row r="353" ht="14" customHeight="1">
      <c r="A353" s="78" t="inlineStr">
        <is>
          <t>Franklin US Opportunities N(acc)EUR</t>
        </is>
      </c>
      <c r="B353" s="75" t="inlineStr">
        <is>
          <t>LU0260869903</t>
        </is>
      </c>
      <c r="C353" s="67" t="n"/>
      <c r="D353" s="67" t="n"/>
      <c r="E353" s="67" t="n"/>
      <c r="F353" s="67" t="n"/>
      <c r="G353" s="67" t="n"/>
      <c r="H353" s="67" t="n"/>
      <c r="I353" s="67" t="n"/>
      <c r="J353" s="67" t="n"/>
      <c r="K353" s="69" t="n"/>
      <c r="L353" s="67" t="n"/>
      <c r="M353" s="67" t="n"/>
      <c r="N353" s="67" t="n"/>
      <c r="O353" s="67" t="n"/>
      <c r="P353" s="67" t="n"/>
      <c r="Q353" s="70" t="n"/>
      <c r="R353" s="70" t="n"/>
      <c r="S353" s="71" t="n"/>
      <c r="T353" s="80">
        <f>SUM(C353:S353)</f>
        <v/>
      </c>
      <c r="U353" s="73">
        <f>T353/T$7</f>
        <v/>
      </c>
      <c r="V353" s="81" t="n">
        <v>5</v>
      </c>
      <c r="W353" s="76">
        <f>T353*V353</f>
        <v/>
      </c>
      <c r="X353" s="169" t="n"/>
      <c r="Y353" s="28" t="n"/>
      <c r="Z353" s="28" t="n"/>
    </row>
    <row r="354" ht="14" customHeight="1">
      <c r="A354" s="78" t="inlineStr">
        <is>
          <t>Franklin US Opportunities A(acc)EUR</t>
        </is>
      </c>
      <c r="B354" s="75" t="inlineStr">
        <is>
          <t>LU0260869739</t>
        </is>
      </c>
      <c r="C354" s="67" t="n"/>
      <c r="D354" s="67" t="n"/>
      <c r="E354" s="67" t="n"/>
      <c r="F354" s="67" t="n"/>
      <c r="G354" s="67" t="n"/>
      <c r="H354" s="67" t="n"/>
      <c r="I354" s="67" t="n"/>
      <c r="J354" s="67" t="n"/>
      <c r="K354" s="69" t="n"/>
      <c r="L354" s="67" t="n"/>
      <c r="M354" s="67" t="n"/>
      <c r="N354" s="67" t="n"/>
      <c r="O354" s="67" t="n"/>
      <c r="P354" s="67" t="n"/>
      <c r="Q354" s="70" t="n"/>
      <c r="R354" s="70" t="n"/>
      <c r="S354" s="71" t="n"/>
      <c r="T354" s="80">
        <f>SUM(C354:S354)</f>
        <v/>
      </c>
      <c r="U354" s="73">
        <f>T354/T$7</f>
        <v/>
      </c>
      <c r="V354" s="81" t="n">
        <v>5</v>
      </c>
      <c r="W354" s="76">
        <f>T354*V354</f>
        <v/>
      </c>
      <c r="X354" s="169" t="n"/>
      <c r="Y354" s="28" t="n"/>
      <c r="Z354" s="28" t="n"/>
    </row>
    <row r="355" ht="14" customHeight="1">
      <c r="A355" s="78" t="inlineStr">
        <is>
          <t>Franklin Biotechnology Discovery Fund A</t>
        </is>
      </c>
      <c r="B355" s="75" t="inlineStr">
        <is>
          <t>LU0109394709</t>
        </is>
      </c>
      <c r="C355" s="67" t="n"/>
      <c r="D355" s="67" t="n"/>
      <c r="E355" s="67" t="n"/>
      <c r="F355" s="67" t="n"/>
      <c r="G355" s="67" t="n"/>
      <c r="H355" s="67" t="n"/>
      <c r="I355" s="67" t="n"/>
      <c r="J355" s="67" t="n"/>
      <c r="K355" s="69" t="n"/>
      <c r="L355" s="67" t="n"/>
      <c r="M355" s="67" t="n"/>
      <c r="N355" s="67" t="n"/>
      <c r="O355" s="67" t="n"/>
      <c r="P355" s="67" t="n"/>
      <c r="Q355" s="70" t="n"/>
      <c r="R355" s="70" t="n"/>
      <c r="S355" s="71" t="n"/>
      <c r="T355" s="80">
        <f>SUM(C355:S355)</f>
        <v/>
      </c>
      <c r="U355" s="73">
        <f>T355/T$7</f>
        <v/>
      </c>
      <c r="V355" s="81" t="n">
        <v>5</v>
      </c>
      <c r="W355" s="76">
        <f>T355*V355</f>
        <v/>
      </c>
      <c r="X355" s="169" t="n"/>
      <c r="Y355" s="28" t="n"/>
      <c r="Z355" s="28" t="n"/>
    </row>
    <row r="356" ht="14" customHeight="1">
      <c r="A356" s="78" t="inlineStr">
        <is>
          <t>Fidelity America A USD</t>
        </is>
      </c>
      <c r="B356" s="75" t="inlineStr">
        <is>
          <t>LU0048573561</t>
        </is>
      </c>
      <c r="C356" s="67" t="n"/>
      <c r="D356" s="67" t="n"/>
      <c r="E356" s="67" t="n"/>
      <c r="F356" s="67" t="n"/>
      <c r="G356" s="67" t="n"/>
      <c r="H356" s="67" t="n"/>
      <c r="I356" s="67" t="n"/>
      <c r="J356" s="67" t="n"/>
      <c r="K356" s="69" t="n"/>
      <c r="L356" s="67" t="n"/>
      <c r="M356" s="67" t="n"/>
      <c r="N356" s="67" t="n"/>
      <c r="O356" s="67" t="n"/>
      <c r="P356" s="67" t="n"/>
      <c r="Q356" s="70" t="n"/>
      <c r="R356" s="70" t="n"/>
      <c r="S356" s="71" t="n"/>
      <c r="T356" s="80">
        <f>SUM(C356:S356)</f>
        <v/>
      </c>
      <c r="U356" s="73">
        <f>T356/T$7</f>
        <v/>
      </c>
      <c r="V356" s="81" t="n">
        <v>4</v>
      </c>
      <c r="W356" s="76">
        <f>T356*V356</f>
        <v/>
      </c>
      <c r="X356" s="169" t="n"/>
      <c r="Y356" s="28" t="n"/>
      <c r="Z356" s="28" t="n"/>
    </row>
    <row r="357" ht="14" customHeight="1">
      <c r="A357" s="78" t="inlineStr">
        <is>
          <t>Fidelity America E Acc EUR</t>
        </is>
      </c>
      <c r="B357" s="75" t="inlineStr">
        <is>
          <t>LU0115759606</t>
        </is>
      </c>
      <c r="C357" s="67" t="n"/>
      <c r="D357" s="67" t="n"/>
      <c r="E357" s="67" t="n"/>
      <c r="F357" s="67" t="n"/>
      <c r="G357" s="67" t="n"/>
      <c r="H357" s="67" t="n"/>
      <c r="I357" s="67" t="n"/>
      <c r="J357" s="67" t="n"/>
      <c r="K357" s="69" t="n"/>
      <c r="L357" s="67" t="n"/>
      <c r="M357" s="67" t="n"/>
      <c r="N357" s="67" t="n"/>
      <c r="O357" s="67" t="n"/>
      <c r="P357" s="67" t="n"/>
      <c r="Q357" s="70" t="n"/>
      <c r="R357" s="70" t="n"/>
      <c r="S357" s="71" t="n"/>
      <c r="T357" s="80">
        <f>SUM(C357:S357)</f>
        <v/>
      </c>
      <c r="U357" s="73">
        <f>T357/T$7</f>
        <v/>
      </c>
      <c r="V357" s="81" t="n">
        <v>4</v>
      </c>
      <c r="W357" s="76">
        <f>T357*V357</f>
        <v/>
      </c>
      <c r="X357" s="169" t="n"/>
      <c r="Y357" s="28" t="n"/>
      <c r="Z357" s="28" t="n"/>
    </row>
    <row r="358" ht="14" customHeight="1">
      <c r="A358" s="78" t="inlineStr">
        <is>
          <t>Fidelity America Fund A EUR Hedged</t>
        </is>
      </c>
      <c r="B358" s="75" t="inlineStr">
        <is>
          <t>LU0945775517</t>
        </is>
      </c>
      <c r="C358" s="67" t="n"/>
      <c r="D358" s="67" t="n"/>
      <c r="E358" s="67" t="n"/>
      <c r="F358" s="67" t="n"/>
      <c r="G358" s="67" t="n"/>
      <c r="H358" s="67" t="n"/>
      <c r="I358" s="67" t="n"/>
      <c r="J358" s="67" t="n"/>
      <c r="K358" s="69" t="n"/>
      <c r="L358" s="67" t="n"/>
      <c r="M358" s="67" t="n"/>
      <c r="N358" s="67" t="n"/>
      <c r="O358" s="67" t="n"/>
      <c r="P358" s="67" t="n"/>
      <c r="Q358" s="70" t="n"/>
      <c r="R358" s="70" t="n"/>
      <c r="S358" s="71" t="n"/>
      <c r="T358" s="80">
        <f>SUM(C358:S358)</f>
        <v/>
      </c>
      <c r="U358" s="73">
        <f>T358/T$7</f>
        <v/>
      </c>
      <c r="V358" s="81" t="n">
        <v>4</v>
      </c>
      <c r="W358" s="76">
        <f>T358*V358</f>
        <v/>
      </c>
      <c r="X358" s="169" t="n"/>
      <c r="Y358" s="28" t="n"/>
      <c r="Z358" s="28" t="n"/>
    </row>
    <row r="359" ht="14" customHeight="1">
      <c r="A359" s="78" t="inlineStr">
        <is>
          <t>Amundi S&amp;P 500 ETF Daily Hedged EUR</t>
        </is>
      </c>
      <c r="B359" s="75" t="inlineStr">
        <is>
          <t>LU1681049109</t>
        </is>
      </c>
      <c r="C359" s="67" t="n"/>
      <c r="D359" s="67" t="n"/>
      <c r="E359" s="67" t="n"/>
      <c r="F359" s="67" t="n"/>
      <c r="G359" s="67" t="n"/>
      <c r="H359" s="67" t="n"/>
      <c r="I359" s="67" t="n"/>
      <c r="J359" s="67" t="n"/>
      <c r="K359" s="69" t="n"/>
      <c r="L359" s="67" t="n"/>
      <c r="M359" s="67" t="n"/>
      <c r="N359" s="67" t="n"/>
      <c r="O359" s="67" t="n"/>
      <c r="P359" s="67" t="n"/>
      <c r="Q359" s="70" t="n"/>
      <c r="R359" s="70" t="n"/>
      <c r="S359" s="71" t="n"/>
      <c r="T359" s="80">
        <f>SUM(C359:S359)</f>
        <v/>
      </c>
      <c r="U359" s="73">
        <f>T359/T$7</f>
        <v/>
      </c>
      <c r="V359" s="81" t="n">
        <v>4</v>
      </c>
      <c r="W359" s="76">
        <f>T359*V359</f>
        <v/>
      </c>
      <c r="X359" s="169" t="n"/>
      <c r="Y359" s="28" t="n"/>
      <c r="Z359" s="28" t="n"/>
    </row>
    <row r="360" ht="14" customHeight="1">
      <c r="A360" s="78" t="inlineStr">
        <is>
          <t>Amundi Nasdaq-100 II UCITS ETF Acc</t>
        </is>
      </c>
      <c r="B360" s="75" t="inlineStr">
        <is>
          <t>LU1829221024</t>
        </is>
      </c>
      <c r="C360" s="67" t="n"/>
      <c r="D360" s="67" t="n"/>
      <c r="E360" s="67" t="n"/>
      <c r="F360" s="67" t="n"/>
      <c r="G360" s="67" t="n"/>
      <c r="H360" s="67" t="n"/>
      <c r="I360" s="67" t="n"/>
      <c r="J360" s="67" t="n"/>
      <c r="K360" s="69" t="n"/>
      <c r="L360" s="67" t="n"/>
      <c r="M360" s="67" t="n"/>
      <c r="N360" s="67" t="n"/>
      <c r="O360" s="67" t="n"/>
      <c r="P360" s="67" t="n"/>
      <c r="Q360" s="70" t="n"/>
      <c r="R360" s="70" t="n"/>
      <c r="S360" s="71" t="n"/>
      <c r="T360" s="80">
        <f>SUM(C360:S360)</f>
        <v/>
      </c>
      <c r="U360" s="73">
        <f>T360/T$7</f>
        <v/>
      </c>
      <c r="V360" s="81" t="n">
        <v>5</v>
      </c>
      <c r="W360" s="76">
        <f>T360*V360</f>
        <v/>
      </c>
      <c r="X360" s="169" t="n"/>
      <c r="Y360" s="28" t="n"/>
      <c r="Z360" s="28" t="n"/>
    </row>
    <row r="361" ht="14" customHeight="1">
      <c r="A361" s="78" t="inlineStr">
        <is>
          <t>Amundi PEA S&amp;P 500 UCITS ETF Acc</t>
        </is>
      </c>
      <c r="B361" s="75" t="inlineStr">
        <is>
          <t>FR0011871128</t>
        </is>
      </c>
      <c r="C361" s="67" t="n"/>
      <c r="D361" s="67" t="n"/>
      <c r="E361" s="67" t="n"/>
      <c r="F361" s="67" t="n"/>
      <c r="G361" s="67" t="n"/>
      <c r="H361" s="67" t="n"/>
      <c r="I361" s="67" t="n"/>
      <c r="J361" s="67" t="n"/>
      <c r="K361" s="69" t="n"/>
      <c r="L361" s="67" t="n"/>
      <c r="M361" s="67" t="n"/>
      <c r="N361" s="67" t="n"/>
      <c r="O361" s="67" t="n"/>
      <c r="P361" s="67" t="n"/>
      <c r="Q361" s="70" t="n"/>
      <c r="R361" s="70" t="n"/>
      <c r="S361" s="71" t="n"/>
      <c r="T361" s="80">
        <f>SUM(C361:S361)</f>
        <v/>
      </c>
      <c r="U361" s="73">
        <f>T361/T$7</f>
        <v/>
      </c>
      <c r="V361" s="81" t="n">
        <v>4</v>
      </c>
      <c r="W361" s="76">
        <f>T361*V361</f>
        <v/>
      </c>
      <c r="X361" s="169" t="n"/>
      <c r="Y361" s="28" t="n"/>
      <c r="Z361" s="28" t="n"/>
    </row>
    <row r="362" ht="14" customHeight="1">
      <c r="A362" s="78" t="inlineStr">
        <is>
          <t>Amundi Nasdaq-100 Daily 2x Lvrgd ETF Acc</t>
        </is>
      </c>
      <c r="B362" s="75" t="inlineStr">
        <is>
          <t>FR0010342592</t>
        </is>
      </c>
      <c r="C362" s="67" t="n"/>
      <c r="D362" s="67" t="n"/>
      <c r="E362" s="67" t="n"/>
      <c r="F362" s="67" t="n"/>
      <c r="G362" s="67" t="n"/>
      <c r="H362" s="67" t="n"/>
      <c r="I362" s="67" t="n"/>
      <c r="J362" s="67" t="n"/>
      <c r="K362" s="69" t="n"/>
      <c r="L362" s="67" t="n"/>
      <c r="M362" s="67" t="n"/>
      <c r="N362" s="67" t="n"/>
      <c r="O362" s="67" t="n"/>
      <c r="P362" s="67" t="n"/>
      <c r="Q362" s="70" t="n"/>
      <c r="R362" s="70" t="n"/>
      <c r="S362" s="71" t="n"/>
      <c r="T362" s="80">
        <f>SUM(C362:S362)</f>
        <v/>
      </c>
      <c r="U362" s="73">
        <f>T362/T$7</f>
        <v/>
      </c>
      <c r="V362" s="81" t="n">
        <v>6</v>
      </c>
      <c r="W362" s="76">
        <f>T362*V362</f>
        <v/>
      </c>
      <c r="X362" s="169" t="n"/>
      <c r="Y362" s="28" t="n"/>
      <c r="Z362" s="28" t="n"/>
    </row>
    <row r="363" ht="14" customHeight="1">
      <c r="A363" s="78" t="inlineStr">
        <is>
          <t>Amundi Idx Sol S&amp;P 500 Eur C</t>
        </is>
      </c>
      <c r="B363" s="75" t="inlineStr">
        <is>
          <t>LU1681048804</t>
        </is>
      </c>
      <c r="C363" s="67" t="n"/>
      <c r="D363" s="67" t="n"/>
      <c r="E363" s="67" t="n"/>
      <c r="F363" s="67" t="n"/>
      <c r="G363" s="67" t="n"/>
      <c r="H363" s="67" t="n"/>
      <c r="I363" s="67" t="n"/>
      <c r="J363" s="67" t="n"/>
      <c r="K363" s="69" t="n"/>
      <c r="L363" s="67" t="n"/>
      <c r="M363" s="67" t="n"/>
      <c r="N363" s="67" t="n"/>
      <c r="O363" s="67" t="n"/>
      <c r="P363" s="67" t="n"/>
      <c r="Q363" s="70" t="n"/>
      <c r="R363" s="70" t="n"/>
      <c r="S363" s="71" t="n"/>
      <c r="T363" s="80">
        <f>SUM(C363:S363)</f>
        <v/>
      </c>
      <c r="U363" s="73">
        <f>T363/T$7</f>
        <v/>
      </c>
      <c r="V363" s="81" t="n">
        <v>4</v>
      </c>
      <c r="W363" s="76">
        <f>T363*V363</f>
        <v/>
      </c>
      <c r="X363" s="169" t="n"/>
      <c r="Y363" s="28" t="n"/>
      <c r="Z363" s="28" t="n"/>
    </row>
    <row r="364" ht="14" customHeight="1">
      <c r="A364" s="78" t="inlineStr">
        <is>
          <t>Amundi Index Msci Usa Etf Dr</t>
        </is>
      </c>
      <c r="B364" s="75" t="inlineStr">
        <is>
          <t>LU1861136247</t>
        </is>
      </c>
      <c r="C364" s="67" t="n"/>
      <c r="D364" s="67" t="n"/>
      <c r="E364" s="67" t="n"/>
      <c r="F364" s="67" t="n"/>
      <c r="G364" s="67" t="n"/>
      <c r="H364" s="67" t="n"/>
      <c r="I364" s="67" t="n"/>
      <c r="J364" s="67" t="n"/>
      <c r="K364" s="69" t="n"/>
      <c r="L364" s="67" t="n"/>
      <c r="M364" s="67" t="n"/>
      <c r="N364" s="67" t="n"/>
      <c r="O364" s="67" t="n"/>
      <c r="P364" s="67" t="n"/>
      <c r="Q364" s="70" t="n"/>
      <c r="R364" s="70" t="n"/>
      <c r="S364" s="71" t="n"/>
      <c r="T364" s="80">
        <f>SUM(C364:S364)</f>
        <v/>
      </c>
      <c r="U364" s="73">
        <f>T364/T$7</f>
        <v/>
      </c>
      <c r="V364" s="81" t="n">
        <v>6</v>
      </c>
      <c r="W364" s="76">
        <f>T364*V364</f>
        <v/>
      </c>
      <c r="X364" s="169" t="n"/>
      <c r="Y364" s="28" t="n"/>
      <c r="Z364" s="28" t="n"/>
    </row>
    <row r="365" ht="14" customHeight="1">
      <c r="A365" s="78" t="inlineStr">
        <is>
          <t>Amundi S&amp;P 500 II II ETF Acc</t>
        </is>
      </c>
      <c r="B365" s="75" t="inlineStr">
        <is>
          <t>LU1135865084</t>
        </is>
      </c>
      <c r="C365" s="67" t="n"/>
      <c r="D365" s="67" t="n"/>
      <c r="E365" s="67" t="n"/>
      <c r="F365" s="67" t="n"/>
      <c r="G365" s="67" t="n"/>
      <c r="H365" s="67" t="n"/>
      <c r="I365" s="67" t="n"/>
      <c r="J365" s="67" t="n"/>
      <c r="K365" s="69" t="n"/>
      <c r="L365" s="67" t="n"/>
      <c r="M365" s="67" t="n"/>
      <c r="N365" s="67" t="n"/>
      <c r="O365" s="67" t="n"/>
      <c r="P365" s="67" t="n"/>
      <c r="Q365" s="70" t="n"/>
      <c r="R365" s="70" t="n"/>
      <c r="S365" s="71" t="n"/>
      <c r="T365" s="80">
        <f>SUM(C365:S365)</f>
        <v/>
      </c>
      <c r="U365" s="73">
        <f>T365/T$7</f>
        <v/>
      </c>
      <c r="V365" s="81" t="n">
        <v>4</v>
      </c>
      <c r="W365" s="76">
        <f>T365*V365</f>
        <v/>
      </c>
      <c r="X365" s="169" t="n"/>
      <c r="Y365" s="28" t="n"/>
      <c r="Z365" s="28" t="n"/>
    </row>
    <row r="366" ht="14" customHeight="1">
      <c r="A366" s="78" t="inlineStr">
        <is>
          <t>Amundi S&amp;P 500 ETF D EUR</t>
        </is>
      </c>
      <c r="B366" s="75" t="inlineStr">
        <is>
          <t>LU0496786574</t>
        </is>
      </c>
      <c r="C366" s="67" t="n"/>
      <c r="D366" s="67" t="n"/>
      <c r="E366" s="67" t="n"/>
      <c r="F366" s="67" t="n"/>
      <c r="G366" s="67" t="n"/>
      <c r="H366" s="67" t="n"/>
      <c r="I366" s="67" t="n"/>
      <c r="J366" s="67" t="n"/>
      <c r="K366" s="69" t="n"/>
      <c r="L366" s="67" t="n"/>
      <c r="M366" s="67" t="n"/>
      <c r="N366" s="67" t="n"/>
      <c r="O366" s="67" t="n"/>
      <c r="P366" s="67" t="n"/>
      <c r="Q366" s="70" t="n"/>
      <c r="R366" s="70" t="n"/>
      <c r="S366" s="71" t="n"/>
      <c r="T366" s="80">
        <f>SUM(C366:S366)</f>
        <v/>
      </c>
      <c r="U366" s="73">
        <f>T366/T$7</f>
        <v/>
      </c>
      <c r="V366" s="81" t="n">
        <v>4</v>
      </c>
      <c r="W366" s="76">
        <f>T366*V366</f>
        <v/>
      </c>
      <c r="X366" s="169" t="n"/>
      <c r="Y366" s="28" t="n"/>
      <c r="Z366" s="28" t="n"/>
    </row>
    <row r="367" ht="14" customHeight="1">
      <c r="A367" s="78" t="inlineStr">
        <is>
          <t>Amundi S&amp;P 500 Climate Net Zero PAB</t>
        </is>
      </c>
      <c r="B367" s="75" t="inlineStr">
        <is>
          <t>IE000O5FBC47</t>
        </is>
      </c>
      <c r="C367" s="67" t="n"/>
      <c r="D367" s="67" t="n"/>
      <c r="E367" s="67" t="n"/>
      <c r="F367" s="67" t="n"/>
      <c r="G367" s="67" t="n"/>
      <c r="H367" s="67" t="n"/>
      <c r="I367" s="67" t="n"/>
      <c r="J367" s="67" t="n"/>
      <c r="K367" s="69" t="n"/>
      <c r="L367" s="67" t="n"/>
      <c r="M367" s="67" t="n"/>
      <c r="N367" s="67" t="n"/>
      <c r="O367" s="67" t="n"/>
      <c r="P367" s="67" t="n"/>
      <c r="Q367" s="70" t="n"/>
      <c r="R367" s="70" t="n"/>
      <c r="S367" s="71" t="n"/>
      <c r="T367" s="80">
        <f>SUM(C367:S367)</f>
        <v/>
      </c>
      <c r="U367" s="73">
        <f>T367/T$7</f>
        <v/>
      </c>
      <c r="V367" s="81" t="n">
        <v>4</v>
      </c>
      <c r="W367" s="76">
        <f>T367*V367</f>
        <v/>
      </c>
      <c r="X367" s="169" t="n"/>
      <c r="Y367" s="28" t="n"/>
      <c r="Z367" s="28" t="n"/>
    </row>
    <row r="368" ht="14" customHeight="1">
      <c r="A368" s="78" t="inlineStr">
        <is>
          <t>Amundi Core S&amp;P 500 Swap ETF EUR H Dis</t>
        </is>
      </c>
      <c r="B368" s="75" t="inlineStr">
        <is>
          <t>LU0959211243</t>
        </is>
      </c>
      <c r="C368" s="67" t="n"/>
      <c r="D368" s="67" t="n"/>
      <c r="E368" s="67" t="n"/>
      <c r="F368" s="67" t="n"/>
      <c r="G368" s="67" t="n"/>
      <c r="H368" s="67" t="n"/>
      <c r="I368" s="67" t="n"/>
      <c r="J368" s="67" t="n"/>
      <c r="K368" s="69" t="n"/>
      <c r="L368" s="67" t="n"/>
      <c r="M368" s="67" t="n"/>
      <c r="N368" s="67" t="n"/>
      <c r="O368" s="67" t="n"/>
      <c r="P368" s="67" t="n"/>
      <c r="Q368" s="70" t="n"/>
      <c r="R368" s="70" t="n"/>
      <c r="S368" s="71" t="n"/>
      <c r="T368" s="80">
        <f>SUM(C368:S368)</f>
        <v/>
      </c>
      <c r="U368" s="73">
        <f>T368/T$7</f>
        <v/>
      </c>
      <c r="V368" s="81" t="n">
        <v>4</v>
      </c>
      <c r="W368" s="76">
        <f>T368*V368</f>
        <v/>
      </c>
      <c r="X368" s="169" t="n"/>
      <c r="Y368" s="28" t="n"/>
      <c r="Z368" s="28" t="n"/>
    </row>
    <row r="369" ht="14" customHeight="1">
      <c r="A369" s="78" t="inlineStr">
        <is>
          <t>iShares MSCI USA Momentum</t>
        </is>
      </c>
      <c r="B369" s="75" t="inlineStr">
        <is>
          <t>US46432F3964</t>
        </is>
      </c>
      <c r="C369" s="67" t="n"/>
      <c r="D369" s="67" t="n"/>
      <c r="E369" s="67" t="n"/>
      <c r="F369" s="67" t="n"/>
      <c r="G369" s="67" t="n"/>
      <c r="H369" s="67" t="n"/>
      <c r="I369" s="67" t="n"/>
      <c r="J369" s="67" t="n"/>
      <c r="K369" s="69" t="n"/>
      <c r="L369" s="67" t="n"/>
      <c r="M369" s="67" t="n"/>
      <c r="N369" s="67" t="n"/>
      <c r="O369" s="67" t="n"/>
      <c r="P369" s="67" t="n"/>
      <c r="Q369" s="70" t="n"/>
      <c r="R369" s="70" t="n"/>
      <c r="S369" s="71" t="n"/>
      <c r="T369" s="80">
        <f>SUM(C369:S369)</f>
        <v/>
      </c>
      <c r="U369" s="73">
        <f>T369/T$7</f>
        <v/>
      </c>
      <c r="V369" s="81" t="n">
        <v>5</v>
      </c>
      <c r="W369" s="76">
        <f>T369*V369</f>
        <v/>
      </c>
      <c r="X369" s="169" t="n"/>
      <c r="Y369" s="28" t="n"/>
      <c r="Z369" s="28" t="n"/>
    </row>
    <row r="370" ht="14" customHeight="1">
      <c r="A370" s="78" t="inlineStr">
        <is>
          <t>iShares Russell 2000 ETF</t>
        </is>
      </c>
      <c r="B370" s="75" t="inlineStr">
        <is>
          <t>US4642876555</t>
        </is>
      </c>
      <c r="C370" s="67" t="n"/>
      <c r="D370" s="67" t="n"/>
      <c r="E370" s="67" t="n"/>
      <c r="F370" s="67" t="n"/>
      <c r="G370" s="67" t="n"/>
      <c r="H370" s="67" t="n"/>
      <c r="I370" s="67" t="n"/>
      <c r="J370" s="67" t="n"/>
      <c r="K370" s="69" t="n"/>
      <c r="L370" s="67" t="n"/>
      <c r="M370" s="67" t="n"/>
      <c r="N370" s="67" t="n"/>
      <c r="O370" s="67" t="n"/>
      <c r="P370" s="67" t="n"/>
      <c r="Q370" s="70" t="n"/>
      <c r="R370" s="70" t="n"/>
      <c r="S370" s="71" t="n"/>
      <c r="T370" s="80">
        <f>SUM(C370:S370)</f>
        <v/>
      </c>
      <c r="U370" s="73">
        <f>T370/T$7</f>
        <v/>
      </c>
      <c r="V370" s="81" t="n">
        <v>5</v>
      </c>
      <c r="W370" s="76">
        <f>T370*V370</f>
        <v/>
      </c>
      <c r="X370" s="169" t="n"/>
      <c r="Y370" s="28" t="n"/>
      <c r="Z370" s="28" t="n"/>
    </row>
    <row r="371" ht="14" customHeight="1">
      <c r="A371" s="78" t="inlineStr">
        <is>
          <t>iShares MSCI USA SRI</t>
        </is>
      </c>
      <c r="B371" s="75" t="inlineStr">
        <is>
          <t>IE00BYVJRR92</t>
        </is>
      </c>
      <c r="C371" s="67" t="n"/>
      <c r="D371" s="67" t="n"/>
      <c r="E371" s="67" t="n"/>
      <c r="F371" s="67" t="n"/>
      <c r="G371" s="67" t="n"/>
      <c r="H371" s="67" t="n"/>
      <c r="I371" s="67" t="n"/>
      <c r="J371" s="67" t="n"/>
      <c r="K371" s="69" t="n"/>
      <c r="L371" s="67" t="n"/>
      <c r="M371" s="67" t="n"/>
      <c r="N371" s="67" t="n"/>
      <c r="O371" s="67" t="n"/>
      <c r="P371" s="67" t="n"/>
      <c r="Q371" s="70" t="n"/>
      <c r="R371" s="70" t="n"/>
      <c r="S371" s="71" t="n"/>
      <c r="T371" s="80">
        <f>SUM(C371:S371)</f>
        <v/>
      </c>
      <c r="U371" s="73">
        <f>T371/T$7</f>
        <v/>
      </c>
      <c r="V371" s="81" t="n">
        <v>5</v>
      </c>
      <c r="W371" s="76">
        <f>T371*V371</f>
        <v/>
      </c>
      <c r="X371" s="169" t="n"/>
      <c r="Y371" s="28" t="n"/>
      <c r="Z371" s="28" t="n"/>
    </row>
    <row r="372" ht="14" customHeight="1">
      <c r="A372" s="78" t="inlineStr">
        <is>
          <t xml:space="preserve">iShares S&amp;P 500 EUR Hedged ETF Acc (couvert) </t>
        </is>
      </c>
      <c r="B372" s="75" t="inlineStr">
        <is>
          <t>IE00B3ZW0K18</t>
        </is>
      </c>
      <c r="C372" s="67" t="n"/>
      <c r="D372" s="67" t="n"/>
      <c r="E372" s="67" t="n"/>
      <c r="F372" s="67" t="n"/>
      <c r="G372" s="67" t="n"/>
      <c r="H372" s="67" t="n"/>
      <c r="I372" s="67" t="n"/>
      <c r="J372" s="67" t="n"/>
      <c r="K372" s="69" t="n"/>
      <c r="L372" s="67" t="n"/>
      <c r="M372" s="67" t="n"/>
      <c r="N372" s="67" t="n"/>
      <c r="O372" s="67" t="n"/>
      <c r="P372" s="67" t="n"/>
      <c r="Q372" s="70" t="n"/>
      <c r="R372" s="70" t="n"/>
      <c r="S372" s="71" t="n"/>
      <c r="T372" s="80">
        <f>SUM(C372:S372)</f>
        <v/>
      </c>
      <c r="U372" s="73">
        <f>T372/T$7</f>
        <v/>
      </c>
      <c r="V372" s="81" t="n">
        <v>4</v>
      </c>
      <c r="W372" s="76">
        <f>T372*V372</f>
        <v/>
      </c>
      <c r="X372" s="169" t="n"/>
      <c r="Y372" s="28" t="n"/>
      <c r="Z372" s="28" t="n"/>
    </row>
    <row r="373" ht="14" customHeight="1">
      <c r="A373" s="78" t="inlineStr">
        <is>
          <t>iShares S&amp;P 500 Equal Weight ETF €H Acc (couvert)</t>
        </is>
      </c>
      <c r="B373" s="75" t="inlineStr">
        <is>
          <t>IE000DVLBQ03</t>
        </is>
      </c>
      <c r="C373" s="67" t="n"/>
      <c r="D373" s="67" t="n"/>
      <c r="E373" s="67" t="n"/>
      <c r="F373" s="67" t="n"/>
      <c r="G373" s="67" t="n"/>
      <c r="H373" s="67" t="n"/>
      <c r="I373" s="67" t="n"/>
      <c r="J373" s="67" t="n"/>
      <c r="K373" s="69" t="n"/>
      <c r="L373" s="67" t="n"/>
      <c r="M373" s="67" t="n"/>
      <c r="N373" s="67" t="n"/>
      <c r="O373" s="67" t="n"/>
      <c r="P373" s="67" t="n"/>
      <c r="Q373" s="70" t="n"/>
      <c r="R373" s="70" t="n"/>
      <c r="S373" s="71" t="n"/>
      <c r="T373" s="80">
        <f>SUM(C373:S373)</f>
        <v/>
      </c>
      <c r="U373" s="73">
        <f>T373/T$7</f>
        <v/>
      </c>
      <c r="V373" s="81" t="n">
        <v>4</v>
      </c>
      <c r="W373" s="76">
        <f>T373*V373</f>
        <v/>
      </c>
      <c r="X373" s="169" t="n"/>
      <c r="Y373" s="28" t="n"/>
      <c r="Z373" s="28" t="n"/>
    </row>
    <row r="374" ht="14" customHeight="1">
      <c r="A374" s="78" t="inlineStr">
        <is>
          <t>iShares Core S&amp;P 500</t>
        </is>
      </c>
      <c r="B374" s="75" t="inlineStr">
        <is>
          <t>IE00B5BMR087</t>
        </is>
      </c>
      <c r="C374" s="67" t="n"/>
      <c r="D374" s="67" t="n"/>
      <c r="E374" s="67" t="n"/>
      <c r="F374" s="67" t="n"/>
      <c r="G374" s="67" t="n"/>
      <c r="H374" s="67" t="n"/>
      <c r="I374" s="67" t="n"/>
      <c r="J374" s="67" t="n"/>
      <c r="K374" s="69" t="n"/>
      <c r="L374" s="67" t="n"/>
      <c r="M374" s="67" t="n"/>
      <c r="N374" s="67" t="n"/>
      <c r="O374" s="67" t="n"/>
      <c r="P374" s="67" t="n"/>
      <c r="Q374" s="70" t="n"/>
      <c r="R374" s="70" t="n"/>
      <c r="S374" s="71" t="n"/>
      <c r="T374" s="80">
        <f>SUM(C374:S374)</f>
        <v/>
      </c>
      <c r="U374" s="73">
        <f>T374/T$7</f>
        <v/>
      </c>
      <c r="V374" s="81" t="n">
        <v>4</v>
      </c>
      <c r="W374" s="76">
        <f>T374*V374</f>
        <v/>
      </c>
      <c r="X374" s="169" t="n"/>
      <c r="Y374" s="28" t="n"/>
      <c r="Z374" s="28" t="n"/>
    </row>
    <row r="375" ht="14" customHeight="1">
      <c r="A375" s="78" t="inlineStr">
        <is>
          <t>iShares US Index Fund D EUR Acc</t>
        </is>
      </c>
      <c r="B375" s="75" t="inlineStr">
        <is>
          <t>IE00BDZS0987</t>
        </is>
      </c>
      <c r="C375" s="67" t="n"/>
      <c r="D375" s="67" t="n"/>
      <c r="E375" s="67" t="n"/>
      <c r="F375" s="67" t="n"/>
      <c r="G375" s="67" t="n"/>
      <c r="H375" s="67" t="n"/>
      <c r="I375" s="67" t="n"/>
      <c r="J375" s="67" t="n"/>
      <c r="K375" s="69" t="n"/>
      <c r="L375" s="67" t="n"/>
      <c r="M375" s="67" t="n"/>
      <c r="N375" s="67" t="n"/>
      <c r="O375" s="67" t="n"/>
      <c r="P375" s="67" t="n"/>
      <c r="Q375" s="70" t="n"/>
      <c r="R375" s="70" t="n"/>
      <c r="S375" s="71" t="n"/>
      <c r="T375" s="80">
        <f>SUM(C375:S375)</f>
        <v/>
      </c>
      <c r="U375" s="73">
        <f>T375/T$7</f>
        <v/>
      </c>
      <c r="V375" s="81" t="n">
        <v>4</v>
      </c>
      <c r="W375" s="76">
        <f>T375*V375</f>
        <v/>
      </c>
      <c r="X375" s="169" t="n"/>
      <c r="Y375" s="28" t="n"/>
      <c r="Z375" s="28" t="n"/>
    </row>
    <row r="376" ht="14" customHeight="1">
      <c r="A376" s="78" t="inlineStr">
        <is>
          <t>JPMorgan Funds US Technology Fund A (Acc) - EUR</t>
        </is>
      </c>
      <c r="B376" s="75" t="inlineStr">
        <is>
          <t>LU0159052710</t>
        </is>
      </c>
      <c r="C376" s="67" t="n"/>
      <c r="D376" s="67" t="n"/>
      <c r="E376" s="67" t="n"/>
      <c r="F376" s="67" t="n"/>
      <c r="G376" s="67" t="n"/>
      <c r="H376" s="67" t="n"/>
      <c r="I376" s="67" t="n"/>
      <c r="J376" s="67" t="n"/>
      <c r="K376" s="69" t="n"/>
      <c r="L376" s="67" t="n"/>
      <c r="M376" s="67" t="n"/>
      <c r="N376" s="67" t="n"/>
      <c r="O376" s="67" t="n"/>
      <c r="P376" s="67" t="n"/>
      <c r="Q376" s="70" t="n"/>
      <c r="R376" s="70" t="n"/>
      <c r="S376" s="71" t="n"/>
      <c r="T376" s="80">
        <f>SUM(C376:S376)</f>
        <v/>
      </c>
      <c r="U376" s="73">
        <f>T376/T$7</f>
        <v/>
      </c>
      <c r="V376" s="81" t="n">
        <v>5</v>
      </c>
      <c r="W376" s="76">
        <f>T376*V376</f>
        <v/>
      </c>
      <c r="X376" s="169" t="n"/>
      <c r="Y376" s="28" t="n"/>
      <c r="Z376" s="28" t="n"/>
    </row>
    <row r="377" ht="14" customHeight="1">
      <c r="A377" s="78" t="inlineStr">
        <is>
          <t>Morgan Stanley US Growth Fund A</t>
        </is>
      </c>
      <c r="B377" s="75" t="inlineStr">
        <is>
          <t>LU0073232471</t>
        </is>
      </c>
      <c r="C377" s="67" t="n"/>
      <c r="D377" s="67" t="n"/>
      <c r="E377" s="67" t="n"/>
      <c r="F377" s="67" t="n"/>
      <c r="G377" s="67" t="n"/>
      <c r="H377" s="67" t="n"/>
      <c r="I377" s="67" t="n"/>
      <c r="J377" s="67" t="n"/>
      <c r="K377" s="69" t="n"/>
      <c r="L377" s="67" t="n"/>
      <c r="M377" s="67" t="n"/>
      <c r="N377" s="67" t="n"/>
      <c r="O377" s="67" t="n"/>
      <c r="P377" s="67" t="n"/>
      <c r="Q377" s="70" t="n"/>
      <c r="R377" s="70" t="n"/>
      <c r="S377" s="71" t="n"/>
      <c r="T377" s="80">
        <f>SUM(C377:S377)</f>
        <v/>
      </c>
      <c r="U377" s="73">
        <f>T377/T$7</f>
        <v/>
      </c>
      <c r="V377" s="81" t="n">
        <v>6</v>
      </c>
      <c r="W377" s="76">
        <f>T377*V377</f>
        <v/>
      </c>
      <c r="X377" s="169" t="n"/>
      <c r="Y377" s="28" t="n"/>
      <c r="Z377" s="28" t="n"/>
    </row>
    <row r="378" ht="14" customHeight="1">
      <c r="A378" s="78" t="inlineStr">
        <is>
          <t>AXA IM Nasdaq 100 UCITS ETF (H) EUR Acc (couvert)</t>
        </is>
      </c>
      <c r="B378" s="75" t="inlineStr">
        <is>
          <t>IE000STJ19F2</t>
        </is>
      </c>
      <c r="C378" s="67" t="n"/>
      <c r="D378" s="67" t="n"/>
      <c r="E378" s="67" t="n"/>
      <c r="F378" s="67" t="n"/>
      <c r="G378" s="67" t="n"/>
      <c r="H378" s="67" t="n"/>
      <c r="I378" s="67" t="n"/>
      <c r="J378" s="67" t="n"/>
      <c r="K378" s="69" t="n"/>
      <c r="L378" s="67" t="n"/>
      <c r="M378" s="67" t="n"/>
      <c r="N378" s="67" t="n"/>
      <c r="O378" s="67" t="n"/>
      <c r="P378" s="67" t="n"/>
      <c r="Q378" s="70" t="n"/>
      <c r="R378" s="70" t="n"/>
      <c r="S378" s="71" t="n"/>
      <c r="T378" s="80">
        <f>SUM(C378:S378)</f>
        <v/>
      </c>
      <c r="U378" s="73">
        <f>T378/T$7</f>
        <v/>
      </c>
      <c r="V378" s="81" t="n">
        <v>5</v>
      </c>
      <c r="W378" s="76">
        <f>T378*V378</f>
        <v/>
      </c>
      <c r="X378" s="169" t="n"/>
      <c r="Y378" s="28" t="n"/>
      <c r="Z378" s="28" t="n"/>
    </row>
    <row r="379" ht="14" customHeight="1">
      <c r="A379" s="78" t="n"/>
      <c r="B379" s="75" t="n"/>
      <c r="C379" s="67" t="n"/>
      <c r="D379" s="67" t="n"/>
      <c r="E379" s="67" t="n"/>
      <c r="F379" s="67" t="n"/>
      <c r="G379" s="67" t="n"/>
      <c r="H379" s="67" t="n"/>
      <c r="I379" s="67" t="n"/>
      <c r="J379" s="67" t="n"/>
      <c r="K379" s="69" t="n"/>
      <c r="L379" s="67" t="n"/>
      <c r="M379" s="67" t="n"/>
      <c r="N379" s="67" t="n"/>
      <c r="O379" s="67" t="n"/>
      <c r="P379" s="67" t="n"/>
      <c r="Q379" s="70" t="n"/>
      <c r="R379" s="70" t="n"/>
      <c r="S379" s="71" t="n"/>
      <c r="T379" s="80">
        <f>SUM(C379:S379)</f>
        <v/>
      </c>
      <c r="U379" s="73">
        <f>T379/T$7</f>
        <v/>
      </c>
      <c r="V379" s="81" t="n"/>
      <c r="W379" s="76">
        <f>T379*V379</f>
        <v/>
      </c>
      <c r="X379" s="169" t="n"/>
      <c r="Y379" s="28" t="n"/>
      <c r="Z379" s="28" t="n"/>
    </row>
    <row r="380" ht="14" customHeight="1">
      <c r="A380" s="78" t="n"/>
      <c r="B380" s="75" t="n"/>
      <c r="C380" s="67" t="n"/>
      <c r="D380" s="67" t="n"/>
      <c r="E380" s="67" t="n"/>
      <c r="F380" s="67" t="n"/>
      <c r="G380" s="67" t="n"/>
      <c r="H380" s="67" t="n"/>
      <c r="I380" s="67" t="n"/>
      <c r="J380" s="67" t="n"/>
      <c r="K380" s="69" t="n"/>
      <c r="L380" s="67" t="n"/>
      <c r="M380" s="67" t="n"/>
      <c r="N380" s="67" t="n"/>
      <c r="O380" s="67" t="n"/>
      <c r="P380" s="67" t="n"/>
      <c r="Q380" s="70" t="n"/>
      <c r="R380" s="70" t="n"/>
      <c r="S380" s="71" t="n"/>
      <c r="T380" s="80">
        <f>SUM(C380:S380)</f>
        <v/>
      </c>
      <c r="U380" s="73">
        <f>T380/T$7</f>
        <v/>
      </c>
      <c r="V380" s="81" t="n"/>
      <c r="W380" s="76">
        <f>T380*V380</f>
        <v/>
      </c>
      <c r="X380" s="169" t="n"/>
      <c r="Y380" s="28" t="n"/>
      <c r="Z380" s="28" t="n"/>
    </row>
    <row r="381" ht="14" customHeight="1">
      <c r="A381" s="78" t="n"/>
      <c r="B381" s="75" t="n"/>
      <c r="C381" s="67" t="n"/>
      <c r="D381" s="67" t="n"/>
      <c r="E381" s="67" t="n"/>
      <c r="F381" s="67" t="n"/>
      <c r="G381" s="67" t="n"/>
      <c r="H381" s="67" t="n"/>
      <c r="I381" s="67" t="n"/>
      <c r="J381" s="67" t="n"/>
      <c r="K381" s="69" t="n"/>
      <c r="L381" s="67" t="n"/>
      <c r="M381" s="67" t="n"/>
      <c r="N381" s="67" t="n"/>
      <c r="O381" s="67" t="n"/>
      <c r="P381" s="67" t="n"/>
      <c r="Q381" s="70" t="n"/>
      <c r="R381" s="70" t="n"/>
      <c r="S381" s="71" t="n"/>
      <c r="T381" s="80">
        <f>SUM(C381:S381)</f>
        <v/>
      </c>
      <c r="U381" s="73">
        <f>T381/T$7</f>
        <v/>
      </c>
      <c r="V381" s="81" t="n"/>
      <c r="W381" s="76">
        <f>T381*V381</f>
        <v/>
      </c>
      <c r="X381" s="169" t="n"/>
      <c r="Y381" s="28" t="n"/>
      <c r="Z381" s="28" t="n"/>
    </row>
    <row r="382" ht="14" customHeight="1">
      <c r="A382" s="78" t="n"/>
      <c r="B382" s="75" t="n"/>
      <c r="C382" s="67" t="n"/>
      <c r="D382" s="67" t="n"/>
      <c r="E382" s="67" t="n"/>
      <c r="F382" s="67" t="n"/>
      <c r="G382" s="67" t="n"/>
      <c r="H382" s="67" t="n"/>
      <c r="I382" s="67" t="n"/>
      <c r="J382" s="67" t="n"/>
      <c r="K382" s="69" t="n"/>
      <c r="L382" s="67" t="n"/>
      <c r="M382" s="67" t="n"/>
      <c r="N382" s="67" t="n"/>
      <c r="O382" s="67" t="n"/>
      <c r="P382" s="67" t="n"/>
      <c r="Q382" s="70" t="n"/>
      <c r="R382" s="70" t="n"/>
      <c r="S382" s="71" t="n"/>
      <c r="T382" s="80">
        <f>SUM(C382:S382)</f>
        <v/>
      </c>
      <c r="U382" s="73">
        <f>T382/T$7</f>
        <v/>
      </c>
      <c r="V382" s="81" t="n"/>
      <c r="W382" s="76">
        <f>T382*V382</f>
        <v/>
      </c>
      <c r="X382" s="169" t="n"/>
      <c r="Y382" s="28" t="n"/>
      <c r="Z382" s="28" t="n"/>
    </row>
    <row r="383" ht="14" customHeight="1">
      <c r="A383" s="78" t="n"/>
      <c r="B383" s="75" t="n"/>
      <c r="C383" s="67" t="n"/>
      <c r="D383" s="67" t="n"/>
      <c r="E383" s="67" t="n"/>
      <c r="F383" s="67" t="n"/>
      <c r="G383" s="67" t="n"/>
      <c r="H383" s="67" t="n"/>
      <c r="I383" s="67" t="n"/>
      <c r="J383" s="67" t="n"/>
      <c r="K383" s="69" t="n"/>
      <c r="L383" s="67" t="n"/>
      <c r="M383" s="67" t="n"/>
      <c r="N383" s="67" t="n"/>
      <c r="O383" s="67" t="n"/>
      <c r="P383" s="67" t="n"/>
      <c r="Q383" s="70" t="n"/>
      <c r="R383" s="70" t="n"/>
      <c r="S383" s="71" t="n"/>
      <c r="T383" s="80">
        <f>SUM(C383:S383)</f>
        <v/>
      </c>
      <c r="U383" s="73">
        <f>T383/T$7</f>
        <v/>
      </c>
      <c r="V383" s="81" t="n"/>
      <c r="W383" s="76">
        <f>T383*V383</f>
        <v/>
      </c>
      <c r="X383" s="169" t="n"/>
      <c r="Y383" s="28" t="n"/>
      <c r="Z383" s="28" t="n"/>
    </row>
    <row r="384" ht="14" customHeight="1">
      <c r="A384" s="78" t="n"/>
      <c r="B384" s="75" t="n"/>
      <c r="C384" s="67" t="n"/>
      <c r="D384" s="67" t="n"/>
      <c r="E384" s="67" t="n"/>
      <c r="F384" s="67" t="n"/>
      <c r="G384" s="67" t="n"/>
      <c r="H384" s="67" t="n"/>
      <c r="I384" s="67" t="n"/>
      <c r="J384" s="67" t="n"/>
      <c r="K384" s="69" t="n"/>
      <c r="L384" s="67" t="n"/>
      <c r="M384" s="67" t="n"/>
      <c r="N384" s="67" t="n"/>
      <c r="O384" s="67" t="n"/>
      <c r="P384" s="67" t="n"/>
      <c r="Q384" s="70" t="n"/>
      <c r="R384" s="70" t="n"/>
      <c r="S384" s="71" t="n"/>
      <c r="T384" s="80">
        <f>SUM(C384:S384)</f>
        <v/>
      </c>
      <c r="U384" s="73">
        <f>T384/T$7</f>
        <v/>
      </c>
      <c r="V384" s="81" t="n"/>
      <c r="W384" s="76">
        <f>T384*V384</f>
        <v/>
      </c>
      <c r="X384" s="169" t="n"/>
      <c r="Y384" s="28" t="n"/>
      <c r="Z384" s="28" t="n"/>
    </row>
    <row r="385" ht="14" customHeight="1">
      <c r="A385" s="78" t="n"/>
      <c r="B385" s="75" t="n"/>
      <c r="C385" s="67" t="n"/>
      <c r="D385" s="67" t="n"/>
      <c r="E385" s="67" t="n"/>
      <c r="F385" s="67" t="n"/>
      <c r="G385" s="67" t="n"/>
      <c r="H385" s="67" t="n"/>
      <c r="I385" s="67" t="n"/>
      <c r="J385" s="67" t="n"/>
      <c r="K385" s="69" t="n"/>
      <c r="L385" s="67" t="n"/>
      <c r="M385" s="67" t="n"/>
      <c r="N385" s="67" t="n"/>
      <c r="O385" s="67" t="n"/>
      <c r="P385" s="67" t="n"/>
      <c r="Q385" s="70" t="n"/>
      <c r="R385" s="70" t="n"/>
      <c r="S385" s="71" t="n"/>
      <c r="T385" s="80">
        <f>SUM(C385:S385)</f>
        <v/>
      </c>
      <c r="U385" s="73">
        <f>T385/T$7</f>
        <v/>
      </c>
      <c r="V385" s="81" t="n"/>
      <c r="W385" s="76">
        <f>T385*V385</f>
        <v/>
      </c>
      <c r="X385" s="169" t="n"/>
      <c r="Y385" s="28" t="n"/>
      <c r="Z385" s="28" t="n"/>
    </row>
    <row r="386" ht="14" customHeight="1">
      <c r="A386" s="78" t="n"/>
      <c r="B386" s="75" t="n"/>
      <c r="C386" s="67" t="n"/>
      <c r="D386" s="67" t="n"/>
      <c r="E386" s="67" t="n"/>
      <c r="F386" s="67" t="n"/>
      <c r="G386" s="67" t="n"/>
      <c r="H386" s="67" t="n"/>
      <c r="I386" s="67" t="n"/>
      <c r="J386" s="67" t="n"/>
      <c r="K386" s="69" t="n"/>
      <c r="L386" s="67" t="n"/>
      <c r="M386" s="67" t="n"/>
      <c r="N386" s="67" t="n"/>
      <c r="O386" s="67" t="n"/>
      <c r="P386" s="67" t="n"/>
      <c r="Q386" s="70" t="n"/>
      <c r="R386" s="70" t="n"/>
      <c r="S386" s="71" t="n"/>
      <c r="T386" s="80">
        <f>SUM(C386:S386)</f>
        <v/>
      </c>
      <c r="U386" s="73">
        <f>T386/T$7</f>
        <v/>
      </c>
      <c r="V386" s="81" t="n"/>
      <c r="W386" s="76">
        <f>T386*V386</f>
        <v/>
      </c>
      <c r="X386" s="169" t="n"/>
      <c r="Y386" s="28" t="n"/>
      <c r="Z386" s="28" t="n"/>
    </row>
    <row r="387" ht="14" customHeight="1">
      <c r="A387" s="78" t="n"/>
      <c r="B387" s="75" t="n"/>
      <c r="C387" s="67" t="n"/>
      <c r="D387" s="67" t="n"/>
      <c r="E387" s="67" t="n"/>
      <c r="F387" s="67" t="n"/>
      <c r="G387" s="67" t="n"/>
      <c r="H387" s="67" t="n"/>
      <c r="I387" s="67" t="n"/>
      <c r="J387" s="67" t="n"/>
      <c r="K387" s="69" t="n"/>
      <c r="L387" s="67" t="n"/>
      <c r="M387" s="67" t="n"/>
      <c r="N387" s="67" t="n"/>
      <c r="O387" s="67" t="n"/>
      <c r="P387" s="67" t="n"/>
      <c r="Q387" s="70" t="n"/>
      <c r="R387" s="70" t="n"/>
      <c r="S387" s="71" t="n"/>
      <c r="T387" s="80">
        <f>SUM(C387:S387)</f>
        <v/>
      </c>
      <c r="U387" s="73">
        <f>T387/T$7</f>
        <v/>
      </c>
      <c r="V387" s="81" t="n"/>
      <c r="W387" s="76">
        <f>T387*V387</f>
        <v/>
      </c>
      <c r="X387" s="169" t="n"/>
      <c r="Y387" s="28" t="n"/>
      <c r="Z387" s="28" t="n"/>
    </row>
    <row r="388" ht="14" customHeight="1">
      <c r="A388" s="78" t="n"/>
      <c r="B388" s="75" t="n"/>
      <c r="C388" s="67" t="n"/>
      <c r="D388" s="67" t="n"/>
      <c r="E388" s="67" t="n"/>
      <c r="F388" s="67" t="n"/>
      <c r="G388" s="67" t="n"/>
      <c r="H388" s="67" t="n"/>
      <c r="I388" s="67" t="n"/>
      <c r="J388" s="67" t="n"/>
      <c r="K388" s="69" t="n"/>
      <c r="L388" s="67" t="n"/>
      <c r="M388" s="67" t="n"/>
      <c r="N388" s="67" t="n"/>
      <c r="O388" s="67" t="n"/>
      <c r="P388" s="67" t="n"/>
      <c r="Q388" s="70" t="n"/>
      <c r="R388" s="70" t="n"/>
      <c r="S388" s="71" t="n"/>
      <c r="T388" s="80">
        <f>SUM(C388:S388)</f>
        <v/>
      </c>
      <c r="U388" s="73">
        <f>T388/T$7</f>
        <v/>
      </c>
      <c r="V388" s="81" t="n"/>
      <c r="W388" s="76">
        <f>T388*V388</f>
        <v/>
      </c>
      <c r="X388" s="169" t="n"/>
      <c r="Y388" s="28" t="n"/>
      <c r="Z388" s="28" t="n"/>
    </row>
    <row r="389" ht="14" customHeight="1">
      <c r="A389" s="154" t="inlineStr">
        <is>
          <t>dont actions internationales</t>
        </is>
      </c>
      <c r="B389" s="155" t="n"/>
      <c r="C389" s="156">
        <f>SUM(C390:C423)</f>
        <v/>
      </c>
      <c r="D389" s="156">
        <f>SUM(D390:D423)</f>
        <v/>
      </c>
      <c r="E389" s="156">
        <f>SUM(E390:E423)</f>
        <v/>
      </c>
      <c r="F389" s="156">
        <f>SUM(F390:F423)</f>
        <v/>
      </c>
      <c r="G389" s="156">
        <f>SUM(G390:G423)</f>
        <v/>
      </c>
      <c r="H389" s="156">
        <f>SUM(H390:H423)</f>
        <v/>
      </c>
      <c r="I389" s="156">
        <f>SUM(I390:I423)</f>
        <v/>
      </c>
      <c r="J389" s="156">
        <f>SUM(J390:J423)</f>
        <v/>
      </c>
      <c r="K389" s="156">
        <f>SUM(K390:K423)</f>
        <v/>
      </c>
      <c r="L389" s="156">
        <f>SUM(L390:L423)</f>
        <v/>
      </c>
      <c r="M389" s="156">
        <f>SUM(M390:M423)</f>
        <v/>
      </c>
      <c r="N389" s="156">
        <f>SUM(N390:N423)</f>
        <v/>
      </c>
      <c r="O389" s="156">
        <f>SUM(O390:O423)</f>
        <v/>
      </c>
      <c r="P389" s="156">
        <f>SUM(P390:P423)</f>
        <v/>
      </c>
      <c r="Q389" s="156">
        <f>SUM(Q390:Q423)</f>
        <v/>
      </c>
      <c r="R389" s="156">
        <f>SUM(R390:R423)</f>
        <v/>
      </c>
      <c r="S389" s="156">
        <f>SUM(S390:S423)</f>
        <v/>
      </c>
      <c r="T389" s="157">
        <f>SUM(C389:S389)</f>
        <v/>
      </c>
      <c r="U389" s="158">
        <f>T389/T311</f>
        <v/>
      </c>
      <c r="V389" s="159" t="n"/>
      <c r="W389" s="214" t="n"/>
      <c r="X389" s="215" t="n"/>
      <c r="Y389" s="28" t="n"/>
      <c r="Z389" s="28" t="n"/>
    </row>
    <row r="390" ht="14" customHeight="1">
      <c r="A390" s="78" t="inlineStr">
        <is>
          <t>JPMorgan Global REI Equity</t>
        </is>
      </c>
      <c r="B390" s="75" t="inlineStr">
        <is>
          <t>IE00BF4G6Y48</t>
        </is>
      </c>
      <c r="C390" s="67" t="n"/>
      <c r="D390" s="67" t="n"/>
      <c r="E390" s="67" t="n"/>
      <c r="F390" s="67" t="n"/>
      <c r="G390" s="67" t="n"/>
      <c r="H390" s="67" t="n"/>
      <c r="I390" s="67" t="n"/>
      <c r="J390" s="67" t="n"/>
      <c r="K390" s="69" t="n"/>
      <c r="L390" s="67" t="n"/>
      <c r="M390" s="67" t="n"/>
      <c r="N390" s="67" t="n"/>
      <c r="O390" s="67" t="n"/>
      <c r="P390" s="67" t="n"/>
      <c r="Q390" s="70" t="n"/>
      <c r="R390" s="70" t="n"/>
      <c r="S390" s="71" t="n"/>
      <c r="T390" s="80">
        <f>SUM(C390:S390)</f>
        <v/>
      </c>
      <c r="U390" s="73">
        <f>T390/T$7</f>
        <v/>
      </c>
      <c r="V390" s="81" t="n">
        <v>4</v>
      </c>
      <c r="W390" s="76">
        <f>T390*V390</f>
        <v/>
      </c>
      <c r="X390" s="169" t="n"/>
      <c r="Y390" s="28" t="n"/>
      <c r="Z390" s="28" t="n"/>
    </row>
    <row r="391" ht="14" customHeight="1">
      <c r="A391" s="78" t="inlineStr">
        <is>
          <t>Comgest Monde Z</t>
        </is>
      </c>
      <c r="B391" s="75" t="inlineStr">
        <is>
          <t>FR0013290939</t>
        </is>
      </c>
      <c r="C391" s="67" t="n"/>
      <c r="D391" s="67" t="n"/>
      <c r="E391" s="67" t="n"/>
      <c r="F391" s="67" t="n"/>
      <c r="G391" s="67" t="n"/>
      <c r="H391" s="67" t="n"/>
      <c r="I391" s="67" t="n"/>
      <c r="J391" s="67" t="n"/>
      <c r="K391" s="69" t="n"/>
      <c r="L391" s="67" t="n"/>
      <c r="M391" s="67" t="n"/>
      <c r="N391" s="67" t="n"/>
      <c r="O391" s="67" t="n"/>
      <c r="P391" s="67" t="n"/>
      <c r="Q391" s="70" t="n"/>
      <c r="R391" s="70" t="n"/>
      <c r="S391" s="71" t="n"/>
      <c r="T391" s="80">
        <f>SUM(C391:S391)</f>
        <v/>
      </c>
      <c r="U391" s="73">
        <f>T391/T$7</f>
        <v/>
      </c>
      <c r="V391" s="81" t="n">
        <v>4</v>
      </c>
      <c r="W391" s="76">
        <f>T391*V391</f>
        <v/>
      </c>
      <c r="X391" s="169" t="n"/>
      <c r="Y391" s="28" t="n"/>
      <c r="Z391" s="28" t="n"/>
    </row>
    <row r="392" ht="14" customHeight="1">
      <c r="A392" s="78" t="inlineStr">
        <is>
          <t>Carmignac Investissement A EUR Acc</t>
        </is>
      </c>
      <c r="B392" s="75" t="inlineStr">
        <is>
          <t>FR0010148981</t>
        </is>
      </c>
      <c r="C392" s="67" t="n"/>
      <c r="D392" s="67" t="n"/>
      <c r="E392" s="67" t="n"/>
      <c r="F392" s="67" t="n"/>
      <c r="G392" s="67" t="n"/>
      <c r="H392" s="67" t="n"/>
      <c r="I392" s="67" t="n"/>
      <c r="J392" s="67" t="n"/>
      <c r="K392" s="69" t="n"/>
      <c r="L392" s="67" t="n"/>
      <c r="M392" s="67" t="n"/>
      <c r="N392" s="67" t="n"/>
      <c r="O392" s="67" t="n"/>
      <c r="P392" s="67" t="n"/>
      <c r="Q392" s="70" t="n"/>
      <c r="R392" s="70" t="n"/>
      <c r="S392" s="71" t="n"/>
      <c r="T392" s="80">
        <f>SUM(C392:S392)</f>
        <v/>
      </c>
      <c r="U392" s="73">
        <f>T392/T$7</f>
        <v/>
      </c>
      <c r="V392" s="81" t="n">
        <v>4</v>
      </c>
      <c r="W392" s="76">
        <f>T392*V392</f>
        <v/>
      </c>
      <c r="X392" s="169" t="n"/>
      <c r="Y392" s="28" t="n"/>
      <c r="Z392" s="28" t="n"/>
    </row>
    <row r="393" ht="14" customHeight="1">
      <c r="A393" s="78" t="inlineStr">
        <is>
          <t xml:space="preserve"> Amundi MSCI World Swap ETF EUR</t>
        </is>
      </c>
      <c r="B393" s="75" t="inlineStr">
        <is>
          <t>LU1681043599</t>
        </is>
      </c>
      <c r="C393" s="67" t="n"/>
      <c r="D393" s="67" t="n"/>
      <c r="E393" s="67" t="n"/>
      <c r="F393" s="67" t="n"/>
      <c r="G393" s="67" t="n"/>
      <c r="H393" s="67" t="n"/>
      <c r="I393" s="67" t="n"/>
      <c r="J393" s="67" t="n"/>
      <c r="K393" s="69" t="n"/>
      <c r="L393" s="67" t="n"/>
      <c r="M393" s="67" t="n"/>
      <c r="N393" s="67" t="n"/>
      <c r="O393" s="67" t="n"/>
      <c r="P393" s="67" t="n"/>
      <c r="Q393" s="70" t="n"/>
      <c r="R393" s="70" t="n"/>
      <c r="S393" s="71" t="n"/>
      <c r="T393" s="80">
        <f>SUM(C393:S393)</f>
        <v/>
      </c>
      <c r="U393" s="73">
        <f>T393/T$7</f>
        <v/>
      </c>
      <c r="V393" s="81" t="n">
        <v>4</v>
      </c>
      <c r="W393" s="76">
        <f>T393*V393</f>
        <v/>
      </c>
      <c r="X393" s="169" t="n"/>
      <c r="Y393" s="28" t="n"/>
      <c r="Z393" s="28" t="n"/>
    </row>
    <row r="394" ht="14" customHeight="1">
      <c r="A394" s="78" t="inlineStr">
        <is>
          <t>iShares MSCI World SRI UCITS ETF</t>
        </is>
      </c>
      <c r="B394" s="75" t="inlineStr">
        <is>
          <t>IE00BYX2JD69</t>
        </is>
      </c>
      <c r="C394" s="67" t="n"/>
      <c r="D394" s="67" t="n"/>
      <c r="E394" s="67" t="n"/>
      <c r="F394" s="67" t="n"/>
      <c r="G394" s="67" t="n"/>
      <c r="H394" s="67" t="n"/>
      <c r="I394" s="67" t="n"/>
      <c r="J394" s="67" t="n"/>
      <c r="K394" s="69" t="n"/>
      <c r="L394" s="67" t="n"/>
      <c r="M394" s="67" t="n"/>
      <c r="N394" s="67" t="n"/>
      <c r="O394" s="67" t="n"/>
      <c r="P394" s="67" t="n"/>
      <c r="Q394" s="70" t="n"/>
      <c r="R394" s="70" t="n"/>
      <c r="S394" s="71" t="n"/>
      <c r="T394" s="80">
        <f>SUM(C394:S394)</f>
        <v/>
      </c>
      <c r="U394" s="73">
        <f>T394/T$7</f>
        <v/>
      </c>
      <c r="V394" s="81" t="n">
        <v>4</v>
      </c>
      <c r="W394" s="76">
        <f>T394*V394</f>
        <v/>
      </c>
      <c r="X394" s="169" t="n"/>
      <c r="Y394" s="28" t="n"/>
      <c r="Z394" s="28" t="n"/>
    </row>
    <row r="395" ht="14" customHeight="1">
      <c r="A395" s="78" t="inlineStr">
        <is>
          <t>Amundi MSCI CLI Paris ETF</t>
        </is>
      </c>
      <c r="B395" s="75" t="inlineStr">
        <is>
          <t>IE000Y77LGG9</t>
        </is>
      </c>
      <c r="C395" s="67" t="n"/>
      <c r="D395" s="67" t="n"/>
      <c r="E395" s="67" t="n"/>
      <c r="F395" s="67" t="n"/>
      <c r="G395" s="67" t="n"/>
      <c r="H395" s="67" t="n"/>
      <c r="I395" s="67" t="n"/>
      <c r="J395" s="67" t="n"/>
      <c r="K395" s="69" t="n"/>
      <c r="L395" s="67" t="n"/>
      <c r="M395" s="67" t="n"/>
      <c r="N395" s="67" t="n"/>
      <c r="O395" s="67" t="n"/>
      <c r="P395" s="67" t="n"/>
      <c r="Q395" s="70" t="n"/>
      <c r="R395" s="70" t="n"/>
      <c r="S395" s="71" t="n"/>
      <c r="T395" s="80">
        <f>SUM(C395:S395)</f>
        <v/>
      </c>
      <c r="U395" s="73">
        <f>T395/T$7</f>
        <v/>
      </c>
      <c r="V395" s="81" t="n">
        <v>4</v>
      </c>
      <c r="W395" s="76">
        <f>T395*V395</f>
        <v/>
      </c>
      <c r="X395" s="169" t="n"/>
      <c r="Y395" s="28" t="n"/>
      <c r="Z395" s="28" t="n"/>
    </row>
    <row r="396" ht="14" customHeight="1">
      <c r="A396" s="78" t="inlineStr">
        <is>
          <t>Amundi MSCI World II UCITS ETF Dist</t>
        </is>
      </c>
      <c r="B396" s="75" t="inlineStr">
        <is>
          <t>FR0010315770</t>
        </is>
      </c>
      <c r="C396" s="67" t="n"/>
      <c r="D396" s="67" t="n"/>
      <c r="E396" s="67" t="n"/>
      <c r="F396" s="67" t="n"/>
      <c r="G396" s="67" t="n"/>
      <c r="H396" s="67" t="n"/>
      <c r="I396" s="67" t="n"/>
      <c r="J396" s="67" t="n"/>
      <c r="K396" s="69" t="n"/>
      <c r="L396" s="67" t="n"/>
      <c r="M396" s="67" t="n"/>
      <c r="N396" s="67" t="n"/>
      <c r="O396" s="67" t="n"/>
      <c r="P396" s="67" t="n"/>
      <c r="Q396" s="70" t="n"/>
      <c r="R396" s="70" t="n"/>
      <c r="S396" s="71" t="n"/>
      <c r="T396" s="80">
        <f>SUM(C396:S396)</f>
        <v/>
      </c>
      <c r="U396" s="73">
        <f>T396/T$7</f>
        <v/>
      </c>
      <c r="V396" s="81" t="n">
        <v>4</v>
      </c>
      <c r="W396" s="76">
        <f>T396*V396</f>
        <v/>
      </c>
      <c r="X396" s="169" t="n"/>
      <c r="Y396" s="28" t="n"/>
      <c r="Z396" s="28" t="n"/>
    </row>
    <row r="397" ht="14" customHeight="1">
      <c r="A397" s="78" t="inlineStr">
        <is>
          <t>Amundi MSCI World Climate NZ</t>
        </is>
      </c>
      <c r="B397" s="75" t="inlineStr">
        <is>
          <t>IE000CL68Z69</t>
        </is>
      </c>
      <c r="C397" s="67" t="n"/>
      <c r="D397" s="67" t="n"/>
      <c r="E397" s="67" t="n"/>
      <c r="F397" s="67" t="n"/>
      <c r="G397" s="67" t="n"/>
      <c r="H397" s="67" t="n"/>
      <c r="I397" s="67" t="n"/>
      <c r="J397" s="67" t="n"/>
      <c r="K397" s="69" t="n"/>
      <c r="L397" s="67" t="n"/>
      <c r="M397" s="67" t="n"/>
      <c r="N397" s="67" t="n"/>
      <c r="O397" s="67" t="n"/>
      <c r="P397" s="67" t="n"/>
      <c r="Q397" s="70" t="n"/>
      <c r="R397" s="70" t="n"/>
      <c r="S397" s="71" t="n"/>
      <c r="T397" s="80">
        <f>SUM(C397:S397)</f>
        <v/>
      </c>
      <c r="U397" s="73">
        <f>T397/T$7</f>
        <v/>
      </c>
      <c r="V397" s="81" t="n">
        <v>4</v>
      </c>
      <c r="W397" s="76">
        <f>T397*V397</f>
        <v/>
      </c>
      <c r="X397" s="169" t="n"/>
      <c r="Y397" s="28" t="n"/>
      <c r="Z397" s="28" t="n"/>
    </row>
    <row r="398" ht="14" customHeight="1">
      <c r="A398" s="78" t="inlineStr">
        <is>
          <t xml:space="preserve">Comgest Monde C </t>
        </is>
      </c>
      <c r="B398" s="75" t="inlineStr">
        <is>
          <t>FR0000284689</t>
        </is>
      </c>
      <c r="C398" s="67" t="n"/>
      <c r="D398" s="67" t="n"/>
      <c r="E398" s="67" t="n"/>
      <c r="F398" s="67" t="n"/>
      <c r="G398" s="67" t="n"/>
      <c r="H398" s="67" t="n"/>
      <c r="I398" s="67" t="n"/>
      <c r="J398" s="67" t="n"/>
      <c r="K398" s="69" t="n"/>
      <c r="L398" s="67" t="n"/>
      <c r="M398" s="67" t="n"/>
      <c r="N398" s="67" t="n"/>
      <c r="O398" s="67" t="n"/>
      <c r="P398" s="67" t="n"/>
      <c r="Q398" s="70" t="n"/>
      <c r="R398" s="70" t="n"/>
      <c r="S398" s="71" t="n"/>
      <c r="T398" s="80">
        <f>SUM(C398:S398)</f>
        <v/>
      </c>
      <c r="U398" s="73">
        <f>T398/T$7</f>
        <v/>
      </c>
      <c r="V398" s="81" t="n">
        <v>4</v>
      </c>
      <c r="W398" s="76">
        <f>T398*V398</f>
        <v/>
      </c>
      <c r="X398" s="169" t="n"/>
      <c r="Y398" s="28" t="n"/>
      <c r="Z398" s="28" t="n"/>
    </row>
    <row r="399" ht="14" customHeight="1">
      <c r="A399" s="78" t="inlineStr">
        <is>
          <t>ETF iShares MSCI World ESG Screened</t>
        </is>
      </c>
      <c r="B399" s="75" t="inlineStr">
        <is>
          <t>IE00BFNM3J75</t>
        </is>
      </c>
      <c r="C399" s="67" t="n"/>
      <c r="D399" s="67" t="n"/>
      <c r="E399" s="67" t="n"/>
      <c r="F399" s="67" t="n"/>
      <c r="G399" s="67" t="n"/>
      <c r="H399" s="67" t="n"/>
      <c r="I399" s="67" t="n"/>
      <c r="J399" s="67" t="n"/>
      <c r="K399" s="69" t="n"/>
      <c r="L399" s="67" t="n"/>
      <c r="M399" s="67" t="n"/>
      <c r="N399" s="67" t="n"/>
      <c r="O399" s="67" t="n"/>
      <c r="P399" s="67" t="n"/>
      <c r="Q399" s="70" t="n"/>
      <c r="R399" s="70" t="n"/>
      <c r="S399" s="71" t="n"/>
      <c r="T399" s="80">
        <f>SUM(C399:S399)</f>
        <v/>
      </c>
      <c r="U399" s="73">
        <f>T399/T$7</f>
        <v/>
      </c>
      <c r="V399" s="81" t="n">
        <v>4</v>
      </c>
      <c r="W399" s="76">
        <f>T399*V399</f>
        <v/>
      </c>
      <c r="X399" s="169" t="n"/>
      <c r="Y399" s="28" t="n"/>
      <c r="Z399" s="28" t="n"/>
    </row>
    <row r="400" ht="14" customHeight="1">
      <c r="A400" s="78" t="inlineStr">
        <is>
          <t>Amundi Index MSCI World SRI PAB UCITS ETF</t>
        </is>
      </c>
      <c r="B400" s="75" t="inlineStr">
        <is>
          <t>LU1861134382</t>
        </is>
      </c>
      <c r="C400" s="67" t="n"/>
      <c r="D400" s="67" t="n"/>
      <c r="E400" s="67" t="n"/>
      <c r="F400" s="67" t="n"/>
      <c r="G400" s="67" t="n"/>
      <c r="H400" s="67" t="n"/>
      <c r="I400" s="67" t="n"/>
      <c r="J400" s="67" t="n"/>
      <c r="K400" s="69" t="n"/>
      <c r="L400" s="67" t="n"/>
      <c r="M400" s="67" t="n"/>
      <c r="N400" s="67" t="n"/>
      <c r="O400" s="67" t="n"/>
      <c r="P400" s="67" t="n"/>
      <c r="Q400" s="70" t="n"/>
      <c r="R400" s="70" t="n"/>
      <c r="S400" s="71" t="n"/>
      <c r="T400" s="80">
        <f>SUM(C400:S400)</f>
        <v/>
      </c>
      <c r="U400" s="73">
        <f>T400/T$7</f>
        <v/>
      </c>
      <c r="V400" s="81" t="n">
        <v>4</v>
      </c>
      <c r="W400" s="76">
        <f>T400*V400</f>
        <v/>
      </c>
      <c r="X400" s="169" t="n"/>
      <c r="Y400" s="28" t="n"/>
      <c r="Z400" s="28" t="n"/>
    </row>
    <row r="401" ht="14" customHeight="1">
      <c r="A401" s="78" t="inlineStr">
        <is>
          <t xml:space="preserve">Amundi Index MSCI World SRI PAB </t>
        </is>
      </c>
      <c r="B401" s="75" t="inlineStr">
        <is>
          <t>IE000K1P4V37</t>
        </is>
      </c>
      <c r="C401" s="67" t="n"/>
      <c r="D401" s="67" t="n"/>
      <c r="E401" s="67" t="n"/>
      <c r="F401" s="67" t="n"/>
      <c r="G401" s="67" t="n"/>
      <c r="H401" s="67" t="n"/>
      <c r="I401" s="67" t="n"/>
      <c r="J401" s="67" t="n"/>
      <c r="K401" s="69" t="n"/>
      <c r="L401" s="67" t="n"/>
      <c r="M401" s="67" t="n"/>
      <c r="N401" s="67" t="n"/>
      <c r="O401" s="67" t="n"/>
      <c r="P401" s="67" t="n"/>
      <c r="Q401" s="70" t="n"/>
      <c r="R401" s="70" t="n"/>
      <c r="S401" s="71" t="n"/>
      <c r="T401" s="80">
        <f>SUM(C401:S401)</f>
        <v/>
      </c>
      <c r="U401" s="73">
        <f>T401/T$7</f>
        <v/>
      </c>
      <c r="V401" s="81" t="n">
        <v>4</v>
      </c>
      <c r="W401" s="76">
        <f>T401*V401</f>
        <v/>
      </c>
      <c r="X401" s="169" t="n"/>
      <c r="Y401" s="28" t="n"/>
      <c r="Z401" s="28" t="n"/>
    </row>
    <row r="402" ht="14" customHeight="1">
      <c r="A402" s="78" t="inlineStr">
        <is>
          <t>Pictet Gbl Env Opp I EUR Acc</t>
        </is>
      </c>
      <c r="B402" s="75" t="inlineStr">
        <is>
          <t>LU0503631631</t>
        </is>
      </c>
      <c r="C402" s="67" t="n"/>
      <c r="D402" s="67" t="n"/>
      <c r="E402" s="67" t="n"/>
      <c r="F402" s="67" t="n"/>
      <c r="G402" s="67" t="n"/>
      <c r="H402" s="67" t="n"/>
      <c r="I402" s="67" t="n"/>
      <c r="J402" s="67" t="n"/>
      <c r="K402" s="69" t="n"/>
      <c r="L402" s="67" t="n"/>
      <c r="M402" s="67" t="n"/>
      <c r="N402" s="67" t="n"/>
      <c r="O402" s="67" t="n"/>
      <c r="P402" s="67" t="n"/>
      <c r="Q402" s="70" t="n"/>
      <c r="R402" s="70" t="n"/>
      <c r="S402" s="71" t="n"/>
      <c r="T402" s="80">
        <f>SUM(C402:S402)</f>
        <v/>
      </c>
      <c r="U402" s="73">
        <f>T402/T$7</f>
        <v/>
      </c>
      <c r="V402" s="81" t="n">
        <v>4</v>
      </c>
      <c r="W402" s="76">
        <f>T402*V402</f>
        <v/>
      </c>
      <c r="X402" s="169" t="n"/>
      <c r="Y402" s="28" t="n"/>
      <c r="Z402" s="28" t="n"/>
    </row>
    <row r="403" ht="14" customHeight="1">
      <c r="A403" s="78" t="inlineStr">
        <is>
          <t xml:space="preserve">Pictet-Global Megatrend Selection I EUR	</t>
        </is>
      </c>
      <c r="B403" s="75" t="inlineStr">
        <is>
          <t>LU0386875149</t>
        </is>
      </c>
      <c r="C403" s="67" t="n"/>
      <c r="D403" s="67" t="n"/>
      <c r="E403" s="67" t="n"/>
      <c r="F403" s="67" t="n"/>
      <c r="G403" s="67" t="n"/>
      <c r="H403" s="67" t="n"/>
      <c r="I403" s="67" t="n"/>
      <c r="J403" s="67" t="n"/>
      <c r="K403" s="69" t="n"/>
      <c r="L403" s="67" t="n"/>
      <c r="M403" s="67" t="n"/>
      <c r="N403" s="67" t="n"/>
      <c r="O403" s="67" t="n"/>
      <c r="P403" s="67" t="n"/>
      <c r="Q403" s="70" t="n"/>
      <c r="R403" s="70" t="n"/>
      <c r="S403" s="71" t="n"/>
      <c r="T403" s="80">
        <f>SUM(C403:S403)</f>
        <v/>
      </c>
      <c r="U403" s="73">
        <f>T403/T$7</f>
        <v/>
      </c>
      <c r="V403" s="81" t="n">
        <v>4</v>
      </c>
      <c r="W403" s="76">
        <f>T403*V403</f>
        <v/>
      </c>
      <c r="X403" s="169" t="n"/>
      <c r="Y403" s="28" t="n"/>
      <c r="Z403" s="28" t="n"/>
    </row>
    <row r="404" ht="14" customHeight="1">
      <c r="A404" s="78" t="inlineStr">
        <is>
          <t>Pictet Global Megatrend Selection P</t>
        </is>
      </c>
      <c r="B404" s="75" t="inlineStr">
        <is>
          <t>LU0386882277</t>
        </is>
      </c>
      <c r="C404" s="67" t="n"/>
      <c r="D404" s="67" t="n"/>
      <c r="E404" s="67" t="n"/>
      <c r="F404" s="67" t="n"/>
      <c r="G404" s="67" t="n"/>
      <c r="H404" s="67" t="n"/>
      <c r="I404" s="67" t="n"/>
      <c r="J404" s="67" t="n"/>
      <c r="K404" s="69" t="n"/>
      <c r="L404" s="67" t="n"/>
      <c r="M404" s="67" t="n"/>
      <c r="N404" s="67" t="n"/>
      <c r="O404" s="67" t="n"/>
      <c r="P404" s="67" t="n"/>
      <c r="Q404" s="70" t="n"/>
      <c r="R404" s="70" t="n"/>
      <c r="S404" s="71" t="n"/>
      <c r="T404" s="80">
        <f>SUM(C404:S404)</f>
        <v/>
      </c>
      <c r="U404" s="73">
        <f>T404/T$7</f>
        <v/>
      </c>
      <c r="V404" s="81" t="n">
        <v>4</v>
      </c>
      <c r="W404" s="76">
        <f>T404*V404</f>
        <v/>
      </c>
      <c r="X404" s="169" t="n"/>
      <c r="Y404" s="28" t="n"/>
      <c r="Z404" s="28" t="n"/>
    </row>
    <row r="405" ht="14" customHeight="1">
      <c r="A405" s="78" t="inlineStr">
        <is>
          <t>Amundi MSCI Water ETF Acc</t>
        </is>
      </c>
      <c r="B405" s="75" t="inlineStr">
        <is>
          <t>FR0014002CH1</t>
        </is>
      </c>
      <c r="C405" s="67" t="n"/>
      <c r="D405" s="67" t="n"/>
      <c r="E405" s="67" t="n"/>
      <c r="F405" s="67" t="n"/>
      <c r="G405" s="67" t="n"/>
      <c r="H405" s="67" t="n"/>
      <c r="I405" s="67" t="n"/>
      <c r="J405" s="67" t="n"/>
      <c r="K405" s="69" t="n"/>
      <c r="L405" s="67" t="n"/>
      <c r="M405" s="67" t="n"/>
      <c r="N405" s="67" t="n"/>
      <c r="O405" s="67" t="n"/>
      <c r="P405" s="67" t="n"/>
      <c r="Q405" s="70" t="n"/>
      <c r="R405" s="70" t="n"/>
      <c r="S405" s="71" t="n"/>
      <c r="T405" s="80">
        <f>SUM(C405:S405)</f>
        <v/>
      </c>
      <c r="U405" s="73">
        <f>T405/T$7</f>
        <v/>
      </c>
      <c r="V405" s="81" t="n">
        <v>4</v>
      </c>
      <c r="W405" s="76">
        <f>T405*V405</f>
        <v/>
      </c>
      <c r="X405" s="169" t="n"/>
      <c r="Y405" s="28" t="n"/>
      <c r="Z405" s="28" t="n"/>
    </row>
    <row r="406" ht="14" customHeight="1">
      <c r="A406" s="78" t="inlineStr">
        <is>
          <t>Echiquier World Equity Growth A</t>
        </is>
      </c>
      <c r="B406" s="75" t="inlineStr">
        <is>
          <t>FR0010859769</t>
        </is>
      </c>
      <c r="C406" s="67" t="n"/>
      <c r="D406" s="67" t="n"/>
      <c r="E406" s="67" t="n"/>
      <c r="F406" s="67" t="n"/>
      <c r="G406" s="67" t="n"/>
      <c r="H406" s="67" t="n"/>
      <c r="I406" s="67" t="n"/>
      <c r="J406" s="67" t="n"/>
      <c r="K406" s="69" t="n"/>
      <c r="L406" s="67" t="n"/>
      <c r="M406" s="67" t="n"/>
      <c r="N406" s="67" t="n"/>
      <c r="O406" s="67" t="n"/>
      <c r="P406" s="67" t="n"/>
      <c r="Q406" s="70" t="n"/>
      <c r="R406" s="70" t="n"/>
      <c r="S406" s="71" t="n"/>
      <c r="T406" s="80">
        <f>SUM(C406:S406)</f>
        <v/>
      </c>
      <c r="U406" s="73">
        <f>T406/T$7</f>
        <v/>
      </c>
      <c r="V406" s="81" t="n">
        <v>4</v>
      </c>
      <c r="W406" s="76">
        <f>T406*V406</f>
        <v/>
      </c>
      <c r="X406" s="169" t="n"/>
      <c r="Y406" s="28" t="n"/>
      <c r="Z406" s="28" t="n"/>
    </row>
    <row r="407" ht="14" customHeight="1">
      <c r="A407" s="78" t="inlineStr">
        <is>
          <t>Pictet Water P EUR Acc</t>
        </is>
      </c>
      <c r="B407" s="75" t="inlineStr">
        <is>
          <t>LU0104884860</t>
        </is>
      </c>
      <c r="C407" s="67" t="n"/>
      <c r="D407" s="67" t="n"/>
      <c r="E407" s="67" t="n"/>
      <c r="F407" s="67" t="n"/>
      <c r="G407" s="67" t="n"/>
      <c r="H407" s="67" t="n"/>
      <c r="I407" s="67" t="n"/>
      <c r="J407" s="67" t="n"/>
      <c r="K407" s="69" t="n"/>
      <c r="L407" s="67" t="n"/>
      <c r="M407" s="67" t="n"/>
      <c r="N407" s="67" t="n"/>
      <c r="O407" s="67" t="n"/>
      <c r="P407" s="67" t="n"/>
      <c r="Q407" s="70" t="n"/>
      <c r="R407" s="70" t="n"/>
      <c r="S407" s="71" t="n"/>
      <c r="T407" s="80">
        <f>SUM(C407:S407)</f>
        <v/>
      </c>
      <c r="U407" s="73">
        <f>T407/T$7</f>
        <v/>
      </c>
      <c r="V407" s="81" t="n">
        <v>4</v>
      </c>
      <c r="W407" s="76">
        <f>T407*V407</f>
        <v/>
      </c>
      <c r="X407" s="169" t="n"/>
      <c r="Y407" s="28" t="n"/>
      <c r="Z407" s="28" t="n"/>
    </row>
    <row r="408" ht="14" customHeight="1">
      <c r="A408" s="78" t="inlineStr">
        <is>
          <t>Echiquier Artificial Intelligence B</t>
        </is>
      </c>
      <c r="B408" s="75" t="inlineStr">
        <is>
          <t>LU1819480192</t>
        </is>
      </c>
      <c r="C408" s="67" t="n"/>
      <c r="D408" s="67" t="n"/>
      <c r="E408" s="67" t="n"/>
      <c r="F408" s="67" t="n"/>
      <c r="G408" s="67" t="n"/>
      <c r="H408" s="67" t="n"/>
      <c r="I408" s="67" t="n"/>
      <c r="J408" s="67" t="n"/>
      <c r="K408" s="69" t="n"/>
      <c r="L408" s="67" t="n"/>
      <c r="M408" s="67" t="n"/>
      <c r="N408" s="67" t="n"/>
      <c r="O408" s="67" t="n"/>
      <c r="P408" s="67" t="n"/>
      <c r="Q408" s="70" t="n"/>
      <c r="R408" s="70" t="n"/>
      <c r="S408" s="71" t="n"/>
      <c r="T408" s="80">
        <f>SUM(C408:S408)</f>
        <v/>
      </c>
      <c r="U408" s="73">
        <f>T408/T$7</f>
        <v/>
      </c>
      <c r="V408" s="81" t="n">
        <v>6</v>
      </c>
      <c r="W408" s="76">
        <f>T408*V408</f>
        <v/>
      </c>
      <c r="X408" s="169" t="n"/>
      <c r="Y408" s="28" t="n"/>
      <c r="Z408" s="28" t="n"/>
    </row>
    <row r="409" ht="14" customHeight="1">
      <c r="A409" s="78" t="inlineStr">
        <is>
          <t xml:space="preserve">Xtrackers Artificial Intelligence &amp; Big Data ETF 1C </t>
        </is>
      </c>
      <c r="B409" s="75" t="inlineStr">
        <is>
          <t>IE00BGV5VN51</t>
        </is>
      </c>
      <c r="C409" s="67" t="n"/>
      <c r="D409" s="67" t="n"/>
      <c r="E409" s="67" t="n"/>
      <c r="F409" s="67" t="n"/>
      <c r="G409" s="67" t="n"/>
      <c r="H409" s="67" t="n"/>
      <c r="I409" s="67" t="n"/>
      <c r="J409" s="67" t="n"/>
      <c r="K409" s="69" t="n"/>
      <c r="L409" s="67" t="n"/>
      <c r="M409" s="67" t="n"/>
      <c r="N409" s="67" t="n"/>
      <c r="O409" s="67" t="n"/>
      <c r="P409" s="67" t="n"/>
      <c r="Q409" s="70" t="n"/>
      <c r="R409" s="70" t="n"/>
      <c r="S409" s="71" t="n"/>
      <c r="T409" s="80">
        <f>SUM(C409:S409)</f>
        <v/>
      </c>
      <c r="U409" s="73">
        <f>T409/T$7</f>
        <v/>
      </c>
      <c r="V409" s="81" t="n">
        <v>5</v>
      </c>
      <c r="W409" s="76">
        <f>T409*V409</f>
        <v/>
      </c>
      <c r="X409" s="169" t="n"/>
      <c r="Y409" s="28" t="n"/>
      <c r="Z409" s="28" t="n"/>
    </row>
    <row r="410" ht="14" customHeight="1">
      <c r="A410" s="78" t="inlineStr">
        <is>
          <t>iShares Automation &amp; Robotics UCITS ETF</t>
        </is>
      </c>
      <c r="B410" s="75" t="inlineStr">
        <is>
          <t>IE00BYZK4552</t>
        </is>
      </c>
      <c r="C410" s="67" t="n"/>
      <c r="D410" s="67" t="n"/>
      <c r="E410" s="67" t="n"/>
      <c r="F410" s="67" t="n"/>
      <c r="G410" s="67" t="n"/>
      <c r="H410" s="67" t="n"/>
      <c r="I410" s="67" t="n"/>
      <c r="J410" s="67" t="n"/>
      <c r="K410" s="69" t="n"/>
      <c r="L410" s="67" t="n"/>
      <c r="M410" s="67" t="n"/>
      <c r="N410" s="67" t="n"/>
      <c r="O410" s="67" t="n"/>
      <c r="P410" s="67" t="n"/>
      <c r="Q410" s="70" t="n"/>
      <c r="R410" s="70" t="n"/>
      <c r="S410" s="71" t="n"/>
      <c r="T410" s="80">
        <f>SUM(C410:S410)</f>
        <v/>
      </c>
      <c r="U410" s="73">
        <f>T410/T$7</f>
        <v/>
      </c>
      <c r="V410" s="81" t="n">
        <v>4</v>
      </c>
      <c r="W410" s="76">
        <f>T410*V410</f>
        <v/>
      </c>
      <c r="X410" s="169" t="n"/>
      <c r="Y410" s="28" t="n"/>
      <c r="Z410" s="28" t="n"/>
    </row>
    <row r="411" ht="14" customHeight="1">
      <c r="A411" s="78" t="inlineStr">
        <is>
          <t>Lyxor MSCI Digital Economy</t>
        </is>
      </c>
      <c r="B411" s="75" t="inlineStr">
        <is>
          <t>LU2023678878</t>
        </is>
      </c>
      <c r="C411" s="67" t="n"/>
      <c r="D411" s="67" t="n"/>
      <c r="E411" s="67" t="n"/>
      <c r="F411" s="67" t="n"/>
      <c r="G411" s="67" t="n"/>
      <c r="H411" s="67" t="n"/>
      <c r="I411" s="67" t="n"/>
      <c r="J411" s="67" t="n"/>
      <c r="K411" s="69" t="n"/>
      <c r="L411" s="67" t="n"/>
      <c r="M411" s="67" t="n"/>
      <c r="N411" s="67" t="n"/>
      <c r="O411" s="67" t="n"/>
      <c r="P411" s="67" t="n"/>
      <c r="Q411" s="70" t="n"/>
      <c r="R411" s="70" t="n"/>
      <c r="S411" s="71" t="n"/>
      <c r="T411" s="80">
        <f>SUM(C411:S411)</f>
        <v/>
      </c>
      <c r="U411" s="73">
        <f>T411/T$7</f>
        <v/>
      </c>
      <c r="V411" s="81" t="n">
        <v>5</v>
      </c>
      <c r="W411" s="76">
        <f>T411*V411</f>
        <v/>
      </c>
      <c r="X411" s="169" t="n"/>
      <c r="Y411" s="28" t="n"/>
      <c r="Z411" s="28" t="n"/>
    </row>
    <row r="412" ht="14" customHeight="1">
      <c r="A412" s="78" t="inlineStr">
        <is>
          <t>iShares Automation &amp; Robotics UCITS ETF</t>
        </is>
      </c>
      <c r="B412" s="75" t="inlineStr">
        <is>
          <t>IE00BYZK4552</t>
        </is>
      </c>
      <c r="C412" s="67" t="n"/>
      <c r="D412" s="67" t="n"/>
      <c r="E412" s="67" t="n"/>
      <c r="F412" s="67" t="n"/>
      <c r="G412" s="67" t="n"/>
      <c r="H412" s="67" t="n"/>
      <c r="I412" s="67" t="n"/>
      <c r="J412" s="67" t="n"/>
      <c r="K412" s="69" t="n"/>
      <c r="L412" s="67" t="n"/>
      <c r="M412" s="67" t="n"/>
      <c r="N412" s="67" t="n"/>
      <c r="O412" s="67" t="n"/>
      <c r="P412" s="67" t="n"/>
      <c r="Q412" s="70" t="n"/>
      <c r="R412" s="70" t="n"/>
      <c r="S412" s="71" t="n"/>
      <c r="T412" s="80">
        <f>SUM(C412:S412)</f>
        <v/>
      </c>
      <c r="U412" s="73">
        <f>T412/T$7</f>
        <v/>
      </c>
      <c r="V412" s="81" t="n">
        <v>5</v>
      </c>
      <c r="W412" s="76">
        <f>T412*V412</f>
        <v/>
      </c>
      <c r="X412" s="169" t="n"/>
      <c r="Y412" s="28" t="n"/>
      <c r="Z412" s="28" t="n"/>
    </row>
    <row r="413" ht="14" customHeight="1">
      <c r="A413" s="78" t="inlineStr">
        <is>
          <t>Edmond de Rothschild Fund Big Data A EUR</t>
        </is>
      </c>
      <c r="B413" s="75" t="inlineStr">
        <is>
          <t>LU1244893696</t>
        </is>
      </c>
      <c r="C413" s="67" t="n"/>
      <c r="D413" s="67" t="n"/>
      <c r="E413" s="67" t="n"/>
      <c r="F413" s="67" t="n"/>
      <c r="G413" s="67" t="n"/>
      <c r="H413" s="67" t="n"/>
      <c r="I413" s="67" t="n"/>
      <c r="J413" s="67" t="n"/>
      <c r="K413" s="69" t="n"/>
      <c r="L413" s="67" t="n"/>
      <c r="M413" s="67" t="n"/>
      <c r="N413" s="67" t="n"/>
      <c r="O413" s="67" t="n"/>
      <c r="P413" s="67" t="n"/>
      <c r="Q413" s="70" t="n"/>
      <c r="R413" s="70" t="n"/>
      <c r="S413" s="71" t="n"/>
      <c r="T413" s="80">
        <f>SUM(C413:S413)</f>
        <v/>
      </c>
      <c r="U413" s="73">
        <f>T413/T$7</f>
        <v/>
      </c>
      <c r="V413" s="81" t="n">
        <v>4</v>
      </c>
      <c r="W413" s="76">
        <f>T413*V413</f>
        <v/>
      </c>
      <c r="X413" s="169" t="n"/>
      <c r="Y413" s="28" t="n"/>
      <c r="Z413" s="28" t="n"/>
    </row>
    <row r="414" ht="14" customHeight="1">
      <c r="A414" s="78" t="inlineStr">
        <is>
          <t>BNP Paribas Aqua Classic</t>
        </is>
      </c>
      <c r="B414" s="75" t="inlineStr">
        <is>
          <t>FR0010668145</t>
        </is>
      </c>
      <c r="C414" s="67" t="n"/>
      <c r="D414" s="67" t="n"/>
      <c r="E414" s="67" t="n"/>
      <c r="F414" s="67" t="n"/>
      <c r="G414" s="67" t="n"/>
      <c r="H414" s="67" t="n"/>
      <c r="I414" s="67" t="n"/>
      <c r="J414" s="67" t="n"/>
      <c r="K414" s="69" t="n"/>
      <c r="L414" s="67" t="n"/>
      <c r="M414" s="67" t="n"/>
      <c r="N414" s="67" t="n"/>
      <c r="O414" s="67" t="n"/>
      <c r="P414" s="67" t="n"/>
      <c r="Q414" s="70" t="n"/>
      <c r="R414" s="70" t="n"/>
      <c r="S414" s="71" t="n"/>
      <c r="T414" s="80">
        <f>SUM(C414:S414)</f>
        <v/>
      </c>
      <c r="U414" s="73">
        <f>T414/T$7</f>
        <v/>
      </c>
      <c r="V414" s="81" t="n">
        <v>4</v>
      </c>
      <c r="W414" s="76">
        <f>T414*V414</f>
        <v/>
      </c>
      <c r="X414" s="169" t="n"/>
      <c r="Y414" s="28" t="n"/>
      <c r="Z414" s="28" t="n"/>
    </row>
    <row r="415" ht="14" customHeight="1">
      <c r="A415" s="78" t="inlineStr">
        <is>
          <t>Fidelity Funds Global Technology Fund A EUR Dist</t>
        </is>
      </c>
      <c r="B415" s="75" t="inlineStr">
        <is>
          <t>LU0099574567</t>
        </is>
      </c>
      <c r="C415" s="67" t="n"/>
      <c r="D415" s="67" t="n"/>
      <c r="E415" s="67" t="n"/>
      <c r="F415" s="67" t="n"/>
      <c r="G415" s="67" t="n"/>
      <c r="H415" s="67" t="n"/>
      <c r="I415" s="67" t="n"/>
      <c r="J415" s="67" t="n"/>
      <c r="K415" s="69" t="n"/>
      <c r="L415" s="67" t="n"/>
      <c r="M415" s="67" t="n"/>
      <c r="N415" s="67" t="n"/>
      <c r="O415" s="67" t="n"/>
      <c r="P415" s="67" t="n"/>
      <c r="Q415" s="70" t="n"/>
      <c r="R415" s="70" t="n"/>
      <c r="S415" s="71" t="n"/>
      <c r="T415" s="80">
        <f>SUM(C415:S415)</f>
        <v/>
      </c>
      <c r="U415" s="73">
        <f>T415/T$7</f>
        <v/>
      </c>
      <c r="V415" s="81" t="n">
        <v>4</v>
      </c>
      <c r="W415" s="76">
        <f>T415*V415</f>
        <v/>
      </c>
      <c r="X415" s="169" t="n"/>
      <c r="Y415" s="28" t="n"/>
      <c r="Z415" s="28" t="n"/>
    </row>
    <row r="416" ht="14" customHeight="1">
      <c r="A416" s="78" t="inlineStr">
        <is>
          <t xml:space="preserve">Fidelity Funds Global Technology Fund </t>
        </is>
      </c>
      <c r="B416" s="75" t="inlineStr">
        <is>
          <t>LU1213836080</t>
        </is>
      </c>
      <c r="C416" s="67" t="n"/>
      <c r="D416" s="67" t="n"/>
      <c r="E416" s="67" t="n"/>
      <c r="F416" s="67" t="n"/>
      <c r="G416" s="67" t="n"/>
      <c r="H416" s="67" t="n"/>
      <c r="I416" s="67" t="n"/>
      <c r="J416" s="67" t="n"/>
      <c r="K416" s="69" t="n"/>
      <c r="L416" s="67" t="n"/>
      <c r="M416" s="67" t="n"/>
      <c r="N416" s="67" t="n"/>
      <c r="O416" s="67" t="n"/>
      <c r="P416" s="67" t="n"/>
      <c r="Q416" s="70" t="n"/>
      <c r="R416" s="70" t="n"/>
      <c r="S416" s="71" t="n"/>
      <c r="T416" s="80">
        <f>SUM(C416:S416)</f>
        <v/>
      </c>
      <c r="U416" s="73">
        <f>T416/T$7</f>
        <v/>
      </c>
      <c r="V416" s="81" t="n">
        <v>4</v>
      </c>
      <c r="W416" s="76">
        <f>T416*V416</f>
        <v/>
      </c>
      <c r="X416" s="169" t="n"/>
      <c r="Y416" s="28" t="n"/>
      <c r="Z416" s="28" t="n"/>
    </row>
    <row r="417" ht="14" customHeight="1">
      <c r="A417" s="78" t="n"/>
      <c r="B417" s="75" t="n"/>
      <c r="C417" s="67" t="n"/>
      <c r="D417" s="67" t="n"/>
      <c r="E417" s="67" t="n"/>
      <c r="F417" s="67" t="n"/>
      <c r="G417" s="67" t="n"/>
      <c r="H417" s="67" t="n"/>
      <c r="I417" s="67" t="n"/>
      <c r="J417" s="67" t="n"/>
      <c r="K417" s="69" t="n"/>
      <c r="L417" s="67" t="n"/>
      <c r="M417" s="67" t="n"/>
      <c r="N417" s="67" t="n"/>
      <c r="O417" s="67" t="n"/>
      <c r="P417" s="67" t="n"/>
      <c r="Q417" s="70" t="n"/>
      <c r="R417" s="70" t="n"/>
      <c r="S417" s="71" t="n"/>
      <c r="T417" s="80">
        <f>SUM(C417:S417)</f>
        <v/>
      </c>
      <c r="U417" s="73">
        <f>T417/T$7</f>
        <v/>
      </c>
      <c r="V417" s="81" t="n"/>
      <c r="W417" s="76">
        <f>T417*V417</f>
        <v/>
      </c>
      <c r="X417" s="169" t="n"/>
      <c r="Y417" s="28" t="n"/>
      <c r="Z417" s="28" t="n"/>
    </row>
    <row r="418" ht="14" customHeight="1">
      <c r="A418" s="78" t="n"/>
      <c r="B418" s="75" t="n"/>
      <c r="C418" s="67" t="n"/>
      <c r="D418" s="67" t="n"/>
      <c r="E418" s="67" t="n"/>
      <c r="F418" s="67" t="n"/>
      <c r="G418" s="67" t="n"/>
      <c r="H418" s="67" t="n"/>
      <c r="I418" s="67" t="n"/>
      <c r="J418" s="67" t="n"/>
      <c r="K418" s="69" t="n"/>
      <c r="L418" s="67" t="n"/>
      <c r="M418" s="67" t="n"/>
      <c r="N418" s="67" t="n"/>
      <c r="O418" s="67" t="n"/>
      <c r="P418" s="67" t="n"/>
      <c r="Q418" s="70" t="n"/>
      <c r="R418" s="70" t="n"/>
      <c r="S418" s="71" t="n"/>
      <c r="T418" s="80">
        <f>SUM(C418:S418)</f>
        <v/>
      </c>
      <c r="U418" s="73">
        <f>T418/T$7</f>
        <v/>
      </c>
      <c r="V418" s="81" t="n"/>
      <c r="W418" s="76">
        <f>T418*V418</f>
        <v/>
      </c>
      <c r="X418" s="169" t="n"/>
      <c r="Y418" s="28" t="n"/>
      <c r="Z418" s="28" t="n"/>
    </row>
    <row r="419" ht="14" customHeight="1">
      <c r="A419" s="78" t="n"/>
      <c r="B419" s="75" t="n"/>
      <c r="C419" s="67" t="n"/>
      <c r="D419" s="67" t="n"/>
      <c r="E419" s="67" t="n"/>
      <c r="F419" s="67" t="n"/>
      <c r="G419" s="67" t="n"/>
      <c r="H419" s="67" t="n"/>
      <c r="I419" s="67" t="n"/>
      <c r="J419" s="67" t="n"/>
      <c r="K419" s="69" t="n"/>
      <c r="L419" s="67" t="n"/>
      <c r="M419" s="67" t="n"/>
      <c r="N419" s="67" t="n"/>
      <c r="O419" s="67" t="n"/>
      <c r="P419" s="67" t="n"/>
      <c r="Q419" s="70" t="n"/>
      <c r="R419" s="70" t="n"/>
      <c r="S419" s="71" t="n"/>
      <c r="T419" s="80">
        <f>SUM(C419:S419)</f>
        <v/>
      </c>
      <c r="U419" s="73">
        <f>T419/T$7</f>
        <v/>
      </c>
      <c r="V419" s="81" t="n"/>
      <c r="W419" s="76">
        <f>T419*V419</f>
        <v/>
      </c>
      <c r="X419" s="169" t="n"/>
      <c r="Y419" s="28" t="n"/>
      <c r="Z419" s="28" t="n"/>
    </row>
    <row r="420" ht="14" customHeight="1">
      <c r="A420" s="78" t="n"/>
      <c r="B420" s="75" t="n"/>
      <c r="C420" s="67" t="n"/>
      <c r="D420" s="67" t="n"/>
      <c r="E420" s="67" t="n"/>
      <c r="F420" s="67" t="n"/>
      <c r="G420" s="67" t="n"/>
      <c r="H420" s="67" t="n"/>
      <c r="I420" s="67" t="n"/>
      <c r="J420" s="67" t="n"/>
      <c r="K420" s="69" t="n"/>
      <c r="L420" s="67" t="n"/>
      <c r="M420" s="67" t="n"/>
      <c r="N420" s="67" t="n"/>
      <c r="O420" s="67" t="n"/>
      <c r="P420" s="67" t="n"/>
      <c r="Q420" s="70" t="n"/>
      <c r="R420" s="70" t="n"/>
      <c r="S420" s="71" t="n"/>
      <c r="T420" s="80">
        <f>SUM(C420:S420)</f>
        <v/>
      </c>
      <c r="U420" s="73">
        <f>T420/T$7</f>
        <v/>
      </c>
      <c r="V420" s="81" t="n"/>
      <c r="W420" s="76">
        <f>T420*V420</f>
        <v/>
      </c>
      <c r="X420" s="169" t="n"/>
      <c r="Y420" s="28" t="n"/>
      <c r="Z420" s="28" t="n"/>
    </row>
    <row r="421" ht="14" customHeight="1">
      <c r="A421" s="78" t="n"/>
      <c r="B421" s="75" t="n"/>
      <c r="C421" s="67" t="n"/>
      <c r="D421" s="67" t="n"/>
      <c r="E421" s="67" t="n"/>
      <c r="F421" s="67" t="n"/>
      <c r="G421" s="67" t="n"/>
      <c r="H421" s="67" t="n"/>
      <c r="I421" s="67" t="n"/>
      <c r="J421" s="67" t="n"/>
      <c r="K421" s="69" t="n"/>
      <c r="L421" s="67" t="n"/>
      <c r="M421" s="67" t="n"/>
      <c r="N421" s="67" t="n"/>
      <c r="O421" s="67" t="n"/>
      <c r="P421" s="67" t="n"/>
      <c r="Q421" s="70" t="n"/>
      <c r="R421" s="70" t="n"/>
      <c r="S421" s="71" t="n"/>
      <c r="T421" s="80">
        <f>SUM(C421:S421)</f>
        <v/>
      </c>
      <c r="U421" s="73">
        <f>T421/T$7</f>
        <v/>
      </c>
      <c r="V421" s="81" t="n"/>
      <c r="W421" s="76">
        <f>T421*V421</f>
        <v/>
      </c>
      <c r="X421" s="169" t="n"/>
      <c r="Y421" s="28" t="n"/>
      <c r="Z421" s="28" t="n"/>
    </row>
    <row r="422" ht="14" customHeight="1">
      <c r="A422" s="78" t="n"/>
      <c r="B422" s="75" t="n"/>
      <c r="C422" s="67" t="n"/>
      <c r="D422" s="67" t="n"/>
      <c r="E422" s="67" t="n"/>
      <c r="F422" s="67" t="n"/>
      <c r="G422" s="67" t="n"/>
      <c r="H422" s="67" t="n"/>
      <c r="I422" s="67" t="n"/>
      <c r="J422" s="67" t="n"/>
      <c r="K422" s="69" t="n"/>
      <c r="L422" s="67" t="n"/>
      <c r="M422" s="67" t="n"/>
      <c r="N422" s="67" t="n"/>
      <c r="O422" s="67" t="n"/>
      <c r="P422" s="67" t="n"/>
      <c r="Q422" s="70" t="n"/>
      <c r="R422" s="70" t="n"/>
      <c r="S422" s="71" t="n"/>
      <c r="T422" s="80">
        <f>SUM(C422:S422)</f>
        <v/>
      </c>
      <c r="U422" s="73">
        <f>T422/T$7</f>
        <v/>
      </c>
      <c r="V422" s="81" t="n"/>
      <c r="W422" s="76">
        <f>T422*V422</f>
        <v/>
      </c>
      <c r="X422" s="169" t="n"/>
      <c r="Y422" s="28" t="n"/>
      <c r="Z422" s="28" t="n"/>
    </row>
    <row r="423" ht="14" customHeight="1">
      <c r="A423" s="78" t="n"/>
      <c r="B423" s="75" t="n"/>
      <c r="C423" s="67" t="n"/>
      <c r="D423" s="67" t="n"/>
      <c r="E423" s="67" t="n"/>
      <c r="F423" s="67" t="n"/>
      <c r="G423" s="67" t="n"/>
      <c r="H423" s="67" t="n"/>
      <c r="I423" s="67" t="n"/>
      <c r="J423" s="67" t="n"/>
      <c r="K423" s="69" t="n"/>
      <c r="L423" s="67" t="n"/>
      <c r="M423" s="67" t="n"/>
      <c r="N423" s="67" t="n"/>
      <c r="O423" s="67" t="n"/>
      <c r="P423" s="67" t="n"/>
      <c r="Q423" s="70" t="n"/>
      <c r="R423" s="70" t="n"/>
      <c r="S423" s="71" t="n"/>
      <c r="T423" s="80">
        <f>SUM(C423:S423)</f>
        <v/>
      </c>
      <c r="U423" s="73">
        <f>T423/T$7</f>
        <v/>
      </c>
      <c r="V423" s="81" t="n"/>
      <c r="W423" s="76">
        <f>T423*V423</f>
        <v/>
      </c>
      <c r="X423" s="169" t="n"/>
      <c r="Y423" s="28" t="n"/>
      <c r="Z423" s="28" t="n"/>
    </row>
    <row r="424" ht="14" customHeight="1">
      <c r="A424" s="154" t="inlineStr">
        <is>
          <t>dont actions japonaises</t>
        </is>
      </c>
      <c r="B424" s="155" t="n"/>
      <c r="C424" s="156">
        <f>SUM(C425:C430)</f>
        <v/>
      </c>
      <c r="D424" s="156">
        <f>SUM(D425:D430)</f>
        <v/>
      </c>
      <c r="E424" s="156">
        <f>SUM(E425:E430)</f>
        <v/>
      </c>
      <c r="F424" s="156">
        <f>SUM(F425:F430)</f>
        <v/>
      </c>
      <c r="G424" s="156">
        <f>SUM(G425:G430)</f>
        <v/>
      </c>
      <c r="H424" s="156">
        <f>SUM(H425:H430)</f>
        <v/>
      </c>
      <c r="I424" s="156">
        <f>SUM(I425:I430)</f>
        <v/>
      </c>
      <c r="J424" s="156">
        <f>SUM(J425:J430)</f>
        <v/>
      </c>
      <c r="K424" s="156">
        <f>SUM(K425:K430)</f>
        <v/>
      </c>
      <c r="L424" s="156">
        <f>SUM(L425:L430)</f>
        <v/>
      </c>
      <c r="M424" s="156">
        <f>SUM(M425:M430)</f>
        <v/>
      </c>
      <c r="N424" s="156">
        <f>SUM(N425:N430)</f>
        <v/>
      </c>
      <c r="O424" s="156">
        <f>SUM(O425:O430)</f>
        <v/>
      </c>
      <c r="P424" s="156">
        <f>SUM(P425:P430)</f>
        <v/>
      </c>
      <c r="Q424" s="156">
        <f>SUM(Q425:Q430)</f>
        <v/>
      </c>
      <c r="R424" s="156">
        <f>SUM(R425:R430)</f>
        <v/>
      </c>
      <c r="S424" s="156">
        <f>SUM(S425:S430)</f>
        <v/>
      </c>
      <c r="T424" s="160">
        <f>SUM(C424:S424)</f>
        <v/>
      </c>
      <c r="U424" s="161">
        <f>T424/T311</f>
        <v/>
      </c>
      <c r="V424" s="159" t="n"/>
      <c r="W424" s="214" t="n"/>
      <c r="X424" s="215" t="n"/>
      <c r="Y424" s="28" t="n"/>
      <c r="Z424" s="28" t="n"/>
    </row>
    <row r="425" ht="14" customHeight="1">
      <c r="A425" s="78" t="inlineStr">
        <is>
          <t>Comgest Growth Japan Z Acc</t>
        </is>
      </c>
      <c r="B425" s="75" t="inlineStr">
        <is>
          <t>IE00BZ0X9Z19</t>
        </is>
      </c>
      <c r="C425" s="67" t="n"/>
      <c r="D425" s="67" t="n"/>
      <c r="E425" s="67" t="n"/>
      <c r="F425" s="67" t="n"/>
      <c r="G425" s="67" t="n"/>
      <c r="H425" s="67" t="n"/>
      <c r="I425" s="67" t="n"/>
      <c r="J425" s="67" t="n"/>
      <c r="K425" s="69" t="n"/>
      <c r="L425" s="67" t="n"/>
      <c r="M425" s="67" t="n"/>
      <c r="N425" s="67" t="n"/>
      <c r="O425" s="67" t="n"/>
      <c r="P425" s="67" t="n"/>
      <c r="Q425" s="70" t="n"/>
      <c r="R425" s="70" t="n"/>
      <c r="S425" s="71" t="n"/>
      <c r="T425" s="80">
        <f>SUM(C425:S425)</f>
        <v/>
      </c>
      <c r="U425" s="73">
        <f>T425/T$7</f>
        <v/>
      </c>
      <c r="V425" s="81" t="n">
        <v>4</v>
      </c>
      <c r="W425" s="76">
        <f>T425*V425</f>
        <v/>
      </c>
      <c r="X425" s="169" t="n"/>
      <c r="Y425" s="28" t="n"/>
      <c r="Z425" s="28" t="n"/>
    </row>
    <row r="426" ht="14" customHeight="1">
      <c r="A426" s="78" t="inlineStr">
        <is>
          <t>Comgest Japan R</t>
        </is>
      </c>
      <c r="B426" s="75" t="inlineStr">
        <is>
          <t>IE00BD1DJ122</t>
        </is>
      </c>
      <c r="C426" s="67" t="n"/>
      <c r="D426" s="67" t="n"/>
      <c r="E426" s="67" t="n"/>
      <c r="F426" s="67" t="n"/>
      <c r="G426" s="67" t="n"/>
      <c r="H426" s="67" t="n"/>
      <c r="I426" s="67" t="n"/>
      <c r="J426" s="67" t="n"/>
      <c r="K426" s="69" t="n"/>
      <c r="L426" s="67" t="n"/>
      <c r="M426" s="67" t="n"/>
      <c r="N426" s="67" t="n"/>
      <c r="O426" s="67" t="n"/>
      <c r="P426" s="67" t="n"/>
      <c r="Q426" s="70" t="n"/>
      <c r="R426" s="70" t="n"/>
      <c r="S426" s="71" t="n"/>
      <c r="T426" s="80">
        <f>SUM(C426:S426)</f>
        <v/>
      </c>
      <c r="U426" s="73">
        <f>T426/T$7</f>
        <v/>
      </c>
      <c r="V426" s="81" t="n">
        <v>4</v>
      </c>
      <c r="W426" s="76">
        <f>T426*V426</f>
        <v/>
      </c>
      <c r="X426" s="169" t="n"/>
      <c r="Y426" s="28" t="n"/>
      <c r="Z426" s="28" t="n"/>
    </row>
    <row r="427" ht="14" customHeight="1">
      <c r="A427" s="78" t="inlineStr">
        <is>
          <t>Amundi Japan Topix ETF</t>
        </is>
      </c>
      <c r="B427" s="75" t="inlineStr">
        <is>
          <t>LU1681037864</t>
        </is>
      </c>
      <c r="C427" s="67" t="n"/>
      <c r="D427" s="67" t="n"/>
      <c r="E427" s="67" t="n"/>
      <c r="F427" s="67" t="n"/>
      <c r="G427" s="67" t="n"/>
      <c r="H427" s="67" t="n"/>
      <c r="I427" s="67" t="n"/>
      <c r="J427" s="67" t="n"/>
      <c r="K427" s="69" t="n"/>
      <c r="L427" s="67" t="n"/>
      <c r="M427" s="67" t="n"/>
      <c r="N427" s="67" t="n"/>
      <c r="O427" s="67" t="n"/>
      <c r="P427" s="67" t="n"/>
      <c r="Q427" s="70" t="n"/>
      <c r="R427" s="70" t="n"/>
      <c r="S427" s="71" t="n"/>
      <c r="T427" s="80">
        <f>SUM(C427:S427)</f>
        <v/>
      </c>
      <c r="U427" s="73">
        <f>T427/T$7</f>
        <v/>
      </c>
      <c r="V427" s="81" t="n">
        <v>4</v>
      </c>
      <c r="W427" s="76">
        <f>T427*V427</f>
        <v/>
      </c>
      <c r="X427" s="169" t="n"/>
      <c r="Y427" s="28" t="n"/>
      <c r="Z427" s="28" t="n"/>
    </row>
    <row r="428" ht="14" customHeight="1">
      <c r="A428" s="78" t="n"/>
      <c r="B428" s="75" t="n"/>
      <c r="C428" s="67" t="n"/>
      <c r="D428" s="67" t="n"/>
      <c r="E428" s="67" t="n"/>
      <c r="F428" s="67" t="n"/>
      <c r="G428" s="67" t="n"/>
      <c r="H428" s="67" t="n"/>
      <c r="I428" s="67" t="n"/>
      <c r="J428" s="67" t="n"/>
      <c r="K428" s="69" t="n"/>
      <c r="L428" s="67" t="n"/>
      <c r="M428" s="67" t="n"/>
      <c r="N428" s="67" t="n"/>
      <c r="O428" s="67" t="n"/>
      <c r="P428" s="67" t="n"/>
      <c r="Q428" s="70" t="n"/>
      <c r="R428" s="70" t="n"/>
      <c r="S428" s="71" t="n"/>
      <c r="T428" s="80">
        <f>SUM(C428:S428)</f>
        <v/>
      </c>
      <c r="U428" s="73">
        <f>T428/T$7</f>
        <v/>
      </c>
      <c r="V428" s="81" t="n"/>
      <c r="W428" s="76">
        <f>T428*V428</f>
        <v/>
      </c>
      <c r="X428" s="169" t="n"/>
      <c r="Y428" s="28" t="n"/>
      <c r="Z428" s="28" t="n"/>
    </row>
    <row r="429" ht="14" customHeight="1">
      <c r="A429" s="78" t="n"/>
      <c r="B429" s="75" t="n"/>
      <c r="C429" s="67" t="n"/>
      <c r="D429" s="67" t="n"/>
      <c r="E429" s="67" t="n"/>
      <c r="F429" s="67" t="n"/>
      <c r="G429" s="67" t="n"/>
      <c r="H429" s="67" t="n"/>
      <c r="I429" s="67" t="n"/>
      <c r="J429" s="67" t="n"/>
      <c r="K429" s="69" t="n"/>
      <c r="L429" s="67" t="n"/>
      <c r="M429" s="67" t="n"/>
      <c r="N429" s="67" t="n"/>
      <c r="O429" s="67" t="n"/>
      <c r="P429" s="67" t="n"/>
      <c r="Q429" s="70" t="n"/>
      <c r="R429" s="70" t="n"/>
      <c r="S429" s="71" t="n"/>
      <c r="T429" s="80">
        <f>SUM(C429:S429)</f>
        <v/>
      </c>
      <c r="U429" s="73">
        <f>T429/T$7</f>
        <v/>
      </c>
      <c r="V429" s="81" t="n"/>
      <c r="W429" s="76">
        <f>T429*V429</f>
        <v/>
      </c>
      <c r="X429" s="169" t="n"/>
      <c r="Y429" s="28" t="n"/>
      <c r="Z429" s="28" t="n"/>
    </row>
    <row r="430" ht="14" customHeight="1">
      <c r="A430" s="78" t="n"/>
      <c r="B430" s="75" t="n"/>
      <c r="C430" s="67" t="n"/>
      <c r="D430" s="67" t="n"/>
      <c r="E430" s="67" t="n"/>
      <c r="F430" s="67" t="n"/>
      <c r="G430" s="67" t="n"/>
      <c r="H430" s="67" t="n"/>
      <c r="I430" s="67" t="n"/>
      <c r="J430" s="67" t="n"/>
      <c r="K430" s="69" t="n"/>
      <c r="L430" s="67" t="n"/>
      <c r="M430" s="67" t="n"/>
      <c r="N430" s="67" t="n"/>
      <c r="O430" s="67" t="n"/>
      <c r="P430" s="67" t="n"/>
      <c r="Q430" s="70" t="n"/>
      <c r="R430" s="70" t="n"/>
      <c r="S430" s="71" t="n"/>
      <c r="T430" s="80">
        <f>SUM(C430:S430)</f>
        <v/>
      </c>
      <c r="U430" s="73">
        <f>T430/T$7</f>
        <v/>
      </c>
      <c r="V430" s="81" t="n"/>
      <c r="W430" s="76">
        <f>T430*V430</f>
        <v/>
      </c>
      <c r="X430" s="169" t="n"/>
      <c r="Y430" s="28" t="n"/>
      <c r="Z430" s="28" t="n"/>
    </row>
    <row r="431" ht="14" customHeight="1">
      <c r="A431" s="154" t="inlineStr">
        <is>
          <t>dont actions marchés émergents</t>
        </is>
      </c>
      <c r="B431" s="155" t="n"/>
      <c r="C431" s="156">
        <f>SUM(C432:C454)</f>
        <v/>
      </c>
      <c r="D431" s="156">
        <f>SUM(D432:D454)</f>
        <v/>
      </c>
      <c r="E431" s="156">
        <f>SUM(E432:E454)</f>
        <v/>
      </c>
      <c r="F431" s="156">
        <f>SUM(F432:F454)</f>
        <v/>
      </c>
      <c r="G431" s="156">
        <f>SUM(G432:G454)</f>
        <v/>
      </c>
      <c r="H431" s="156">
        <f>SUM(H432:H454)</f>
        <v/>
      </c>
      <c r="I431" s="156">
        <f>SUM(I432:I454)</f>
        <v/>
      </c>
      <c r="J431" s="156">
        <f>SUM(J432:J454)</f>
        <v/>
      </c>
      <c r="K431" s="156">
        <f>SUM(K432:K454)</f>
        <v/>
      </c>
      <c r="L431" s="156">
        <f>SUM(L432:L454)</f>
        <v/>
      </c>
      <c r="M431" s="156">
        <f>SUM(M432:M454)</f>
        <v/>
      </c>
      <c r="N431" s="156">
        <f>SUM(N432:N454)</f>
        <v/>
      </c>
      <c r="O431" s="156">
        <f>SUM(O432:O454)</f>
        <v/>
      </c>
      <c r="P431" s="156">
        <f>SUM(P432:P454)</f>
        <v/>
      </c>
      <c r="Q431" s="156">
        <f>SUM(Q432:Q454)</f>
        <v/>
      </c>
      <c r="R431" s="156">
        <f>SUM(R432:R454)</f>
        <v/>
      </c>
      <c r="S431" s="156">
        <f>SUM(S432:S454)</f>
        <v/>
      </c>
      <c r="T431" s="157">
        <f>SUM(C431:S431)</f>
        <v/>
      </c>
      <c r="U431" s="158">
        <f>T431/T311</f>
        <v/>
      </c>
      <c r="V431" s="159" t="n"/>
      <c r="W431" s="214" t="n"/>
      <c r="X431" s="215" t="n"/>
      <c r="Y431" s="28" t="n"/>
      <c r="Z431" s="28" t="n"/>
    </row>
    <row r="432" ht="14" customFormat="1" customHeight="1" s="29">
      <c r="A432" s="78" t="inlineStr">
        <is>
          <t>Amundi IS MSCI EM SRI PAB UE DR USD C</t>
        </is>
      </c>
      <c r="B432" s="75" t="inlineStr">
        <is>
          <t>LU1861138961</t>
        </is>
      </c>
      <c r="C432" s="67" t="n"/>
      <c r="D432" s="67" t="n"/>
      <c r="E432" s="67" t="n"/>
      <c r="F432" s="67" t="n"/>
      <c r="G432" s="67" t="n"/>
      <c r="H432" s="67" t="n"/>
      <c r="I432" s="67" t="n"/>
      <c r="J432" s="67" t="n"/>
      <c r="K432" s="69" t="n"/>
      <c r="L432" s="67" t="n"/>
      <c r="M432" s="67" t="n"/>
      <c r="N432" s="67" t="n"/>
      <c r="O432" s="67" t="n"/>
      <c r="P432" s="67" t="n"/>
      <c r="Q432" s="70" t="n"/>
      <c r="R432" s="70" t="n"/>
      <c r="S432" s="71" t="n"/>
      <c r="T432" s="80">
        <f>SUM(C432:S432)</f>
        <v/>
      </c>
      <c r="U432" s="73">
        <f>T432/T$7</f>
        <v/>
      </c>
      <c r="V432" s="81" t="n">
        <v>4</v>
      </c>
      <c r="W432" s="76">
        <f>T432*V432</f>
        <v/>
      </c>
      <c r="X432" s="169" t="n"/>
      <c r="Y432" s="28" t="n"/>
      <c r="Z432" s="28" t="n"/>
    </row>
    <row r="433" ht="14" customFormat="1" customHeight="1" s="29">
      <c r="A433" s="78" t="inlineStr">
        <is>
          <t xml:space="preserve">Amundi MSCI Emerging Ex China ETF Acc USD </t>
        </is>
      </c>
      <c r="B433" s="75" t="inlineStr">
        <is>
          <t>LU2009202107</t>
        </is>
      </c>
      <c r="C433" s="67" t="n"/>
      <c r="D433" s="67" t="n"/>
      <c r="E433" s="67" t="n"/>
      <c r="F433" s="67" t="n"/>
      <c r="G433" s="67" t="n"/>
      <c r="H433" s="67" t="n"/>
      <c r="I433" s="67" t="n"/>
      <c r="J433" s="67" t="n"/>
      <c r="K433" s="69" t="n"/>
      <c r="L433" s="67" t="n"/>
      <c r="M433" s="67" t="n"/>
      <c r="N433" s="67" t="n"/>
      <c r="O433" s="67" t="n"/>
      <c r="P433" s="67" t="n"/>
      <c r="Q433" s="70" t="n"/>
      <c r="R433" s="70" t="n"/>
      <c r="S433" s="71" t="n"/>
      <c r="T433" s="80">
        <f>SUM(C433:S433)</f>
        <v/>
      </c>
      <c r="U433" s="73">
        <f>T433/T$7</f>
        <v/>
      </c>
      <c r="V433" s="81" t="n">
        <v>4</v>
      </c>
      <c r="W433" s="76">
        <f>T433*V433</f>
        <v/>
      </c>
      <c r="X433" s="169" t="n"/>
      <c r="Y433" s="28" t="n"/>
      <c r="Z433" s="28" t="n"/>
    </row>
    <row r="434" ht="14" customFormat="1" customHeight="1" s="29">
      <c r="A434" s="78" t="inlineStr">
        <is>
          <t xml:space="preserve">Amundi MSCI China ETF Acc </t>
        </is>
      </c>
      <c r="B434" s="75" t="inlineStr">
        <is>
          <t>LU1841731745</t>
        </is>
      </c>
      <c r="C434" s="86" t="n"/>
      <c r="D434" s="86" t="n"/>
      <c r="E434" s="86" t="n"/>
      <c r="F434" s="86" t="n"/>
      <c r="G434" s="86" t="n"/>
      <c r="H434" s="86" t="n"/>
      <c r="I434" s="86" t="n"/>
      <c r="J434" s="86" t="n"/>
      <c r="K434" s="87" t="n"/>
      <c r="L434" s="86" t="n"/>
      <c r="M434" s="86" t="n"/>
      <c r="N434" s="86" t="n"/>
      <c r="O434" s="86" t="n"/>
      <c r="P434" s="86" t="n"/>
      <c r="Q434" s="88" t="n"/>
      <c r="R434" s="88" t="n"/>
      <c r="S434" s="89" t="n"/>
      <c r="T434" s="80">
        <f>SUM(C434:S434)</f>
        <v/>
      </c>
      <c r="U434" s="73">
        <f>T434/T$7</f>
        <v/>
      </c>
      <c r="V434" s="81" t="n">
        <v>5</v>
      </c>
      <c r="W434" s="76">
        <f>T434*V434</f>
        <v/>
      </c>
      <c r="X434" s="169" t="n"/>
      <c r="Y434" s="33" t="n"/>
      <c r="Z434" s="33" t="n"/>
    </row>
    <row r="435" ht="14" customHeight="1">
      <c r="A435" s="78" t="inlineStr">
        <is>
          <t>iShares MSCI India ETF Acc USD</t>
        </is>
      </c>
      <c r="B435" s="75" t="inlineStr">
        <is>
          <t>IE00BZCQB185</t>
        </is>
      </c>
      <c r="C435" s="67" t="n"/>
      <c r="D435" s="67" t="n"/>
      <c r="E435" s="67" t="n"/>
      <c r="F435" s="67" t="n"/>
      <c r="G435" s="67" t="n"/>
      <c r="H435" s="67" t="n"/>
      <c r="I435" s="67" t="n"/>
      <c r="J435" s="67" t="n"/>
      <c r="K435" s="69" t="n"/>
      <c r="L435" s="67" t="n"/>
      <c r="M435" s="67" t="n"/>
      <c r="N435" s="67" t="n"/>
      <c r="O435" s="67" t="n"/>
      <c r="P435" s="67" t="n"/>
      <c r="Q435" s="70" t="n"/>
      <c r="R435" s="70" t="n"/>
      <c r="S435" s="71" t="n"/>
      <c r="T435" s="80">
        <f>SUM(C435:S435)</f>
        <v/>
      </c>
      <c r="U435" s="73">
        <f>T435/T$7</f>
        <v/>
      </c>
      <c r="V435" s="81" t="n">
        <v>5</v>
      </c>
      <c r="W435" s="76">
        <f>T435*V435</f>
        <v/>
      </c>
      <c r="X435" s="169" t="n"/>
      <c r="Y435" s="28" t="n"/>
      <c r="Z435" s="28" t="n"/>
    </row>
    <row r="436" ht="14" customHeight="1">
      <c r="A436" s="78" t="inlineStr">
        <is>
          <t>Candriam Sust. EM</t>
        </is>
      </c>
      <c r="B436" s="75" t="inlineStr">
        <is>
          <t>LU1434523954</t>
        </is>
      </c>
      <c r="C436" s="67" t="n"/>
      <c r="D436" s="67" t="n"/>
      <c r="E436" s="67" t="n"/>
      <c r="F436" s="67" t="n"/>
      <c r="G436" s="67" t="n"/>
      <c r="H436" s="67" t="n"/>
      <c r="I436" s="67" t="n"/>
      <c r="J436" s="67" t="n"/>
      <c r="K436" s="69" t="n"/>
      <c r="L436" s="67" t="n"/>
      <c r="M436" s="67" t="n"/>
      <c r="N436" s="67" t="n"/>
      <c r="O436" s="67" t="n"/>
      <c r="P436" s="67" t="n"/>
      <c r="Q436" s="70" t="n"/>
      <c r="R436" s="70" t="n"/>
      <c r="S436" s="71" t="n"/>
      <c r="T436" s="80">
        <f>SUM(C436:S436)</f>
        <v/>
      </c>
      <c r="U436" s="73">
        <f>T436/T$7</f>
        <v/>
      </c>
      <c r="V436" s="81" t="n">
        <v>4</v>
      </c>
      <c r="W436" s="76">
        <f>T436*V436</f>
        <v/>
      </c>
      <c r="X436" s="169" t="n"/>
      <c r="Y436" s="28" t="n"/>
      <c r="Z436" s="28" t="n"/>
    </row>
    <row r="437" ht="14" customFormat="1" customHeight="1" s="29">
      <c r="A437" s="78" t="inlineStr">
        <is>
          <t>iShares MSCI EM ETF Acc USD</t>
        </is>
      </c>
      <c r="B437" s="75" t="inlineStr">
        <is>
          <t>IE00B4L5YC18</t>
        </is>
      </c>
      <c r="C437" s="86" t="n"/>
      <c r="D437" s="86" t="n"/>
      <c r="E437" s="86" t="n"/>
      <c r="F437" s="86" t="n"/>
      <c r="G437" s="86" t="n"/>
      <c r="H437" s="86" t="n"/>
      <c r="I437" s="86" t="n"/>
      <c r="J437" s="86" t="n"/>
      <c r="K437" s="87" t="n"/>
      <c r="L437" s="86" t="n"/>
      <c r="M437" s="86" t="n"/>
      <c r="N437" s="86" t="n"/>
      <c r="O437" s="86" t="n"/>
      <c r="P437" s="86" t="n"/>
      <c r="Q437" s="88" t="n"/>
      <c r="R437" s="88" t="n"/>
      <c r="S437" s="89" t="n"/>
      <c r="T437" s="80">
        <f>SUM(C437:S437)</f>
        <v/>
      </c>
      <c r="U437" s="73">
        <f>T437/T$7</f>
        <v/>
      </c>
      <c r="V437" s="81" t="n">
        <v>4</v>
      </c>
      <c r="W437" s="76">
        <f>T437*V437</f>
        <v/>
      </c>
      <c r="X437" s="169" t="n"/>
      <c r="Y437" s="33" t="n"/>
      <c r="Z437" s="33" t="n"/>
    </row>
    <row r="438" ht="14" customFormat="1" customHeight="1" s="29">
      <c r="A438" s="78" t="inlineStr">
        <is>
          <t>iShares MSCI EM SRI ETF</t>
        </is>
      </c>
      <c r="B438" s="75" t="inlineStr">
        <is>
          <t>IE00BYVJRP78</t>
        </is>
      </c>
      <c r="C438" s="86" t="n"/>
      <c r="D438" s="86" t="n"/>
      <c r="E438" s="86" t="n"/>
      <c r="F438" s="86" t="n"/>
      <c r="G438" s="86" t="n"/>
      <c r="H438" s="86" t="n"/>
      <c r="I438" s="86" t="n"/>
      <c r="J438" s="86" t="n"/>
      <c r="K438" s="87" t="n"/>
      <c r="L438" s="86" t="n"/>
      <c r="M438" s="86" t="n"/>
      <c r="N438" s="86" t="n"/>
      <c r="O438" s="86" t="n"/>
      <c r="P438" s="86" t="n"/>
      <c r="Q438" s="88" t="n"/>
      <c r="R438" s="88" t="n"/>
      <c r="S438" s="89" t="n"/>
      <c r="T438" s="80">
        <f>SUM(C438:S438)</f>
        <v/>
      </c>
      <c r="U438" s="73">
        <f>T438/T$7</f>
        <v/>
      </c>
      <c r="V438" s="81" t="n">
        <v>4</v>
      </c>
      <c r="W438" s="76">
        <f>T438*V438</f>
        <v/>
      </c>
      <c r="X438" s="169" t="n"/>
      <c r="Y438" s="33" t="n"/>
      <c r="Z438" s="33" t="n"/>
    </row>
    <row r="439" ht="14" customFormat="1" customHeight="1" s="29">
      <c r="A439" s="78" t="inlineStr">
        <is>
          <t>GemEquity I</t>
        </is>
      </c>
      <c r="B439" s="75" t="inlineStr">
        <is>
          <t>FR0011274984</t>
        </is>
      </c>
      <c r="C439" s="67" t="n"/>
      <c r="D439" s="67" t="n"/>
      <c r="E439" s="67" t="n"/>
      <c r="F439" s="67" t="n"/>
      <c r="G439" s="67" t="n"/>
      <c r="H439" s="67" t="n"/>
      <c r="I439" s="67" t="n"/>
      <c r="J439" s="67" t="n"/>
      <c r="K439" s="69" t="n"/>
      <c r="L439" s="67" t="n"/>
      <c r="M439" s="67" t="n"/>
      <c r="N439" s="67" t="n"/>
      <c r="O439" s="67" t="n"/>
      <c r="P439" s="67" t="n"/>
      <c r="Q439" s="70" t="n"/>
      <c r="R439" s="70" t="n"/>
      <c r="S439" s="71" t="n"/>
      <c r="T439" s="80">
        <f>SUM(C439:S439)</f>
        <v/>
      </c>
      <c r="U439" s="73">
        <f>T439/T$7</f>
        <v/>
      </c>
      <c r="V439" s="81" t="n">
        <v>4</v>
      </c>
      <c r="W439" s="76">
        <f>T439*V439</f>
        <v/>
      </c>
      <c r="X439" s="169" t="n"/>
      <c r="Y439" s="28" t="n"/>
      <c r="Z439" s="28" t="n"/>
    </row>
    <row r="440" ht="14" customFormat="1" customHeight="1" s="29">
      <c r="A440" s="78" t="inlineStr">
        <is>
          <t xml:space="preserve">GemEquity R </t>
        </is>
      </c>
      <c r="B440" s="75" t="inlineStr">
        <is>
          <t>FR0011268705</t>
        </is>
      </c>
      <c r="C440" s="67" t="n"/>
      <c r="D440" s="67" t="n"/>
      <c r="E440" s="67" t="n"/>
      <c r="F440" s="67" t="n"/>
      <c r="G440" s="67" t="n"/>
      <c r="H440" s="67" t="n"/>
      <c r="I440" s="67" t="n"/>
      <c r="J440" s="67" t="n"/>
      <c r="K440" s="69" t="n"/>
      <c r="L440" s="67" t="n"/>
      <c r="M440" s="67" t="n"/>
      <c r="N440" s="67" t="n"/>
      <c r="O440" s="67" t="n"/>
      <c r="P440" s="67" t="n"/>
      <c r="Q440" s="70" t="n"/>
      <c r="R440" s="70" t="n"/>
      <c r="S440" s="71" t="n"/>
      <c r="T440" s="80">
        <f>SUM(C440:S440)</f>
        <v/>
      </c>
      <c r="U440" s="73">
        <f>T440/T$7</f>
        <v/>
      </c>
      <c r="V440" s="81" t="n">
        <v>4</v>
      </c>
      <c r="W440" s="76">
        <f>T440*V440</f>
        <v/>
      </c>
      <c r="X440" s="169" t="n"/>
      <c r="Y440" s="28" t="n"/>
      <c r="Z440" s="28" t="n"/>
    </row>
    <row r="441" ht="14" customFormat="1" customHeight="1" s="29">
      <c r="A441" s="78" t="inlineStr">
        <is>
          <t>GemAsia I</t>
        </is>
      </c>
      <c r="B441" s="75" t="inlineStr">
        <is>
          <t>FR0013291879</t>
        </is>
      </c>
      <c r="C441" s="67" t="n"/>
      <c r="D441" s="67" t="n"/>
      <c r="E441" s="67" t="n"/>
      <c r="F441" s="67" t="n"/>
      <c r="G441" s="67" t="n"/>
      <c r="H441" s="67" t="n"/>
      <c r="I441" s="67" t="n"/>
      <c r="J441" s="67" t="n"/>
      <c r="K441" s="69" t="n"/>
      <c r="L441" s="67" t="n"/>
      <c r="M441" s="67" t="n"/>
      <c r="N441" s="67" t="n"/>
      <c r="O441" s="67" t="n"/>
      <c r="P441" s="67" t="n"/>
      <c r="Q441" s="70" t="n"/>
      <c r="R441" s="70" t="n"/>
      <c r="S441" s="71" t="n"/>
      <c r="T441" s="80">
        <f>SUM(C441:S441)</f>
        <v/>
      </c>
      <c r="U441" s="73">
        <f>T441/T$7</f>
        <v/>
      </c>
      <c r="V441" s="81" t="n">
        <v>4</v>
      </c>
      <c r="W441" s="76">
        <f>T441*V441</f>
        <v/>
      </c>
      <c r="X441" s="169" t="n"/>
      <c r="Y441" s="28" t="n"/>
      <c r="Z441" s="28" t="n"/>
    </row>
    <row r="442" ht="14" customFormat="1" customHeight="1" s="29">
      <c r="A442" s="78" t="inlineStr">
        <is>
          <t>GemAsia R</t>
        </is>
      </c>
      <c r="B442" s="75" t="inlineStr">
        <is>
          <t>FR0013291861</t>
        </is>
      </c>
      <c r="C442" s="86" t="n"/>
      <c r="D442" s="86" t="n"/>
      <c r="E442" s="86" t="n"/>
      <c r="F442" s="86" t="n"/>
      <c r="G442" s="86" t="n"/>
      <c r="H442" s="86" t="n"/>
      <c r="I442" s="86" t="n"/>
      <c r="J442" s="86" t="n"/>
      <c r="K442" s="87" t="n"/>
      <c r="L442" s="86" t="n"/>
      <c r="M442" s="86" t="n"/>
      <c r="N442" s="86" t="n"/>
      <c r="O442" s="86" t="n"/>
      <c r="P442" s="86" t="n"/>
      <c r="Q442" s="88" t="n"/>
      <c r="R442" s="88" t="n"/>
      <c r="S442" s="89" t="n"/>
      <c r="T442" s="80">
        <f>SUM(C442:S442)</f>
        <v/>
      </c>
      <c r="U442" s="73">
        <f>T442/T$7</f>
        <v/>
      </c>
      <c r="V442" s="81" t="n">
        <v>4</v>
      </c>
      <c r="W442" s="76">
        <f>T442*V442</f>
        <v/>
      </c>
      <c r="X442" s="169" t="n"/>
      <c r="Y442" s="33" t="n"/>
      <c r="Z442" s="33" t="n"/>
    </row>
    <row r="443" ht="14" customFormat="1" customHeight="1" s="29">
      <c r="A443" s="78" t="inlineStr">
        <is>
          <t>GemAsia N</t>
        </is>
      </c>
      <c r="B443" s="75" t="inlineStr">
        <is>
          <t>FR0014002SM7</t>
        </is>
      </c>
      <c r="C443" s="86" t="n"/>
      <c r="D443" s="86" t="n"/>
      <c r="E443" s="86" t="n"/>
      <c r="F443" s="86" t="n"/>
      <c r="G443" s="86" t="n"/>
      <c r="H443" s="86" t="n"/>
      <c r="I443" s="86" t="n"/>
      <c r="J443" s="86" t="n"/>
      <c r="K443" s="87" t="n"/>
      <c r="L443" s="86" t="n"/>
      <c r="M443" s="86" t="n"/>
      <c r="N443" s="86" t="n"/>
      <c r="O443" s="86" t="n"/>
      <c r="P443" s="86" t="n"/>
      <c r="Q443" s="88" t="n"/>
      <c r="R443" s="88" t="n"/>
      <c r="S443" s="89" t="n"/>
      <c r="T443" s="80">
        <f>SUM(C443:S443)</f>
        <v/>
      </c>
      <c r="U443" s="73">
        <f>T443/T$7</f>
        <v/>
      </c>
      <c r="V443" s="81" t="n">
        <v>4</v>
      </c>
      <c r="W443" s="76">
        <f>T443*V443</f>
        <v/>
      </c>
      <c r="X443" s="169" t="n"/>
      <c r="Y443" s="33" t="n"/>
      <c r="Z443" s="33" t="n"/>
    </row>
    <row r="444" ht="14" customFormat="1" customHeight="1" s="29">
      <c r="A444" s="78" t="inlineStr">
        <is>
          <t>GemChina I</t>
        </is>
      </c>
      <c r="B444" s="75" t="inlineStr">
        <is>
          <t>FR0013433109</t>
        </is>
      </c>
      <c r="C444" s="86" t="n"/>
      <c r="D444" s="86" t="n"/>
      <c r="E444" s="86" t="n"/>
      <c r="F444" s="86" t="n"/>
      <c r="G444" s="86" t="n"/>
      <c r="H444" s="86" t="n"/>
      <c r="I444" s="86" t="n"/>
      <c r="J444" s="86" t="n"/>
      <c r="K444" s="87" t="n"/>
      <c r="L444" s="86" t="n"/>
      <c r="M444" s="86" t="n"/>
      <c r="N444" s="86" t="n"/>
      <c r="O444" s="86" t="n"/>
      <c r="P444" s="86" t="n"/>
      <c r="Q444" s="88" t="n"/>
      <c r="R444" s="88" t="n"/>
      <c r="S444" s="89" t="n"/>
      <c r="T444" s="80">
        <f>SUM(C444:S444)</f>
        <v/>
      </c>
      <c r="U444" s="73">
        <f>T444/T$7</f>
        <v/>
      </c>
      <c r="V444" s="81" t="n">
        <v>5</v>
      </c>
      <c r="W444" s="76">
        <f>T444*V444</f>
        <v/>
      </c>
      <c r="X444" s="169" t="n"/>
      <c r="Y444" s="33" t="n"/>
      <c r="Z444" s="33" t="n"/>
    </row>
    <row r="445" ht="14" customFormat="1" customHeight="1" s="29">
      <c r="A445" s="78" t="inlineStr">
        <is>
          <t>GemChina N</t>
        </is>
      </c>
      <c r="B445" s="75" t="inlineStr">
        <is>
          <t>FR0014002SN5</t>
        </is>
      </c>
      <c r="C445" s="86" t="n"/>
      <c r="D445" s="86" t="n"/>
      <c r="E445" s="86" t="n"/>
      <c r="F445" s="86" t="n"/>
      <c r="G445" s="86" t="n"/>
      <c r="H445" s="86" t="n"/>
      <c r="I445" s="86" t="n"/>
      <c r="J445" s="86" t="n"/>
      <c r="K445" s="87" t="n"/>
      <c r="L445" s="86" t="n"/>
      <c r="M445" s="86" t="n"/>
      <c r="N445" s="86" t="n"/>
      <c r="O445" s="86" t="n"/>
      <c r="P445" s="86" t="n"/>
      <c r="Q445" s="88" t="n"/>
      <c r="R445" s="88" t="n"/>
      <c r="S445" s="89" t="n"/>
      <c r="T445" s="80">
        <f>SUM(C445:S445)</f>
        <v/>
      </c>
      <c r="U445" s="73">
        <f>T445/T$7</f>
        <v/>
      </c>
      <c r="V445" s="81" t="n">
        <v>5</v>
      </c>
      <c r="W445" s="76">
        <f>T445*V445</f>
        <v/>
      </c>
      <c r="X445" s="169" t="n"/>
      <c r="Y445" s="33" t="n"/>
      <c r="Z445" s="33" t="n"/>
    </row>
    <row r="446" ht="14" customFormat="1" customHeight="1" s="29">
      <c r="A446" s="78" t="inlineStr">
        <is>
          <t>CG Nouvelle Asie Z</t>
        </is>
      </c>
      <c r="B446" s="75" t="inlineStr">
        <is>
          <t>FR0013290905</t>
        </is>
      </c>
      <c r="C446" s="67" t="n"/>
      <c r="D446" s="67" t="n"/>
      <c r="E446" s="67" t="n"/>
      <c r="F446" s="67" t="n"/>
      <c r="G446" s="67" t="n"/>
      <c r="H446" s="67" t="n"/>
      <c r="I446" s="67" t="n"/>
      <c r="J446" s="67" t="n"/>
      <c r="K446" s="69" t="n"/>
      <c r="L446" s="67" t="n"/>
      <c r="M446" s="67" t="n"/>
      <c r="N446" s="67" t="n"/>
      <c r="O446" s="67" t="n"/>
      <c r="P446" s="67" t="n"/>
      <c r="Q446" s="70" t="n"/>
      <c r="R446" s="70" t="n"/>
      <c r="S446" s="71" t="n"/>
      <c r="T446" s="80">
        <f>SUM(C446:S446)</f>
        <v/>
      </c>
      <c r="U446" s="73">
        <f>T446/T$7</f>
        <v/>
      </c>
      <c r="V446" s="81" t="n">
        <v>4</v>
      </c>
      <c r="W446" s="76">
        <f>T446*V446</f>
        <v/>
      </c>
      <c r="X446" s="169" t="n"/>
      <c r="Y446" s="28" t="n"/>
      <c r="Z446" s="28" t="n"/>
    </row>
    <row r="447" ht="14" customFormat="1" customHeight="1" s="29">
      <c r="A447" s="78" t="inlineStr">
        <is>
          <t>Candriam SRI Equity Em Mkts I EUR Acc</t>
        </is>
      </c>
      <c r="B447" s="75" t="inlineStr">
        <is>
          <t>LU1434524259</t>
        </is>
      </c>
      <c r="C447" s="86" t="n"/>
      <c r="D447" s="86" t="n"/>
      <c r="E447" s="86" t="n"/>
      <c r="F447" s="86" t="n"/>
      <c r="G447" s="86" t="n"/>
      <c r="H447" s="86" t="n"/>
      <c r="I447" s="86" t="n"/>
      <c r="J447" s="86" t="n"/>
      <c r="K447" s="87" t="n"/>
      <c r="L447" s="86" t="n"/>
      <c r="M447" s="86" t="n"/>
      <c r="N447" s="86" t="n"/>
      <c r="O447" s="86" t="n"/>
      <c r="P447" s="86" t="n"/>
      <c r="Q447" s="88" t="n"/>
      <c r="R447" s="88" t="n"/>
      <c r="S447" s="89" t="n"/>
      <c r="T447" s="80">
        <f>SUM(C447:S447)</f>
        <v/>
      </c>
      <c r="U447" s="73">
        <f>T447/T$7</f>
        <v/>
      </c>
      <c r="V447" s="81" t="n">
        <v>4</v>
      </c>
      <c r="W447" s="76">
        <f>T447*V447</f>
        <v/>
      </c>
      <c r="X447" s="169" t="n"/>
      <c r="Y447" s="33" t="n"/>
      <c r="Z447" s="33" t="n"/>
    </row>
    <row r="448" ht="14" customFormat="1" customHeight="1" s="29">
      <c r="A448" s="78" t="inlineStr">
        <is>
          <t>Candriam EM part C</t>
        </is>
      </c>
      <c r="B448" s="75" t="inlineStr">
        <is>
          <t>LU1434523954</t>
        </is>
      </c>
      <c r="C448" s="86" t="n"/>
      <c r="D448" s="86" t="n"/>
      <c r="E448" s="86" t="n"/>
      <c r="F448" s="86" t="n"/>
      <c r="G448" s="86" t="n"/>
      <c r="H448" s="86" t="n"/>
      <c r="I448" s="86" t="n"/>
      <c r="J448" s="86" t="n"/>
      <c r="K448" s="87" t="n"/>
      <c r="L448" s="86" t="n"/>
      <c r="M448" s="86" t="n"/>
      <c r="N448" s="86" t="n"/>
      <c r="O448" s="86" t="n"/>
      <c r="P448" s="86" t="n"/>
      <c r="Q448" s="88" t="n"/>
      <c r="R448" s="88" t="n"/>
      <c r="S448" s="89" t="n"/>
      <c r="T448" s="80">
        <f>SUM(C448:S448)</f>
        <v/>
      </c>
      <c r="U448" s="73">
        <f>T448/T$7</f>
        <v/>
      </c>
      <c r="V448" s="81" t="n">
        <v>4</v>
      </c>
      <c r="W448" s="76">
        <f>T448*V448</f>
        <v/>
      </c>
      <c r="X448" s="169" t="n"/>
      <c r="Y448" s="33" t="n"/>
      <c r="Z448" s="33" t="n"/>
    </row>
    <row r="449" ht="14" customFormat="1" customHeight="1" s="29">
      <c r="A449" s="78" t="inlineStr">
        <is>
          <t>Magellan C</t>
        </is>
      </c>
      <c r="B449" s="75" t="inlineStr">
        <is>
          <t>FR0000292278</t>
        </is>
      </c>
      <c r="C449" s="86" t="n"/>
      <c r="D449" s="86" t="n"/>
      <c r="E449" s="86" t="n"/>
      <c r="F449" s="86" t="n"/>
      <c r="G449" s="86" t="n"/>
      <c r="H449" s="86" t="n"/>
      <c r="I449" s="86" t="n"/>
      <c r="J449" s="86" t="n"/>
      <c r="K449" s="87" t="n"/>
      <c r="L449" s="86" t="n"/>
      <c r="M449" s="86" t="n"/>
      <c r="N449" s="86" t="n"/>
      <c r="O449" s="86" t="n"/>
      <c r="P449" s="86" t="n"/>
      <c r="Q449" s="88" t="n"/>
      <c r="R449" s="88" t="n"/>
      <c r="S449" s="89" t="n"/>
      <c r="T449" s="80">
        <f>SUM(C449:S449)</f>
        <v/>
      </c>
      <c r="U449" s="73">
        <f>T449/T$7</f>
        <v/>
      </c>
      <c r="V449" s="81" t="n">
        <v>4</v>
      </c>
      <c r="W449" s="76">
        <f>T449*V449</f>
        <v/>
      </c>
      <c r="X449" s="169" t="n"/>
      <c r="Y449" s="33" t="n"/>
      <c r="Z449" s="33" t="n"/>
    </row>
    <row r="450" ht="14" customFormat="1" customHeight="1" s="29">
      <c r="A450" s="78" t="n"/>
      <c r="B450" s="75" t="n"/>
      <c r="C450" s="86" t="n"/>
      <c r="D450" s="86" t="n"/>
      <c r="E450" s="86" t="n"/>
      <c r="F450" s="86" t="n"/>
      <c r="G450" s="86" t="n"/>
      <c r="H450" s="86" t="n"/>
      <c r="I450" s="86" t="n"/>
      <c r="J450" s="86" t="n"/>
      <c r="K450" s="87" t="n"/>
      <c r="L450" s="86" t="n"/>
      <c r="M450" s="86" t="n"/>
      <c r="N450" s="86" t="n"/>
      <c r="O450" s="86" t="n"/>
      <c r="P450" s="86" t="n"/>
      <c r="Q450" s="88" t="n"/>
      <c r="R450" s="88" t="n"/>
      <c r="S450" s="89" t="n"/>
      <c r="T450" s="80">
        <f>SUM(C450:S450)</f>
        <v/>
      </c>
      <c r="U450" s="73">
        <f>T450/T$7</f>
        <v/>
      </c>
      <c r="V450" s="81" t="n"/>
      <c r="W450" s="76">
        <f>T450*V450</f>
        <v/>
      </c>
      <c r="X450" s="169" t="n"/>
      <c r="Y450" s="33" t="n"/>
      <c r="Z450" s="33" t="n"/>
    </row>
    <row r="451" ht="14" customFormat="1" customHeight="1" s="29">
      <c r="A451" s="78" t="n"/>
      <c r="B451" s="75" t="n"/>
      <c r="C451" s="86" t="n"/>
      <c r="D451" s="86" t="n"/>
      <c r="E451" s="86" t="n"/>
      <c r="F451" s="86" t="n"/>
      <c r="G451" s="86" t="n"/>
      <c r="H451" s="86" t="n"/>
      <c r="I451" s="86" t="n"/>
      <c r="J451" s="86" t="n"/>
      <c r="K451" s="87" t="n"/>
      <c r="L451" s="86" t="n"/>
      <c r="M451" s="86" t="n"/>
      <c r="N451" s="86" t="n"/>
      <c r="O451" s="86" t="n"/>
      <c r="P451" s="86" t="n"/>
      <c r="Q451" s="88" t="n"/>
      <c r="R451" s="88" t="n"/>
      <c r="S451" s="89" t="n"/>
      <c r="T451" s="80">
        <f>SUM(C451:S451)</f>
        <v/>
      </c>
      <c r="U451" s="73">
        <f>T451/T$7</f>
        <v/>
      </c>
      <c r="V451" s="81" t="n"/>
      <c r="W451" s="76">
        <f>T451*V451</f>
        <v/>
      </c>
      <c r="X451" s="169" t="n"/>
      <c r="Y451" s="33" t="n"/>
      <c r="Z451" s="33" t="n"/>
    </row>
    <row r="452" ht="14" customFormat="1" customHeight="1" s="29">
      <c r="A452" s="78" t="n"/>
      <c r="B452" s="75" t="n"/>
      <c r="C452" s="86" t="n"/>
      <c r="D452" s="86" t="n"/>
      <c r="E452" s="86" t="n"/>
      <c r="F452" s="86" t="n"/>
      <c r="G452" s="86" t="n"/>
      <c r="H452" s="86" t="n"/>
      <c r="I452" s="86" t="n"/>
      <c r="J452" s="86" t="n"/>
      <c r="K452" s="87" t="n"/>
      <c r="L452" s="86" t="n"/>
      <c r="M452" s="86" t="n"/>
      <c r="N452" s="86" t="n"/>
      <c r="O452" s="86" t="n"/>
      <c r="P452" s="86" t="n"/>
      <c r="Q452" s="88" t="n"/>
      <c r="R452" s="88" t="n"/>
      <c r="S452" s="89" t="n"/>
      <c r="T452" s="80">
        <f>SUM(C452:S452)</f>
        <v/>
      </c>
      <c r="U452" s="73">
        <f>T452/T$7</f>
        <v/>
      </c>
      <c r="V452" s="81" t="n"/>
      <c r="W452" s="76">
        <f>T452*V452</f>
        <v/>
      </c>
      <c r="X452" s="169" t="n"/>
      <c r="Y452" s="33" t="n"/>
      <c r="Z452" s="33" t="n"/>
    </row>
    <row r="453" ht="14" customFormat="1" customHeight="1" s="29">
      <c r="A453" s="78" t="n"/>
      <c r="B453" s="75" t="n"/>
      <c r="C453" s="86" t="n"/>
      <c r="D453" s="86" t="n"/>
      <c r="E453" s="86" t="n"/>
      <c r="F453" s="86" t="n"/>
      <c r="G453" s="86" t="n"/>
      <c r="H453" s="86" t="n"/>
      <c r="I453" s="86" t="n"/>
      <c r="J453" s="86" t="n"/>
      <c r="K453" s="87" t="n"/>
      <c r="L453" s="86" t="n"/>
      <c r="M453" s="86" t="n"/>
      <c r="N453" s="86" t="n"/>
      <c r="O453" s="86" t="n"/>
      <c r="P453" s="86" t="n"/>
      <c r="Q453" s="88" t="n"/>
      <c r="R453" s="88" t="n"/>
      <c r="S453" s="89" t="n"/>
      <c r="T453" s="80">
        <f>SUM(C453:S453)</f>
        <v/>
      </c>
      <c r="U453" s="73">
        <f>T453/T$7</f>
        <v/>
      </c>
      <c r="V453" s="81" t="n"/>
      <c r="W453" s="76">
        <f>T453*V453</f>
        <v/>
      </c>
      <c r="X453" s="169" t="n"/>
      <c r="Y453" s="33" t="n"/>
      <c r="Z453" s="33" t="n"/>
    </row>
    <row r="454" ht="14" customFormat="1" customHeight="1" s="29">
      <c r="A454" s="78" t="n"/>
      <c r="B454" s="75" t="n"/>
      <c r="C454" s="86" t="n"/>
      <c r="D454" s="86" t="n"/>
      <c r="E454" s="86" t="n"/>
      <c r="F454" s="86" t="n"/>
      <c r="G454" s="86" t="n"/>
      <c r="H454" s="86" t="n"/>
      <c r="I454" s="86" t="n"/>
      <c r="J454" s="86" t="n"/>
      <c r="K454" s="87" t="n"/>
      <c r="L454" s="86" t="n"/>
      <c r="M454" s="86" t="n"/>
      <c r="N454" s="86" t="n"/>
      <c r="O454" s="86" t="n"/>
      <c r="P454" s="86" t="n"/>
      <c r="Q454" s="88" t="n"/>
      <c r="R454" s="88" t="n"/>
      <c r="S454" s="89" t="n"/>
      <c r="T454" s="80">
        <f>SUM(C454:S454)</f>
        <v/>
      </c>
      <c r="U454" s="73">
        <f>T454/T$7</f>
        <v/>
      </c>
      <c r="V454" s="81" t="n"/>
      <c r="W454" s="76">
        <f>T454*V454</f>
        <v/>
      </c>
      <c r="X454" s="169" t="n"/>
      <c r="Y454" s="33" t="n"/>
      <c r="Z454" s="33" t="n"/>
    </row>
    <row r="455" ht="14" customFormat="1" customHeight="1" s="29">
      <c r="A455" s="162" t="inlineStr">
        <is>
          <t>Or &amp; Bitcoin</t>
        </is>
      </c>
      <c r="B455" s="163" t="n"/>
      <c r="C455" s="164">
        <f>SUM(C456:C460)</f>
        <v/>
      </c>
      <c r="D455" s="164">
        <f>SUM(D456:D460)</f>
        <v/>
      </c>
      <c r="E455" s="164">
        <f>SUM(E456:E460)</f>
        <v/>
      </c>
      <c r="F455" s="164">
        <f>SUM(F456:F460)</f>
        <v/>
      </c>
      <c r="G455" s="164">
        <f>SUM(G456:G460)</f>
        <v/>
      </c>
      <c r="H455" s="164">
        <f>SUM(H456:H460)</f>
        <v/>
      </c>
      <c r="I455" s="164">
        <f>SUM(I456:I460)</f>
        <v/>
      </c>
      <c r="J455" s="164">
        <f>SUM(J456:J460)</f>
        <v/>
      </c>
      <c r="K455" s="164">
        <f>SUM(K456:K460)</f>
        <v/>
      </c>
      <c r="L455" s="164">
        <f>SUM(L456:L460)</f>
        <v/>
      </c>
      <c r="M455" s="164">
        <f>SUM(M456:M460)</f>
        <v/>
      </c>
      <c r="N455" s="164">
        <f>SUM(N456:N460)</f>
        <v/>
      </c>
      <c r="O455" s="164">
        <f>SUM(O456:O460)</f>
        <v/>
      </c>
      <c r="P455" s="164">
        <f>SUM(P456:P460)</f>
        <v/>
      </c>
      <c r="Q455" s="164">
        <f>SUM(Q456:Q460)</f>
        <v/>
      </c>
      <c r="R455" s="164">
        <f>SUM(R456:R460)</f>
        <v/>
      </c>
      <c r="S455" s="164">
        <f>SUM(S456:S460)</f>
        <v/>
      </c>
      <c r="T455" s="165">
        <f>SUM(C455:S455)</f>
        <v/>
      </c>
      <c r="U455" s="166">
        <f>SUM(U456:U460)</f>
        <v/>
      </c>
      <c r="V455" s="167" t="n"/>
      <c r="W455" s="216" t="n"/>
      <c r="X455" s="217" t="n"/>
      <c r="Y455" s="28" t="n"/>
      <c r="Z455" s="28" t="n"/>
    </row>
    <row r="456" ht="14" customFormat="1" customHeight="1" s="29">
      <c r="A456" s="78" t="n"/>
      <c r="B456" s="75" t="n"/>
      <c r="C456" s="86" t="n"/>
      <c r="D456" s="86" t="n"/>
      <c r="E456" s="86" t="n"/>
      <c r="F456" s="86" t="n"/>
      <c r="G456" s="86" t="n"/>
      <c r="H456" s="86" t="n"/>
      <c r="I456" s="86" t="n"/>
      <c r="J456" s="86" t="n"/>
      <c r="K456" s="87" t="n"/>
      <c r="L456" s="86" t="n"/>
      <c r="M456" s="86" t="n"/>
      <c r="N456" s="86" t="n"/>
      <c r="O456" s="86" t="n"/>
      <c r="P456" s="86" t="n"/>
      <c r="Q456" s="88" t="n"/>
      <c r="R456" s="88" t="n"/>
      <c r="S456" s="89" t="n"/>
      <c r="T456" s="80">
        <f>SUM(C456:S456)</f>
        <v/>
      </c>
      <c r="U456" s="73">
        <f>T456/T$7</f>
        <v/>
      </c>
      <c r="V456" s="81" t="n"/>
      <c r="W456" s="76">
        <f>T456*V456</f>
        <v/>
      </c>
      <c r="X456" s="169" t="n"/>
      <c r="Y456" s="33" t="n"/>
      <c r="Z456" s="33" t="n"/>
    </row>
    <row r="457" ht="14" customFormat="1" customHeight="1" s="29">
      <c r="A457" s="78" t="n"/>
      <c r="B457" s="75" t="n"/>
      <c r="C457" s="86" t="n"/>
      <c r="D457" s="86" t="n"/>
      <c r="E457" s="86" t="n"/>
      <c r="F457" s="86" t="n"/>
      <c r="G457" s="86" t="n"/>
      <c r="H457" s="86" t="n"/>
      <c r="I457" s="86" t="n"/>
      <c r="J457" s="86" t="n"/>
      <c r="K457" s="87" t="n"/>
      <c r="L457" s="86" t="n"/>
      <c r="M457" s="86" t="n"/>
      <c r="N457" s="86" t="n"/>
      <c r="O457" s="86" t="n"/>
      <c r="P457" s="86" t="n"/>
      <c r="Q457" s="88" t="n"/>
      <c r="R457" s="88" t="n"/>
      <c r="S457" s="89" t="n"/>
      <c r="T457" s="80">
        <f>SUM(C457:S457)</f>
        <v/>
      </c>
      <c r="U457" s="73">
        <f>T457/T$7</f>
        <v/>
      </c>
      <c r="V457" s="81" t="n"/>
      <c r="W457" s="76">
        <f>T457*V457</f>
        <v/>
      </c>
      <c r="X457" s="169" t="n"/>
      <c r="Y457" s="33" t="n"/>
      <c r="Z457" s="33" t="n"/>
    </row>
    <row r="458" ht="14" customFormat="1" customHeight="1" s="29">
      <c r="A458" s="78" t="n"/>
      <c r="B458" s="75" t="n"/>
      <c r="C458" s="86" t="n"/>
      <c r="D458" s="86" t="n"/>
      <c r="E458" s="86" t="n"/>
      <c r="F458" s="86" t="n"/>
      <c r="G458" s="86" t="n"/>
      <c r="H458" s="86" t="n"/>
      <c r="I458" s="86" t="n"/>
      <c r="J458" s="86" t="n"/>
      <c r="K458" s="87" t="n"/>
      <c r="L458" s="86" t="n"/>
      <c r="M458" s="86" t="n"/>
      <c r="N458" s="86" t="n"/>
      <c r="O458" s="86" t="n"/>
      <c r="P458" s="86" t="n"/>
      <c r="Q458" s="88" t="n"/>
      <c r="R458" s="88" t="n"/>
      <c r="S458" s="89" t="n"/>
      <c r="T458" s="80">
        <f>SUM(C458:S458)</f>
        <v/>
      </c>
      <c r="U458" s="73">
        <f>T458/T$7</f>
        <v/>
      </c>
      <c r="V458" s="81" t="n"/>
      <c r="W458" s="76">
        <f>T458*V458</f>
        <v/>
      </c>
      <c r="X458" s="169" t="n"/>
      <c r="Y458" s="33" t="n"/>
      <c r="Z458" s="33" t="n"/>
    </row>
    <row r="459" ht="14" customFormat="1" customHeight="1" s="29">
      <c r="A459" s="78" t="inlineStr">
        <is>
          <t>Amundi Physical Gold ETC</t>
        </is>
      </c>
      <c r="B459" s="75" t="inlineStr">
        <is>
          <t>FR0013416716</t>
        </is>
      </c>
      <c r="C459" s="86" t="n"/>
      <c r="D459" s="86" t="n"/>
      <c r="E459" s="86" t="n"/>
      <c r="F459" s="86" t="n"/>
      <c r="G459" s="86" t="n"/>
      <c r="H459" s="86" t="n"/>
      <c r="I459" s="86" t="n"/>
      <c r="J459" s="86" t="n"/>
      <c r="K459" s="87" t="n"/>
      <c r="L459" s="86" t="n"/>
      <c r="M459" s="86" t="n"/>
      <c r="N459" s="86" t="n"/>
      <c r="O459" s="86" t="n"/>
      <c r="P459" s="86" t="n"/>
      <c r="Q459" s="88" t="n"/>
      <c r="R459" s="88" t="n"/>
      <c r="S459" s="89" t="n"/>
      <c r="T459" s="80">
        <f>SUM(C459:S459)</f>
        <v/>
      </c>
      <c r="U459" s="73">
        <f>T459/T$7</f>
        <v/>
      </c>
      <c r="V459" s="81" t="n">
        <v>4</v>
      </c>
      <c r="W459" s="76">
        <f>T459*V459</f>
        <v/>
      </c>
      <c r="X459" s="169" t="n"/>
      <c r="Y459" s="33" t="n"/>
      <c r="Z459" s="33" t="n"/>
    </row>
    <row r="460" ht="14" customFormat="1" customHeight="1" s="29" thickBot="1">
      <c r="A460" s="78" t="inlineStr">
        <is>
          <t>iShares Bitcoin Trust ETF</t>
        </is>
      </c>
      <c r="B460" s="75" t="inlineStr">
        <is>
          <t>US46438F1012</t>
        </is>
      </c>
      <c r="C460" s="67" t="n"/>
      <c r="D460" s="67" t="n"/>
      <c r="E460" s="67" t="n"/>
      <c r="F460" s="67" t="n"/>
      <c r="G460" s="67" t="n"/>
      <c r="H460" s="67" t="n"/>
      <c r="I460" s="67" t="n"/>
      <c r="J460" s="67" t="n"/>
      <c r="K460" s="69" t="n"/>
      <c r="L460" s="67" t="n"/>
      <c r="M460" s="67" t="n"/>
      <c r="N460" s="67" t="n"/>
      <c r="O460" s="67" t="n"/>
      <c r="P460" s="67" t="n"/>
      <c r="Q460" s="220" t="n"/>
      <c r="R460" s="70" t="n"/>
      <c r="S460" s="71" t="n"/>
      <c r="T460" s="221">
        <f>SUM(C460:S460)</f>
        <v/>
      </c>
      <c r="U460" s="73">
        <f>T460/T$7</f>
        <v/>
      </c>
      <c r="V460" s="81" t="n">
        <v>7</v>
      </c>
      <c r="W460" s="76">
        <f>T460*V460</f>
        <v/>
      </c>
      <c r="X460" s="169" t="n"/>
      <c r="Y460" s="28" t="n"/>
      <c r="Z460" s="28" t="n"/>
    </row>
    <row r="461" ht="12.5" customHeight="1">
      <c r="A461" s="243" t="inlineStr">
        <is>
          <t>Les données en italique correspondent aux fonds logés dans un Fonds d'Assurance Spécialisé*</t>
        </is>
      </c>
      <c r="B461" s="244" t="n"/>
      <c r="C461" s="244" t="n"/>
      <c r="D461" s="244" t="n"/>
      <c r="E461" s="222" t="n"/>
      <c r="F461" s="222" t="n"/>
      <c r="G461" s="222" t="n"/>
      <c r="H461" s="222" t="n"/>
      <c r="I461" s="222" t="n"/>
      <c r="J461" s="222" t="n"/>
      <c r="K461" s="222" t="n"/>
      <c r="L461" s="222" t="n"/>
      <c r="M461" s="222" t="n"/>
      <c r="N461" s="222" t="n"/>
      <c r="O461" s="222" t="n"/>
      <c r="P461" s="222" t="n"/>
      <c r="Q461" s="222" t="n"/>
      <c r="R461" s="222" t="n"/>
      <c r="S461" s="222" t="n"/>
      <c r="T461" s="222" t="n"/>
      <c r="U461" s="223" t="n"/>
      <c r="V461" s="224" t="n"/>
      <c r="W461" s="224" t="n"/>
      <c r="X461" s="224" t="n"/>
      <c r="Y461" s="28" t="n"/>
      <c r="Z461" s="28" t="n"/>
    </row>
    <row r="462" ht="14.5" customFormat="1" customHeight="1" s="228">
      <c r="A462" s="40" t="n"/>
      <c r="C462" s="229" t="n"/>
      <c r="D462" s="229" t="n"/>
      <c r="E462" s="229" t="n"/>
      <c r="F462" s="229" t="n"/>
      <c r="G462" s="229" t="n"/>
      <c r="H462" s="229" t="n"/>
      <c r="I462" s="229" t="n"/>
      <c r="J462" s="229" t="n"/>
      <c r="K462" s="229" t="n"/>
      <c r="L462" s="229" t="n"/>
      <c r="M462" s="229" t="n"/>
      <c r="N462" s="229" t="n"/>
      <c r="O462" s="229" t="n"/>
      <c r="P462" s="229" t="n"/>
      <c r="Q462" s="229" t="n"/>
      <c r="R462" s="229" t="n"/>
      <c r="S462" s="229" t="n"/>
      <c r="T462" s="229" t="n"/>
      <c r="U462" s="41" t="n"/>
      <c r="Y462" s="28" t="n"/>
      <c r="Z462" s="28" t="n"/>
    </row>
    <row r="463" ht="13.5" customFormat="1" customHeight="1" s="228">
      <c r="A463" s="42" t="inlineStr">
        <is>
          <t>dont actions européennes</t>
        </is>
      </c>
      <c r="B463" s="90">
        <f>IFERROR(U312,"/")</f>
        <v/>
      </c>
      <c r="C463" s="229" t="n"/>
      <c r="G463" s="229" t="n"/>
      <c r="H463" s="229" t="n"/>
      <c r="I463" s="229" t="n"/>
      <c r="J463" s="229" t="n"/>
      <c r="K463" s="229" t="n"/>
      <c r="L463" s="229" t="n"/>
      <c r="M463" s="229" t="n"/>
      <c r="N463" s="229" t="n"/>
      <c r="O463" s="229" t="n"/>
      <c r="P463" s="229" t="n"/>
      <c r="Q463" s="229" t="n"/>
      <c r="R463" s="229" t="n"/>
      <c r="S463" s="229" t="n"/>
      <c r="T463" s="42">
        <f>A8</f>
        <v/>
      </c>
      <c r="U463" s="90">
        <f>U8</f>
        <v/>
      </c>
      <c r="Y463" s="28" t="n"/>
      <c r="Z463" s="28" t="n"/>
    </row>
    <row r="464" customFormat="1" s="228">
      <c r="A464" s="43" t="inlineStr">
        <is>
          <t>dont actions américaines</t>
        </is>
      </c>
      <c r="B464" s="91">
        <f>IFERROR(U352,"/")</f>
        <v/>
      </c>
      <c r="C464" s="229" t="n"/>
      <c r="G464" s="229" t="n"/>
      <c r="H464" s="229" t="n"/>
      <c r="I464" s="229" t="n"/>
      <c r="J464" s="229" t="n"/>
      <c r="K464" s="229" t="n"/>
      <c r="L464" s="229" t="n"/>
      <c r="M464" s="229" t="n"/>
      <c r="N464" s="229" t="n"/>
      <c r="O464" s="229" t="n"/>
      <c r="P464" s="229" t="n"/>
      <c r="Q464" s="229" t="n"/>
      <c r="R464" s="229" t="n"/>
      <c r="S464" s="229" t="n"/>
      <c r="T464" s="43">
        <f>A100</f>
        <v/>
      </c>
      <c r="U464" s="91">
        <f>U100</f>
        <v/>
      </c>
      <c r="Y464" s="28" t="n"/>
      <c r="Z464" s="28" t="n"/>
    </row>
    <row r="465" customFormat="1" s="228">
      <c r="A465" s="43" t="inlineStr">
        <is>
          <t>dont actions internationales</t>
        </is>
      </c>
      <c r="B465" s="91">
        <f>IFERROR(U389,"/")</f>
        <v/>
      </c>
      <c r="C465" s="229" t="n"/>
      <c r="G465" s="229" t="n"/>
      <c r="H465" s="229" t="n"/>
      <c r="I465" s="229" t="n"/>
      <c r="J465" s="229" t="n"/>
      <c r="K465" s="229" t="n"/>
      <c r="L465" s="229" t="n"/>
      <c r="M465" s="229" t="n"/>
      <c r="N465" s="229" t="n"/>
      <c r="O465" s="229" t="n"/>
      <c r="P465" s="229" t="n"/>
      <c r="Q465" s="229" t="n"/>
      <c r="R465" s="229" t="n"/>
      <c r="S465" s="229" t="n"/>
      <c r="T465" s="43">
        <f>A139</f>
        <v/>
      </c>
      <c r="U465" s="91">
        <f>U139</f>
        <v/>
      </c>
      <c r="Y465" s="233" t="n"/>
      <c r="Z465" s="233" t="n"/>
    </row>
    <row r="466" customFormat="1" s="228">
      <c r="A466" s="43" t="inlineStr">
        <is>
          <t>dont actions japonaises</t>
        </is>
      </c>
      <c r="B466" s="92">
        <f>IFERROR(U424,"/")</f>
        <v/>
      </c>
      <c r="C466" s="229" t="n"/>
      <c r="G466" s="229" t="n"/>
      <c r="H466" s="229" t="n"/>
      <c r="I466" s="229" t="n"/>
      <c r="J466" s="229" t="n"/>
      <c r="K466" s="229" t="n"/>
      <c r="L466" s="229" t="n"/>
      <c r="M466" s="229" t="n"/>
      <c r="N466" s="229" t="n"/>
      <c r="O466" s="229" t="n"/>
      <c r="P466" s="229" t="n"/>
      <c r="Q466" s="229" t="n"/>
      <c r="R466" s="229" t="n"/>
      <c r="S466" s="229" t="n"/>
      <c r="T466" s="43">
        <f>A173</f>
        <v/>
      </c>
      <c r="U466" s="92">
        <f>U173</f>
        <v/>
      </c>
      <c r="Y466" s="233" t="n"/>
      <c r="Z466" s="233" t="n"/>
    </row>
    <row r="467" customFormat="1" s="228">
      <c r="A467" s="44" t="inlineStr">
        <is>
          <t>dont actions marchés émergents</t>
        </is>
      </c>
      <c r="B467" s="93">
        <f>IFERROR(U431,"/")</f>
        <v/>
      </c>
      <c r="C467" s="229" t="n"/>
      <c r="G467" s="229" t="n"/>
      <c r="H467" s="229" t="n"/>
      <c r="I467" s="229" t="n"/>
      <c r="J467" s="229" t="n"/>
      <c r="K467" s="229" t="n"/>
      <c r="L467" s="229" t="n"/>
      <c r="M467" s="229" t="n"/>
      <c r="N467" s="229" t="n"/>
      <c r="O467" s="229" t="n"/>
      <c r="P467" s="229" t="n"/>
      <c r="Q467" s="229" t="n"/>
      <c r="R467" s="229" t="n"/>
      <c r="S467" s="229" t="n"/>
      <c r="T467" s="43">
        <f>A194</f>
        <v/>
      </c>
      <c r="U467" s="92">
        <f>U194</f>
        <v/>
      </c>
      <c r="Y467" s="233" t="n"/>
      <c r="Z467" s="233" t="n"/>
    </row>
    <row r="468" hidden="1" ht="9.75" customFormat="1" customHeight="1" s="228">
      <c r="B468" s="45" t="n"/>
      <c r="C468" s="229" t="n"/>
      <c r="G468" s="229" t="n"/>
      <c r="H468" s="229" t="n"/>
      <c r="I468" s="229" t="n"/>
      <c r="J468" s="229" t="n"/>
      <c r="K468" s="229" t="n"/>
      <c r="L468" s="229" t="n"/>
      <c r="M468" s="229" t="n"/>
      <c r="N468" s="229" t="n"/>
      <c r="O468" s="229" t="n"/>
      <c r="P468" s="229" t="n"/>
      <c r="Q468" s="229" t="n"/>
      <c r="R468" s="229" t="n"/>
      <c r="S468" s="229" t="n"/>
      <c r="T468" s="46" t="n"/>
      <c r="U468" s="91" t="n"/>
      <c r="Y468" s="233" t="n"/>
      <c r="Z468" s="233" t="n"/>
    </row>
    <row r="469" customFormat="1" s="228">
      <c r="B469" s="45" t="n"/>
      <c r="C469" s="229" t="n"/>
      <c r="G469" s="229" t="n"/>
      <c r="H469" s="229" t="n"/>
      <c r="I469" s="229" t="n"/>
      <c r="J469" s="229" t="n"/>
      <c r="K469" s="229" t="n"/>
      <c r="L469" s="229" t="n"/>
      <c r="M469" s="229" t="n"/>
      <c r="N469" s="229" t="n"/>
      <c r="O469" s="229" t="n"/>
      <c r="P469" s="229" t="n"/>
      <c r="Q469" s="229" t="n"/>
      <c r="R469" s="229" t="n"/>
      <c r="S469" s="229" t="n"/>
      <c r="T469" s="43">
        <f>A230</f>
        <v/>
      </c>
      <c r="U469" s="92">
        <f>U230</f>
        <v/>
      </c>
      <c r="Y469" s="233" t="n"/>
      <c r="Z469" s="233" t="n"/>
    </row>
    <row r="470" customFormat="1" s="228">
      <c r="B470" s="47" t="n"/>
      <c r="C470" s="229" t="n"/>
      <c r="G470" s="229" t="n"/>
      <c r="H470" s="229" t="n"/>
      <c r="I470" s="229" t="n"/>
      <c r="J470" s="229" t="n"/>
      <c r="K470" s="229" t="n"/>
      <c r="L470" s="229" t="n"/>
      <c r="M470" s="229" t="n"/>
      <c r="N470" s="229" t="n"/>
      <c r="O470" s="229" t="n"/>
      <c r="P470" s="229" t="n"/>
      <c r="Q470" s="229" t="n"/>
      <c r="R470" s="229" t="n"/>
      <c r="S470" s="229" t="n"/>
      <c r="T470" s="44">
        <f>A311</f>
        <v/>
      </c>
      <c r="U470" s="93">
        <f>U311</f>
        <v/>
      </c>
      <c r="Y470" s="233" t="n"/>
      <c r="Z470" s="233" t="n"/>
    </row>
    <row r="471" ht="9.75" customFormat="1" customHeight="1" s="228">
      <c r="B471" s="47" t="n"/>
      <c r="C471" s="229" t="n"/>
      <c r="D471" s="229" t="n"/>
      <c r="E471" s="229" t="n"/>
      <c r="F471" s="229" t="n"/>
      <c r="G471" s="229" t="n"/>
      <c r="H471" s="229" t="n"/>
      <c r="I471" s="229" t="n"/>
      <c r="J471" s="229" t="n"/>
      <c r="K471" s="229" t="n"/>
      <c r="L471" s="229" t="n"/>
      <c r="M471" s="229" t="n"/>
      <c r="N471" s="229" t="n"/>
      <c r="O471" s="229" t="n"/>
      <c r="P471" s="229" t="n"/>
      <c r="Q471" s="229" t="n"/>
      <c r="R471" s="229" t="n"/>
      <c r="S471" s="229" t="n"/>
      <c r="T471" s="229" t="n"/>
      <c r="U471" s="41" t="n"/>
      <c r="V471" s="47" t="n"/>
      <c r="W471" s="47" t="n"/>
      <c r="X471" s="47" t="n"/>
      <c r="Y471" s="233" t="n"/>
      <c r="Z471" s="233" t="n"/>
    </row>
    <row r="472" ht="9.75" customFormat="1" customHeight="1" s="228">
      <c r="C472" s="229" t="n"/>
      <c r="D472" s="229" t="n"/>
      <c r="E472" s="229" t="n"/>
      <c r="F472" s="229" t="n"/>
      <c r="G472" s="229" t="n"/>
      <c r="H472" s="229" t="n"/>
      <c r="I472" s="229" t="n"/>
      <c r="J472" s="229" t="n"/>
      <c r="K472" s="229" t="n"/>
      <c r="L472" s="229" t="n"/>
      <c r="M472" s="229" t="n"/>
      <c r="N472" s="229" t="n"/>
      <c r="O472" s="229" t="n"/>
      <c r="P472" s="229" t="n"/>
      <c r="Q472" s="229" t="n"/>
      <c r="R472" s="229" t="n"/>
      <c r="S472" s="229" t="n"/>
      <c r="T472" s="229" t="n"/>
      <c r="U472" s="41" t="n"/>
      <c r="V472" s="47" t="n"/>
      <c r="W472" s="47" t="n"/>
      <c r="X472" s="47" t="n"/>
      <c r="Y472" s="233" t="n"/>
      <c r="Z472" s="233" t="n"/>
    </row>
    <row r="473" ht="9.75" customFormat="1" customHeight="1" s="228">
      <c r="C473" s="229" t="n"/>
      <c r="D473" s="229" t="n"/>
      <c r="E473" s="229" t="n"/>
      <c r="F473" s="229" t="n"/>
      <c r="G473" s="229" t="n"/>
      <c r="H473" s="229" t="n"/>
      <c r="I473" s="229" t="n"/>
      <c r="J473" s="229" t="n"/>
      <c r="K473" s="229" t="n"/>
      <c r="L473" s="229" t="n"/>
      <c r="M473" s="229" t="n"/>
      <c r="N473" s="229" t="n"/>
      <c r="O473" s="229" t="n"/>
      <c r="P473" s="229" t="n"/>
      <c r="Q473" s="229" t="n"/>
      <c r="R473" s="229" t="n"/>
      <c r="S473" s="229" t="n"/>
      <c r="T473" s="229" t="n"/>
      <c r="U473" s="41" t="n"/>
      <c r="V473" s="47" t="n"/>
      <c r="W473" s="47" t="n"/>
      <c r="X473" s="47" t="n"/>
      <c r="Y473" s="233" t="n"/>
      <c r="Z473" s="233" t="n"/>
    </row>
    <row r="474" ht="9.75" customFormat="1" customHeight="1" s="228">
      <c r="C474" s="229" t="n"/>
      <c r="D474" s="229" t="n"/>
      <c r="E474" s="229" t="n"/>
      <c r="F474" s="229" t="n"/>
      <c r="G474" s="229" t="n"/>
      <c r="H474" s="229" t="n"/>
      <c r="I474" s="229" t="n"/>
      <c r="J474" s="229" t="n"/>
      <c r="K474" s="229" t="n"/>
      <c r="L474" s="229" t="n"/>
      <c r="M474" s="229" t="n"/>
      <c r="N474" s="229" t="n"/>
      <c r="O474" s="229" t="n"/>
      <c r="P474" s="229" t="n"/>
      <c r="Q474" s="229" t="n"/>
      <c r="R474" s="229" t="n"/>
      <c r="S474" s="229" t="n"/>
      <c r="T474" s="229" t="n"/>
      <c r="U474" s="41" t="n"/>
      <c r="V474" s="47" t="n"/>
      <c r="W474" s="47" t="n"/>
      <c r="X474" s="47" t="n"/>
      <c r="Y474" s="233" t="n"/>
      <c r="Z474" s="233" t="n"/>
    </row>
    <row r="475" ht="9.75" customFormat="1" customHeight="1" s="228">
      <c r="C475" s="229" t="n"/>
      <c r="D475" s="229" t="n"/>
      <c r="E475" s="229" t="n"/>
      <c r="F475" s="229" t="n"/>
      <c r="G475" s="229" t="n"/>
      <c r="H475" s="229" t="n"/>
      <c r="I475" s="229" t="n"/>
      <c r="J475" s="229" t="n"/>
      <c r="K475" s="229" t="n"/>
      <c r="L475" s="229" t="n"/>
      <c r="M475" s="229" t="n"/>
      <c r="N475" s="229" t="n"/>
      <c r="O475" s="229" t="n"/>
      <c r="P475" s="229" t="n"/>
      <c r="Q475" s="229" t="n"/>
      <c r="R475" s="229" t="n"/>
      <c r="S475" s="229" t="n"/>
      <c r="T475" s="229" t="n"/>
      <c r="U475" s="41" t="n"/>
      <c r="V475" s="47" t="n"/>
      <c r="W475" s="47" t="n"/>
      <c r="X475" s="47" t="n"/>
      <c r="Y475" s="233" t="n"/>
      <c r="Z475" s="233" t="n"/>
    </row>
    <row r="476" ht="9.75" customFormat="1" customHeight="1" s="228">
      <c r="C476" s="229" t="n"/>
      <c r="D476" s="229" t="n"/>
      <c r="E476" s="229" t="n"/>
      <c r="F476" s="229" t="n"/>
      <c r="G476" s="229" t="n"/>
      <c r="H476" s="229" t="n"/>
      <c r="I476" s="229" t="n"/>
      <c r="J476" s="229" t="n"/>
      <c r="K476" s="229" t="n"/>
      <c r="L476" s="229" t="n"/>
      <c r="M476" s="229" t="n"/>
      <c r="N476" s="229" t="n"/>
      <c r="O476" s="229" t="n"/>
      <c r="P476" s="229" t="n"/>
      <c r="Q476" s="229" t="n"/>
      <c r="R476" s="229" t="n"/>
      <c r="S476" s="229" t="n"/>
      <c r="T476" s="229" t="n"/>
      <c r="U476" s="41" t="n"/>
      <c r="V476" s="47" t="n"/>
      <c r="W476" s="47" t="n"/>
      <c r="X476" s="47" t="n"/>
      <c r="Y476" s="233" t="n"/>
      <c r="Z476" s="233" t="n"/>
    </row>
    <row r="477" ht="9.75" customFormat="1" customHeight="1" s="228">
      <c r="C477" s="229" t="n"/>
      <c r="D477" s="229" t="n"/>
      <c r="E477" s="229" t="n"/>
      <c r="F477" s="229" t="n"/>
      <c r="G477" s="229" t="n"/>
      <c r="H477" s="229" t="n"/>
      <c r="I477" s="229" t="n"/>
      <c r="J477" s="229" t="n"/>
      <c r="K477" s="229" t="n"/>
      <c r="L477" s="229" t="n"/>
      <c r="M477" s="229" t="n"/>
      <c r="N477" s="229" t="n"/>
      <c r="O477" s="229" t="n"/>
      <c r="P477" s="229" t="n"/>
      <c r="Q477" s="229" t="n"/>
      <c r="R477" s="229" t="n"/>
      <c r="S477" s="229" t="n"/>
      <c r="T477" s="229" t="n"/>
      <c r="U477" s="41" t="n"/>
      <c r="V477" s="47" t="n"/>
      <c r="W477" s="47" t="n"/>
      <c r="X477" s="47" t="n"/>
      <c r="Y477" s="233" t="n"/>
      <c r="Z477" s="233" t="n"/>
    </row>
    <row r="478" ht="9.75" customFormat="1" customHeight="1" s="228">
      <c r="C478" s="229" t="n"/>
      <c r="D478" s="229" t="n"/>
      <c r="E478" s="229" t="n"/>
      <c r="F478" s="229" t="n"/>
      <c r="G478" s="229" t="n"/>
      <c r="H478" s="229" t="n"/>
      <c r="I478" s="229" t="n"/>
      <c r="J478" s="229" t="n"/>
      <c r="K478" s="229" t="n"/>
      <c r="L478" s="229" t="n"/>
      <c r="M478" s="229" t="n"/>
      <c r="N478" s="229" t="n"/>
      <c r="O478" s="229" t="n"/>
      <c r="P478" s="229" t="n"/>
      <c r="Q478" s="229" t="n"/>
      <c r="R478" s="229" t="n"/>
      <c r="S478" s="229" t="n"/>
      <c r="T478" s="229" t="n"/>
      <c r="U478" s="41" t="n"/>
      <c r="V478" s="47" t="n"/>
      <c r="W478" s="47" t="n"/>
      <c r="X478" s="47" t="n"/>
      <c r="Y478" s="233" t="n"/>
      <c r="Z478" s="233" t="n"/>
    </row>
    <row r="479" ht="9.75" customHeight="1">
      <c r="C479" s="48" t="n"/>
      <c r="D479" s="48" t="n"/>
      <c r="E479" s="48" t="n"/>
      <c r="F479" s="48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9" t="n"/>
      <c r="V479" s="32" t="n"/>
      <c r="W479" s="32" t="n"/>
      <c r="X479" s="32" t="n"/>
    </row>
    <row r="480" ht="9.75" customHeight="1">
      <c r="C480" s="48" t="n"/>
      <c r="D480" s="48" t="n"/>
      <c r="E480" s="48" t="n"/>
      <c r="F480" s="48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9" t="n"/>
      <c r="V480" s="32" t="n"/>
      <c r="W480" s="32" t="n"/>
      <c r="X480" s="32" t="n"/>
    </row>
    <row r="481" ht="9.75" customHeight="1">
      <c r="A481" s="32" t="n"/>
      <c r="B481" s="45" t="n"/>
      <c r="C481" s="48" t="n"/>
      <c r="D481" s="48" t="n"/>
      <c r="E481" s="48" t="n"/>
      <c r="F481" s="48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9" t="n"/>
      <c r="V481" s="32" t="n"/>
      <c r="W481" s="32" t="n"/>
      <c r="X481" s="32" t="n"/>
    </row>
    <row r="482" ht="9.75" customHeight="1">
      <c r="A482" s="32" t="n"/>
      <c r="B482" s="45" t="n"/>
      <c r="C482" s="48" t="n"/>
      <c r="D482" s="48" t="n"/>
      <c r="E482" s="48" t="n"/>
      <c r="F482" s="48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9" t="n"/>
      <c r="V482" s="32" t="n"/>
      <c r="W482" s="32" t="n"/>
      <c r="X482" s="32" t="n"/>
    </row>
    <row r="483" ht="9.75" customHeight="1">
      <c r="A483" s="32" t="n"/>
      <c r="B483" s="45" t="n"/>
      <c r="C483" s="48" t="n"/>
      <c r="D483" s="48" t="n"/>
      <c r="E483" s="48" t="n"/>
      <c r="F483" s="48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9" t="n"/>
      <c r="V483" s="32" t="n"/>
      <c r="W483" s="32" t="n"/>
      <c r="X483" s="32" t="n"/>
    </row>
  </sheetData>
  <mergeCells count="14">
    <mergeCell ref="A139:B139"/>
    <mergeCell ref="A461:D461"/>
    <mergeCell ref="A3:X3"/>
    <mergeCell ref="A173:B173"/>
    <mergeCell ref="T6:U6"/>
    <mergeCell ref="A230:B230"/>
    <mergeCell ref="A194:B194"/>
    <mergeCell ref="Z6:AA7"/>
    <mergeCell ref="A1:X1"/>
    <mergeCell ref="A6:A7"/>
    <mergeCell ref="A8:B8"/>
    <mergeCell ref="B6:B7"/>
    <mergeCell ref="A311:B311"/>
    <mergeCell ref="X6:X7"/>
  </mergeCells>
  <conditionalFormatting sqref="X8:X460">
    <cfRule type="expression" priority="3" dxfId="1" stopIfTrue="1">
      <formula>AND(X8&lt;&gt;"",X8&lt;TODAY()-90)</formula>
    </cfRule>
    <cfRule type="expression" priority="4" dxfId="0">
      <formula>AND(X8&lt;&gt;"",X8&gt;=TODAY()-90)</formula>
    </cfRule>
  </conditionalFormatting>
  <conditionalFormatting sqref="Z8:AA9">
    <cfRule type="expression" priority="1" dxfId="1" stopIfTrue="1">
      <formula>AND(Z8&lt;&gt;"",Z8&lt;TODAY()-90)</formula>
    </cfRule>
    <cfRule type="expression" priority="2" dxfId="0">
      <formula>AND(Z8&lt;&gt;"",Z8&gt;=TODAY()-90)</formula>
    </cfRule>
  </conditionalFormatting>
  <hyperlinks>
    <hyperlink xmlns:r="http://schemas.openxmlformats.org/officeDocument/2006/relationships" ref="B330" r:id="rId1"/>
    <hyperlink xmlns:r="http://schemas.openxmlformats.org/officeDocument/2006/relationships" ref="B336" r:id="rId2"/>
    <hyperlink xmlns:r="http://schemas.openxmlformats.org/officeDocument/2006/relationships" ref="B460" r:id="rId3"/>
  </hyperlinks>
  <printOptions horizontalCentered="1" verticalCentered="1"/>
  <pageMargins left="0" right="0" top="0" bottom="0" header="0.511811023622047" footer="0.511811023622047"/>
  <pageSetup orientation="landscape" paperSize="8" scale="12" horizontalDpi="300" verticalDpi="300"/>
</worksheet>
</file>

<file path=xl/worksheets/sheet2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AD483"/>
  <sheetViews>
    <sheetView workbookViewId="0">
      <selection activeCell="A1" sqref="A1"/>
    </sheetView>
  </sheetViews>
  <sheetFormatPr baseColWidth="10" defaultColWidth="11.453125" defaultRowHeight="14"/>
  <cols>
    <col width="39.1796875" customWidth="1" style="233" min="1" max="1"/>
    <col width="14.81640625" customWidth="1" style="228" min="2" max="2"/>
    <col width="16" customWidth="1" style="229" min="3" max="19"/>
    <col width="32" customWidth="1" min="4" max="4"/>
    <col width="32" customWidth="1" min="5" max="5"/>
    <col width="30" customWidth="1" min="6" max="6"/>
    <col width="46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5.6328125" customWidth="1" style="230" min="20" max="20"/>
    <col hidden="1" width="13.6328125" customWidth="1" style="231" min="21" max="21"/>
    <col hidden="1" width="10.6328125" customWidth="1" style="232" min="22" max="22"/>
    <col hidden="1" width="11.453125" customWidth="1" style="232" min="23" max="23"/>
    <col hidden="1" width="13.81640625" customWidth="1" style="232" min="24" max="24"/>
    <col hidden="1" width="8.81640625" customWidth="1" style="233" min="25" max="25"/>
    <col hidden="1" width="12" customWidth="1" style="233" min="26" max="26"/>
    <col hidden="1" width="11.453125" customWidth="1" style="233" min="27" max="28"/>
    <col hidden="1" width="13" customWidth="1" min="28" max="28"/>
    <col hidden="1" width="11.453125" customWidth="1" style="233" min="29" max="16384"/>
    <col hidden="1" width="13" customWidth="1" min="30" max="30"/>
  </cols>
  <sheetData>
    <row r="1" ht="22.5" customHeight="1">
      <c r="A1" s="227" t="inlineStr">
        <is>
          <t>Consolidation ******</t>
        </is>
      </c>
    </row>
    <row r="3" ht="12" customHeight="1">
      <c r="A3" s="265" t="inlineStr">
        <is>
          <t>Date à préciser</t>
        </is>
      </c>
    </row>
    <row r="4" ht="10.5" customHeight="1">
      <c r="A4" s="5" t="n"/>
      <c r="B4" s="6" t="n"/>
    </row>
    <row r="5" ht="19" customHeight="1" thickBot="1">
      <c r="A5" s="5" t="n"/>
      <c r="B5" s="6" t="n"/>
    </row>
    <row r="6" ht="42" customHeight="1">
      <c r="A6" s="237" t="inlineStr">
        <is>
          <t>Support</t>
        </is>
      </c>
      <c r="B6" s="241" t="inlineStr">
        <is>
          <t>ISIN &amp; DIC</t>
        </is>
      </c>
      <c r="C6" s="241" t="inlineStr">
        <is>
          <t>Date d'investissement</t>
        </is>
      </c>
      <c r="D6" s="241" t="inlineStr">
        <is>
          <t>Prochain ordre — entrée</t>
        </is>
      </c>
      <c r="E6" s="241" t="inlineStr">
        <is>
          <t>Prochain ordre — sortie</t>
        </is>
      </c>
      <c r="F6" s="241" t="inlineStr">
        <is>
          <t>Prochaine réception du cash</t>
        </is>
      </c>
      <c r="G6" s="241" t="inlineStr">
        <is>
          <t>Pénalité de sortie</t>
        </is>
      </c>
    </row>
    <row r="7" ht="14.5" customHeight="1">
      <c r="A7" s="234" t="n"/>
      <c r="B7" s="242" t="n"/>
    </row>
    <row r="8" ht="15" customHeight="1">
      <c r="A8" s="235" t="inlineStr">
        <is>
          <t>Fonds prudents</t>
        </is>
      </c>
      <c r="B8" s="236" t="n"/>
      <c r="C8" s="235" t="n"/>
      <c r="D8" s="235" t="n"/>
      <c r="E8" s="235" t="n"/>
      <c r="F8" s="235" t="n"/>
      <c r="G8" s="235" t="n"/>
    </row>
    <row r="9" ht="14" customHeight="1">
      <c r="A9" s="140" t="inlineStr">
        <is>
          <t>Fonds en euro garanti</t>
        </is>
      </c>
      <c r="B9" s="141" t="n"/>
      <c r="C9" s="140" t="n"/>
      <c r="D9" s="140" t="n"/>
      <c r="E9" s="140" t="n"/>
      <c r="F9" s="140" t="n"/>
      <c r="G9" s="140" t="n"/>
    </row>
    <row r="10" ht="14" customHeight="1">
      <c r="A10" s="65" t="inlineStr">
        <is>
          <t xml:space="preserve">Fonds en euro </t>
        </is>
      </c>
      <c r="B10" s="66" t="inlineStr">
        <is>
          <t>/</t>
        </is>
      </c>
      <c r="C10" s="267" t="n"/>
      <c r="D10" s="79" t="inlineStr">
        <is>
          <t>—</t>
        </is>
      </c>
      <c r="E10" s="79" t="inlineStr">
        <is>
          <t>—</t>
        </is>
      </c>
      <c r="F10" s="79" t="inlineStr">
        <is>
          <t>—</t>
        </is>
      </c>
      <c r="G10" s="79" t="inlineStr">
        <is>
          <t>—</t>
        </is>
      </c>
    </row>
    <row r="11" ht="14" customHeight="1">
      <c r="A11" s="65" t="inlineStr">
        <is>
          <t>Fonds en euro CARDIF Lux</t>
        </is>
      </c>
      <c r="B11" s="66" t="inlineStr">
        <is>
          <t>/</t>
        </is>
      </c>
      <c r="C11" s="267" t="n"/>
      <c r="D11" s="79" t="inlineStr">
        <is>
          <t>—</t>
        </is>
      </c>
      <c r="E11" s="79" t="inlineStr">
        <is>
          <t>—</t>
        </is>
      </c>
      <c r="F11" s="79" t="inlineStr">
        <is>
          <t>—</t>
        </is>
      </c>
      <c r="G11" s="79" t="inlineStr">
        <is>
          <t>—</t>
        </is>
      </c>
    </row>
    <row r="12" ht="14" customHeight="1">
      <c r="A12" s="65" t="inlineStr">
        <is>
          <t>Actif Général Generali Vie</t>
        </is>
      </c>
      <c r="B12" s="66" t="inlineStr">
        <is>
          <t>/</t>
        </is>
      </c>
      <c r="C12" s="267" t="n"/>
      <c r="D12" s="79" t="inlineStr">
        <is>
          <t>—</t>
        </is>
      </c>
      <c r="E12" s="79" t="inlineStr">
        <is>
          <t>—</t>
        </is>
      </c>
      <c r="F12" s="79" t="inlineStr">
        <is>
          <t>—</t>
        </is>
      </c>
      <c r="G12" s="79" t="inlineStr">
        <is>
          <t>—</t>
        </is>
      </c>
    </row>
    <row r="13" ht="14" customHeight="1">
      <c r="A13" s="65" t="inlineStr">
        <is>
          <t>Allianz Fonds Euros</t>
        </is>
      </c>
      <c r="B13" s="66" t="inlineStr">
        <is>
          <t>/</t>
        </is>
      </c>
      <c r="C13" s="267" t="n"/>
      <c r="D13" s="79" t="inlineStr">
        <is>
          <t>—</t>
        </is>
      </c>
      <c r="E13" s="79" t="inlineStr">
        <is>
          <t>—</t>
        </is>
      </c>
      <c r="F13" s="79" t="inlineStr">
        <is>
          <t>—</t>
        </is>
      </c>
      <c r="G13" s="79" t="inlineStr">
        <is>
          <t>—</t>
        </is>
      </c>
    </row>
    <row r="14" ht="14" customHeight="1">
      <c r="A14" s="65" t="inlineStr">
        <is>
          <t>Fonds en euro Generali Luxembourg</t>
        </is>
      </c>
      <c r="B14" s="66" t="inlineStr">
        <is>
          <t>/</t>
        </is>
      </c>
      <c r="C14" s="267" t="n"/>
      <c r="D14" s="79" t="inlineStr">
        <is>
          <t>—</t>
        </is>
      </c>
      <c r="E14" s="79" t="inlineStr">
        <is>
          <t>—</t>
        </is>
      </c>
      <c r="F14" s="79" t="inlineStr">
        <is>
          <t>—</t>
        </is>
      </c>
      <c r="G14" s="79" t="inlineStr">
        <is>
          <t>—</t>
        </is>
      </c>
    </row>
    <row r="15" ht="14" customHeight="1">
      <c r="A15" s="65" t="inlineStr">
        <is>
          <t>Apicil Euro Garanti</t>
        </is>
      </c>
      <c r="B15" s="66" t="inlineStr">
        <is>
          <t>/</t>
        </is>
      </c>
      <c r="C15" s="267" t="n"/>
      <c r="D15" s="79" t="inlineStr">
        <is>
          <t>—</t>
        </is>
      </c>
      <c r="E15" s="79" t="inlineStr">
        <is>
          <t>—</t>
        </is>
      </c>
      <c r="F15" s="79" t="inlineStr">
        <is>
          <t>—</t>
        </is>
      </c>
      <c r="G15" s="79" t="inlineStr">
        <is>
          <t>—</t>
        </is>
      </c>
    </row>
    <row r="16" ht="14" customHeight="1">
      <c r="A16" s="65" t="inlineStr">
        <is>
          <t>Coralis Opportunité</t>
        </is>
      </c>
      <c r="B16" s="66" t="inlineStr">
        <is>
          <t>/</t>
        </is>
      </c>
      <c r="C16" s="267" t="n"/>
      <c r="D16" s="79" t="inlineStr">
        <is>
          <t>—</t>
        </is>
      </c>
      <c r="E16" s="79" t="inlineStr">
        <is>
          <t>—</t>
        </is>
      </c>
      <c r="F16" s="79" t="inlineStr">
        <is>
          <t>—</t>
        </is>
      </c>
      <c r="G16" s="79" t="inlineStr">
        <is>
          <t>—</t>
        </is>
      </c>
    </row>
    <row r="17" ht="14" customHeight="1">
      <c r="A17" s="65" t="n"/>
      <c r="B17" s="75" t="n"/>
    </row>
    <row r="18" ht="14" customHeight="1">
      <c r="A18" s="65" t="n"/>
      <c r="B18" s="75" t="n"/>
    </row>
    <row r="19" ht="14" customHeight="1">
      <c r="A19" s="65" t="n"/>
      <c r="B19" s="75" t="n"/>
    </row>
    <row r="20" ht="14" customHeight="1">
      <c r="A20" s="65" t="n"/>
      <c r="B20" s="75" t="n"/>
    </row>
    <row r="21" ht="14" customHeight="1">
      <c r="A21" s="65" t="n"/>
      <c r="B21" s="75" t="n"/>
    </row>
    <row r="22" ht="14" customHeight="1">
      <c r="A22" s="65" t="n"/>
      <c r="B22" s="75" t="n"/>
    </row>
    <row r="23" ht="14" customHeight="1">
      <c r="A23" s="140" t="inlineStr">
        <is>
          <t>Fonds monétaires</t>
        </is>
      </c>
      <c r="B23" s="141" t="n"/>
      <c r="C23" s="140" t="n"/>
      <c r="D23" s="140" t="n"/>
      <c r="E23" s="140" t="n"/>
      <c r="F23" s="140" t="n"/>
      <c r="G23" s="140" t="n"/>
    </row>
    <row r="24" ht="14" customHeight="1">
      <c r="A24" s="65" t="inlineStr">
        <is>
          <t>Solde espèces</t>
        </is>
      </c>
      <c r="B24" s="66" t="inlineStr">
        <is>
          <t>/</t>
        </is>
      </c>
      <c r="C24" s="267" t="n"/>
      <c r="D24" s="79" t="inlineStr">
        <is>
          <t>—</t>
        </is>
      </c>
      <c r="E24" s="79" t="inlineStr">
        <is>
          <t>—</t>
        </is>
      </c>
      <c r="F24" s="79" t="inlineStr">
        <is>
          <t>—</t>
        </is>
      </c>
      <c r="G24" s="79" t="inlineStr">
        <is>
          <t>—</t>
        </is>
      </c>
    </row>
    <row r="25" ht="14" customHeight="1">
      <c r="A25" s="65" t="inlineStr">
        <is>
          <t xml:space="preserve">BNP Paribas Insticash EUR 1D Short Terme </t>
        </is>
      </c>
      <c r="B25" s="66" t="inlineStr">
        <is>
          <t>LU0094219127</t>
        </is>
      </c>
      <c r="C25" s="267" t="n"/>
      <c r="D25" s="79" t="inlineStr">
        <is>
          <t>—</t>
        </is>
      </c>
      <c r="E25" s="79" t="inlineStr">
        <is>
          <t>—</t>
        </is>
      </c>
      <c r="F25" s="79" t="inlineStr">
        <is>
          <t>—</t>
        </is>
      </c>
      <c r="G25" s="79" t="inlineStr">
        <is>
          <t>—</t>
        </is>
      </c>
    </row>
    <row r="26" ht="14" customHeight="1">
      <c r="A26" s="65" t="inlineStr">
        <is>
          <t>BNP Paribas Mois ISR</t>
        </is>
      </c>
      <c r="B26" s="66" t="inlineStr">
        <is>
          <t>FR0007009808</t>
        </is>
      </c>
      <c r="C26" s="267" t="n"/>
      <c r="D26" s="79" t="inlineStr">
        <is>
          <t>—</t>
        </is>
      </c>
      <c r="E26" s="79" t="inlineStr">
        <is>
          <t>—</t>
        </is>
      </c>
      <c r="F26" s="79" t="inlineStr">
        <is>
          <t>—</t>
        </is>
      </c>
      <c r="G26" s="79" t="inlineStr">
        <is>
          <t>—</t>
        </is>
      </c>
    </row>
    <row r="27" ht="14" customHeight="1">
      <c r="A27" s="65" t="inlineStr">
        <is>
          <t>Amundi Funds Cash EUR A2 C</t>
        </is>
      </c>
      <c r="B27" s="66" t="inlineStr">
        <is>
          <t>LU0568620560</t>
        </is>
      </c>
      <c r="C27" s="267" t="n"/>
      <c r="D27" s="79" t="inlineStr">
        <is>
          <t>—</t>
        </is>
      </c>
      <c r="E27" s="79" t="inlineStr">
        <is>
          <t>—</t>
        </is>
      </c>
      <c r="F27" s="79" t="inlineStr">
        <is>
          <t>—</t>
        </is>
      </c>
      <c r="G27" s="79" t="inlineStr">
        <is>
          <t>—</t>
        </is>
      </c>
    </row>
    <row r="28" ht="14" customHeight="1">
      <c r="A28" s="65" t="inlineStr">
        <is>
          <t>Allianz Securicash SRI I (C) EUR</t>
        </is>
      </c>
      <c r="B28" s="66" t="inlineStr">
        <is>
          <t>FR0010017731</t>
        </is>
      </c>
      <c r="C28" s="267" t="n"/>
      <c r="D28" s="79" t="inlineStr">
        <is>
          <t>—</t>
        </is>
      </c>
      <c r="E28" s="79" t="inlineStr">
        <is>
          <t>—</t>
        </is>
      </c>
      <c r="F28" s="79" t="inlineStr">
        <is>
          <t>—</t>
        </is>
      </c>
      <c r="G28" s="79" t="inlineStr">
        <is>
          <t>—</t>
        </is>
      </c>
    </row>
    <row r="29" ht="14" customHeight="1">
      <c r="A29" s="65" t="inlineStr">
        <is>
          <t>SG Monétaire Plus P-C</t>
        </is>
      </c>
      <c r="B29" s="66" t="inlineStr">
        <is>
          <t>FR0011362094</t>
        </is>
      </c>
      <c r="C29" s="267" t="n"/>
      <c r="D29" s="79" t="inlineStr">
        <is>
          <t>—</t>
        </is>
      </c>
      <c r="E29" s="79" t="inlineStr">
        <is>
          <t>—</t>
        </is>
      </c>
      <c r="F29" s="79" t="inlineStr">
        <is>
          <t>—</t>
        </is>
      </c>
      <c r="G29" s="79" t="inlineStr">
        <is>
          <t>—</t>
        </is>
      </c>
    </row>
    <row r="30" ht="14" customHeight="1">
      <c r="A30" s="65" t="inlineStr">
        <is>
          <t>SLF (F) Bond ESG 6M</t>
        </is>
      </c>
      <c r="B30" s="66" t="inlineStr">
        <is>
          <t>FR0010914358</t>
        </is>
      </c>
      <c r="C30" s="267" t="n"/>
      <c r="D30" s="79" t="inlineStr">
        <is>
          <t>—</t>
        </is>
      </c>
      <c r="E30" s="79" t="inlineStr">
        <is>
          <t>—</t>
        </is>
      </c>
      <c r="F30" s="79" t="inlineStr">
        <is>
          <t>—</t>
        </is>
      </c>
      <c r="G30" s="79" t="inlineStr">
        <is>
          <t>—</t>
        </is>
      </c>
    </row>
    <row r="31" ht="14" customHeight="1">
      <c r="A31" s="65" t="inlineStr">
        <is>
          <t>Generali trésorerie B EUR C</t>
        </is>
      </c>
      <c r="B31" s="66" t="inlineStr">
        <is>
          <t>FR0010233726</t>
        </is>
      </c>
      <c r="C31" s="267" t="n"/>
      <c r="D31" s="79" t="inlineStr">
        <is>
          <t>—</t>
        </is>
      </c>
      <c r="E31" s="79" t="inlineStr">
        <is>
          <t>—</t>
        </is>
      </c>
      <c r="F31" s="79" t="inlineStr">
        <is>
          <t>—</t>
        </is>
      </c>
      <c r="G31" s="79" t="inlineStr">
        <is>
          <t>—</t>
        </is>
      </c>
    </row>
    <row r="32" ht="14" customHeight="1">
      <c r="A32" s="65" t="inlineStr">
        <is>
          <t>Apicil Trésorerie P</t>
        </is>
      </c>
      <c r="B32" s="66" t="inlineStr">
        <is>
          <t>FR0013328317</t>
        </is>
      </c>
      <c r="C32" s="267" t="n"/>
      <c r="D32" s="79" t="inlineStr">
        <is>
          <t>—</t>
        </is>
      </c>
      <c r="E32" s="79" t="inlineStr">
        <is>
          <t>—</t>
        </is>
      </c>
      <c r="F32" s="79" t="inlineStr">
        <is>
          <t>—</t>
        </is>
      </c>
      <c r="G32" s="79" t="inlineStr">
        <is>
          <t>—</t>
        </is>
      </c>
    </row>
    <row r="33" ht="14" customHeight="1">
      <c r="A33" s="65" t="inlineStr">
        <is>
          <t>AXA Court Terme AC</t>
        </is>
      </c>
      <c r="B33" s="66" t="inlineStr">
        <is>
          <t>FR0000288946</t>
        </is>
      </c>
      <c r="C33" s="267" t="n"/>
      <c r="D33" s="79" t="inlineStr">
        <is>
          <t>—</t>
        </is>
      </c>
      <c r="E33" s="79" t="inlineStr">
        <is>
          <t>—</t>
        </is>
      </c>
      <c r="F33" s="79" t="inlineStr">
        <is>
          <t>—</t>
        </is>
      </c>
      <c r="G33" s="79" t="inlineStr">
        <is>
          <t>—</t>
        </is>
      </c>
    </row>
    <row r="34" ht="14" customHeight="1">
      <c r="A34" s="65" t="inlineStr">
        <is>
          <t>Liquidités fonds de fonds</t>
        </is>
      </c>
      <c r="B34" s="66" t="inlineStr">
        <is>
          <t>/</t>
        </is>
      </c>
      <c r="C34" s="267" t="n"/>
      <c r="D34" s="79" t="inlineStr">
        <is>
          <t>—</t>
        </is>
      </c>
      <c r="E34" s="79" t="inlineStr">
        <is>
          <t>—</t>
        </is>
      </c>
      <c r="F34" s="79" t="inlineStr">
        <is>
          <t>—</t>
        </is>
      </c>
      <c r="G34" s="79" t="inlineStr">
        <is>
          <t>—</t>
        </is>
      </c>
    </row>
    <row r="35" ht="14" customHeight="1">
      <c r="A35" s="65" t="inlineStr">
        <is>
          <t>CIC Union Plus EUR</t>
        </is>
      </c>
      <c r="B35" s="66" t="inlineStr">
        <is>
          <t>/</t>
        </is>
      </c>
      <c r="C35" s="267" t="n"/>
      <c r="D35" s="79" t="inlineStr">
        <is>
          <t>—</t>
        </is>
      </c>
      <c r="E35" s="79" t="inlineStr">
        <is>
          <t>—</t>
        </is>
      </c>
      <c r="F35" s="79" t="inlineStr">
        <is>
          <t>—</t>
        </is>
      </c>
      <c r="G35" s="79" t="inlineStr">
        <is>
          <t>—</t>
        </is>
      </c>
    </row>
    <row r="36" ht="14" customHeight="1">
      <c r="A36" s="65" t="inlineStr">
        <is>
          <t>Union + TC CAP</t>
        </is>
      </c>
      <c r="B36" s="66" t="inlineStr">
        <is>
          <t>/</t>
        </is>
      </c>
      <c r="C36" s="267" t="n"/>
      <c r="D36" s="79" t="inlineStr">
        <is>
          <t>—</t>
        </is>
      </c>
      <c r="E36" s="79" t="inlineStr">
        <is>
          <t>—</t>
        </is>
      </c>
      <c r="F36" s="79" t="inlineStr">
        <is>
          <t>—</t>
        </is>
      </c>
      <c r="G36" s="79" t="inlineStr">
        <is>
          <t>—</t>
        </is>
      </c>
    </row>
    <row r="37" ht="14" customHeight="1">
      <c r="A37" s="65" t="n"/>
      <c r="B37" s="75" t="n"/>
    </row>
    <row r="38" ht="14" customHeight="1">
      <c r="A38" s="65" t="n"/>
      <c r="B38" s="75" t="n"/>
    </row>
    <row r="39" ht="14" customHeight="1">
      <c r="A39" s="65" t="n"/>
      <c r="B39" s="75" t="n"/>
    </row>
    <row r="40" ht="14" customHeight="1">
      <c r="A40" s="65" t="n"/>
      <c r="B40" s="75" t="n"/>
    </row>
    <row r="41" ht="14" customHeight="1">
      <c r="A41" s="65" t="n"/>
      <c r="B41" s="75" t="n"/>
    </row>
    <row r="42" ht="14" customHeight="1">
      <c r="A42" s="65" t="n"/>
      <c r="B42" s="75" t="n"/>
    </row>
    <row r="43" ht="14" customHeight="1">
      <c r="A43" s="140" t="inlineStr">
        <is>
          <t>Fonds obligataires</t>
        </is>
      </c>
      <c r="B43" s="141" t="n"/>
      <c r="C43" s="140" t="n"/>
      <c r="D43" s="140" t="n"/>
      <c r="E43" s="140" t="n"/>
      <c r="F43" s="140" t="n"/>
      <c r="G43" s="140" t="n"/>
    </row>
    <row r="44">
      <c r="A44" s="65" t="inlineStr">
        <is>
          <t>IVO Emerging Markets Corporate Debt EUR-I</t>
        </is>
      </c>
      <c r="B44" s="77" t="inlineStr">
        <is>
          <t>LU1165637460</t>
        </is>
      </c>
      <c r="C44" s="267" t="n"/>
      <c r="D44" s="79" t="inlineStr">
        <is>
          <t>—</t>
        </is>
      </c>
      <c r="E44" s="79" t="inlineStr">
        <is>
          <t>—</t>
        </is>
      </c>
      <c r="F44" s="79" t="inlineStr">
        <is>
          <t>—</t>
        </is>
      </c>
      <c r="G44" s="79" t="inlineStr">
        <is>
          <t>—</t>
        </is>
      </c>
    </row>
    <row r="45" ht="19" customHeight="1">
      <c r="A45" s="65" t="inlineStr">
        <is>
          <t>IVO Emerging Markets Corporate Debt EUR-R</t>
        </is>
      </c>
      <c r="B45" s="66" t="inlineStr">
        <is>
          <t>LU1165644672</t>
        </is>
      </c>
      <c r="C45" s="267" t="n"/>
      <c r="D45" s="79" t="inlineStr">
        <is>
          <t>—</t>
        </is>
      </c>
      <c r="E45" s="79" t="inlineStr">
        <is>
          <t>—</t>
        </is>
      </c>
      <c r="F45" s="79" t="inlineStr">
        <is>
          <t>—</t>
        </is>
      </c>
      <c r="G45" s="79" t="inlineStr">
        <is>
          <t>—</t>
        </is>
      </c>
    </row>
    <row r="46" ht="25" customHeight="1">
      <c r="A46" s="65" t="inlineStr">
        <is>
          <t>IVO Emerging Markets Coporate Debt Short Duration SRI EUR</t>
        </is>
      </c>
      <c r="B46" s="77" t="inlineStr">
        <is>
          <t>LU2061939646</t>
        </is>
      </c>
      <c r="C46" s="267" t="n"/>
      <c r="D46" s="79" t="inlineStr">
        <is>
          <t>—</t>
        </is>
      </c>
      <c r="E46" s="79" t="inlineStr">
        <is>
          <t>—</t>
        </is>
      </c>
      <c r="F46" s="79" t="inlineStr">
        <is>
          <t>—</t>
        </is>
      </c>
      <c r="G46" s="79" t="inlineStr">
        <is>
          <t>—</t>
        </is>
      </c>
    </row>
    <row r="47" ht="23" customHeight="1">
      <c r="A47" s="65" t="inlineStr">
        <is>
          <t>Ivo Emerging Markets Corporate Debt Short Duration SRI Z</t>
        </is>
      </c>
      <c r="B47" s="77" t="inlineStr">
        <is>
          <t>LU2061940222</t>
        </is>
      </c>
      <c r="C47" s="267" t="n"/>
      <c r="D47" s="79" t="inlineStr">
        <is>
          <t>—</t>
        </is>
      </c>
      <c r="E47" s="79" t="inlineStr">
        <is>
          <t>—</t>
        </is>
      </c>
      <c r="F47" s="79" t="inlineStr">
        <is>
          <t>—</t>
        </is>
      </c>
      <c r="G47" s="79" t="inlineStr">
        <is>
          <t>—</t>
        </is>
      </c>
    </row>
    <row r="48" ht="25" customHeight="1">
      <c r="A48" s="65" t="inlineStr">
        <is>
          <t>IVO Emerging Markets Corporate Debt Short Duration SRI R</t>
        </is>
      </c>
      <c r="B48" s="77" t="inlineStr">
        <is>
          <t>LU2061939729</t>
        </is>
      </c>
      <c r="C48" s="267" t="n"/>
      <c r="D48" s="79" t="inlineStr">
        <is>
          <t>—</t>
        </is>
      </c>
      <c r="E48" s="79" t="inlineStr">
        <is>
          <t>—</t>
        </is>
      </c>
      <c r="F48" s="79" t="inlineStr">
        <is>
          <t>—</t>
        </is>
      </c>
      <c r="G48" s="79" t="inlineStr">
        <is>
          <t>—</t>
        </is>
      </c>
    </row>
    <row r="49" ht="14" customHeight="1">
      <c r="A49" s="65" t="inlineStr">
        <is>
          <t>IVO IG 2030 I</t>
        </is>
      </c>
      <c r="B49" s="77" t="inlineStr">
        <is>
          <t>FR001400SJC8</t>
        </is>
      </c>
      <c r="C49" s="267" t="n"/>
      <c r="D49" s="79" t="inlineStr">
        <is>
          <t>—</t>
        </is>
      </c>
      <c r="E49" s="79" t="inlineStr">
        <is>
          <t>—</t>
        </is>
      </c>
      <c r="F49" s="79" t="inlineStr">
        <is>
          <t>—</t>
        </is>
      </c>
      <c r="G49" s="79" t="inlineStr">
        <is>
          <t>—</t>
        </is>
      </c>
    </row>
    <row r="50" ht="14" customHeight="1">
      <c r="A50" s="65" t="inlineStr">
        <is>
          <t>IVO IG 2030 R</t>
        </is>
      </c>
      <c r="B50" s="77" t="inlineStr">
        <is>
          <t>FR001400SJA2</t>
        </is>
      </c>
      <c r="C50" s="267" t="n"/>
      <c r="D50" s="79" t="inlineStr">
        <is>
          <t>—</t>
        </is>
      </c>
      <c r="E50" s="79" t="inlineStr">
        <is>
          <t>—</t>
        </is>
      </c>
      <c r="F50" s="79" t="inlineStr">
        <is>
          <t>—</t>
        </is>
      </c>
      <c r="G50" s="79" t="inlineStr">
        <is>
          <t>—</t>
        </is>
      </c>
    </row>
    <row r="51" ht="14" customHeight="1">
      <c r="A51" s="65" t="inlineStr">
        <is>
          <t>IVO 2028 I</t>
        </is>
      </c>
      <c r="B51" s="77" t="inlineStr">
        <is>
          <t>FR001400BJV4</t>
        </is>
      </c>
      <c r="C51" s="267" t="n"/>
      <c r="D51" s="79" t="inlineStr">
        <is>
          <t>—</t>
        </is>
      </c>
      <c r="E51" s="79" t="inlineStr">
        <is>
          <t>—</t>
        </is>
      </c>
      <c r="F51" s="79" t="inlineStr">
        <is>
          <t>—</t>
        </is>
      </c>
      <c r="G51" s="79" t="inlineStr">
        <is>
          <t>—</t>
        </is>
      </c>
    </row>
    <row r="52" ht="14" customHeight="1">
      <c r="A52" s="65" t="inlineStr">
        <is>
          <t>IVO 2028 R</t>
        </is>
      </c>
      <c r="B52" s="77" t="inlineStr">
        <is>
          <t>FR001400BJT8</t>
        </is>
      </c>
      <c r="C52" s="267" t="n"/>
      <c r="D52" s="79" t="inlineStr">
        <is>
          <t>—</t>
        </is>
      </c>
      <c r="E52" s="79" t="inlineStr">
        <is>
          <t>—</t>
        </is>
      </c>
      <c r="F52" s="79" t="inlineStr">
        <is>
          <t>—</t>
        </is>
      </c>
      <c r="G52" s="79" t="inlineStr">
        <is>
          <t>—</t>
        </is>
      </c>
    </row>
    <row r="53" ht="14" customHeight="1">
      <c r="A53" s="65" t="inlineStr">
        <is>
          <t>Sycoyield 2030 RC</t>
        </is>
      </c>
      <c r="B53" s="77" t="inlineStr">
        <is>
          <t>FR001400MCQ6</t>
        </is>
      </c>
      <c r="C53" s="267" t="n"/>
      <c r="D53" s="79" t="inlineStr">
        <is>
          <t>—</t>
        </is>
      </c>
      <c r="E53" s="79" t="inlineStr">
        <is>
          <t>—</t>
        </is>
      </c>
      <c r="F53" s="79" t="inlineStr">
        <is>
          <t>—</t>
        </is>
      </c>
      <c r="G53" s="79" t="inlineStr">
        <is>
          <t>—</t>
        </is>
      </c>
    </row>
    <row r="54" ht="14" customHeight="1">
      <c r="A54" s="65" t="inlineStr">
        <is>
          <t>Sycoyield 2032 RC</t>
        </is>
      </c>
      <c r="B54" s="77" t="inlineStr">
        <is>
          <t>FR0014010IG3</t>
        </is>
      </c>
      <c r="C54" s="267" t="n"/>
      <c r="D54" s="79" t="inlineStr">
        <is>
          <t>—</t>
        </is>
      </c>
      <c r="E54" s="79" t="inlineStr">
        <is>
          <t>—</t>
        </is>
      </c>
      <c r="F54" s="79" t="inlineStr">
        <is>
          <t>—</t>
        </is>
      </c>
      <c r="G54" s="79" t="inlineStr">
        <is>
          <t>—</t>
        </is>
      </c>
    </row>
    <row r="55" ht="14" customHeight="1">
      <c r="A55" s="65" t="inlineStr">
        <is>
          <t>Sycoyield 2026 IC</t>
        </is>
      </c>
      <c r="B55" s="77" t="inlineStr">
        <is>
          <t>FR001400A6X2</t>
        </is>
      </c>
      <c r="C55" s="267" t="n"/>
      <c r="D55" s="79" t="inlineStr">
        <is>
          <t>—</t>
        </is>
      </c>
      <c r="E55" s="79" t="inlineStr">
        <is>
          <t>—</t>
        </is>
      </c>
      <c r="F55" s="79" t="inlineStr">
        <is>
          <t>—</t>
        </is>
      </c>
      <c r="G55" s="79" t="inlineStr">
        <is>
          <t>—</t>
        </is>
      </c>
    </row>
    <row r="56" ht="14" customHeight="1">
      <c r="A56" s="65" t="inlineStr">
        <is>
          <t>Tikehau Credit Court Terme A</t>
        </is>
      </c>
      <c r="B56" s="77" t="inlineStr">
        <is>
          <t>FR0011482728</t>
        </is>
      </c>
      <c r="C56" s="267" t="n"/>
      <c r="D56" s="79" t="inlineStr">
        <is>
          <t>—</t>
        </is>
      </c>
      <c r="E56" s="79" t="inlineStr">
        <is>
          <t>—</t>
        </is>
      </c>
      <c r="F56" s="79" t="inlineStr">
        <is>
          <t>—</t>
        </is>
      </c>
      <c r="G56" s="79" t="inlineStr">
        <is>
          <t>—</t>
        </is>
      </c>
    </row>
    <row r="57" ht="14" customHeight="1">
      <c r="A57" s="65" t="inlineStr">
        <is>
          <t>Tikehau 2029 R-Acc-EUR</t>
        </is>
      </c>
      <c r="B57" s="77" t="inlineStr">
        <is>
          <t>FR001400K2B5</t>
        </is>
      </c>
      <c r="C57" s="267" t="n"/>
      <c r="D57" s="79" t="inlineStr">
        <is>
          <t>—</t>
        </is>
      </c>
      <c r="E57" s="79" t="inlineStr">
        <is>
          <t>—</t>
        </is>
      </c>
      <c r="F57" s="79" t="inlineStr">
        <is>
          <t>—</t>
        </is>
      </c>
      <c r="G57" s="79" t="inlineStr">
        <is>
          <t>—</t>
        </is>
      </c>
    </row>
    <row r="58" ht="14" customHeight="1">
      <c r="A58" s="65" t="inlineStr">
        <is>
          <t>Sycomore Sélection Crédit I</t>
        </is>
      </c>
      <c r="B58" s="77" t="inlineStr">
        <is>
          <t>FR0011288489</t>
        </is>
      </c>
      <c r="C58" s="267" t="n"/>
      <c r="D58" s="79" t="inlineStr">
        <is>
          <t>—</t>
        </is>
      </c>
      <c r="E58" s="79" t="inlineStr">
        <is>
          <t>—</t>
        </is>
      </c>
      <c r="F58" s="79" t="inlineStr">
        <is>
          <t>—</t>
        </is>
      </c>
      <c r="G58" s="79" t="inlineStr">
        <is>
          <t>—</t>
        </is>
      </c>
    </row>
    <row r="59" ht="14" customHeight="1">
      <c r="A59" s="65" t="inlineStr">
        <is>
          <t xml:space="preserve">Sycomore Sélection Crédit R </t>
        </is>
      </c>
      <c r="B59" s="77" t="inlineStr">
        <is>
          <t>FR0011288513</t>
        </is>
      </c>
      <c r="C59" s="267" t="n"/>
      <c r="D59" s="79" t="inlineStr">
        <is>
          <t>—</t>
        </is>
      </c>
      <c r="E59" s="79" t="inlineStr">
        <is>
          <t>—</t>
        </is>
      </c>
      <c r="F59" s="79" t="inlineStr">
        <is>
          <t>—</t>
        </is>
      </c>
      <c r="G59" s="79" t="inlineStr">
        <is>
          <t>—</t>
        </is>
      </c>
    </row>
    <row r="60" ht="23" customHeight="1">
      <c r="A60" s="65" t="inlineStr">
        <is>
          <t>Edmond de Rothschild Fund Bond Allocation CR EUR</t>
        </is>
      </c>
      <c r="B60" s="77" t="inlineStr">
        <is>
          <t>LU1781816704</t>
        </is>
      </c>
      <c r="C60" s="267" t="n"/>
      <c r="D60" s="79" t="inlineStr">
        <is>
          <t>—</t>
        </is>
      </c>
      <c r="E60" s="79" t="inlineStr">
        <is>
          <t>—</t>
        </is>
      </c>
      <c r="F60" s="79" t="inlineStr">
        <is>
          <t>—</t>
        </is>
      </c>
      <c r="G60" s="79" t="inlineStr">
        <is>
          <t>—</t>
        </is>
      </c>
    </row>
    <row r="61" ht="14" customHeight="1">
      <c r="A61" s="65" t="inlineStr">
        <is>
          <t>BNP Paribas Bond 6M Privilege</t>
        </is>
      </c>
      <c r="B61" s="77" t="inlineStr">
        <is>
          <t>FR0013301686</t>
        </is>
      </c>
      <c r="C61" s="267" t="n"/>
      <c r="D61" s="79" t="inlineStr">
        <is>
          <t>—</t>
        </is>
      </c>
      <c r="E61" s="79" t="inlineStr">
        <is>
          <t>—</t>
        </is>
      </c>
      <c r="F61" s="79" t="inlineStr">
        <is>
          <t>—</t>
        </is>
      </c>
      <c r="G61" s="79" t="inlineStr">
        <is>
          <t>—</t>
        </is>
      </c>
    </row>
    <row r="62" ht="14" customHeight="1">
      <c r="A62" s="65" t="inlineStr">
        <is>
          <t>Aquila Solitaire Global Bond I</t>
        </is>
      </c>
      <c r="B62" s="77" t="inlineStr">
        <is>
          <t>LI0364281464</t>
        </is>
      </c>
      <c r="C62" s="267" t="n"/>
      <c r="D62" s="79" t="inlineStr">
        <is>
          <t>—</t>
        </is>
      </c>
      <c r="E62" s="79" t="inlineStr">
        <is>
          <t>—</t>
        </is>
      </c>
      <c r="F62" s="79" t="inlineStr">
        <is>
          <t>—</t>
        </is>
      </c>
      <c r="G62" s="79" t="inlineStr">
        <is>
          <t>—</t>
        </is>
      </c>
    </row>
    <row r="63" ht="14" customHeight="1">
      <c r="A63" s="65" t="inlineStr">
        <is>
          <t>DNCA Invest Alpha Bonds</t>
        </is>
      </c>
      <c r="B63" s="77" t="inlineStr">
        <is>
          <t>LU1694789378</t>
        </is>
      </c>
      <c r="C63" s="267" t="n"/>
      <c r="D63" s="79" t="inlineStr">
        <is>
          <t>—</t>
        </is>
      </c>
      <c r="E63" s="79" t="inlineStr">
        <is>
          <t>—</t>
        </is>
      </c>
      <c r="F63" s="79" t="inlineStr">
        <is>
          <t>—</t>
        </is>
      </c>
      <c r="G63" s="79" t="inlineStr">
        <is>
          <t>—</t>
        </is>
      </c>
    </row>
    <row r="64" ht="14" customHeight="1">
      <c r="A64" s="65" t="inlineStr">
        <is>
          <t>M&amp;G (Lux) Optimal Income Fund C EUR Acc</t>
        </is>
      </c>
      <c r="B64" s="77" t="inlineStr">
        <is>
          <t>LU1670724704</t>
        </is>
      </c>
      <c r="C64" s="267" t="n"/>
      <c r="D64" s="79" t="inlineStr">
        <is>
          <t>—</t>
        </is>
      </c>
      <c r="E64" s="79" t="inlineStr">
        <is>
          <t>—</t>
        </is>
      </c>
      <c r="F64" s="79" t="inlineStr">
        <is>
          <t>—</t>
        </is>
      </c>
      <c r="G64" s="79" t="inlineStr">
        <is>
          <t>—</t>
        </is>
      </c>
    </row>
    <row r="65" ht="14" customHeight="1">
      <c r="A65" s="65" t="inlineStr">
        <is>
          <t>Sextant Bond Picking N</t>
        </is>
      </c>
      <c r="B65" s="77" t="inlineStr">
        <is>
          <t>FR0013202140</t>
        </is>
      </c>
      <c r="C65" s="267" t="n"/>
      <c r="D65" s="79" t="inlineStr">
        <is>
          <t>—</t>
        </is>
      </c>
      <c r="E65" s="79" t="inlineStr">
        <is>
          <t>—</t>
        </is>
      </c>
      <c r="F65" s="79" t="inlineStr">
        <is>
          <t>—</t>
        </is>
      </c>
      <c r="G65" s="79" t="inlineStr">
        <is>
          <t>—</t>
        </is>
      </c>
    </row>
    <row r="66" ht="14" customHeight="1">
      <c r="A66" s="65" t="inlineStr">
        <is>
          <t>Octo Crédit ISR Court Terme A</t>
        </is>
      </c>
      <c r="B66" s="77" t="inlineStr">
        <is>
          <t>FR0011299411</t>
        </is>
      </c>
      <c r="C66" s="267" t="n"/>
      <c r="D66" s="79" t="inlineStr">
        <is>
          <t>—</t>
        </is>
      </c>
      <c r="E66" s="79" t="inlineStr">
        <is>
          <t>—</t>
        </is>
      </c>
      <c r="F66" s="79" t="inlineStr">
        <is>
          <t>—</t>
        </is>
      </c>
      <c r="G66" s="79" t="inlineStr">
        <is>
          <t>—</t>
        </is>
      </c>
    </row>
    <row r="67" ht="14" customHeight="1">
      <c r="A67" s="65" t="inlineStr">
        <is>
          <t>Octo Rendement 2029 AC</t>
        </is>
      </c>
      <c r="B67" s="77" t="inlineStr">
        <is>
          <t>FR001400PXV5</t>
        </is>
      </c>
      <c r="C67" s="267" t="n"/>
      <c r="D67" s="79" t="inlineStr">
        <is>
          <t>—</t>
        </is>
      </c>
      <c r="E67" s="79" t="inlineStr">
        <is>
          <t>—</t>
        </is>
      </c>
      <c r="F67" s="79" t="inlineStr">
        <is>
          <t>—</t>
        </is>
      </c>
      <c r="G67" s="79" t="inlineStr">
        <is>
          <t>—</t>
        </is>
      </c>
    </row>
    <row r="68" ht="14" customHeight="1">
      <c r="A68" s="65" t="inlineStr">
        <is>
          <t>Octo Rendement 2028 AC</t>
        </is>
      </c>
      <c r="B68" s="77" t="inlineStr">
        <is>
          <t>FR001400CP04</t>
        </is>
      </c>
      <c r="C68" s="267" t="n"/>
      <c r="D68" s="79" t="inlineStr">
        <is>
          <t>—</t>
        </is>
      </c>
      <c r="E68" s="79" t="inlineStr">
        <is>
          <t>—</t>
        </is>
      </c>
      <c r="F68" s="79" t="inlineStr">
        <is>
          <t>—</t>
        </is>
      </c>
      <c r="G68" s="79" t="inlineStr">
        <is>
          <t>—</t>
        </is>
      </c>
    </row>
    <row r="69" ht="14" customHeight="1">
      <c r="A69" s="65" t="inlineStr">
        <is>
          <t xml:space="preserve">Sanso Objectif Rendement 2031 I </t>
        </is>
      </c>
      <c r="B69" s="77" t="inlineStr">
        <is>
          <t>FR0010804005</t>
        </is>
      </c>
      <c r="C69" s="267" t="n"/>
      <c r="D69" s="79" t="inlineStr">
        <is>
          <t>—</t>
        </is>
      </c>
      <c r="E69" s="79" t="inlineStr">
        <is>
          <t>—</t>
        </is>
      </c>
      <c r="F69" s="79" t="inlineStr">
        <is>
          <t>—</t>
        </is>
      </c>
      <c r="G69" s="79" t="inlineStr">
        <is>
          <t>—</t>
        </is>
      </c>
    </row>
    <row r="70" ht="14" customHeight="1">
      <c r="A70" s="65" t="inlineStr">
        <is>
          <t>Schelder Global Yield 2028</t>
        </is>
      </c>
      <c r="B70" s="77" t="inlineStr">
        <is>
          <t>FR001400EZY8</t>
        </is>
      </c>
      <c r="C70" s="267" t="n"/>
      <c r="D70" s="79" t="inlineStr">
        <is>
          <t>—</t>
        </is>
      </c>
      <c r="E70" s="79" t="inlineStr">
        <is>
          <t>—</t>
        </is>
      </c>
      <c r="F70" s="79" t="inlineStr">
        <is>
          <t>—</t>
        </is>
      </c>
      <c r="G70" s="79" t="inlineStr">
        <is>
          <t>—</t>
        </is>
      </c>
    </row>
    <row r="71" ht="14" customHeight="1">
      <c r="A71" s="65" t="inlineStr">
        <is>
          <t>Carmignac Credit 2029 A EUR Acc</t>
        </is>
      </c>
      <c r="B71" s="77" t="inlineStr">
        <is>
          <t>FR001400KAV4</t>
        </is>
      </c>
      <c r="C71" s="267" t="n"/>
      <c r="D71" s="79" t="inlineStr">
        <is>
          <t>—</t>
        </is>
      </c>
      <c r="E71" s="79" t="inlineStr">
        <is>
          <t>—</t>
        </is>
      </c>
      <c r="F71" s="79" t="inlineStr">
        <is>
          <t>—</t>
        </is>
      </c>
      <c r="G71" s="79" t="inlineStr">
        <is>
          <t>—</t>
        </is>
      </c>
    </row>
    <row r="72" ht="14" customHeight="1">
      <c r="A72" s="65" t="inlineStr">
        <is>
          <t>H2O Multibonds IC</t>
        </is>
      </c>
      <c r="B72" s="77" t="inlineStr">
        <is>
          <t>FR0010930438</t>
        </is>
      </c>
      <c r="C72" s="267" t="n"/>
      <c r="D72" s="79" t="inlineStr">
        <is>
          <t>—</t>
        </is>
      </c>
      <c r="E72" s="79" t="inlineStr">
        <is>
          <t>—</t>
        </is>
      </c>
      <c r="F72" s="79" t="inlineStr">
        <is>
          <t>—</t>
        </is>
      </c>
      <c r="G72" s="79" t="inlineStr">
        <is>
          <t>—</t>
        </is>
      </c>
    </row>
    <row r="73" ht="14" customHeight="1">
      <c r="A73" s="65" t="inlineStr">
        <is>
          <t>H2O Multibonds N</t>
        </is>
      </c>
      <c r="B73" s="77" t="inlineStr">
        <is>
          <t>FR0013186707</t>
        </is>
      </c>
      <c r="C73" s="267" t="n"/>
      <c r="D73" s="79" t="inlineStr">
        <is>
          <t>—</t>
        </is>
      </c>
      <c r="E73" s="79" t="inlineStr">
        <is>
          <t>—</t>
        </is>
      </c>
      <c r="F73" s="79" t="inlineStr">
        <is>
          <t>—</t>
        </is>
      </c>
      <c r="G73" s="79" t="inlineStr">
        <is>
          <t>—</t>
        </is>
      </c>
    </row>
    <row r="74" ht="14" customHeight="1">
      <c r="A74" s="65" t="inlineStr">
        <is>
          <t>H2O Multibonds REUR C</t>
        </is>
      </c>
      <c r="B74" s="77" t="inlineStr">
        <is>
          <t>FR0010923375</t>
        </is>
      </c>
      <c r="C74" s="267" t="n"/>
      <c r="D74" s="79" t="inlineStr">
        <is>
          <t>—</t>
        </is>
      </c>
      <c r="E74" s="79" t="inlineStr">
        <is>
          <t>—</t>
        </is>
      </c>
      <c r="F74" s="79" t="inlineStr">
        <is>
          <t>—</t>
        </is>
      </c>
      <c r="G74" s="79" t="inlineStr">
        <is>
          <t>—</t>
        </is>
      </c>
    </row>
    <row r="75" ht="14" customHeight="1">
      <c r="A75" s="65" t="inlineStr">
        <is>
          <t>H2O Multibonds SR</t>
        </is>
      </c>
      <c r="B75" s="77" t="inlineStr">
        <is>
          <t>FR0013393329</t>
        </is>
      </c>
      <c r="C75" s="267" t="n"/>
      <c r="D75" s="79" t="inlineStr">
        <is>
          <t>—</t>
        </is>
      </c>
      <c r="E75" s="79" t="inlineStr">
        <is>
          <t>—</t>
        </is>
      </c>
      <c r="F75" s="79" t="inlineStr">
        <is>
          <t>—</t>
        </is>
      </c>
      <c r="G75" s="79" t="inlineStr">
        <is>
          <t>—</t>
        </is>
      </c>
    </row>
    <row r="76" ht="14" customHeight="1">
      <c r="A76" s="65" t="inlineStr">
        <is>
          <t>H2O Multibonds SP R©</t>
        </is>
      </c>
      <c r="B76" s="77" t="inlineStr">
        <is>
          <t>FR0013535952</t>
        </is>
      </c>
      <c r="C76" s="267" t="n"/>
      <c r="D76" s="79" t="inlineStr">
        <is>
          <t>—</t>
        </is>
      </c>
      <c r="E76" s="79" t="inlineStr">
        <is>
          <t>—</t>
        </is>
      </c>
      <c r="F76" s="79" t="inlineStr">
        <is>
          <t>—</t>
        </is>
      </c>
      <c r="G76" s="79" t="inlineStr">
        <is>
          <t>—</t>
        </is>
      </c>
    </row>
    <row r="77" ht="14" customHeight="1">
      <c r="A77" s="65" t="inlineStr">
        <is>
          <t>H2O Multibonds SP SR©</t>
        </is>
      </c>
      <c r="B77" s="77" t="inlineStr">
        <is>
          <t>FR0013536109</t>
        </is>
      </c>
      <c r="C77" s="267" t="n"/>
      <c r="D77" s="79" t="inlineStr">
        <is>
          <t>—</t>
        </is>
      </c>
      <c r="E77" s="79" t="inlineStr">
        <is>
          <t>—</t>
        </is>
      </c>
      <c r="F77" s="79" t="inlineStr">
        <is>
          <t>—</t>
        </is>
      </c>
      <c r="G77" s="79" t="inlineStr">
        <is>
          <t>—</t>
        </is>
      </c>
    </row>
    <row r="78" ht="14" customHeight="1">
      <c r="A78" s="65" t="inlineStr">
        <is>
          <t>H2O Multibonds SP I EUR ACC</t>
        </is>
      </c>
      <c r="B78" s="77" t="inlineStr">
        <is>
          <t>FR0013535960</t>
        </is>
      </c>
      <c r="C78" s="267" t="n"/>
      <c r="D78" s="79" t="inlineStr">
        <is>
          <t>—</t>
        </is>
      </c>
      <c r="E78" s="79" t="inlineStr">
        <is>
          <t>—</t>
        </is>
      </c>
      <c r="F78" s="79" t="inlineStr">
        <is>
          <t>—</t>
        </is>
      </c>
      <c r="G78" s="79" t="inlineStr">
        <is>
          <t>—</t>
        </is>
      </c>
    </row>
    <row r="79" ht="14" customHeight="1">
      <c r="A79" s="65" t="inlineStr">
        <is>
          <t>H2O Multibonds SP NEUR ©</t>
        </is>
      </c>
      <c r="B79" s="77" t="inlineStr">
        <is>
          <t xml:space="preserve">FR0013536083 </t>
        </is>
      </c>
      <c r="C79" s="267" t="n"/>
      <c r="D79" s="79" t="inlineStr">
        <is>
          <t>—</t>
        </is>
      </c>
      <c r="E79" s="79" t="inlineStr">
        <is>
          <t>—</t>
        </is>
      </c>
      <c r="F79" s="79" t="inlineStr">
        <is>
          <t>—</t>
        </is>
      </c>
      <c r="G79" s="79" t="inlineStr">
        <is>
          <t>—</t>
        </is>
      </c>
    </row>
    <row r="80" ht="14" customHeight="1">
      <c r="A80" s="65" t="inlineStr">
        <is>
          <t>Allianz Euro Hight Yield RC</t>
        </is>
      </c>
      <c r="B80" s="77" t="inlineStr">
        <is>
          <t>FR0010032326</t>
        </is>
      </c>
      <c r="C80" s="267" t="n"/>
      <c r="D80" s="79" t="inlineStr">
        <is>
          <t>—</t>
        </is>
      </c>
      <c r="E80" s="79" t="inlineStr">
        <is>
          <t>—</t>
        </is>
      </c>
      <c r="F80" s="79" t="inlineStr">
        <is>
          <t>—</t>
        </is>
      </c>
      <c r="G80" s="79" t="inlineStr">
        <is>
          <t>—</t>
        </is>
      </c>
    </row>
    <row r="81" ht="14" customHeight="1">
      <c r="A81" s="65" t="inlineStr">
        <is>
          <t>Omnibond R</t>
        </is>
      </c>
      <c r="B81" s="77" t="inlineStr">
        <is>
          <t>FR0011147594</t>
        </is>
      </c>
      <c r="C81" s="267" t="n"/>
      <c r="D81" s="79" t="inlineStr">
        <is>
          <t>—</t>
        </is>
      </c>
      <c r="E81" s="79" t="inlineStr">
        <is>
          <t>—</t>
        </is>
      </c>
      <c r="F81" s="79" t="inlineStr">
        <is>
          <t>—</t>
        </is>
      </c>
      <c r="G81" s="79" t="inlineStr">
        <is>
          <t>—</t>
        </is>
      </c>
    </row>
    <row r="82" ht="14" customHeight="1">
      <c r="A82" s="65" t="n"/>
      <c r="B82" s="79" t="n"/>
    </row>
    <row r="83" ht="14" customHeight="1">
      <c r="A83" s="65" t="n"/>
      <c r="B83" s="79" t="n"/>
    </row>
    <row r="84" ht="14" customHeight="1">
      <c r="A84" s="65" t="n"/>
      <c r="B84" s="79" t="n"/>
    </row>
    <row r="85" ht="14" customHeight="1">
      <c r="A85" s="65" t="n"/>
      <c r="B85" s="79" t="n"/>
    </row>
    <row r="86" ht="14" customHeight="1">
      <c r="A86" s="65" t="n"/>
      <c r="B86" s="79" t="n"/>
    </row>
    <row r="87" ht="14" customHeight="1">
      <c r="A87" s="65" t="n"/>
      <c r="B87" s="79" t="n"/>
    </row>
    <row r="88" ht="14" customHeight="1">
      <c r="A88" s="65" t="n"/>
      <c r="B88" s="79" t="n"/>
    </row>
    <row r="89" ht="14" customHeight="1">
      <c r="A89" s="65" t="n"/>
      <c r="B89" s="79" t="n"/>
    </row>
    <row r="90" ht="14" customHeight="1">
      <c r="A90" s="65" t="n"/>
      <c r="B90" s="79" t="n"/>
    </row>
    <row r="91" ht="14" customHeight="1">
      <c r="A91" s="65" t="n"/>
      <c r="B91" s="79" t="n"/>
    </row>
    <row r="92" ht="14" customHeight="1">
      <c r="A92" s="65" t="n"/>
      <c r="B92" s="79" t="n"/>
    </row>
    <row r="93" ht="14" customHeight="1">
      <c r="A93" s="65" t="n"/>
      <c r="B93" s="79" t="n"/>
    </row>
    <row r="94" ht="14" customHeight="1">
      <c r="A94" s="65" t="n"/>
      <c r="B94" s="79" t="n"/>
    </row>
    <row r="95" ht="14" customHeight="1">
      <c r="A95" s="65" t="n"/>
      <c r="B95" s="79" t="n"/>
    </row>
    <row r="96" ht="14" customHeight="1">
      <c r="A96" s="65" t="n"/>
      <c r="B96" s="79" t="n"/>
    </row>
    <row r="97" ht="14" customHeight="1">
      <c r="A97" s="65" t="n"/>
      <c r="B97" s="79" t="n"/>
    </row>
    <row r="98" ht="14" customHeight="1">
      <c r="A98" s="65" t="n"/>
      <c r="B98" s="79" t="n"/>
    </row>
    <row r="99" ht="14" customHeight="1">
      <c r="A99" s="65" t="n"/>
      <c r="B99" s="79" t="n"/>
    </row>
    <row r="100" ht="14" customHeight="1">
      <c r="A100" s="146" t="inlineStr">
        <is>
          <t>Hedge Fund</t>
        </is>
      </c>
      <c r="B100" s="147" t="n"/>
      <c r="C100" s="146" t="n"/>
      <c r="D100" s="146" t="n"/>
      <c r="E100" s="146" t="n"/>
      <c r="F100" s="146" t="n"/>
      <c r="G100" s="146" t="n"/>
    </row>
    <row r="101" ht="14" customHeight="1">
      <c r="A101" s="65" t="inlineStr">
        <is>
          <t>Helium Performance A EUR</t>
        </is>
      </c>
      <c r="B101" s="77" t="inlineStr">
        <is>
          <t>LU0912261970</t>
        </is>
      </c>
      <c r="C101" s="268" t="n"/>
      <c r="D101" s="269">
        <f>IF(H101=0,"Calendrier non disponible pour ce fonds — contacter la société de gestion.",IF(I101="","Calendrier connu jusqu'au "&amp;TEXT(K101,"dd/mm/yyyy")&amp;" — demander le calendrier à jour.","Cut-off : "&amp;TEXT(I101,"dd/mm/yyyy")&amp;"  |  VL : "&amp;TEXT(J101,"dd/mm/yyyy")))</f>
        <v/>
      </c>
      <c r="E101" s="269">
        <f>IF(L101=0,"Calendrier non disponible pour ce fonds — contacter la société de gestion.",IF(M101="","Calendrier connu jusqu'au "&amp;TEXT(P101,"dd/mm/yyyy")&amp;" — demander le calendrier à jour.","Cut-off : "&amp;TEXT(M101,"dd/mm/yyyy")&amp;"  |  VL : "&amp;TEXT(N101,"dd/mm/yyyy")))</f>
        <v/>
      </c>
      <c r="F101" s="269">
        <f>IF(L101=0,"Calendrier non disponible pour ce fonds.",IF(M101="","Calendrier connu jusqu'au "&amp;TEXT(P101,"dd/mm/yyyy")&amp;".",IF(O101="","Non précisé dans le calendrier pour cette échéance.","Réception : "&amp;TEXT(O101,"dd/mm/yyyy")&amp;"  (suite au rachat du "&amp;TEXT(N101,"dd/mm/yyyy")&amp;")")))</f>
        <v/>
      </c>
      <c r="G101" s="269">
        <f>_xlfn.IFS(S101="aucune","Aucune pénalité de sortie."&amp;IF(T101&lt;&gt;""," ("&amp;T101&amp;")",""),S101="manuel","⚠️ À VÉRIFIER MANUELLEMENT : "&amp;T101,S101="inconnue","Pénalité non renseignée — vérifier la notice / DICI du fonds.",$C101="","Saisir une date d'investissement pour statuer sur la pénalité.",Q101="FUTUR","Date d'investissement postérieure à aujourd'hui — vérifier la saisie.",AD101&gt;0,"⚠️ CONCERNÉ : pénalité de "&amp;AD101&amp;"% (détention "&amp;Q101&amp;" mois). "&amp;T101,TRUE,"Non concerné (détention "&amp;Q101&amp;" mois). "&amp;T101)</f>
        <v/>
      </c>
      <c r="H101">
        <f>COUNTIFS(BDD_Calendrier!$A$2:$A$616,$B101,BDD_Calendrier!$C$2:$C$616,"Souscription")</f>
        <v/>
      </c>
      <c r="I101">
        <f>IF(H101=0,"",IFERROR(_xlfn.MINIFS(BDD_Calendrier!$D$2:$D$616,BDD_Calendrier!$A$2:$A$616,$B101,BDD_Calendrier!$C$2:$C$616,"Souscription",BDD_Calendrier!$D$2:$D$616,"&gt;="&amp;TODAY()),""))</f>
        <v/>
      </c>
      <c r="J101">
        <f>IF(I101="","",IFERROR(INDEX(BDD_Calendrier!$E$2:$E$616,MATCH($B101&amp;"|Souscription|"&amp;TEXT(I101,"yyyy-mm-dd"),BDD_Calendrier!$I$2:$I$616,0)),""))</f>
        <v/>
      </c>
      <c r="K101">
        <f>IF(H101=0,"",_xlfn.MAXIFS(BDD_Calendrier!$D$2:$D$616,BDD_Calendrier!$A$2:$A$616,$B101,BDD_Calendrier!$C$2:$C$616,"Souscription"))</f>
        <v/>
      </c>
      <c r="L101">
        <f>COUNTIFS(BDD_Calendrier!$A$2:$A$616,$B101,BDD_Calendrier!$C$2:$C$616,"Rachat")</f>
        <v/>
      </c>
      <c r="M101">
        <f>IF(L101=0,"",IFERROR(_xlfn.MINIFS(BDD_Calendrier!$D$2:$D$616,BDD_Calendrier!$A$2:$A$616,$B101,BDD_Calendrier!$C$2:$C$616,"Rachat",BDD_Calendrier!$D$2:$D$616,"&gt;="&amp;TODAY()),""))</f>
        <v/>
      </c>
      <c r="N101">
        <f>IF(M101="","",IFERROR(INDEX(BDD_Calendrier!$E$2:$E$616,MATCH($B101&amp;"|Rachat|"&amp;TEXT(M101,"yyyy-mm-dd"),BDD_Calendrier!$I$2:$I$616,0)),""))</f>
        <v/>
      </c>
      <c r="O101">
        <f>IF(M101="","",IFERROR(INDEX(BDD_Calendrier!$H$2:$H$616,MATCH($B101&amp;"|Rachat|"&amp;TEXT(M101,"yyyy-mm-dd"),BDD_Calendrier!$I$2:$I$616,0)),""))</f>
        <v/>
      </c>
      <c r="P101">
        <f>IF(L101=0,"",_xlfn.MAXIFS(BDD_Calendrier!$D$2:$D$616,BDD_Calendrier!$A$2:$A$616,$B101,BDD_Calendrier!$C$2:$C$616,"Rachat"))</f>
        <v/>
      </c>
      <c r="Q101">
        <f>IF($C101="","",IF($C101&gt;TODAY(),"FUTUR",DATEDIF($C101,TODAY(),"m")))</f>
        <v/>
      </c>
      <c r="R101">
        <f>COUNTIF(BDD_Penalites!$A$2:$A$130,$B101)</f>
        <v/>
      </c>
      <c r="S101">
        <f>IF(R101=0,"inconnue",INDEX(BDD_Penalites!$C$2:$C$130,MATCH($B101,BDD_Penalites!$A$2:$A$130,0)))</f>
        <v/>
      </c>
      <c r="T101">
        <f>IF(R101=0,"",INDEX(BDD_Penalites!$M$2:$M$130,MATCH($B101,BDD_Penalites!$A$2:$A$130,0)))</f>
        <v/>
      </c>
      <c r="U101">
        <f>IF(R101=0,0,INDEX(BDD_Penalites!$D$2:$D$130,MATCH($B101,BDD_Penalites!$A$2:$A$130,0)))</f>
        <v/>
      </c>
      <c r="V101">
        <f>IF(R101=0,0,INDEX(BDD_Penalites!$E$2:$E$130,MATCH($B101,BDD_Penalites!$A$2:$A$130,0)))</f>
        <v/>
      </c>
      <c r="W101">
        <f>IF(R101=0,0,INDEX(BDD_Penalites!$F$2:$F$130,MATCH($B101,BDD_Penalites!$A$2:$A$130,0)))</f>
        <v/>
      </c>
      <c r="X101">
        <f>IF(R101=0,0,INDEX(BDD_Penalites!$G$2:$G$130,MATCH($B101,BDD_Penalites!$A$2:$A$130,0)))</f>
        <v/>
      </c>
      <c r="Y101">
        <f>IF(R101=0,0,INDEX(BDD_Penalites!$H$2:$H$130,MATCH($B101,BDD_Penalites!$A$2:$A$130,0)))</f>
        <v/>
      </c>
      <c r="Z101">
        <f>IF(R101=0,0,INDEX(BDD_Penalites!$I$2:$I$130,MATCH($B101,BDD_Penalites!$A$2:$A$130,0)))</f>
        <v/>
      </c>
      <c r="AA101">
        <f>IF(R101=0,0,INDEX(BDD_Penalites!$J$2:$J$130,MATCH($B101,BDD_Penalites!$A$2:$A$130,0)))</f>
        <v/>
      </c>
      <c r="AB101">
        <f>IF(R101=0,0,INDEX(BDD_Penalites!$K$2:$K$130,MATCH($B101,BDD_Penalites!$A$2:$A$130,0)))</f>
        <v/>
      </c>
      <c r="AC101">
        <f>IF(R101=0,0,INDEX(BDD_Penalites!$L$2:$L$130,MATCH($B101,BDD_Penalites!$A$2:$A$130,0)))</f>
        <v/>
      </c>
      <c r="AD101">
        <f>IF(OR($C101="",Q101="FUTUR"),"",_xlfn.IFS(Q101&lt;U101,V101,Q101&lt;W101,X101,Q101&lt;Y101,Z101,Q101&lt;AA101,AB101,TRUE,AC101))</f>
        <v/>
      </c>
    </row>
    <row r="102" ht="14" customHeight="1">
      <c r="A102" s="65" t="inlineStr">
        <is>
          <t>Helium Sélection A EUR</t>
        </is>
      </c>
      <c r="B102" s="77" t="inlineStr">
        <is>
          <t>LU1112771255</t>
        </is>
      </c>
      <c r="C102" s="268" t="n"/>
      <c r="D102" s="269">
        <f>IF(H102=0,"Calendrier non disponible pour ce fonds — contacter la société de gestion.",IF(I102="","Calendrier connu jusqu'au "&amp;TEXT(K102,"dd/mm/yyyy")&amp;" — demander le calendrier à jour.","Cut-off : "&amp;TEXT(I102,"dd/mm/yyyy")&amp;"  |  VL : "&amp;TEXT(J102,"dd/mm/yyyy")))</f>
        <v/>
      </c>
      <c r="E102" s="269">
        <f>IF(L102=0,"Calendrier non disponible pour ce fonds — contacter la société de gestion.",IF(M102="","Calendrier connu jusqu'au "&amp;TEXT(P102,"dd/mm/yyyy")&amp;" — demander le calendrier à jour.","Cut-off : "&amp;TEXT(M102,"dd/mm/yyyy")&amp;"  |  VL : "&amp;TEXT(N102,"dd/mm/yyyy")))</f>
        <v/>
      </c>
      <c r="F102" s="269">
        <f>IF(L102=0,"Calendrier non disponible pour ce fonds.",IF(M102="","Calendrier connu jusqu'au "&amp;TEXT(P102,"dd/mm/yyyy")&amp;".",IF(O102="","Non précisé dans le calendrier pour cette échéance.","Réception : "&amp;TEXT(O102,"dd/mm/yyyy")&amp;"  (suite au rachat du "&amp;TEXT(N102,"dd/mm/yyyy")&amp;")")))</f>
        <v/>
      </c>
      <c r="G102" s="269">
        <f>_xlfn.IFS(S102="aucune","Aucune pénalité de sortie."&amp;IF(T102&lt;&gt;""," ("&amp;T102&amp;")",""),S102="manuel","⚠️ À VÉRIFIER MANUELLEMENT : "&amp;T102,S102="inconnue","Pénalité non renseignée — vérifier la notice / DICI du fonds.",$C102="","Saisir une date d'investissement pour statuer sur la pénalité.",Q102="FUTUR","Date d'investissement postérieure à aujourd'hui — vérifier la saisie.",AD102&gt;0,"⚠️ CONCERNÉ : pénalité de "&amp;AD102&amp;"% (détention "&amp;Q102&amp;" mois). "&amp;T102,TRUE,"Non concerné (détention "&amp;Q102&amp;" mois). "&amp;T102)</f>
        <v/>
      </c>
      <c r="H102">
        <f>COUNTIFS(BDD_Calendrier!$A$2:$A$616,$B102,BDD_Calendrier!$C$2:$C$616,"Souscription")</f>
        <v/>
      </c>
      <c r="I102">
        <f>IF(H102=0,"",IFERROR(_xlfn.MINIFS(BDD_Calendrier!$D$2:$D$616,BDD_Calendrier!$A$2:$A$616,$B102,BDD_Calendrier!$C$2:$C$616,"Souscription",BDD_Calendrier!$D$2:$D$616,"&gt;="&amp;TODAY()),""))</f>
        <v/>
      </c>
      <c r="J102">
        <f>IF(I102="","",IFERROR(INDEX(BDD_Calendrier!$E$2:$E$616,MATCH($B102&amp;"|Souscription|"&amp;TEXT(I102,"yyyy-mm-dd"),BDD_Calendrier!$I$2:$I$616,0)),""))</f>
        <v/>
      </c>
      <c r="K102">
        <f>IF(H102=0,"",_xlfn.MAXIFS(BDD_Calendrier!$D$2:$D$616,BDD_Calendrier!$A$2:$A$616,$B102,BDD_Calendrier!$C$2:$C$616,"Souscription"))</f>
        <v/>
      </c>
      <c r="L102">
        <f>COUNTIFS(BDD_Calendrier!$A$2:$A$616,$B102,BDD_Calendrier!$C$2:$C$616,"Rachat")</f>
        <v/>
      </c>
      <c r="M102">
        <f>IF(L102=0,"",IFERROR(_xlfn.MINIFS(BDD_Calendrier!$D$2:$D$616,BDD_Calendrier!$A$2:$A$616,$B102,BDD_Calendrier!$C$2:$C$616,"Rachat",BDD_Calendrier!$D$2:$D$616,"&gt;="&amp;TODAY()),""))</f>
        <v/>
      </c>
      <c r="N102">
        <f>IF(M102="","",IFERROR(INDEX(BDD_Calendrier!$E$2:$E$616,MATCH($B102&amp;"|Rachat|"&amp;TEXT(M102,"yyyy-mm-dd"),BDD_Calendrier!$I$2:$I$616,0)),""))</f>
        <v/>
      </c>
      <c r="O102">
        <f>IF(M102="","",IFERROR(INDEX(BDD_Calendrier!$H$2:$H$616,MATCH($B102&amp;"|Rachat|"&amp;TEXT(M102,"yyyy-mm-dd"),BDD_Calendrier!$I$2:$I$616,0)),""))</f>
        <v/>
      </c>
      <c r="P102">
        <f>IF(L102=0,"",_xlfn.MAXIFS(BDD_Calendrier!$D$2:$D$616,BDD_Calendrier!$A$2:$A$616,$B102,BDD_Calendrier!$C$2:$C$616,"Rachat"))</f>
        <v/>
      </c>
      <c r="Q102">
        <f>IF($C102="","",IF($C102&gt;TODAY(),"FUTUR",DATEDIF($C102,TODAY(),"m")))</f>
        <v/>
      </c>
      <c r="R102">
        <f>COUNTIF(BDD_Penalites!$A$2:$A$130,$B102)</f>
        <v/>
      </c>
      <c r="S102">
        <f>IF(R102=0,"inconnue",INDEX(BDD_Penalites!$C$2:$C$130,MATCH($B102,BDD_Penalites!$A$2:$A$130,0)))</f>
        <v/>
      </c>
      <c r="T102">
        <f>IF(R102=0,"",INDEX(BDD_Penalites!$M$2:$M$130,MATCH($B102,BDD_Penalites!$A$2:$A$130,0)))</f>
        <v/>
      </c>
      <c r="U102">
        <f>IF(R102=0,0,INDEX(BDD_Penalites!$D$2:$D$130,MATCH($B102,BDD_Penalites!$A$2:$A$130,0)))</f>
        <v/>
      </c>
      <c r="V102">
        <f>IF(R102=0,0,INDEX(BDD_Penalites!$E$2:$E$130,MATCH($B102,BDD_Penalites!$A$2:$A$130,0)))</f>
        <v/>
      </c>
      <c r="W102">
        <f>IF(R102=0,0,INDEX(BDD_Penalites!$F$2:$F$130,MATCH($B102,BDD_Penalites!$A$2:$A$130,0)))</f>
        <v/>
      </c>
      <c r="X102">
        <f>IF(R102=0,0,INDEX(BDD_Penalites!$G$2:$G$130,MATCH($B102,BDD_Penalites!$A$2:$A$130,0)))</f>
        <v/>
      </c>
      <c r="Y102">
        <f>IF(R102=0,0,INDEX(BDD_Penalites!$H$2:$H$130,MATCH($B102,BDD_Penalites!$A$2:$A$130,0)))</f>
        <v/>
      </c>
      <c r="Z102">
        <f>IF(R102=0,0,INDEX(BDD_Penalites!$I$2:$I$130,MATCH($B102,BDD_Penalites!$A$2:$A$130,0)))</f>
        <v/>
      </c>
      <c r="AA102">
        <f>IF(R102=0,0,INDEX(BDD_Penalites!$J$2:$J$130,MATCH($B102,BDD_Penalites!$A$2:$A$130,0)))</f>
        <v/>
      </c>
      <c r="AB102">
        <f>IF(R102=0,0,INDEX(BDD_Penalites!$K$2:$K$130,MATCH($B102,BDD_Penalites!$A$2:$A$130,0)))</f>
        <v/>
      </c>
      <c r="AC102">
        <f>IF(R102=0,0,INDEX(BDD_Penalites!$L$2:$L$130,MATCH($B102,BDD_Penalites!$A$2:$A$130,0)))</f>
        <v/>
      </c>
      <c r="AD102">
        <f>IF(OR($C102="",Q102="FUTUR"),"",_xlfn.IFS(Q102&lt;U102,V102,Q102&lt;W102,X102,Q102&lt;Y102,Z102,Q102&lt;AA102,AB102,TRUE,AC102))</f>
        <v/>
      </c>
    </row>
    <row r="103" ht="14" customHeight="1">
      <c r="A103" s="65" t="inlineStr">
        <is>
          <t>Helium Sélection B clean EUR</t>
        </is>
      </c>
      <c r="B103" s="77" t="inlineStr">
        <is>
          <t>LU1734046979</t>
        </is>
      </c>
      <c r="C103" s="268" t="n"/>
      <c r="D103" s="269">
        <f>IF(H103=0,"Calendrier non disponible pour ce fonds — contacter la société de gestion.",IF(I103="","Calendrier connu jusqu'au "&amp;TEXT(K103,"dd/mm/yyyy")&amp;" — demander le calendrier à jour.","Cut-off : "&amp;TEXT(I103,"dd/mm/yyyy")&amp;"  |  VL : "&amp;TEXT(J103,"dd/mm/yyyy")))</f>
        <v/>
      </c>
      <c r="E103" s="269">
        <f>IF(L103=0,"Calendrier non disponible pour ce fonds — contacter la société de gestion.",IF(M103="","Calendrier connu jusqu'au "&amp;TEXT(P103,"dd/mm/yyyy")&amp;" — demander le calendrier à jour.","Cut-off : "&amp;TEXT(M103,"dd/mm/yyyy")&amp;"  |  VL : "&amp;TEXT(N103,"dd/mm/yyyy")))</f>
        <v/>
      </c>
      <c r="F103" s="269">
        <f>IF(L103=0,"Calendrier non disponible pour ce fonds.",IF(M103="","Calendrier connu jusqu'au "&amp;TEXT(P103,"dd/mm/yyyy")&amp;".",IF(O103="","Non précisé dans le calendrier pour cette échéance.","Réception : "&amp;TEXT(O103,"dd/mm/yyyy")&amp;"  (suite au rachat du "&amp;TEXT(N103,"dd/mm/yyyy")&amp;")")))</f>
        <v/>
      </c>
      <c r="G103" s="269">
        <f>_xlfn.IFS(S103="aucune","Aucune pénalité de sortie."&amp;IF(T103&lt;&gt;""," ("&amp;T103&amp;")",""),S103="manuel","⚠️ À VÉRIFIER MANUELLEMENT : "&amp;T103,S103="inconnue","Pénalité non renseignée — vérifier la notice / DICI du fonds.",$C103="","Saisir une date d'investissement pour statuer sur la pénalité.",Q103="FUTUR","Date d'investissement postérieure à aujourd'hui — vérifier la saisie.",AD103&gt;0,"⚠️ CONCERNÉ : pénalité de "&amp;AD103&amp;"% (détention "&amp;Q103&amp;" mois). "&amp;T103,TRUE,"Non concerné (détention "&amp;Q103&amp;" mois). "&amp;T103)</f>
        <v/>
      </c>
      <c r="H103">
        <f>COUNTIFS(BDD_Calendrier!$A$2:$A$616,$B103,BDD_Calendrier!$C$2:$C$616,"Souscription")</f>
        <v/>
      </c>
      <c r="I103">
        <f>IF(H103=0,"",IFERROR(_xlfn.MINIFS(BDD_Calendrier!$D$2:$D$616,BDD_Calendrier!$A$2:$A$616,$B103,BDD_Calendrier!$C$2:$C$616,"Souscription",BDD_Calendrier!$D$2:$D$616,"&gt;="&amp;TODAY()),""))</f>
        <v/>
      </c>
      <c r="J103">
        <f>IF(I103="","",IFERROR(INDEX(BDD_Calendrier!$E$2:$E$616,MATCH($B103&amp;"|Souscription|"&amp;TEXT(I103,"yyyy-mm-dd"),BDD_Calendrier!$I$2:$I$616,0)),""))</f>
        <v/>
      </c>
      <c r="K103">
        <f>IF(H103=0,"",_xlfn.MAXIFS(BDD_Calendrier!$D$2:$D$616,BDD_Calendrier!$A$2:$A$616,$B103,BDD_Calendrier!$C$2:$C$616,"Souscription"))</f>
        <v/>
      </c>
      <c r="L103">
        <f>COUNTIFS(BDD_Calendrier!$A$2:$A$616,$B103,BDD_Calendrier!$C$2:$C$616,"Rachat")</f>
        <v/>
      </c>
      <c r="M103">
        <f>IF(L103=0,"",IFERROR(_xlfn.MINIFS(BDD_Calendrier!$D$2:$D$616,BDD_Calendrier!$A$2:$A$616,$B103,BDD_Calendrier!$C$2:$C$616,"Rachat",BDD_Calendrier!$D$2:$D$616,"&gt;="&amp;TODAY()),""))</f>
        <v/>
      </c>
      <c r="N103">
        <f>IF(M103="","",IFERROR(INDEX(BDD_Calendrier!$E$2:$E$616,MATCH($B103&amp;"|Rachat|"&amp;TEXT(M103,"yyyy-mm-dd"),BDD_Calendrier!$I$2:$I$616,0)),""))</f>
        <v/>
      </c>
      <c r="O103">
        <f>IF(M103="","",IFERROR(INDEX(BDD_Calendrier!$H$2:$H$616,MATCH($B103&amp;"|Rachat|"&amp;TEXT(M103,"yyyy-mm-dd"),BDD_Calendrier!$I$2:$I$616,0)),""))</f>
        <v/>
      </c>
      <c r="P103">
        <f>IF(L103=0,"",_xlfn.MAXIFS(BDD_Calendrier!$D$2:$D$616,BDD_Calendrier!$A$2:$A$616,$B103,BDD_Calendrier!$C$2:$C$616,"Rachat"))</f>
        <v/>
      </c>
      <c r="Q103">
        <f>IF($C103="","",IF($C103&gt;TODAY(),"FUTUR",DATEDIF($C103,TODAY(),"m")))</f>
        <v/>
      </c>
      <c r="R103">
        <f>COUNTIF(BDD_Penalites!$A$2:$A$130,$B103)</f>
        <v/>
      </c>
      <c r="S103">
        <f>IF(R103=0,"inconnue",INDEX(BDD_Penalites!$C$2:$C$130,MATCH($B103,BDD_Penalites!$A$2:$A$130,0)))</f>
        <v/>
      </c>
      <c r="T103">
        <f>IF(R103=0,"",INDEX(BDD_Penalites!$M$2:$M$130,MATCH($B103,BDD_Penalites!$A$2:$A$130,0)))</f>
        <v/>
      </c>
      <c r="U103">
        <f>IF(R103=0,0,INDEX(BDD_Penalites!$D$2:$D$130,MATCH($B103,BDD_Penalites!$A$2:$A$130,0)))</f>
        <v/>
      </c>
      <c r="V103">
        <f>IF(R103=0,0,INDEX(BDD_Penalites!$E$2:$E$130,MATCH($B103,BDD_Penalites!$A$2:$A$130,0)))</f>
        <v/>
      </c>
      <c r="W103">
        <f>IF(R103=0,0,INDEX(BDD_Penalites!$F$2:$F$130,MATCH($B103,BDD_Penalites!$A$2:$A$130,0)))</f>
        <v/>
      </c>
      <c r="X103">
        <f>IF(R103=0,0,INDEX(BDD_Penalites!$G$2:$G$130,MATCH($B103,BDD_Penalites!$A$2:$A$130,0)))</f>
        <v/>
      </c>
      <c r="Y103">
        <f>IF(R103=0,0,INDEX(BDD_Penalites!$H$2:$H$130,MATCH($B103,BDD_Penalites!$A$2:$A$130,0)))</f>
        <v/>
      </c>
      <c r="Z103">
        <f>IF(R103=0,0,INDEX(BDD_Penalites!$I$2:$I$130,MATCH($B103,BDD_Penalites!$A$2:$A$130,0)))</f>
        <v/>
      </c>
      <c r="AA103">
        <f>IF(R103=0,0,INDEX(BDD_Penalites!$J$2:$J$130,MATCH($B103,BDD_Penalites!$A$2:$A$130,0)))</f>
        <v/>
      </c>
      <c r="AB103">
        <f>IF(R103=0,0,INDEX(BDD_Penalites!$K$2:$K$130,MATCH($B103,BDD_Penalites!$A$2:$A$130,0)))</f>
        <v/>
      </c>
      <c r="AC103">
        <f>IF(R103=0,0,INDEX(BDD_Penalites!$L$2:$L$130,MATCH($B103,BDD_Penalites!$A$2:$A$130,0)))</f>
        <v/>
      </c>
      <c r="AD103">
        <f>IF(OR($C103="",Q103="FUTUR"),"",_xlfn.IFS(Q103&lt;U103,V103,Q103&lt;W103,X103,Q103&lt;Y103,Z103,Q103&lt;AA103,AB103,TRUE,AC103))</f>
        <v/>
      </c>
    </row>
    <row r="104" ht="14" customHeight="1">
      <c r="A104" s="65" t="inlineStr">
        <is>
          <t>Helium Fund B EUR</t>
        </is>
      </c>
      <c r="B104" s="77" t="inlineStr">
        <is>
          <t>LU0912261624</t>
        </is>
      </c>
      <c r="C104" s="268" t="n"/>
      <c r="D104" s="269">
        <f>IF(H104=0,"Calendrier non disponible pour ce fonds — contacter la société de gestion.",IF(I104="","Calendrier connu jusqu'au "&amp;TEXT(K104,"dd/mm/yyyy")&amp;" — demander le calendrier à jour.","Cut-off : "&amp;TEXT(I104,"dd/mm/yyyy")&amp;"  |  VL : "&amp;TEXT(J104,"dd/mm/yyyy")))</f>
        <v/>
      </c>
      <c r="E104" s="269">
        <f>IF(L104=0,"Calendrier non disponible pour ce fonds — contacter la société de gestion.",IF(M104="","Calendrier connu jusqu'au "&amp;TEXT(P104,"dd/mm/yyyy")&amp;" — demander le calendrier à jour.","Cut-off : "&amp;TEXT(M104,"dd/mm/yyyy")&amp;"  |  VL : "&amp;TEXT(N104,"dd/mm/yyyy")))</f>
        <v/>
      </c>
      <c r="F104" s="269">
        <f>IF(L104=0,"Calendrier non disponible pour ce fonds.",IF(M104="","Calendrier connu jusqu'au "&amp;TEXT(P104,"dd/mm/yyyy")&amp;".",IF(O104="","Non précisé dans le calendrier pour cette échéance.","Réception : "&amp;TEXT(O104,"dd/mm/yyyy")&amp;"  (suite au rachat du "&amp;TEXT(N104,"dd/mm/yyyy")&amp;")")))</f>
        <v/>
      </c>
      <c r="G104" s="269">
        <f>_xlfn.IFS(S104="aucune","Aucune pénalité de sortie."&amp;IF(T104&lt;&gt;""," ("&amp;T104&amp;")",""),S104="manuel","⚠️ À VÉRIFIER MANUELLEMENT : "&amp;T104,S104="inconnue","Pénalité non renseignée — vérifier la notice / DICI du fonds.",$C104="","Saisir une date d'investissement pour statuer sur la pénalité.",Q104="FUTUR","Date d'investissement postérieure à aujourd'hui — vérifier la saisie.",AD104&gt;0,"⚠️ CONCERNÉ : pénalité de "&amp;AD104&amp;"% (détention "&amp;Q104&amp;" mois). "&amp;T104,TRUE,"Non concerné (détention "&amp;Q104&amp;" mois). "&amp;T104)</f>
        <v/>
      </c>
      <c r="H104">
        <f>COUNTIFS(BDD_Calendrier!$A$2:$A$616,$B104,BDD_Calendrier!$C$2:$C$616,"Souscription")</f>
        <v/>
      </c>
      <c r="I104">
        <f>IF(H104=0,"",IFERROR(_xlfn.MINIFS(BDD_Calendrier!$D$2:$D$616,BDD_Calendrier!$A$2:$A$616,$B104,BDD_Calendrier!$C$2:$C$616,"Souscription",BDD_Calendrier!$D$2:$D$616,"&gt;="&amp;TODAY()),""))</f>
        <v/>
      </c>
      <c r="J104">
        <f>IF(I104="","",IFERROR(INDEX(BDD_Calendrier!$E$2:$E$616,MATCH($B104&amp;"|Souscription|"&amp;TEXT(I104,"yyyy-mm-dd"),BDD_Calendrier!$I$2:$I$616,0)),""))</f>
        <v/>
      </c>
      <c r="K104">
        <f>IF(H104=0,"",_xlfn.MAXIFS(BDD_Calendrier!$D$2:$D$616,BDD_Calendrier!$A$2:$A$616,$B104,BDD_Calendrier!$C$2:$C$616,"Souscription"))</f>
        <v/>
      </c>
      <c r="L104">
        <f>COUNTIFS(BDD_Calendrier!$A$2:$A$616,$B104,BDD_Calendrier!$C$2:$C$616,"Rachat")</f>
        <v/>
      </c>
      <c r="M104">
        <f>IF(L104=0,"",IFERROR(_xlfn.MINIFS(BDD_Calendrier!$D$2:$D$616,BDD_Calendrier!$A$2:$A$616,$B104,BDD_Calendrier!$C$2:$C$616,"Rachat",BDD_Calendrier!$D$2:$D$616,"&gt;="&amp;TODAY()),""))</f>
        <v/>
      </c>
      <c r="N104">
        <f>IF(M104="","",IFERROR(INDEX(BDD_Calendrier!$E$2:$E$616,MATCH($B104&amp;"|Rachat|"&amp;TEXT(M104,"yyyy-mm-dd"),BDD_Calendrier!$I$2:$I$616,0)),""))</f>
        <v/>
      </c>
      <c r="O104">
        <f>IF(M104="","",IFERROR(INDEX(BDD_Calendrier!$H$2:$H$616,MATCH($B104&amp;"|Rachat|"&amp;TEXT(M104,"yyyy-mm-dd"),BDD_Calendrier!$I$2:$I$616,0)),""))</f>
        <v/>
      </c>
      <c r="P104">
        <f>IF(L104=0,"",_xlfn.MAXIFS(BDD_Calendrier!$D$2:$D$616,BDD_Calendrier!$A$2:$A$616,$B104,BDD_Calendrier!$C$2:$C$616,"Rachat"))</f>
        <v/>
      </c>
      <c r="Q104">
        <f>IF($C104="","",IF($C104&gt;TODAY(),"FUTUR",DATEDIF($C104,TODAY(),"m")))</f>
        <v/>
      </c>
      <c r="R104">
        <f>COUNTIF(BDD_Penalites!$A$2:$A$130,$B104)</f>
        <v/>
      </c>
      <c r="S104">
        <f>IF(R104=0,"inconnue",INDEX(BDD_Penalites!$C$2:$C$130,MATCH($B104,BDD_Penalites!$A$2:$A$130,0)))</f>
        <v/>
      </c>
      <c r="T104">
        <f>IF(R104=0,"",INDEX(BDD_Penalites!$M$2:$M$130,MATCH($B104,BDD_Penalites!$A$2:$A$130,0)))</f>
        <v/>
      </c>
      <c r="U104">
        <f>IF(R104=0,0,INDEX(BDD_Penalites!$D$2:$D$130,MATCH($B104,BDD_Penalites!$A$2:$A$130,0)))</f>
        <v/>
      </c>
      <c r="V104">
        <f>IF(R104=0,0,INDEX(BDD_Penalites!$E$2:$E$130,MATCH($B104,BDD_Penalites!$A$2:$A$130,0)))</f>
        <v/>
      </c>
      <c r="W104">
        <f>IF(R104=0,0,INDEX(BDD_Penalites!$F$2:$F$130,MATCH($B104,BDD_Penalites!$A$2:$A$130,0)))</f>
        <v/>
      </c>
      <c r="X104">
        <f>IF(R104=0,0,INDEX(BDD_Penalites!$G$2:$G$130,MATCH($B104,BDD_Penalites!$A$2:$A$130,0)))</f>
        <v/>
      </c>
      <c r="Y104">
        <f>IF(R104=0,0,INDEX(BDD_Penalites!$H$2:$H$130,MATCH($B104,BDD_Penalites!$A$2:$A$130,0)))</f>
        <v/>
      </c>
      <c r="Z104">
        <f>IF(R104=0,0,INDEX(BDD_Penalites!$I$2:$I$130,MATCH($B104,BDD_Penalites!$A$2:$A$130,0)))</f>
        <v/>
      </c>
      <c r="AA104">
        <f>IF(R104=0,0,INDEX(BDD_Penalites!$J$2:$J$130,MATCH($B104,BDD_Penalites!$A$2:$A$130,0)))</f>
        <v/>
      </c>
      <c r="AB104">
        <f>IF(R104=0,0,INDEX(BDD_Penalites!$K$2:$K$130,MATCH($B104,BDD_Penalites!$A$2:$A$130,0)))</f>
        <v/>
      </c>
      <c r="AC104">
        <f>IF(R104=0,0,INDEX(BDD_Penalites!$L$2:$L$130,MATCH($B104,BDD_Penalites!$A$2:$A$130,0)))</f>
        <v/>
      </c>
      <c r="AD104">
        <f>IF(OR($C104="",Q104="FUTUR"),"",_xlfn.IFS(Q104&lt;U104,V104,Q104&lt;W104,X104,Q104&lt;Y104,Z104,Q104&lt;AA104,AB104,TRUE,AC104))</f>
        <v/>
      </c>
    </row>
    <row r="105" ht="14" customHeight="1">
      <c r="A105" s="65" t="inlineStr">
        <is>
          <t>Helium Global S EUR</t>
        </is>
      </c>
      <c r="B105" s="77" t="inlineStr">
        <is>
          <t>IE000F31HWX5</t>
        </is>
      </c>
      <c r="C105" s="268" t="n"/>
      <c r="D105" s="269">
        <f>IF(H105=0,"Calendrier non disponible pour ce fonds — contacter la société de gestion.",IF(I105="","Calendrier connu jusqu'au "&amp;TEXT(K105,"dd/mm/yyyy")&amp;" — demander le calendrier à jour.","Cut-off : "&amp;TEXT(I105,"dd/mm/yyyy")&amp;"  |  VL : "&amp;TEXT(J105,"dd/mm/yyyy")))</f>
        <v/>
      </c>
      <c r="E105" s="269">
        <f>IF(L105=0,"Calendrier non disponible pour ce fonds — contacter la société de gestion.",IF(M105="","Calendrier connu jusqu'au "&amp;TEXT(P105,"dd/mm/yyyy")&amp;" — demander le calendrier à jour.","Cut-off : "&amp;TEXT(M105,"dd/mm/yyyy")&amp;"  |  VL : "&amp;TEXT(N105,"dd/mm/yyyy")))</f>
        <v/>
      </c>
      <c r="F105" s="269">
        <f>IF(L105=0,"Calendrier non disponible pour ce fonds.",IF(M105="","Calendrier connu jusqu'au "&amp;TEXT(P105,"dd/mm/yyyy")&amp;".",IF(O105="","Non précisé dans le calendrier pour cette échéance.","Réception : "&amp;TEXT(O105,"dd/mm/yyyy")&amp;"  (suite au rachat du "&amp;TEXT(N105,"dd/mm/yyyy")&amp;")")))</f>
        <v/>
      </c>
      <c r="G105" s="269">
        <f>_xlfn.IFS(S105="aucune","Aucune pénalité de sortie."&amp;IF(T105&lt;&gt;""," ("&amp;T105&amp;")",""),S105="manuel","⚠️ À VÉRIFIER MANUELLEMENT : "&amp;T105,S105="inconnue","Pénalité non renseignée — vérifier la notice / DICI du fonds.",$C105="","Saisir une date d'investissement pour statuer sur la pénalité.",Q105="FUTUR","Date d'investissement postérieure à aujourd'hui — vérifier la saisie.",AD105&gt;0,"⚠️ CONCERNÉ : pénalité de "&amp;AD105&amp;"% (détention "&amp;Q105&amp;" mois). "&amp;T105,TRUE,"Non concerné (détention "&amp;Q105&amp;" mois). "&amp;T105)</f>
        <v/>
      </c>
      <c r="H105">
        <f>COUNTIFS(BDD_Calendrier!$A$2:$A$616,$B105,BDD_Calendrier!$C$2:$C$616,"Souscription")</f>
        <v/>
      </c>
      <c r="I105">
        <f>IF(H105=0,"",IFERROR(_xlfn.MINIFS(BDD_Calendrier!$D$2:$D$616,BDD_Calendrier!$A$2:$A$616,$B105,BDD_Calendrier!$C$2:$C$616,"Souscription",BDD_Calendrier!$D$2:$D$616,"&gt;="&amp;TODAY()),""))</f>
        <v/>
      </c>
      <c r="J105">
        <f>IF(I105="","",IFERROR(INDEX(BDD_Calendrier!$E$2:$E$616,MATCH($B105&amp;"|Souscription|"&amp;TEXT(I105,"yyyy-mm-dd"),BDD_Calendrier!$I$2:$I$616,0)),""))</f>
        <v/>
      </c>
      <c r="K105">
        <f>IF(H105=0,"",_xlfn.MAXIFS(BDD_Calendrier!$D$2:$D$616,BDD_Calendrier!$A$2:$A$616,$B105,BDD_Calendrier!$C$2:$C$616,"Souscription"))</f>
        <v/>
      </c>
      <c r="L105">
        <f>COUNTIFS(BDD_Calendrier!$A$2:$A$616,$B105,BDD_Calendrier!$C$2:$C$616,"Rachat")</f>
        <v/>
      </c>
      <c r="M105">
        <f>IF(L105=0,"",IFERROR(_xlfn.MINIFS(BDD_Calendrier!$D$2:$D$616,BDD_Calendrier!$A$2:$A$616,$B105,BDD_Calendrier!$C$2:$C$616,"Rachat",BDD_Calendrier!$D$2:$D$616,"&gt;="&amp;TODAY()),""))</f>
        <v/>
      </c>
      <c r="N105">
        <f>IF(M105="","",IFERROR(INDEX(BDD_Calendrier!$E$2:$E$616,MATCH($B105&amp;"|Rachat|"&amp;TEXT(M105,"yyyy-mm-dd"),BDD_Calendrier!$I$2:$I$616,0)),""))</f>
        <v/>
      </c>
      <c r="O105">
        <f>IF(M105="","",IFERROR(INDEX(BDD_Calendrier!$H$2:$H$616,MATCH($B105&amp;"|Rachat|"&amp;TEXT(M105,"yyyy-mm-dd"),BDD_Calendrier!$I$2:$I$616,0)),""))</f>
        <v/>
      </c>
      <c r="P105">
        <f>IF(L105=0,"",_xlfn.MAXIFS(BDD_Calendrier!$D$2:$D$616,BDD_Calendrier!$A$2:$A$616,$B105,BDD_Calendrier!$C$2:$C$616,"Rachat"))</f>
        <v/>
      </c>
      <c r="Q105">
        <f>IF($C105="","",IF($C105&gt;TODAY(),"FUTUR",DATEDIF($C105,TODAY(),"m")))</f>
        <v/>
      </c>
      <c r="R105">
        <f>COUNTIF(BDD_Penalites!$A$2:$A$130,$B105)</f>
        <v/>
      </c>
      <c r="S105">
        <f>IF(R105=0,"inconnue",INDEX(BDD_Penalites!$C$2:$C$130,MATCH($B105,BDD_Penalites!$A$2:$A$130,0)))</f>
        <v/>
      </c>
      <c r="T105">
        <f>IF(R105=0,"",INDEX(BDD_Penalites!$M$2:$M$130,MATCH($B105,BDD_Penalites!$A$2:$A$130,0)))</f>
        <v/>
      </c>
      <c r="U105">
        <f>IF(R105=0,0,INDEX(BDD_Penalites!$D$2:$D$130,MATCH($B105,BDD_Penalites!$A$2:$A$130,0)))</f>
        <v/>
      </c>
      <c r="V105">
        <f>IF(R105=0,0,INDEX(BDD_Penalites!$E$2:$E$130,MATCH($B105,BDD_Penalites!$A$2:$A$130,0)))</f>
        <v/>
      </c>
      <c r="W105">
        <f>IF(R105=0,0,INDEX(BDD_Penalites!$F$2:$F$130,MATCH($B105,BDD_Penalites!$A$2:$A$130,0)))</f>
        <v/>
      </c>
      <c r="X105">
        <f>IF(R105=0,0,INDEX(BDD_Penalites!$G$2:$G$130,MATCH($B105,BDD_Penalites!$A$2:$A$130,0)))</f>
        <v/>
      </c>
      <c r="Y105">
        <f>IF(R105=0,0,INDEX(BDD_Penalites!$H$2:$H$130,MATCH($B105,BDD_Penalites!$A$2:$A$130,0)))</f>
        <v/>
      </c>
      <c r="Z105">
        <f>IF(R105=0,0,INDEX(BDD_Penalites!$I$2:$I$130,MATCH($B105,BDD_Penalites!$A$2:$A$130,0)))</f>
        <v/>
      </c>
      <c r="AA105">
        <f>IF(R105=0,0,INDEX(BDD_Penalites!$J$2:$J$130,MATCH($B105,BDD_Penalites!$A$2:$A$130,0)))</f>
        <v/>
      </c>
      <c r="AB105">
        <f>IF(R105=0,0,INDEX(BDD_Penalites!$K$2:$K$130,MATCH($B105,BDD_Penalites!$A$2:$A$130,0)))</f>
        <v/>
      </c>
      <c r="AC105">
        <f>IF(R105=0,0,INDEX(BDD_Penalites!$L$2:$L$130,MATCH($B105,BDD_Penalites!$A$2:$A$130,0)))</f>
        <v/>
      </c>
      <c r="AD105">
        <f>IF(OR($C105="",Q105="FUTUR"),"",_xlfn.IFS(Q105&lt;U105,V105,Q105&lt;W105,X105,Q105&lt;Y105,Z105,Q105&lt;AA105,AB105,TRUE,AC105))</f>
        <v/>
      </c>
    </row>
    <row r="106" ht="14" customHeight="1">
      <c r="A106" s="65" t="inlineStr">
        <is>
          <t>Helium Selection B-EUR</t>
        </is>
      </c>
      <c r="B106" s="77" t="inlineStr">
        <is>
          <t>LU1112771503</t>
        </is>
      </c>
      <c r="C106" s="268" t="n"/>
      <c r="D106" s="269">
        <f>IF(H106=0,"Calendrier non disponible pour ce fonds — contacter la société de gestion.",IF(I106="","Calendrier connu jusqu'au "&amp;TEXT(K106,"dd/mm/yyyy")&amp;" — demander le calendrier à jour.","Cut-off : "&amp;TEXT(I106,"dd/mm/yyyy")&amp;"  |  VL : "&amp;TEXT(J106,"dd/mm/yyyy")))</f>
        <v/>
      </c>
      <c r="E106" s="269">
        <f>IF(L106=0,"Calendrier non disponible pour ce fonds — contacter la société de gestion.",IF(M106="","Calendrier connu jusqu'au "&amp;TEXT(P106,"dd/mm/yyyy")&amp;" — demander le calendrier à jour.","Cut-off : "&amp;TEXT(M106,"dd/mm/yyyy")&amp;"  |  VL : "&amp;TEXT(N106,"dd/mm/yyyy")))</f>
        <v/>
      </c>
      <c r="F106" s="269">
        <f>IF(L106=0,"Calendrier non disponible pour ce fonds.",IF(M106="","Calendrier connu jusqu'au "&amp;TEXT(P106,"dd/mm/yyyy")&amp;".",IF(O106="","Non précisé dans le calendrier pour cette échéance.","Réception : "&amp;TEXT(O106,"dd/mm/yyyy")&amp;"  (suite au rachat du "&amp;TEXT(N106,"dd/mm/yyyy")&amp;")")))</f>
        <v/>
      </c>
      <c r="G106" s="269">
        <f>_xlfn.IFS(S106="aucune","Aucune pénalité de sortie."&amp;IF(T106&lt;&gt;""," ("&amp;T106&amp;")",""),S106="manuel","⚠️ À VÉRIFIER MANUELLEMENT : "&amp;T106,S106="inconnue","Pénalité non renseignée — vérifier la notice / DICI du fonds.",$C106="","Saisir une date d'investissement pour statuer sur la pénalité.",Q106="FUTUR","Date d'investissement postérieure à aujourd'hui — vérifier la saisie.",AD106&gt;0,"⚠️ CONCERNÉ : pénalité de "&amp;AD106&amp;"% (détention "&amp;Q106&amp;" mois). "&amp;T106,TRUE,"Non concerné (détention "&amp;Q106&amp;" mois). "&amp;T106)</f>
        <v/>
      </c>
      <c r="H106">
        <f>COUNTIFS(BDD_Calendrier!$A$2:$A$616,$B106,BDD_Calendrier!$C$2:$C$616,"Souscription")</f>
        <v/>
      </c>
      <c r="I106">
        <f>IF(H106=0,"",IFERROR(_xlfn.MINIFS(BDD_Calendrier!$D$2:$D$616,BDD_Calendrier!$A$2:$A$616,$B106,BDD_Calendrier!$C$2:$C$616,"Souscription",BDD_Calendrier!$D$2:$D$616,"&gt;="&amp;TODAY()),""))</f>
        <v/>
      </c>
      <c r="J106">
        <f>IF(I106="","",IFERROR(INDEX(BDD_Calendrier!$E$2:$E$616,MATCH($B106&amp;"|Souscription|"&amp;TEXT(I106,"yyyy-mm-dd"),BDD_Calendrier!$I$2:$I$616,0)),""))</f>
        <v/>
      </c>
      <c r="K106">
        <f>IF(H106=0,"",_xlfn.MAXIFS(BDD_Calendrier!$D$2:$D$616,BDD_Calendrier!$A$2:$A$616,$B106,BDD_Calendrier!$C$2:$C$616,"Souscription"))</f>
        <v/>
      </c>
      <c r="L106">
        <f>COUNTIFS(BDD_Calendrier!$A$2:$A$616,$B106,BDD_Calendrier!$C$2:$C$616,"Rachat")</f>
        <v/>
      </c>
      <c r="M106">
        <f>IF(L106=0,"",IFERROR(_xlfn.MINIFS(BDD_Calendrier!$D$2:$D$616,BDD_Calendrier!$A$2:$A$616,$B106,BDD_Calendrier!$C$2:$C$616,"Rachat",BDD_Calendrier!$D$2:$D$616,"&gt;="&amp;TODAY()),""))</f>
        <v/>
      </c>
      <c r="N106">
        <f>IF(M106="","",IFERROR(INDEX(BDD_Calendrier!$E$2:$E$616,MATCH($B106&amp;"|Rachat|"&amp;TEXT(M106,"yyyy-mm-dd"),BDD_Calendrier!$I$2:$I$616,0)),""))</f>
        <v/>
      </c>
      <c r="O106">
        <f>IF(M106="","",IFERROR(INDEX(BDD_Calendrier!$H$2:$H$616,MATCH($B106&amp;"|Rachat|"&amp;TEXT(M106,"yyyy-mm-dd"),BDD_Calendrier!$I$2:$I$616,0)),""))</f>
        <v/>
      </c>
      <c r="P106">
        <f>IF(L106=0,"",_xlfn.MAXIFS(BDD_Calendrier!$D$2:$D$616,BDD_Calendrier!$A$2:$A$616,$B106,BDD_Calendrier!$C$2:$C$616,"Rachat"))</f>
        <v/>
      </c>
      <c r="Q106">
        <f>IF($C106="","",IF($C106&gt;TODAY(),"FUTUR",DATEDIF($C106,TODAY(),"m")))</f>
        <v/>
      </c>
      <c r="R106">
        <f>COUNTIF(BDD_Penalites!$A$2:$A$130,$B106)</f>
        <v/>
      </c>
      <c r="S106">
        <f>IF(R106=0,"inconnue",INDEX(BDD_Penalites!$C$2:$C$130,MATCH($B106,BDD_Penalites!$A$2:$A$130,0)))</f>
        <v/>
      </c>
      <c r="T106">
        <f>IF(R106=0,"",INDEX(BDD_Penalites!$M$2:$M$130,MATCH($B106,BDD_Penalites!$A$2:$A$130,0)))</f>
        <v/>
      </c>
      <c r="U106">
        <f>IF(R106=0,0,INDEX(BDD_Penalites!$D$2:$D$130,MATCH($B106,BDD_Penalites!$A$2:$A$130,0)))</f>
        <v/>
      </c>
      <c r="V106">
        <f>IF(R106=0,0,INDEX(BDD_Penalites!$E$2:$E$130,MATCH($B106,BDD_Penalites!$A$2:$A$130,0)))</f>
        <v/>
      </c>
      <c r="W106">
        <f>IF(R106=0,0,INDEX(BDD_Penalites!$F$2:$F$130,MATCH($B106,BDD_Penalites!$A$2:$A$130,0)))</f>
        <v/>
      </c>
      <c r="X106">
        <f>IF(R106=0,0,INDEX(BDD_Penalites!$G$2:$G$130,MATCH($B106,BDD_Penalites!$A$2:$A$130,0)))</f>
        <v/>
      </c>
      <c r="Y106">
        <f>IF(R106=0,0,INDEX(BDD_Penalites!$H$2:$H$130,MATCH($B106,BDD_Penalites!$A$2:$A$130,0)))</f>
        <v/>
      </c>
      <c r="Z106">
        <f>IF(R106=0,0,INDEX(BDD_Penalites!$I$2:$I$130,MATCH($B106,BDD_Penalites!$A$2:$A$130,0)))</f>
        <v/>
      </c>
      <c r="AA106">
        <f>IF(R106=0,0,INDEX(BDD_Penalites!$J$2:$J$130,MATCH($B106,BDD_Penalites!$A$2:$A$130,0)))</f>
        <v/>
      </c>
      <c r="AB106">
        <f>IF(R106=0,0,INDEX(BDD_Penalites!$K$2:$K$130,MATCH($B106,BDD_Penalites!$A$2:$A$130,0)))</f>
        <v/>
      </c>
      <c r="AC106">
        <f>IF(R106=0,0,INDEX(BDD_Penalites!$L$2:$L$130,MATCH($B106,BDD_Penalites!$A$2:$A$130,0)))</f>
        <v/>
      </c>
      <c r="AD106">
        <f>IF(OR($C106="",Q106="FUTUR"),"",_xlfn.IFS(Q106&lt;U106,V106,Q106&lt;W106,X106,Q106&lt;Y106,Z106,Q106&lt;AA106,AB106,TRUE,AC106))</f>
        <v/>
      </c>
    </row>
    <row r="107" ht="14" customHeight="1">
      <c r="A107" s="65" t="inlineStr">
        <is>
          <t>Helium Performance B EUR</t>
        </is>
      </c>
      <c r="B107" s="77" t="inlineStr">
        <is>
          <t>LU0912262275</t>
        </is>
      </c>
      <c r="C107" s="268" t="n"/>
      <c r="D107" s="269">
        <f>IF(H107=0,"Calendrier non disponible pour ce fonds — contacter la société de gestion.",IF(I107="","Calendrier connu jusqu'au "&amp;TEXT(K107,"dd/mm/yyyy")&amp;" — demander le calendrier à jour.","Cut-off : "&amp;TEXT(I107,"dd/mm/yyyy")&amp;"  |  VL : "&amp;TEXT(J107,"dd/mm/yyyy")))</f>
        <v/>
      </c>
      <c r="E107" s="269">
        <f>IF(L107=0,"Calendrier non disponible pour ce fonds — contacter la société de gestion.",IF(M107="","Calendrier connu jusqu'au "&amp;TEXT(P107,"dd/mm/yyyy")&amp;" — demander le calendrier à jour.","Cut-off : "&amp;TEXT(M107,"dd/mm/yyyy")&amp;"  |  VL : "&amp;TEXT(N107,"dd/mm/yyyy")))</f>
        <v/>
      </c>
      <c r="F107" s="269">
        <f>IF(L107=0,"Calendrier non disponible pour ce fonds.",IF(M107="","Calendrier connu jusqu'au "&amp;TEXT(P107,"dd/mm/yyyy")&amp;".",IF(O107="","Non précisé dans le calendrier pour cette échéance.","Réception : "&amp;TEXT(O107,"dd/mm/yyyy")&amp;"  (suite au rachat du "&amp;TEXT(N107,"dd/mm/yyyy")&amp;")")))</f>
        <v/>
      </c>
      <c r="G107" s="269">
        <f>_xlfn.IFS(S107="aucune","Aucune pénalité de sortie."&amp;IF(T107&lt;&gt;""," ("&amp;T107&amp;")",""),S107="manuel","⚠️ À VÉRIFIER MANUELLEMENT : "&amp;T107,S107="inconnue","Pénalité non renseignée — vérifier la notice / DICI du fonds.",$C107="","Saisir une date d'investissement pour statuer sur la pénalité.",Q107="FUTUR","Date d'investissement postérieure à aujourd'hui — vérifier la saisie.",AD107&gt;0,"⚠️ CONCERNÉ : pénalité de "&amp;AD107&amp;"% (détention "&amp;Q107&amp;" mois). "&amp;T107,TRUE,"Non concerné (détention "&amp;Q107&amp;" mois). "&amp;T107)</f>
        <v/>
      </c>
      <c r="H107">
        <f>COUNTIFS(BDD_Calendrier!$A$2:$A$616,$B107,BDD_Calendrier!$C$2:$C$616,"Souscription")</f>
        <v/>
      </c>
      <c r="I107">
        <f>IF(H107=0,"",IFERROR(_xlfn.MINIFS(BDD_Calendrier!$D$2:$D$616,BDD_Calendrier!$A$2:$A$616,$B107,BDD_Calendrier!$C$2:$C$616,"Souscription",BDD_Calendrier!$D$2:$D$616,"&gt;="&amp;TODAY()),""))</f>
        <v/>
      </c>
      <c r="J107">
        <f>IF(I107="","",IFERROR(INDEX(BDD_Calendrier!$E$2:$E$616,MATCH($B107&amp;"|Souscription|"&amp;TEXT(I107,"yyyy-mm-dd"),BDD_Calendrier!$I$2:$I$616,0)),""))</f>
        <v/>
      </c>
      <c r="K107">
        <f>IF(H107=0,"",_xlfn.MAXIFS(BDD_Calendrier!$D$2:$D$616,BDD_Calendrier!$A$2:$A$616,$B107,BDD_Calendrier!$C$2:$C$616,"Souscription"))</f>
        <v/>
      </c>
      <c r="L107">
        <f>COUNTIFS(BDD_Calendrier!$A$2:$A$616,$B107,BDD_Calendrier!$C$2:$C$616,"Rachat")</f>
        <v/>
      </c>
      <c r="M107">
        <f>IF(L107=0,"",IFERROR(_xlfn.MINIFS(BDD_Calendrier!$D$2:$D$616,BDD_Calendrier!$A$2:$A$616,$B107,BDD_Calendrier!$C$2:$C$616,"Rachat",BDD_Calendrier!$D$2:$D$616,"&gt;="&amp;TODAY()),""))</f>
        <v/>
      </c>
      <c r="N107">
        <f>IF(M107="","",IFERROR(INDEX(BDD_Calendrier!$E$2:$E$616,MATCH($B107&amp;"|Rachat|"&amp;TEXT(M107,"yyyy-mm-dd"),BDD_Calendrier!$I$2:$I$616,0)),""))</f>
        <v/>
      </c>
      <c r="O107">
        <f>IF(M107="","",IFERROR(INDEX(BDD_Calendrier!$H$2:$H$616,MATCH($B107&amp;"|Rachat|"&amp;TEXT(M107,"yyyy-mm-dd"),BDD_Calendrier!$I$2:$I$616,0)),""))</f>
        <v/>
      </c>
      <c r="P107">
        <f>IF(L107=0,"",_xlfn.MAXIFS(BDD_Calendrier!$D$2:$D$616,BDD_Calendrier!$A$2:$A$616,$B107,BDD_Calendrier!$C$2:$C$616,"Rachat"))</f>
        <v/>
      </c>
      <c r="Q107">
        <f>IF($C107="","",IF($C107&gt;TODAY(),"FUTUR",DATEDIF($C107,TODAY(),"m")))</f>
        <v/>
      </c>
      <c r="R107">
        <f>COUNTIF(BDD_Penalites!$A$2:$A$130,$B107)</f>
        <v/>
      </c>
      <c r="S107">
        <f>IF(R107=0,"inconnue",INDEX(BDD_Penalites!$C$2:$C$130,MATCH($B107,BDD_Penalites!$A$2:$A$130,0)))</f>
        <v/>
      </c>
      <c r="T107">
        <f>IF(R107=0,"",INDEX(BDD_Penalites!$M$2:$M$130,MATCH($B107,BDD_Penalites!$A$2:$A$130,0)))</f>
        <v/>
      </c>
      <c r="U107">
        <f>IF(R107=0,0,INDEX(BDD_Penalites!$D$2:$D$130,MATCH($B107,BDD_Penalites!$A$2:$A$130,0)))</f>
        <v/>
      </c>
      <c r="V107">
        <f>IF(R107=0,0,INDEX(BDD_Penalites!$E$2:$E$130,MATCH($B107,BDD_Penalites!$A$2:$A$130,0)))</f>
        <v/>
      </c>
      <c r="W107">
        <f>IF(R107=0,0,INDEX(BDD_Penalites!$F$2:$F$130,MATCH($B107,BDD_Penalites!$A$2:$A$130,0)))</f>
        <v/>
      </c>
      <c r="X107">
        <f>IF(R107=0,0,INDEX(BDD_Penalites!$G$2:$G$130,MATCH($B107,BDD_Penalites!$A$2:$A$130,0)))</f>
        <v/>
      </c>
      <c r="Y107">
        <f>IF(R107=0,0,INDEX(BDD_Penalites!$H$2:$H$130,MATCH($B107,BDD_Penalites!$A$2:$A$130,0)))</f>
        <v/>
      </c>
      <c r="Z107">
        <f>IF(R107=0,0,INDEX(BDD_Penalites!$I$2:$I$130,MATCH($B107,BDD_Penalites!$A$2:$A$130,0)))</f>
        <v/>
      </c>
      <c r="AA107">
        <f>IF(R107=0,0,INDEX(BDD_Penalites!$J$2:$J$130,MATCH($B107,BDD_Penalites!$A$2:$A$130,0)))</f>
        <v/>
      </c>
      <c r="AB107">
        <f>IF(R107=0,0,INDEX(BDD_Penalites!$K$2:$K$130,MATCH($B107,BDD_Penalites!$A$2:$A$130,0)))</f>
        <v/>
      </c>
      <c r="AC107">
        <f>IF(R107=0,0,INDEX(BDD_Penalites!$L$2:$L$130,MATCH($B107,BDD_Penalites!$A$2:$A$130,0)))</f>
        <v/>
      </c>
      <c r="AD107">
        <f>IF(OR($C107="",Q107="FUTUR"),"",_xlfn.IFS(Q107&lt;U107,V107,Q107&lt;W107,X107,Q107&lt;Y107,Z107,Q107&lt;AA107,AB107,TRUE,AC107))</f>
        <v/>
      </c>
    </row>
    <row r="108" ht="14" customHeight="1">
      <c r="A108" s="65" t="inlineStr">
        <is>
          <t>Cypanga Diversified Portfolio A</t>
        </is>
      </c>
      <c r="B108" s="77" t="inlineStr">
        <is>
          <t>LU0672299830</t>
        </is>
      </c>
      <c r="C108" s="268" t="n"/>
      <c r="D108" s="269">
        <f>IF(H108=0,"Calendrier non disponible pour ce fonds — contacter la société de gestion.",IF(I108="","Calendrier connu jusqu'au "&amp;TEXT(K108,"dd/mm/yyyy")&amp;" — demander le calendrier à jour.","Cut-off : "&amp;TEXT(I108,"dd/mm/yyyy")&amp;"  |  VL : "&amp;TEXT(J108,"dd/mm/yyyy")))</f>
        <v/>
      </c>
      <c r="E108" s="269">
        <f>IF(L108=0,"Calendrier non disponible pour ce fonds — contacter la société de gestion.",IF(M108="","Calendrier connu jusqu'au "&amp;TEXT(P108,"dd/mm/yyyy")&amp;" — demander le calendrier à jour.","Cut-off : "&amp;TEXT(M108,"dd/mm/yyyy")&amp;"  |  VL : "&amp;TEXT(N108,"dd/mm/yyyy")))</f>
        <v/>
      </c>
      <c r="F108" s="269">
        <f>IF(L108=0,"Calendrier non disponible pour ce fonds.",IF(M108="","Calendrier connu jusqu'au "&amp;TEXT(P108,"dd/mm/yyyy")&amp;".",IF(O108="","Non précisé dans le calendrier pour cette échéance.","Réception : "&amp;TEXT(O108,"dd/mm/yyyy")&amp;"  (suite au rachat du "&amp;TEXT(N108,"dd/mm/yyyy")&amp;")")))</f>
        <v/>
      </c>
      <c r="G108" s="269">
        <f>_xlfn.IFS(S108="aucune","Aucune pénalité de sortie."&amp;IF(T108&lt;&gt;""," ("&amp;T108&amp;")",""),S108="manuel","⚠️ À VÉRIFIER MANUELLEMENT : "&amp;T108,S108="inconnue","Pénalité non renseignée — vérifier la notice / DICI du fonds.",$C108="","Saisir une date d'investissement pour statuer sur la pénalité.",Q108="FUTUR","Date d'investissement postérieure à aujourd'hui — vérifier la saisie.",AD108&gt;0,"⚠️ CONCERNÉ : pénalité de "&amp;AD108&amp;"% (détention "&amp;Q108&amp;" mois). "&amp;T108,TRUE,"Non concerné (détention "&amp;Q108&amp;" mois). "&amp;T108)</f>
        <v/>
      </c>
      <c r="H108">
        <f>COUNTIFS(BDD_Calendrier!$A$2:$A$616,$B108,BDD_Calendrier!$C$2:$C$616,"Souscription")</f>
        <v/>
      </c>
      <c r="I108">
        <f>IF(H108=0,"",IFERROR(_xlfn.MINIFS(BDD_Calendrier!$D$2:$D$616,BDD_Calendrier!$A$2:$A$616,$B108,BDD_Calendrier!$C$2:$C$616,"Souscription",BDD_Calendrier!$D$2:$D$616,"&gt;="&amp;TODAY()),""))</f>
        <v/>
      </c>
      <c r="J108">
        <f>IF(I108="","",IFERROR(INDEX(BDD_Calendrier!$E$2:$E$616,MATCH($B108&amp;"|Souscription|"&amp;TEXT(I108,"yyyy-mm-dd"),BDD_Calendrier!$I$2:$I$616,0)),""))</f>
        <v/>
      </c>
      <c r="K108">
        <f>IF(H108=0,"",_xlfn.MAXIFS(BDD_Calendrier!$D$2:$D$616,BDD_Calendrier!$A$2:$A$616,$B108,BDD_Calendrier!$C$2:$C$616,"Souscription"))</f>
        <v/>
      </c>
      <c r="L108">
        <f>COUNTIFS(BDD_Calendrier!$A$2:$A$616,$B108,BDD_Calendrier!$C$2:$C$616,"Rachat")</f>
        <v/>
      </c>
      <c r="M108">
        <f>IF(L108=0,"",IFERROR(_xlfn.MINIFS(BDD_Calendrier!$D$2:$D$616,BDD_Calendrier!$A$2:$A$616,$B108,BDD_Calendrier!$C$2:$C$616,"Rachat",BDD_Calendrier!$D$2:$D$616,"&gt;="&amp;TODAY()),""))</f>
        <v/>
      </c>
      <c r="N108">
        <f>IF(M108="","",IFERROR(INDEX(BDD_Calendrier!$E$2:$E$616,MATCH($B108&amp;"|Rachat|"&amp;TEXT(M108,"yyyy-mm-dd"),BDD_Calendrier!$I$2:$I$616,0)),""))</f>
        <v/>
      </c>
      <c r="O108">
        <f>IF(M108="","",IFERROR(INDEX(BDD_Calendrier!$H$2:$H$616,MATCH($B108&amp;"|Rachat|"&amp;TEXT(M108,"yyyy-mm-dd"),BDD_Calendrier!$I$2:$I$616,0)),""))</f>
        <v/>
      </c>
      <c r="P108">
        <f>IF(L108=0,"",_xlfn.MAXIFS(BDD_Calendrier!$D$2:$D$616,BDD_Calendrier!$A$2:$A$616,$B108,BDD_Calendrier!$C$2:$C$616,"Rachat"))</f>
        <v/>
      </c>
      <c r="Q108">
        <f>IF($C108="","",IF($C108&gt;TODAY(),"FUTUR",DATEDIF($C108,TODAY(),"m")))</f>
        <v/>
      </c>
      <c r="R108">
        <f>COUNTIF(BDD_Penalites!$A$2:$A$130,$B108)</f>
        <v/>
      </c>
      <c r="S108">
        <f>IF(R108=0,"inconnue",INDEX(BDD_Penalites!$C$2:$C$130,MATCH($B108,BDD_Penalites!$A$2:$A$130,0)))</f>
        <v/>
      </c>
      <c r="T108">
        <f>IF(R108=0,"",INDEX(BDD_Penalites!$M$2:$M$130,MATCH($B108,BDD_Penalites!$A$2:$A$130,0)))</f>
        <v/>
      </c>
      <c r="U108">
        <f>IF(R108=0,0,INDEX(BDD_Penalites!$D$2:$D$130,MATCH($B108,BDD_Penalites!$A$2:$A$130,0)))</f>
        <v/>
      </c>
      <c r="V108">
        <f>IF(R108=0,0,INDEX(BDD_Penalites!$E$2:$E$130,MATCH($B108,BDD_Penalites!$A$2:$A$130,0)))</f>
        <v/>
      </c>
      <c r="W108">
        <f>IF(R108=0,0,INDEX(BDD_Penalites!$F$2:$F$130,MATCH($B108,BDD_Penalites!$A$2:$A$130,0)))</f>
        <v/>
      </c>
      <c r="X108">
        <f>IF(R108=0,0,INDEX(BDD_Penalites!$G$2:$G$130,MATCH($B108,BDD_Penalites!$A$2:$A$130,0)))</f>
        <v/>
      </c>
      <c r="Y108">
        <f>IF(R108=0,0,INDEX(BDD_Penalites!$H$2:$H$130,MATCH($B108,BDD_Penalites!$A$2:$A$130,0)))</f>
        <v/>
      </c>
      <c r="Z108">
        <f>IF(R108=0,0,INDEX(BDD_Penalites!$I$2:$I$130,MATCH($B108,BDD_Penalites!$A$2:$A$130,0)))</f>
        <v/>
      </c>
      <c r="AA108">
        <f>IF(R108=0,0,INDEX(BDD_Penalites!$J$2:$J$130,MATCH($B108,BDD_Penalites!$A$2:$A$130,0)))</f>
        <v/>
      </c>
      <c r="AB108">
        <f>IF(R108=0,0,INDEX(BDD_Penalites!$K$2:$K$130,MATCH($B108,BDD_Penalites!$A$2:$A$130,0)))</f>
        <v/>
      </c>
      <c r="AC108">
        <f>IF(R108=0,0,INDEX(BDD_Penalites!$L$2:$L$130,MATCH($B108,BDD_Penalites!$A$2:$A$130,0)))</f>
        <v/>
      </c>
      <c r="AD108">
        <f>IF(OR($C108="",Q108="FUTUR"),"",_xlfn.IFS(Q108&lt;U108,V108,Q108&lt;W108,X108,Q108&lt;Y108,Z108,Q108&lt;AA108,AB108,TRUE,AC108))</f>
        <v/>
      </c>
    </row>
    <row r="109" ht="28" customHeight="1">
      <c r="A109" s="65" t="inlineStr">
        <is>
          <t>Tikehau International Cross Assets R Acc EUR</t>
        </is>
      </c>
      <c r="B109" s="77" t="inlineStr">
        <is>
          <t>LU2147879543</t>
        </is>
      </c>
      <c r="C109" s="268" t="n"/>
      <c r="D109" s="269">
        <f>IF(H109=0,"Calendrier non disponible pour ce fonds — contacter la société de gestion.",IF(I109="","Calendrier connu jusqu'au "&amp;TEXT(K109,"dd/mm/yyyy")&amp;" — demander le calendrier à jour.","Cut-off : "&amp;TEXT(I109,"dd/mm/yyyy")&amp;"  |  VL : "&amp;TEXT(J109,"dd/mm/yyyy")))</f>
        <v/>
      </c>
      <c r="E109" s="269">
        <f>IF(L109=0,"Calendrier non disponible pour ce fonds — contacter la société de gestion.",IF(M109="","Calendrier connu jusqu'au "&amp;TEXT(P109,"dd/mm/yyyy")&amp;" — demander le calendrier à jour.","Cut-off : "&amp;TEXT(M109,"dd/mm/yyyy")&amp;"  |  VL : "&amp;TEXT(N109,"dd/mm/yyyy")))</f>
        <v/>
      </c>
      <c r="F109" s="269">
        <f>IF(L109=0,"Calendrier non disponible pour ce fonds.",IF(M109="","Calendrier connu jusqu'au "&amp;TEXT(P109,"dd/mm/yyyy")&amp;".",IF(O109="","Non précisé dans le calendrier pour cette échéance.","Réception : "&amp;TEXT(O109,"dd/mm/yyyy")&amp;"  (suite au rachat du "&amp;TEXT(N109,"dd/mm/yyyy")&amp;")")))</f>
        <v/>
      </c>
      <c r="G109" s="269">
        <f>_xlfn.IFS(S109="aucune","Aucune pénalité de sortie."&amp;IF(T109&lt;&gt;""," ("&amp;T109&amp;")",""),S109="manuel","⚠️ À VÉRIFIER MANUELLEMENT : "&amp;T109,S109="inconnue","Pénalité non renseignée — vérifier la notice / DICI du fonds.",$C109="","Saisir une date d'investissement pour statuer sur la pénalité.",Q109="FUTUR","Date d'investissement postérieure à aujourd'hui — vérifier la saisie.",AD109&gt;0,"⚠️ CONCERNÉ : pénalité de "&amp;AD109&amp;"% (détention "&amp;Q109&amp;" mois). "&amp;T109,TRUE,"Non concerné (détention "&amp;Q109&amp;" mois). "&amp;T109)</f>
        <v/>
      </c>
      <c r="H109">
        <f>COUNTIFS(BDD_Calendrier!$A$2:$A$616,$B109,BDD_Calendrier!$C$2:$C$616,"Souscription")</f>
        <v/>
      </c>
      <c r="I109">
        <f>IF(H109=0,"",IFERROR(_xlfn.MINIFS(BDD_Calendrier!$D$2:$D$616,BDD_Calendrier!$A$2:$A$616,$B109,BDD_Calendrier!$C$2:$C$616,"Souscription",BDD_Calendrier!$D$2:$D$616,"&gt;="&amp;TODAY()),""))</f>
        <v/>
      </c>
      <c r="J109">
        <f>IF(I109="","",IFERROR(INDEX(BDD_Calendrier!$E$2:$E$616,MATCH($B109&amp;"|Souscription|"&amp;TEXT(I109,"yyyy-mm-dd"),BDD_Calendrier!$I$2:$I$616,0)),""))</f>
        <v/>
      </c>
      <c r="K109">
        <f>IF(H109=0,"",_xlfn.MAXIFS(BDD_Calendrier!$D$2:$D$616,BDD_Calendrier!$A$2:$A$616,$B109,BDD_Calendrier!$C$2:$C$616,"Souscription"))</f>
        <v/>
      </c>
      <c r="L109">
        <f>COUNTIFS(BDD_Calendrier!$A$2:$A$616,$B109,BDD_Calendrier!$C$2:$C$616,"Rachat")</f>
        <v/>
      </c>
      <c r="M109">
        <f>IF(L109=0,"",IFERROR(_xlfn.MINIFS(BDD_Calendrier!$D$2:$D$616,BDD_Calendrier!$A$2:$A$616,$B109,BDD_Calendrier!$C$2:$C$616,"Rachat",BDD_Calendrier!$D$2:$D$616,"&gt;="&amp;TODAY()),""))</f>
        <v/>
      </c>
      <c r="N109">
        <f>IF(M109="","",IFERROR(INDEX(BDD_Calendrier!$E$2:$E$616,MATCH($B109&amp;"|Rachat|"&amp;TEXT(M109,"yyyy-mm-dd"),BDD_Calendrier!$I$2:$I$616,0)),""))</f>
        <v/>
      </c>
      <c r="O109">
        <f>IF(M109="","",IFERROR(INDEX(BDD_Calendrier!$H$2:$H$616,MATCH($B109&amp;"|Rachat|"&amp;TEXT(M109,"yyyy-mm-dd"),BDD_Calendrier!$I$2:$I$616,0)),""))</f>
        <v/>
      </c>
      <c r="P109">
        <f>IF(L109=0,"",_xlfn.MAXIFS(BDD_Calendrier!$D$2:$D$616,BDD_Calendrier!$A$2:$A$616,$B109,BDD_Calendrier!$C$2:$C$616,"Rachat"))</f>
        <v/>
      </c>
      <c r="Q109">
        <f>IF($C109="","",IF($C109&gt;TODAY(),"FUTUR",DATEDIF($C109,TODAY(),"m")))</f>
        <v/>
      </c>
      <c r="R109">
        <f>COUNTIF(BDD_Penalites!$A$2:$A$130,$B109)</f>
        <v/>
      </c>
      <c r="S109">
        <f>IF(R109=0,"inconnue",INDEX(BDD_Penalites!$C$2:$C$130,MATCH($B109,BDD_Penalites!$A$2:$A$130,0)))</f>
        <v/>
      </c>
      <c r="T109">
        <f>IF(R109=0,"",INDEX(BDD_Penalites!$M$2:$M$130,MATCH($B109,BDD_Penalites!$A$2:$A$130,0)))</f>
        <v/>
      </c>
      <c r="U109">
        <f>IF(R109=0,0,INDEX(BDD_Penalites!$D$2:$D$130,MATCH($B109,BDD_Penalites!$A$2:$A$130,0)))</f>
        <v/>
      </c>
      <c r="V109">
        <f>IF(R109=0,0,INDEX(BDD_Penalites!$E$2:$E$130,MATCH($B109,BDD_Penalites!$A$2:$A$130,0)))</f>
        <v/>
      </c>
      <c r="W109">
        <f>IF(R109=0,0,INDEX(BDD_Penalites!$F$2:$F$130,MATCH($B109,BDD_Penalites!$A$2:$A$130,0)))</f>
        <v/>
      </c>
      <c r="X109">
        <f>IF(R109=0,0,INDEX(BDD_Penalites!$G$2:$G$130,MATCH($B109,BDD_Penalites!$A$2:$A$130,0)))</f>
        <v/>
      </c>
      <c r="Y109">
        <f>IF(R109=0,0,INDEX(BDD_Penalites!$H$2:$H$130,MATCH($B109,BDD_Penalites!$A$2:$A$130,0)))</f>
        <v/>
      </c>
      <c r="Z109">
        <f>IF(R109=0,0,INDEX(BDD_Penalites!$I$2:$I$130,MATCH($B109,BDD_Penalites!$A$2:$A$130,0)))</f>
        <v/>
      </c>
      <c r="AA109">
        <f>IF(R109=0,0,INDEX(BDD_Penalites!$J$2:$J$130,MATCH($B109,BDD_Penalites!$A$2:$A$130,0)))</f>
        <v/>
      </c>
      <c r="AB109">
        <f>IF(R109=0,0,INDEX(BDD_Penalites!$K$2:$K$130,MATCH($B109,BDD_Penalites!$A$2:$A$130,0)))</f>
        <v/>
      </c>
      <c r="AC109">
        <f>IF(R109=0,0,INDEX(BDD_Penalites!$L$2:$L$130,MATCH($B109,BDD_Penalites!$A$2:$A$130,0)))</f>
        <v/>
      </c>
      <c r="AD109">
        <f>IF(OR($C109="",Q109="FUTUR"),"",_xlfn.IFS(Q109&lt;U109,V109,Q109&lt;W109,X109,Q109&lt;Y109,Z109,Q109&lt;AA109,AB109,TRUE,AC109))</f>
        <v/>
      </c>
    </row>
    <row r="110" ht="14" customHeight="1">
      <c r="A110" s="65" t="inlineStr">
        <is>
          <t>H2O Adagio I</t>
        </is>
      </c>
      <c r="B110" s="77" t="inlineStr">
        <is>
          <t>FR0010929794</t>
        </is>
      </c>
      <c r="C110" s="268" t="n"/>
      <c r="D110" s="269">
        <f>IF(H110=0,"Calendrier non disponible pour ce fonds — contacter la société de gestion.",IF(I110="","Calendrier connu jusqu'au "&amp;TEXT(K110,"dd/mm/yyyy")&amp;" — demander le calendrier à jour.","Cut-off : "&amp;TEXT(I110,"dd/mm/yyyy")&amp;"  |  VL : "&amp;TEXT(J110,"dd/mm/yyyy")))</f>
        <v/>
      </c>
      <c r="E110" s="269">
        <f>IF(L110=0,"Calendrier non disponible pour ce fonds — contacter la société de gestion.",IF(M110="","Calendrier connu jusqu'au "&amp;TEXT(P110,"dd/mm/yyyy")&amp;" — demander le calendrier à jour.","Cut-off : "&amp;TEXT(M110,"dd/mm/yyyy")&amp;"  |  VL : "&amp;TEXT(N110,"dd/mm/yyyy")))</f>
        <v/>
      </c>
      <c r="F110" s="269">
        <f>IF(L110=0,"Calendrier non disponible pour ce fonds.",IF(M110="","Calendrier connu jusqu'au "&amp;TEXT(P110,"dd/mm/yyyy")&amp;".",IF(O110="","Non précisé dans le calendrier pour cette échéance.","Réception : "&amp;TEXT(O110,"dd/mm/yyyy")&amp;"  (suite au rachat du "&amp;TEXT(N110,"dd/mm/yyyy")&amp;")")))</f>
        <v/>
      </c>
      <c r="G110" s="269">
        <f>_xlfn.IFS(S110="aucune","Aucune pénalité de sortie."&amp;IF(T110&lt;&gt;""," ("&amp;T110&amp;")",""),S110="manuel","⚠️ À VÉRIFIER MANUELLEMENT : "&amp;T110,S110="inconnue","Pénalité non renseignée — vérifier la notice / DICI du fonds.",$C110="","Saisir une date d'investissement pour statuer sur la pénalité.",Q110="FUTUR","Date d'investissement postérieure à aujourd'hui — vérifier la saisie.",AD110&gt;0,"⚠️ CONCERNÉ : pénalité de "&amp;AD110&amp;"% (détention "&amp;Q110&amp;" mois). "&amp;T110,TRUE,"Non concerné (détention "&amp;Q110&amp;" mois). "&amp;T110)</f>
        <v/>
      </c>
      <c r="H110">
        <f>COUNTIFS(BDD_Calendrier!$A$2:$A$616,$B110,BDD_Calendrier!$C$2:$C$616,"Souscription")</f>
        <v/>
      </c>
      <c r="I110">
        <f>IF(H110=0,"",IFERROR(_xlfn.MINIFS(BDD_Calendrier!$D$2:$D$616,BDD_Calendrier!$A$2:$A$616,$B110,BDD_Calendrier!$C$2:$C$616,"Souscription",BDD_Calendrier!$D$2:$D$616,"&gt;="&amp;TODAY()),""))</f>
        <v/>
      </c>
      <c r="J110">
        <f>IF(I110="","",IFERROR(INDEX(BDD_Calendrier!$E$2:$E$616,MATCH($B110&amp;"|Souscription|"&amp;TEXT(I110,"yyyy-mm-dd"),BDD_Calendrier!$I$2:$I$616,0)),""))</f>
        <v/>
      </c>
      <c r="K110">
        <f>IF(H110=0,"",_xlfn.MAXIFS(BDD_Calendrier!$D$2:$D$616,BDD_Calendrier!$A$2:$A$616,$B110,BDD_Calendrier!$C$2:$C$616,"Souscription"))</f>
        <v/>
      </c>
      <c r="L110">
        <f>COUNTIFS(BDD_Calendrier!$A$2:$A$616,$B110,BDD_Calendrier!$C$2:$C$616,"Rachat")</f>
        <v/>
      </c>
      <c r="M110">
        <f>IF(L110=0,"",IFERROR(_xlfn.MINIFS(BDD_Calendrier!$D$2:$D$616,BDD_Calendrier!$A$2:$A$616,$B110,BDD_Calendrier!$C$2:$C$616,"Rachat",BDD_Calendrier!$D$2:$D$616,"&gt;="&amp;TODAY()),""))</f>
        <v/>
      </c>
      <c r="N110">
        <f>IF(M110="","",IFERROR(INDEX(BDD_Calendrier!$E$2:$E$616,MATCH($B110&amp;"|Rachat|"&amp;TEXT(M110,"yyyy-mm-dd"),BDD_Calendrier!$I$2:$I$616,0)),""))</f>
        <v/>
      </c>
      <c r="O110">
        <f>IF(M110="","",IFERROR(INDEX(BDD_Calendrier!$H$2:$H$616,MATCH($B110&amp;"|Rachat|"&amp;TEXT(M110,"yyyy-mm-dd"),BDD_Calendrier!$I$2:$I$616,0)),""))</f>
        <v/>
      </c>
      <c r="P110">
        <f>IF(L110=0,"",_xlfn.MAXIFS(BDD_Calendrier!$D$2:$D$616,BDD_Calendrier!$A$2:$A$616,$B110,BDD_Calendrier!$C$2:$C$616,"Rachat"))</f>
        <v/>
      </c>
      <c r="Q110">
        <f>IF($C110="","",IF($C110&gt;TODAY(),"FUTUR",DATEDIF($C110,TODAY(),"m")))</f>
        <v/>
      </c>
      <c r="R110">
        <f>COUNTIF(BDD_Penalites!$A$2:$A$130,$B110)</f>
        <v/>
      </c>
      <c r="S110">
        <f>IF(R110=0,"inconnue",INDEX(BDD_Penalites!$C$2:$C$130,MATCH($B110,BDD_Penalites!$A$2:$A$130,0)))</f>
        <v/>
      </c>
      <c r="T110">
        <f>IF(R110=0,"",INDEX(BDD_Penalites!$M$2:$M$130,MATCH($B110,BDD_Penalites!$A$2:$A$130,0)))</f>
        <v/>
      </c>
      <c r="U110">
        <f>IF(R110=0,0,INDEX(BDD_Penalites!$D$2:$D$130,MATCH($B110,BDD_Penalites!$A$2:$A$130,0)))</f>
        <v/>
      </c>
      <c r="V110">
        <f>IF(R110=0,0,INDEX(BDD_Penalites!$E$2:$E$130,MATCH($B110,BDD_Penalites!$A$2:$A$130,0)))</f>
        <v/>
      </c>
      <c r="W110">
        <f>IF(R110=0,0,INDEX(BDD_Penalites!$F$2:$F$130,MATCH($B110,BDD_Penalites!$A$2:$A$130,0)))</f>
        <v/>
      </c>
      <c r="X110">
        <f>IF(R110=0,0,INDEX(BDD_Penalites!$G$2:$G$130,MATCH($B110,BDD_Penalites!$A$2:$A$130,0)))</f>
        <v/>
      </c>
      <c r="Y110">
        <f>IF(R110=0,0,INDEX(BDD_Penalites!$H$2:$H$130,MATCH($B110,BDD_Penalites!$A$2:$A$130,0)))</f>
        <v/>
      </c>
      <c r="Z110">
        <f>IF(R110=0,0,INDEX(BDD_Penalites!$I$2:$I$130,MATCH($B110,BDD_Penalites!$A$2:$A$130,0)))</f>
        <v/>
      </c>
      <c r="AA110">
        <f>IF(R110=0,0,INDEX(BDD_Penalites!$J$2:$J$130,MATCH($B110,BDD_Penalites!$A$2:$A$130,0)))</f>
        <v/>
      </c>
      <c r="AB110">
        <f>IF(R110=0,0,INDEX(BDD_Penalites!$K$2:$K$130,MATCH($B110,BDD_Penalites!$A$2:$A$130,0)))</f>
        <v/>
      </c>
      <c r="AC110">
        <f>IF(R110=0,0,INDEX(BDD_Penalites!$L$2:$L$130,MATCH($B110,BDD_Penalites!$A$2:$A$130,0)))</f>
        <v/>
      </c>
      <c r="AD110">
        <f>IF(OR($C110="",Q110="FUTUR"),"",_xlfn.IFS(Q110&lt;U110,V110,Q110&lt;W110,X110,Q110&lt;Y110,Z110,Q110&lt;AA110,AB110,TRUE,AC110))</f>
        <v/>
      </c>
    </row>
    <row r="111" ht="14" customHeight="1">
      <c r="A111" s="65" t="inlineStr">
        <is>
          <t>H2O Adagio NC</t>
        </is>
      </c>
      <c r="B111" s="77" t="inlineStr">
        <is>
          <t xml:space="preserve">FR0013186772 </t>
        </is>
      </c>
      <c r="C111" s="268" t="n"/>
      <c r="D111" s="269">
        <f>IF(H111=0,"Calendrier non disponible pour ce fonds — contacter la société de gestion.",IF(I111="","Calendrier connu jusqu'au "&amp;TEXT(K111,"dd/mm/yyyy")&amp;" — demander le calendrier à jour.","Cut-off : "&amp;TEXT(I111,"dd/mm/yyyy")&amp;"  |  VL : "&amp;TEXT(J111,"dd/mm/yyyy")))</f>
        <v/>
      </c>
      <c r="E111" s="269">
        <f>IF(L111=0,"Calendrier non disponible pour ce fonds — contacter la société de gestion.",IF(M111="","Calendrier connu jusqu'au "&amp;TEXT(P111,"dd/mm/yyyy")&amp;" — demander le calendrier à jour.","Cut-off : "&amp;TEXT(M111,"dd/mm/yyyy")&amp;"  |  VL : "&amp;TEXT(N111,"dd/mm/yyyy")))</f>
        <v/>
      </c>
      <c r="F111" s="269">
        <f>IF(L111=0,"Calendrier non disponible pour ce fonds.",IF(M111="","Calendrier connu jusqu'au "&amp;TEXT(P111,"dd/mm/yyyy")&amp;".",IF(O111="","Non précisé dans le calendrier pour cette échéance.","Réception : "&amp;TEXT(O111,"dd/mm/yyyy")&amp;"  (suite au rachat du "&amp;TEXT(N111,"dd/mm/yyyy")&amp;")")))</f>
        <v/>
      </c>
      <c r="G111" s="269">
        <f>_xlfn.IFS(S111="aucune","Aucune pénalité de sortie."&amp;IF(T111&lt;&gt;""," ("&amp;T111&amp;")",""),S111="manuel","⚠️ À VÉRIFIER MANUELLEMENT : "&amp;T111,S111="inconnue","Pénalité non renseignée — vérifier la notice / DICI du fonds.",$C111="","Saisir une date d'investissement pour statuer sur la pénalité.",Q111="FUTUR","Date d'investissement postérieure à aujourd'hui — vérifier la saisie.",AD111&gt;0,"⚠️ CONCERNÉ : pénalité de "&amp;AD111&amp;"% (détention "&amp;Q111&amp;" mois). "&amp;T111,TRUE,"Non concerné (détention "&amp;Q111&amp;" mois). "&amp;T111)</f>
        <v/>
      </c>
      <c r="H111">
        <f>COUNTIFS(BDD_Calendrier!$A$2:$A$616,$B111,BDD_Calendrier!$C$2:$C$616,"Souscription")</f>
        <v/>
      </c>
      <c r="I111">
        <f>IF(H111=0,"",IFERROR(_xlfn.MINIFS(BDD_Calendrier!$D$2:$D$616,BDD_Calendrier!$A$2:$A$616,$B111,BDD_Calendrier!$C$2:$C$616,"Souscription",BDD_Calendrier!$D$2:$D$616,"&gt;="&amp;TODAY()),""))</f>
        <v/>
      </c>
      <c r="J111">
        <f>IF(I111="","",IFERROR(INDEX(BDD_Calendrier!$E$2:$E$616,MATCH($B111&amp;"|Souscription|"&amp;TEXT(I111,"yyyy-mm-dd"),BDD_Calendrier!$I$2:$I$616,0)),""))</f>
        <v/>
      </c>
      <c r="K111">
        <f>IF(H111=0,"",_xlfn.MAXIFS(BDD_Calendrier!$D$2:$D$616,BDD_Calendrier!$A$2:$A$616,$B111,BDD_Calendrier!$C$2:$C$616,"Souscription"))</f>
        <v/>
      </c>
      <c r="L111">
        <f>COUNTIFS(BDD_Calendrier!$A$2:$A$616,$B111,BDD_Calendrier!$C$2:$C$616,"Rachat")</f>
        <v/>
      </c>
      <c r="M111">
        <f>IF(L111=0,"",IFERROR(_xlfn.MINIFS(BDD_Calendrier!$D$2:$D$616,BDD_Calendrier!$A$2:$A$616,$B111,BDD_Calendrier!$C$2:$C$616,"Rachat",BDD_Calendrier!$D$2:$D$616,"&gt;="&amp;TODAY()),""))</f>
        <v/>
      </c>
      <c r="N111">
        <f>IF(M111="","",IFERROR(INDEX(BDD_Calendrier!$E$2:$E$616,MATCH($B111&amp;"|Rachat|"&amp;TEXT(M111,"yyyy-mm-dd"),BDD_Calendrier!$I$2:$I$616,0)),""))</f>
        <v/>
      </c>
      <c r="O111">
        <f>IF(M111="","",IFERROR(INDEX(BDD_Calendrier!$H$2:$H$616,MATCH($B111&amp;"|Rachat|"&amp;TEXT(M111,"yyyy-mm-dd"),BDD_Calendrier!$I$2:$I$616,0)),""))</f>
        <v/>
      </c>
      <c r="P111">
        <f>IF(L111=0,"",_xlfn.MAXIFS(BDD_Calendrier!$D$2:$D$616,BDD_Calendrier!$A$2:$A$616,$B111,BDD_Calendrier!$C$2:$C$616,"Rachat"))</f>
        <v/>
      </c>
      <c r="Q111">
        <f>IF($C111="","",IF($C111&gt;TODAY(),"FUTUR",DATEDIF($C111,TODAY(),"m")))</f>
        <v/>
      </c>
      <c r="R111">
        <f>COUNTIF(BDD_Penalites!$A$2:$A$130,$B111)</f>
        <v/>
      </c>
      <c r="S111">
        <f>IF(R111=0,"inconnue",INDEX(BDD_Penalites!$C$2:$C$130,MATCH($B111,BDD_Penalites!$A$2:$A$130,0)))</f>
        <v/>
      </c>
      <c r="T111">
        <f>IF(R111=0,"",INDEX(BDD_Penalites!$M$2:$M$130,MATCH($B111,BDD_Penalites!$A$2:$A$130,0)))</f>
        <v/>
      </c>
      <c r="U111">
        <f>IF(R111=0,0,INDEX(BDD_Penalites!$D$2:$D$130,MATCH($B111,BDD_Penalites!$A$2:$A$130,0)))</f>
        <v/>
      </c>
      <c r="V111">
        <f>IF(R111=0,0,INDEX(BDD_Penalites!$E$2:$E$130,MATCH($B111,BDD_Penalites!$A$2:$A$130,0)))</f>
        <v/>
      </c>
      <c r="W111">
        <f>IF(R111=0,0,INDEX(BDD_Penalites!$F$2:$F$130,MATCH($B111,BDD_Penalites!$A$2:$A$130,0)))</f>
        <v/>
      </c>
      <c r="X111">
        <f>IF(R111=0,0,INDEX(BDD_Penalites!$G$2:$G$130,MATCH($B111,BDD_Penalites!$A$2:$A$130,0)))</f>
        <v/>
      </c>
      <c r="Y111">
        <f>IF(R111=0,0,INDEX(BDD_Penalites!$H$2:$H$130,MATCH($B111,BDD_Penalites!$A$2:$A$130,0)))</f>
        <v/>
      </c>
      <c r="Z111">
        <f>IF(R111=0,0,INDEX(BDD_Penalites!$I$2:$I$130,MATCH($B111,BDD_Penalites!$A$2:$A$130,0)))</f>
        <v/>
      </c>
      <c r="AA111">
        <f>IF(R111=0,0,INDEX(BDD_Penalites!$J$2:$J$130,MATCH($B111,BDD_Penalites!$A$2:$A$130,0)))</f>
        <v/>
      </c>
      <c r="AB111">
        <f>IF(R111=0,0,INDEX(BDD_Penalites!$K$2:$K$130,MATCH($B111,BDD_Penalites!$A$2:$A$130,0)))</f>
        <v/>
      </c>
      <c r="AC111">
        <f>IF(R111=0,0,INDEX(BDD_Penalites!$L$2:$L$130,MATCH($B111,BDD_Penalites!$A$2:$A$130,0)))</f>
        <v/>
      </c>
      <c r="AD111">
        <f>IF(OR($C111="",Q111="FUTUR"),"",_xlfn.IFS(Q111&lt;U111,V111,Q111&lt;W111,X111,Q111&lt;Y111,Z111,Q111&lt;AA111,AB111,TRUE,AC111))</f>
        <v/>
      </c>
    </row>
    <row r="112" ht="14" customHeight="1">
      <c r="A112" s="65" t="inlineStr">
        <is>
          <t>H2O Adagio RC</t>
        </is>
      </c>
      <c r="B112" s="77" t="inlineStr">
        <is>
          <t xml:space="preserve">FR0010923359 </t>
        </is>
      </c>
      <c r="C112" s="268" t="n"/>
      <c r="D112" s="269">
        <f>IF(H112=0,"Calendrier non disponible pour ce fonds — contacter la société de gestion.",IF(I112="","Calendrier connu jusqu'au "&amp;TEXT(K112,"dd/mm/yyyy")&amp;" — demander le calendrier à jour.","Cut-off : "&amp;TEXT(I112,"dd/mm/yyyy")&amp;"  |  VL : "&amp;TEXT(J112,"dd/mm/yyyy")))</f>
        <v/>
      </c>
      <c r="E112" s="269">
        <f>IF(L112=0,"Calendrier non disponible pour ce fonds — contacter la société de gestion.",IF(M112="","Calendrier connu jusqu'au "&amp;TEXT(P112,"dd/mm/yyyy")&amp;" — demander le calendrier à jour.","Cut-off : "&amp;TEXT(M112,"dd/mm/yyyy")&amp;"  |  VL : "&amp;TEXT(N112,"dd/mm/yyyy")))</f>
        <v/>
      </c>
      <c r="F112" s="269">
        <f>IF(L112=0,"Calendrier non disponible pour ce fonds.",IF(M112="","Calendrier connu jusqu'au "&amp;TEXT(P112,"dd/mm/yyyy")&amp;".",IF(O112="","Non précisé dans le calendrier pour cette échéance.","Réception : "&amp;TEXT(O112,"dd/mm/yyyy")&amp;"  (suite au rachat du "&amp;TEXT(N112,"dd/mm/yyyy")&amp;")")))</f>
        <v/>
      </c>
      <c r="G112" s="269">
        <f>_xlfn.IFS(S112="aucune","Aucune pénalité de sortie."&amp;IF(T112&lt;&gt;""," ("&amp;T112&amp;")",""),S112="manuel","⚠️ À VÉRIFIER MANUELLEMENT : "&amp;T112,S112="inconnue","Pénalité non renseignée — vérifier la notice / DICI du fonds.",$C112="","Saisir une date d'investissement pour statuer sur la pénalité.",Q112="FUTUR","Date d'investissement postérieure à aujourd'hui — vérifier la saisie.",AD112&gt;0,"⚠️ CONCERNÉ : pénalité de "&amp;AD112&amp;"% (détention "&amp;Q112&amp;" mois). "&amp;T112,TRUE,"Non concerné (détention "&amp;Q112&amp;" mois). "&amp;T112)</f>
        <v/>
      </c>
      <c r="H112">
        <f>COUNTIFS(BDD_Calendrier!$A$2:$A$616,$B112,BDD_Calendrier!$C$2:$C$616,"Souscription")</f>
        <v/>
      </c>
      <c r="I112">
        <f>IF(H112=0,"",IFERROR(_xlfn.MINIFS(BDD_Calendrier!$D$2:$D$616,BDD_Calendrier!$A$2:$A$616,$B112,BDD_Calendrier!$C$2:$C$616,"Souscription",BDD_Calendrier!$D$2:$D$616,"&gt;="&amp;TODAY()),""))</f>
        <v/>
      </c>
      <c r="J112">
        <f>IF(I112="","",IFERROR(INDEX(BDD_Calendrier!$E$2:$E$616,MATCH($B112&amp;"|Souscription|"&amp;TEXT(I112,"yyyy-mm-dd"),BDD_Calendrier!$I$2:$I$616,0)),""))</f>
        <v/>
      </c>
      <c r="K112">
        <f>IF(H112=0,"",_xlfn.MAXIFS(BDD_Calendrier!$D$2:$D$616,BDD_Calendrier!$A$2:$A$616,$B112,BDD_Calendrier!$C$2:$C$616,"Souscription"))</f>
        <v/>
      </c>
      <c r="L112">
        <f>COUNTIFS(BDD_Calendrier!$A$2:$A$616,$B112,BDD_Calendrier!$C$2:$C$616,"Rachat")</f>
        <v/>
      </c>
      <c r="M112">
        <f>IF(L112=0,"",IFERROR(_xlfn.MINIFS(BDD_Calendrier!$D$2:$D$616,BDD_Calendrier!$A$2:$A$616,$B112,BDD_Calendrier!$C$2:$C$616,"Rachat",BDD_Calendrier!$D$2:$D$616,"&gt;="&amp;TODAY()),""))</f>
        <v/>
      </c>
      <c r="N112">
        <f>IF(M112="","",IFERROR(INDEX(BDD_Calendrier!$E$2:$E$616,MATCH($B112&amp;"|Rachat|"&amp;TEXT(M112,"yyyy-mm-dd"),BDD_Calendrier!$I$2:$I$616,0)),""))</f>
        <v/>
      </c>
      <c r="O112">
        <f>IF(M112="","",IFERROR(INDEX(BDD_Calendrier!$H$2:$H$616,MATCH($B112&amp;"|Rachat|"&amp;TEXT(M112,"yyyy-mm-dd"),BDD_Calendrier!$I$2:$I$616,0)),""))</f>
        <v/>
      </c>
      <c r="P112">
        <f>IF(L112=0,"",_xlfn.MAXIFS(BDD_Calendrier!$D$2:$D$616,BDD_Calendrier!$A$2:$A$616,$B112,BDD_Calendrier!$C$2:$C$616,"Rachat"))</f>
        <v/>
      </c>
      <c r="Q112">
        <f>IF($C112="","",IF($C112&gt;TODAY(),"FUTUR",DATEDIF($C112,TODAY(),"m")))</f>
        <v/>
      </c>
      <c r="R112">
        <f>COUNTIF(BDD_Penalites!$A$2:$A$130,$B112)</f>
        <v/>
      </c>
      <c r="S112">
        <f>IF(R112=0,"inconnue",INDEX(BDD_Penalites!$C$2:$C$130,MATCH($B112,BDD_Penalites!$A$2:$A$130,0)))</f>
        <v/>
      </c>
      <c r="T112">
        <f>IF(R112=0,"",INDEX(BDD_Penalites!$M$2:$M$130,MATCH($B112,BDD_Penalites!$A$2:$A$130,0)))</f>
        <v/>
      </c>
      <c r="U112">
        <f>IF(R112=0,0,INDEX(BDD_Penalites!$D$2:$D$130,MATCH($B112,BDD_Penalites!$A$2:$A$130,0)))</f>
        <v/>
      </c>
      <c r="V112">
        <f>IF(R112=0,0,INDEX(BDD_Penalites!$E$2:$E$130,MATCH($B112,BDD_Penalites!$A$2:$A$130,0)))</f>
        <v/>
      </c>
      <c r="W112">
        <f>IF(R112=0,0,INDEX(BDD_Penalites!$F$2:$F$130,MATCH($B112,BDD_Penalites!$A$2:$A$130,0)))</f>
        <v/>
      </c>
      <c r="X112">
        <f>IF(R112=0,0,INDEX(BDD_Penalites!$G$2:$G$130,MATCH($B112,BDD_Penalites!$A$2:$A$130,0)))</f>
        <v/>
      </c>
      <c r="Y112">
        <f>IF(R112=0,0,INDEX(BDD_Penalites!$H$2:$H$130,MATCH($B112,BDD_Penalites!$A$2:$A$130,0)))</f>
        <v/>
      </c>
      <c r="Z112">
        <f>IF(R112=0,0,INDEX(BDD_Penalites!$I$2:$I$130,MATCH($B112,BDD_Penalites!$A$2:$A$130,0)))</f>
        <v/>
      </c>
      <c r="AA112">
        <f>IF(R112=0,0,INDEX(BDD_Penalites!$J$2:$J$130,MATCH($B112,BDD_Penalites!$A$2:$A$130,0)))</f>
        <v/>
      </c>
      <c r="AB112">
        <f>IF(R112=0,0,INDEX(BDD_Penalites!$K$2:$K$130,MATCH($B112,BDD_Penalites!$A$2:$A$130,0)))</f>
        <v/>
      </c>
      <c r="AC112">
        <f>IF(R112=0,0,INDEX(BDD_Penalites!$L$2:$L$130,MATCH($B112,BDD_Penalites!$A$2:$A$130,0)))</f>
        <v/>
      </c>
      <c r="AD112">
        <f>IF(OR($C112="",Q112="FUTUR"),"",_xlfn.IFS(Q112&lt;U112,V112,Q112&lt;W112,X112,Q112&lt;Y112,Z112,Q112&lt;AA112,AB112,TRUE,AC112))</f>
        <v/>
      </c>
    </row>
    <row r="113" ht="14" customHeight="1">
      <c r="A113" s="65" t="inlineStr">
        <is>
          <t>H2O Adagio SR</t>
        </is>
      </c>
      <c r="B113" s="77" t="inlineStr">
        <is>
          <t>FR0013393188</t>
        </is>
      </c>
      <c r="C113" s="268" t="n"/>
      <c r="D113" s="269">
        <f>IF(H113=0,"Calendrier non disponible pour ce fonds — contacter la société de gestion.",IF(I113="","Calendrier connu jusqu'au "&amp;TEXT(K113,"dd/mm/yyyy")&amp;" — demander le calendrier à jour.","Cut-off : "&amp;TEXT(I113,"dd/mm/yyyy")&amp;"  |  VL : "&amp;TEXT(J113,"dd/mm/yyyy")))</f>
        <v/>
      </c>
      <c r="E113" s="269">
        <f>IF(L113=0,"Calendrier non disponible pour ce fonds — contacter la société de gestion.",IF(M113="","Calendrier connu jusqu'au "&amp;TEXT(P113,"dd/mm/yyyy")&amp;" — demander le calendrier à jour.","Cut-off : "&amp;TEXT(M113,"dd/mm/yyyy")&amp;"  |  VL : "&amp;TEXT(N113,"dd/mm/yyyy")))</f>
        <v/>
      </c>
      <c r="F113" s="269">
        <f>IF(L113=0,"Calendrier non disponible pour ce fonds.",IF(M113="","Calendrier connu jusqu'au "&amp;TEXT(P113,"dd/mm/yyyy")&amp;".",IF(O113="","Non précisé dans le calendrier pour cette échéance.","Réception : "&amp;TEXT(O113,"dd/mm/yyyy")&amp;"  (suite au rachat du "&amp;TEXT(N113,"dd/mm/yyyy")&amp;")")))</f>
        <v/>
      </c>
      <c r="G113" s="269">
        <f>_xlfn.IFS(S113="aucune","Aucune pénalité de sortie."&amp;IF(T113&lt;&gt;""," ("&amp;T113&amp;")",""),S113="manuel","⚠️ À VÉRIFIER MANUELLEMENT : "&amp;T113,S113="inconnue","Pénalité non renseignée — vérifier la notice / DICI du fonds.",$C113="","Saisir une date d'investissement pour statuer sur la pénalité.",Q113="FUTUR","Date d'investissement postérieure à aujourd'hui — vérifier la saisie.",AD113&gt;0,"⚠️ CONCERNÉ : pénalité de "&amp;AD113&amp;"% (détention "&amp;Q113&amp;" mois). "&amp;T113,TRUE,"Non concerné (détention "&amp;Q113&amp;" mois). "&amp;T113)</f>
        <v/>
      </c>
      <c r="H113">
        <f>COUNTIFS(BDD_Calendrier!$A$2:$A$616,$B113,BDD_Calendrier!$C$2:$C$616,"Souscription")</f>
        <v/>
      </c>
      <c r="I113">
        <f>IF(H113=0,"",IFERROR(_xlfn.MINIFS(BDD_Calendrier!$D$2:$D$616,BDD_Calendrier!$A$2:$A$616,$B113,BDD_Calendrier!$C$2:$C$616,"Souscription",BDD_Calendrier!$D$2:$D$616,"&gt;="&amp;TODAY()),""))</f>
        <v/>
      </c>
      <c r="J113">
        <f>IF(I113="","",IFERROR(INDEX(BDD_Calendrier!$E$2:$E$616,MATCH($B113&amp;"|Souscription|"&amp;TEXT(I113,"yyyy-mm-dd"),BDD_Calendrier!$I$2:$I$616,0)),""))</f>
        <v/>
      </c>
      <c r="K113">
        <f>IF(H113=0,"",_xlfn.MAXIFS(BDD_Calendrier!$D$2:$D$616,BDD_Calendrier!$A$2:$A$616,$B113,BDD_Calendrier!$C$2:$C$616,"Souscription"))</f>
        <v/>
      </c>
      <c r="L113">
        <f>COUNTIFS(BDD_Calendrier!$A$2:$A$616,$B113,BDD_Calendrier!$C$2:$C$616,"Rachat")</f>
        <v/>
      </c>
      <c r="M113">
        <f>IF(L113=0,"",IFERROR(_xlfn.MINIFS(BDD_Calendrier!$D$2:$D$616,BDD_Calendrier!$A$2:$A$616,$B113,BDD_Calendrier!$C$2:$C$616,"Rachat",BDD_Calendrier!$D$2:$D$616,"&gt;="&amp;TODAY()),""))</f>
        <v/>
      </c>
      <c r="N113">
        <f>IF(M113="","",IFERROR(INDEX(BDD_Calendrier!$E$2:$E$616,MATCH($B113&amp;"|Rachat|"&amp;TEXT(M113,"yyyy-mm-dd"),BDD_Calendrier!$I$2:$I$616,0)),""))</f>
        <v/>
      </c>
      <c r="O113">
        <f>IF(M113="","",IFERROR(INDEX(BDD_Calendrier!$H$2:$H$616,MATCH($B113&amp;"|Rachat|"&amp;TEXT(M113,"yyyy-mm-dd"),BDD_Calendrier!$I$2:$I$616,0)),""))</f>
        <v/>
      </c>
      <c r="P113">
        <f>IF(L113=0,"",_xlfn.MAXIFS(BDD_Calendrier!$D$2:$D$616,BDD_Calendrier!$A$2:$A$616,$B113,BDD_Calendrier!$C$2:$C$616,"Rachat"))</f>
        <v/>
      </c>
      <c r="Q113">
        <f>IF($C113="","",IF($C113&gt;TODAY(),"FUTUR",DATEDIF($C113,TODAY(),"m")))</f>
        <v/>
      </c>
      <c r="R113">
        <f>COUNTIF(BDD_Penalites!$A$2:$A$130,$B113)</f>
        <v/>
      </c>
      <c r="S113">
        <f>IF(R113=0,"inconnue",INDEX(BDD_Penalites!$C$2:$C$130,MATCH($B113,BDD_Penalites!$A$2:$A$130,0)))</f>
        <v/>
      </c>
      <c r="T113">
        <f>IF(R113=0,"",INDEX(BDD_Penalites!$M$2:$M$130,MATCH($B113,BDD_Penalites!$A$2:$A$130,0)))</f>
        <v/>
      </c>
      <c r="U113">
        <f>IF(R113=0,0,INDEX(BDD_Penalites!$D$2:$D$130,MATCH($B113,BDD_Penalites!$A$2:$A$130,0)))</f>
        <v/>
      </c>
      <c r="V113">
        <f>IF(R113=0,0,INDEX(BDD_Penalites!$E$2:$E$130,MATCH($B113,BDD_Penalites!$A$2:$A$130,0)))</f>
        <v/>
      </c>
      <c r="W113">
        <f>IF(R113=0,0,INDEX(BDD_Penalites!$F$2:$F$130,MATCH($B113,BDD_Penalites!$A$2:$A$130,0)))</f>
        <v/>
      </c>
      <c r="X113">
        <f>IF(R113=0,0,INDEX(BDD_Penalites!$G$2:$G$130,MATCH($B113,BDD_Penalites!$A$2:$A$130,0)))</f>
        <v/>
      </c>
      <c r="Y113">
        <f>IF(R113=0,0,INDEX(BDD_Penalites!$H$2:$H$130,MATCH($B113,BDD_Penalites!$A$2:$A$130,0)))</f>
        <v/>
      </c>
      <c r="Z113">
        <f>IF(R113=0,0,INDEX(BDD_Penalites!$I$2:$I$130,MATCH($B113,BDD_Penalites!$A$2:$A$130,0)))</f>
        <v/>
      </c>
      <c r="AA113">
        <f>IF(R113=0,0,INDEX(BDD_Penalites!$J$2:$J$130,MATCH($B113,BDD_Penalites!$A$2:$A$130,0)))</f>
        <v/>
      </c>
      <c r="AB113">
        <f>IF(R113=0,0,INDEX(BDD_Penalites!$K$2:$K$130,MATCH($B113,BDD_Penalites!$A$2:$A$130,0)))</f>
        <v/>
      </c>
      <c r="AC113">
        <f>IF(R113=0,0,INDEX(BDD_Penalites!$L$2:$L$130,MATCH($B113,BDD_Penalites!$A$2:$A$130,0)))</f>
        <v/>
      </c>
      <c r="AD113">
        <f>IF(OR($C113="",Q113="FUTUR"),"",_xlfn.IFS(Q113&lt;U113,V113,Q113&lt;W113,X113,Q113&lt;Y113,Z113,Q113&lt;AA113,AB113,TRUE,AC113))</f>
        <v/>
      </c>
    </row>
    <row r="114" ht="14" customHeight="1">
      <c r="A114" s="65" t="inlineStr">
        <is>
          <t>H2O Moderato N</t>
        </is>
      </c>
      <c r="B114" s="77" t="inlineStr">
        <is>
          <t>FR0013185196</t>
        </is>
      </c>
      <c r="C114" s="268" t="n"/>
      <c r="D114" s="269">
        <f>IF(H114=0,"Calendrier non disponible pour ce fonds — contacter la société de gestion.",IF(I114="","Calendrier connu jusqu'au "&amp;TEXT(K114,"dd/mm/yyyy")&amp;" — demander le calendrier à jour.","Cut-off : "&amp;TEXT(I114,"dd/mm/yyyy")&amp;"  |  VL : "&amp;TEXT(J114,"dd/mm/yyyy")))</f>
        <v/>
      </c>
      <c r="E114" s="269">
        <f>IF(L114=0,"Calendrier non disponible pour ce fonds — contacter la société de gestion.",IF(M114="","Calendrier connu jusqu'au "&amp;TEXT(P114,"dd/mm/yyyy")&amp;" — demander le calendrier à jour.","Cut-off : "&amp;TEXT(M114,"dd/mm/yyyy")&amp;"  |  VL : "&amp;TEXT(N114,"dd/mm/yyyy")))</f>
        <v/>
      </c>
      <c r="F114" s="269">
        <f>IF(L114=0,"Calendrier non disponible pour ce fonds.",IF(M114="","Calendrier connu jusqu'au "&amp;TEXT(P114,"dd/mm/yyyy")&amp;".",IF(O114="","Non précisé dans le calendrier pour cette échéance.","Réception : "&amp;TEXT(O114,"dd/mm/yyyy")&amp;"  (suite au rachat du "&amp;TEXT(N114,"dd/mm/yyyy")&amp;")")))</f>
        <v/>
      </c>
      <c r="G114" s="269">
        <f>_xlfn.IFS(S114="aucune","Aucune pénalité de sortie."&amp;IF(T114&lt;&gt;""," ("&amp;T114&amp;")",""),S114="manuel","⚠️ À VÉRIFIER MANUELLEMENT : "&amp;T114,S114="inconnue","Pénalité non renseignée — vérifier la notice / DICI du fonds.",$C114="","Saisir une date d'investissement pour statuer sur la pénalité.",Q114="FUTUR","Date d'investissement postérieure à aujourd'hui — vérifier la saisie.",AD114&gt;0,"⚠️ CONCERNÉ : pénalité de "&amp;AD114&amp;"% (détention "&amp;Q114&amp;" mois). "&amp;T114,TRUE,"Non concerné (détention "&amp;Q114&amp;" mois). "&amp;T114)</f>
        <v/>
      </c>
      <c r="H114">
        <f>COUNTIFS(BDD_Calendrier!$A$2:$A$616,$B114,BDD_Calendrier!$C$2:$C$616,"Souscription")</f>
        <v/>
      </c>
      <c r="I114">
        <f>IF(H114=0,"",IFERROR(_xlfn.MINIFS(BDD_Calendrier!$D$2:$D$616,BDD_Calendrier!$A$2:$A$616,$B114,BDD_Calendrier!$C$2:$C$616,"Souscription",BDD_Calendrier!$D$2:$D$616,"&gt;="&amp;TODAY()),""))</f>
        <v/>
      </c>
      <c r="J114">
        <f>IF(I114="","",IFERROR(INDEX(BDD_Calendrier!$E$2:$E$616,MATCH($B114&amp;"|Souscription|"&amp;TEXT(I114,"yyyy-mm-dd"),BDD_Calendrier!$I$2:$I$616,0)),""))</f>
        <v/>
      </c>
      <c r="K114">
        <f>IF(H114=0,"",_xlfn.MAXIFS(BDD_Calendrier!$D$2:$D$616,BDD_Calendrier!$A$2:$A$616,$B114,BDD_Calendrier!$C$2:$C$616,"Souscription"))</f>
        <v/>
      </c>
      <c r="L114">
        <f>COUNTIFS(BDD_Calendrier!$A$2:$A$616,$B114,BDD_Calendrier!$C$2:$C$616,"Rachat")</f>
        <v/>
      </c>
      <c r="M114">
        <f>IF(L114=0,"",IFERROR(_xlfn.MINIFS(BDD_Calendrier!$D$2:$D$616,BDD_Calendrier!$A$2:$A$616,$B114,BDD_Calendrier!$C$2:$C$616,"Rachat",BDD_Calendrier!$D$2:$D$616,"&gt;="&amp;TODAY()),""))</f>
        <v/>
      </c>
      <c r="N114">
        <f>IF(M114="","",IFERROR(INDEX(BDD_Calendrier!$E$2:$E$616,MATCH($B114&amp;"|Rachat|"&amp;TEXT(M114,"yyyy-mm-dd"),BDD_Calendrier!$I$2:$I$616,0)),""))</f>
        <v/>
      </c>
      <c r="O114">
        <f>IF(M114="","",IFERROR(INDEX(BDD_Calendrier!$H$2:$H$616,MATCH($B114&amp;"|Rachat|"&amp;TEXT(M114,"yyyy-mm-dd"),BDD_Calendrier!$I$2:$I$616,0)),""))</f>
        <v/>
      </c>
      <c r="P114">
        <f>IF(L114=0,"",_xlfn.MAXIFS(BDD_Calendrier!$D$2:$D$616,BDD_Calendrier!$A$2:$A$616,$B114,BDD_Calendrier!$C$2:$C$616,"Rachat"))</f>
        <v/>
      </c>
      <c r="Q114">
        <f>IF($C114="","",IF($C114&gt;TODAY(),"FUTUR",DATEDIF($C114,TODAY(),"m")))</f>
        <v/>
      </c>
      <c r="R114">
        <f>COUNTIF(BDD_Penalites!$A$2:$A$130,$B114)</f>
        <v/>
      </c>
      <c r="S114">
        <f>IF(R114=0,"inconnue",INDEX(BDD_Penalites!$C$2:$C$130,MATCH($B114,BDD_Penalites!$A$2:$A$130,0)))</f>
        <v/>
      </c>
      <c r="T114">
        <f>IF(R114=0,"",INDEX(BDD_Penalites!$M$2:$M$130,MATCH($B114,BDD_Penalites!$A$2:$A$130,0)))</f>
        <v/>
      </c>
      <c r="U114">
        <f>IF(R114=0,0,INDEX(BDD_Penalites!$D$2:$D$130,MATCH($B114,BDD_Penalites!$A$2:$A$130,0)))</f>
        <v/>
      </c>
      <c r="V114">
        <f>IF(R114=0,0,INDEX(BDD_Penalites!$E$2:$E$130,MATCH($B114,BDD_Penalites!$A$2:$A$130,0)))</f>
        <v/>
      </c>
      <c r="W114">
        <f>IF(R114=0,0,INDEX(BDD_Penalites!$F$2:$F$130,MATCH($B114,BDD_Penalites!$A$2:$A$130,0)))</f>
        <v/>
      </c>
      <c r="X114">
        <f>IF(R114=0,0,INDEX(BDD_Penalites!$G$2:$G$130,MATCH($B114,BDD_Penalites!$A$2:$A$130,0)))</f>
        <v/>
      </c>
      <c r="Y114">
        <f>IF(R114=0,0,INDEX(BDD_Penalites!$H$2:$H$130,MATCH($B114,BDD_Penalites!$A$2:$A$130,0)))</f>
        <v/>
      </c>
      <c r="Z114">
        <f>IF(R114=0,0,INDEX(BDD_Penalites!$I$2:$I$130,MATCH($B114,BDD_Penalites!$A$2:$A$130,0)))</f>
        <v/>
      </c>
      <c r="AA114">
        <f>IF(R114=0,0,INDEX(BDD_Penalites!$J$2:$J$130,MATCH($B114,BDD_Penalites!$A$2:$A$130,0)))</f>
        <v/>
      </c>
      <c r="AB114">
        <f>IF(R114=0,0,INDEX(BDD_Penalites!$K$2:$K$130,MATCH($B114,BDD_Penalites!$A$2:$A$130,0)))</f>
        <v/>
      </c>
      <c r="AC114">
        <f>IF(R114=0,0,INDEX(BDD_Penalites!$L$2:$L$130,MATCH($B114,BDD_Penalites!$A$2:$A$130,0)))</f>
        <v/>
      </c>
      <c r="AD114">
        <f>IF(OR($C114="",Q114="FUTUR"),"",_xlfn.IFS(Q114&lt;U114,V114,Q114&lt;W114,X114,Q114&lt;Y114,Z114,Q114&lt;AA114,AB114,TRUE,AC114))</f>
        <v/>
      </c>
    </row>
    <row r="115" ht="14" customHeight="1">
      <c r="A115" s="65" t="inlineStr">
        <is>
          <t>H2O Moderato R</t>
        </is>
      </c>
      <c r="B115" s="77" t="inlineStr">
        <is>
          <t>FR0010923367</t>
        </is>
      </c>
      <c r="C115" s="268" t="n"/>
      <c r="D115" s="269">
        <f>IF(H115=0,"Calendrier non disponible pour ce fonds — contacter la société de gestion.",IF(I115="","Calendrier connu jusqu'au "&amp;TEXT(K115,"dd/mm/yyyy")&amp;" — demander le calendrier à jour.","Cut-off : "&amp;TEXT(I115,"dd/mm/yyyy")&amp;"  |  VL : "&amp;TEXT(J115,"dd/mm/yyyy")))</f>
        <v/>
      </c>
      <c r="E115" s="269">
        <f>IF(L115=0,"Calendrier non disponible pour ce fonds — contacter la société de gestion.",IF(M115="","Calendrier connu jusqu'au "&amp;TEXT(P115,"dd/mm/yyyy")&amp;" — demander le calendrier à jour.","Cut-off : "&amp;TEXT(M115,"dd/mm/yyyy")&amp;"  |  VL : "&amp;TEXT(N115,"dd/mm/yyyy")))</f>
        <v/>
      </c>
      <c r="F115" s="269">
        <f>IF(L115=0,"Calendrier non disponible pour ce fonds.",IF(M115="","Calendrier connu jusqu'au "&amp;TEXT(P115,"dd/mm/yyyy")&amp;".",IF(O115="","Non précisé dans le calendrier pour cette échéance.","Réception : "&amp;TEXT(O115,"dd/mm/yyyy")&amp;"  (suite au rachat du "&amp;TEXT(N115,"dd/mm/yyyy")&amp;")")))</f>
        <v/>
      </c>
      <c r="G115" s="269">
        <f>_xlfn.IFS(S115="aucune","Aucune pénalité de sortie."&amp;IF(T115&lt;&gt;""," ("&amp;T115&amp;")",""),S115="manuel","⚠️ À VÉRIFIER MANUELLEMENT : "&amp;T115,S115="inconnue","Pénalité non renseignée — vérifier la notice / DICI du fonds.",$C115="","Saisir une date d'investissement pour statuer sur la pénalité.",Q115="FUTUR","Date d'investissement postérieure à aujourd'hui — vérifier la saisie.",AD115&gt;0,"⚠️ CONCERNÉ : pénalité de "&amp;AD115&amp;"% (détention "&amp;Q115&amp;" mois). "&amp;T115,TRUE,"Non concerné (détention "&amp;Q115&amp;" mois). "&amp;T115)</f>
        <v/>
      </c>
      <c r="H115">
        <f>COUNTIFS(BDD_Calendrier!$A$2:$A$616,$B115,BDD_Calendrier!$C$2:$C$616,"Souscription")</f>
        <v/>
      </c>
      <c r="I115">
        <f>IF(H115=0,"",IFERROR(_xlfn.MINIFS(BDD_Calendrier!$D$2:$D$616,BDD_Calendrier!$A$2:$A$616,$B115,BDD_Calendrier!$C$2:$C$616,"Souscription",BDD_Calendrier!$D$2:$D$616,"&gt;="&amp;TODAY()),""))</f>
        <v/>
      </c>
      <c r="J115">
        <f>IF(I115="","",IFERROR(INDEX(BDD_Calendrier!$E$2:$E$616,MATCH($B115&amp;"|Souscription|"&amp;TEXT(I115,"yyyy-mm-dd"),BDD_Calendrier!$I$2:$I$616,0)),""))</f>
        <v/>
      </c>
      <c r="K115">
        <f>IF(H115=0,"",_xlfn.MAXIFS(BDD_Calendrier!$D$2:$D$616,BDD_Calendrier!$A$2:$A$616,$B115,BDD_Calendrier!$C$2:$C$616,"Souscription"))</f>
        <v/>
      </c>
      <c r="L115">
        <f>COUNTIFS(BDD_Calendrier!$A$2:$A$616,$B115,BDD_Calendrier!$C$2:$C$616,"Rachat")</f>
        <v/>
      </c>
      <c r="M115">
        <f>IF(L115=0,"",IFERROR(_xlfn.MINIFS(BDD_Calendrier!$D$2:$D$616,BDD_Calendrier!$A$2:$A$616,$B115,BDD_Calendrier!$C$2:$C$616,"Rachat",BDD_Calendrier!$D$2:$D$616,"&gt;="&amp;TODAY()),""))</f>
        <v/>
      </c>
      <c r="N115">
        <f>IF(M115="","",IFERROR(INDEX(BDD_Calendrier!$E$2:$E$616,MATCH($B115&amp;"|Rachat|"&amp;TEXT(M115,"yyyy-mm-dd"),BDD_Calendrier!$I$2:$I$616,0)),""))</f>
        <v/>
      </c>
      <c r="O115">
        <f>IF(M115="","",IFERROR(INDEX(BDD_Calendrier!$H$2:$H$616,MATCH($B115&amp;"|Rachat|"&amp;TEXT(M115,"yyyy-mm-dd"),BDD_Calendrier!$I$2:$I$616,0)),""))</f>
        <v/>
      </c>
      <c r="P115">
        <f>IF(L115=0,"",_xlfn.MAXIFS(BDD_Calendrier!$D$2:$D$616,BDD_Calendrier!$A$2:$A$616,$B115,BDD_Calendrier!$C$2:$C$616,"Rachat"))</f>
        <v/>
      </c>
      <c r="Q115">
        <f>IF($C115="","",IF($C115&gt;TODAY(),"FUTUR",DATEDIF($C115,TODAY(),"m")))</f>
        <v/>
      </c>
      <c r="R115">
        <f>COUNTIF(BDD_Penalites!$A$2:$A$130,$B115)</f>
        <v/>
      </c>
      <c r="S115">
        <f>IF(R115=0,"inconnue",INDEX(BDD_Penalites!$C$2:$C$130,MATCH($B115,BDD_Penalites!$A$2:$A$130,0)))</f>
        <v/>
      </c>
      <c r="T115">
        <f>IF(R115=0,"",INDEX(BDD_Penalites!$M$2:$M$130,MATCH($B115,BDD_Penalites!$A$2:$A$130,0)))</f>
        <v/>
      </c>
      <c r="U115">
        <f>IF(R115=0,0,INDEX(BDD_Penalites!$D$2:$D$130,MATCH($B115,BDD_Penalites!$A$2:$A$130,0)))</f>
        <v/>
      </c>
      <c r="V115">
        <f>IF(R115=0,0,INDEX(BDD_Penalites!$E$2:$E$130,MATCH($B115,BDD_Penalites!$A$2:$A$130,0)))</f>
        <v/>
      </c>
      <c r="W115">
        <f>IF(R115=0,0,INDEX(BDD_Penalites!$F$2:$F$130,MATCH($B115,BDD_Penalites!$A$2:$A$130,0)))</f>
        <v/>
      </c>
      <c r="X115">
        <f>IF(R115=0,0,INDEX(BDD_Penalites!$G$2:$G$130,MATCH($B115,BDD_Penalites!$A$2:$A$130,0)))</f>
        <v/>
      </c>
      <c r="Y115">
        <f>IF(R115=0,0,INDEX(BDD_Penalites!$H$2:$H$130,MATCH($B115,BDD_Penalites!$A$2:$A$130,0)))</f>
        <v/>
      </c>
      <c r="Z115">
        <f>IF(R115=0,0,INDEX(BDD_Penalites!$I$2:$I$130,MATCH($B115,BDD_Penalites!$A$2:$A$130,0)))</f>
        <v/>
      </c>
      <c r="AA115">
        <f>IF(R115=0,0,INDEX(BDD_Penalites!$J$2:$J$130,MATCH($B115,BDD_Penalites!$A$2:$A$130,0)))</f>
        <v/>
      </c>
      <c r="AB115">
        <f>IF(R115=0,0,INDEX(BDD_Penalites!$K$2:$K$130,MATCH($B115,BDD_Penalites!$A$2:$A$130,0)))</f>
        <v/>
      </c>
      <c r="AC115">
        <f>IF(R115=0,0,INDEX(BDD_Penalites!$L$2:$L$130,MATCH($B115,BDD_Penalites!$A$2:$A$130,0)))</f>
        <v/>
      </c>
      <c r="AD115">
        <f>IF(OR($C115="",Q115="FUTUR"),"",_xlfn.IFS(Q115&lt;U115,V115,Q115&lt;W115,X115,Q115&lt;Y115,Z115,Q115&lt;AA115,AB115,TRUE,AC115))</f>
        <v/>
      </c>
    </row>
    <row r="116" ht="14" customHeight="1">
      <c r="A116" s="65" t="inlineStr">
        <is>
          <t>H2O Moderato SR</t>
        </is>
      </c>
      <c r="B116" s="77" t="inlineStr">
        <is>
          <t>FR0013393295</t>
        </is>
      </c>
      <c r="C116" s="268" t="n"/>
      <c r="D116" s="269">
        <f>IF(H116=0,"Calendrier non disponible pour ce fonds — contacter la société de gestion.",IF(I116="","Calendrier connu jusqu'au "&amp;TEXT(K116,"dd/mm/yyyy")&amp;" — demander le calendrier à jour.","Cut-off : "&amp;TEXT(I116,"dd/mm/yyyy")&amp;"  |  VL : "&amp;TEXT(J116,"dd/mm/yyyy")))</f>
        <v/>
      </c>
      <c r="E116" s="269">
        <f>IF(L116=0,"Calendrier non disponible pour ce fonds — contacter la société de gestion.",IF(M116="","Calendrier connu jusqu'au "&amp;TEXT(P116,"dd/mm/yyyy")&amp;" — demander le calendrier à jour.","Cut-off : "&amp;TEXT(M116,"dd/mm/yyyy")&amp;"  |  VL : "&amp;TEXT(N116,"dd/mm/yyyy")))</f>
        <v/>
      </c>
      <c r="F116" s="269">
        <f>IF(L116=0,"Calendrier non disponible pour ce fonds.",IF(M116="","Calendrier connu jusqu'au "&amp;TEXT(P116,"dd/mm/yyyy")&amp;".",IF(O116="","Non précisé dans le calendrier pour cette échéance.","Réception : "&amp;TEXT(O116,"dd/mm/yyyy")&amp;"  (suite au rachat du "&amp;TEXT(N116,"dd/mm/yyyy")&amp;")")))</f>
        <v/>
      </c>
      <c r="G116" s="269">
        <f>_xlfn.IFS(S116="aucune","Aucune pénalité de sortie."&amp;IF(T116&lt;&gt;""," ("&amp;T116&amp;")",""),S116="manuel","⚠️ À VÉRIFIER MANUELLEMENT : "&amp;T116,S116="inconnue","Pénalité non renseignée — vérifier la notice / DICI du fonds.",$C116="","Saisir une date d'investissement pour statuer sur la pénalité.",Q116="FUTUR","Date d'investissement postérieure à aujourd'hui — vérifier la saisie.",AD116&gt;0,"⚠️ CONCERNÉ : pénalité de "&amp;AD116&amp;"% (détention "&amp;Q116&amp;" mois). "&amp;T116,TRUE,"Non concerné (détention "&amp;Q116&amp;" mois). "&amp;T116)</f>
        <v/>
      </c>
      <c r="H116">
        <f>COUNTIFS(BDD_Calendrier!$A$2:$A$616,$B116,BDD_Calendrier!$C$2:$C$616,"Souscription")</f>
        <v/>
      </c>
      <c r="I116">
        <f>IF(H116=0,"",IFERROR(_xlfn.MINIFS(BDD_Calendrier!$D$2:$D$616,BDD_Calendrier!$A$2:$A$616,$B116,BDD_Calendrier!$C$2:$C$616,"Souscription",BDD_Calendrier!$D$2:$D$616,"&gt;="&amp;TODAY()),""))</f>
        <v/>
      </c>
      <c r="J116">
        <f>IF(I116="","",IFERROR(INDEX(BDD_Calendrier!$E$2:$E$616,MATCH($B116&amp;"|Souscription|"&amp;TEXT(I116,"yyyy-mm-dd"),BDD_Calendrier!$I$2:$I$616,0)),""))</f>
        <v/>
      </c>
      <c r="K116">
        <f>IF(H116=0,"",_xlfn.MAXIFS(BDD_Calendrier!$D$2:$D$616,BDD_Calendrier!$A$2:$A$616,$B116,BDD_Calendrier!$C$2:$C$616,"Souscription"))</f>
        <v/>
      </c>
      <c r="L116">
        <f>COUNTIFS(BDD_Calendrier!$A$2:$A$616,$B116,BDD_Calendrier!$C$2:$C$616,"Rachat")</f>
        <v/>
      </c>
      <c r="M116">
        <f>IF(L116=0,"",IFERROR(_xlfn.MINIFS(BDD_Calendrier!$D$2:$D$616,BDD_Calendrier!$A$2:$A$616,$B116,BDD_Calendrier!$C$2:$C$616,"Rachat",BDD_Calendrier!$D$2:$D$616,"&gt;="&amp;TODAY()),""))</f>
        <v/>
      </c>
      <c r="N116">
        <f>IF(M116="","",IFERROR(INDEX(BDD_Calendrier!$E$2:$E$616,MATCH($B116&amp;"|Rachat|"&amp;TEXT(M116,"yyyy-mm-dd"),BDD_Calendrier!$I$2:$I$616,0)),""))</f>
        <v/>
      </c>
      <c r="O116">
        <f>IF(M116="","",IFERROR(INDEX(BDD_Calendrier!$H$2:$H$616,MATCH($B116&amp;"|Rachat|"&amp;TEXT(M116,"yyyy-mm-dd"),BDD_Calendrier!$I$2:$I$616,0)),""))</f>
        <v/>
      </c>
      <c r="P116">
        <f>IF(L116=0,"",_xlfn.MAXIFS(BDD_Calendrier!$D$2:$D$616,BDD_Calendrier!$A$2:$A$616,$B116,BDD_Calendrier!$C$2:$C$616,"Rachat"))</f>
        <v/>
      </c>
      <c r="Q116">
        <f>IF($C116="","",IF($C116&gt;TODAY(),"FUTUR",DATEDIF($C116,TODAY(),"m")))</f>
        <v/>
      </c>
      <c r="R116">
        <f>COUNTIF(BDD_Penalites!$A$2:$A$130,$B116)</f>
        <v/>
      </c>
      <c r="S116">
        <f>IF(R116=0,"inconnue",INDEX(BDD_Penalites!$C$2:$C$130,MATCH($B116,BDD_Penalites!$A$2:$A$130,0)))</f>
        <v/>
      </c>
      <c r="T116">
        <f>IF(R116=0,"",INDEX(BDD_Penalites!$M$2:$M$130,MATCH($B116,BDD_Penalites!$A$2:$A$130,0)))</f>
        <v/>
      </c>
      <c r="U116">
        <f>IF(R116=0,0,INDEX(BDD_Penalites!$D$2:$D$130,MATCH($B116,BDD_Penalites!$A$2:$A$130,0)))</f>
        <v/>
      </c>
      <c r="V116">
        <f>IF(R116=0,0,INDEX(BDD_Penalites!$E$2:$E$130,MATCH($B116,BDD_Penalites!$A$2:$A$130,0)))</f>
        <v/>
      </c>
      <c r="W116">
        <f>IF(R116=0,0,INDEX(BDD_Penalites!$F$2:$F$130,MATCH($B116,BDD_Penalites!$A$2:$A$130,0)))</f>
        <v/>
      </c>
      <c r="X116">
        <f>IF(R116=0,0,INDEX(BDD_Penalites!$G$2:$G$130,MATCH($B116,BDD_Penalites!$A$2:$A$130,0)))</f>
        <v/>
      </c>
      <c r="Y116">
        <f>IF(R116=0,0,INDEX(BDD_Penalites!$H$2:$H$130,MATCH($B116,BDD_Penalites!$A$2:$A$130,0)))</f>
        <v/>
      </c>
      <c r="Z116">
        <f>IF(R116=0,0,INDEX(BDD_Penalites!$I$2:$I$130,MATCH($B116,BDD_Penalites!$A$2:$A$130,0)))</f>
        <v/>
      </c>
      <c r="AA116">
        <f>IF(R116=0,0,INDEX(BDD_Penalites!$J$2:$J$130,MATCH($B116,BDD_Penalites!$A$2:$A$130,0)))</f>
        <v/>
      </c>
      <c r="AB116">
        <f>IF(R116=0,0,INDEX(BDD_Penalites!$K$2:$K$130,MATCH($B116,BDD_Penalites!$A$2:$A$130,0)))</f>
        <v/>
      </c>
      <c r="AC116">
        <f>IF(R116=0,0,INDEX(BDD_Penalites!$L$2:$L$130,MATCH($B116,BDD_Penalites!$A$2:$A$130,0)))</f>
        <v/>
      </c>
      <c r="AD116">
        <f>IF(OR($C116="",Q116="FUTUR"),"",_xlfn.IFS(Q116&lt;U116,V116,Q116&lt;W116,X116,Q116&lt;Y116,Z116,Q116&lt;AA116,AB116,TRUE,AC116))</f>
        <v/>
      </c>
    </row>
    <row r="117" ht="14" customHeight="1">
      <c r="A117" s="65" t="inlineStr">
        <is>
          <t>H2O Multistrategies N C</t>
        </is>
      </c>
      <c r="B117" s="77" t="inlineStr">
        <is>
          <t>FR0013186749</t>
        </is>
      </c>
      <c r="C117" s="268" t="n"/>
      <c r="D117" s="269">
        <f>IF(H117=0,"Calendrier non disponible pour ce fonds — contacter la société de gestion.",IF(I117="","Calendrier connu jusqu'au "&amp;TEXT(K117,"dd/mm/yyyy")&amp;" — demander le calendrier à jour.","Cut-off : "&amp;TEXT(I117,"dd/mm/yyyy")&amp;"  |  VL : "&amp;TEXT(J117,"dd/mm/yyyy")))</f>
        <v/>
      </c>
      <c r="E117" s="269">
        <f>IF(L117=0,"Calendrier non disponible pour ce fonds — contacter la société de gestion.",IF(M117="","Calendrier connu jusqu'au "&amp;TEXT(P117,"dd/mm/yyyy")&amp;" — demander le calendrier à jour.","Cut-off : "&amp;TEXT(M117,"dd/mm/yyyy")&amp;"  |  VL : "&amp;TEXT(N117,"dd/mm/yyyy")))</f>
        <v/>
      </c>
      <c r="F117" s="269">
        <f>IF(L117=0,"Calendrier non disponible pour ce fonds.",IF(M117="","Calendrier connu jusqu'au "&amp;TEXT(P117,"dd/mm/yyyy")&amp;".",IF(O117="","Non précisé dans le calendrier pour cette échéance.","Réception : "&amp;TEXT(O117,"dd/mm/yyyy")&amp;"  (suite au rachat du "&amp;TEXT(N117,"dd/mm/yyyy")&amp;")")))</f>
        <v/>
      </c>
      <c r="G117" s="269">
        <f>_xlfn.IFS(S117="aucune","Aucune pénalité de sortie."&amp;IF(T117&lt;&gt;""," ("&amp;T117&amp;")",""),S117="manuel","⚠️ À VÉRIFIER MANUELLEMENT : "&amp;T117,S117="inconnue","Pénalité non renseignée — vérifier la notice / DICI du fonds.",$C117="","Saisir une date d'investissement pour statuer sur la pénalité.",Q117="FUTUR","Date d'investissement postérieure à aujourd'hui — vérifier la saisie.",AD117&gt;0,"⚠️ CONCERNÉ : pénalité de "&amp;AD117&amp;"% (détention "&amp;Q117&amp;" mois). "&amp;T117,TRUE,"Non concerné (détention "&amp;Q117&amp;" mois). "&amp;T117)</f>
        <v/>
      </c>
      <c r="H117">
        <f>COUNTIFS(BDD_Calendrier!$A$2:$A$616,$B117,BDD_Calendrier!$C$2:$C$616,"Souscription")</f>
        <v/>
      </c>
      <c r="I117">
        <f>IF(H117=0,"",IFERROR(_xlfn.MINIFS(BDD_Calendrier!$D$2:$D$616,BDD_Calendrier!$A$2:$A$616,$B117,BDD_Calendrier!$C$2:$C$616,"Souscription",BDD_Calendrier!$D$2:$D$616,"&gt;="&amp;TODAY()),""))</f>
        <v/>
      </c>
      <c r="J117">
        <f>IF(I117="","",IFERROR(INDEX(BDD_Calendrier!$E$2:$E$616,MATCH($B117&amp;"|Souscription|"&amp;TEXT(I117,"yyyy-mm-dd"),BDD_Calendrier!$I$2:$I$616,0)),""))</f>
        <v/>
      </c>
      <c r="K117">
        <f>IF(H117=0,"",_xlfn.MAXIFS(BDD_Calendrier!$D$2:$D$616,BDD_Calendrier!$A$2:$A$616,$B117,BDD_Calendrier!$C$2:$C$616,"Souscription"))</f>
        <v/>
      </c>
      <c r="L117">
        <f>COUNTIFS(BDD_Calendrier!$A$2:$A$616,$B117,BDD_Calendrier!$C$2:$C$616,"Rachat")</f>
        <v/>
      </c>
      <c r="M117">
        <f>IF(L117=0,"",IFERROR(_xlfn.MINIFS(BDD_Calendrier!$D$2:$D$616,BDD_Calendrier!$A$2:$A$616,$B117,BDD_Calendrier!$C$2:$C$616,"Rachat",BDD_Calendrier!$D$2:$D$616,"&gt;="&amp;TODAY()),""))</f>
        <v/>
      </c>
      <c r="N117">
        <f>IF(M117="","",IFERROR(INDEX(BDD_Calendrier!$E$2:$E$616,MATCH($B117&amp;"|Rachat|"&amp;TEXT(M117,"yyyy-mm-dd"),BDD_Calendrier!$I$2:$I$616,0)),""))</f>
        <v/>
      </c>
      <c r="O117">
        <f>IF(M117="","",IFERROR(INDEX(BDD_Calendrier!$H$2:$H$616,MATCH($B117&amp;"|Rachat|"&amp;TEXT(M117,"yyyy-mm-dd"),BDD_Calendrier!$I$2:$I$616,0)),""))</f>
        <v/>
      </c>
      <c r="P117">
        <f>IF(L117=0,"",_xlfn.MAXIFS(BDD_Calendrier!$D$2:$D$616,BDD_Calendrier!$A$2:$A$616,$B117,BDD_Calendrier!$C$2:$C$616,"Rachat"))</f>
        <v/>
      </c>
      <c r="Q117">
        <f>IF($C117="","",IF($C117&gt;TODAY(),"FUTUR",DATEDIF($C117,TODAY(),"m")))</f>
        <v/>
      </c>
      <c r="R117">
        <f>COUNTIF(BDD_Penalites!$A$2:$A$130,$B117)</f>
        <v/>
      </c>
      <c r="S117">
        <f>IF(R117=0,"inconnue",INDEX(BDD_Penalites!$C$2:$C$130,MATCH($B117,BDD_Penalites!$A$2:$A$130,0)))</f>
        <v/>
      </c>
      <c r="T117">
        <f>IF(R117=0,"",INDEX(BDD_Penalites!$M$2:$M$130,MATCH($B117,BDD_Penalites!$A$2:$A$130,0)))</f>
        <v/>
      </c>
      <c r="U117">
        <f>IF(R117=0,0,INDEX(BDD_Penalites!$D$2:$D$130,MATCH($B117,BDD_Penalites!$A$2:$A$130,0)))</f>
        <v/>
      </c>
      <c r="V117">
        <f>IF(R117=0,0,INDEX(BDD_Penalites!$E$2:$E$130,MATCH($B117,BDD_Penalites!$A$2:$A$130,0)))</f>
        <v/>
      </c>
      <c r="W117">
        <f>IF(R117=0,0,INDEX(BDD_Penalites!$F$2:$F$130,MATCH($B117,BDD_Penalites!$A$2:$A$130,0)))</f>
        <v/>
      </c>
      <c r="X117">
        <f>IF(R117=0,0,INDEX(BDD_Penalites!$G$2:$G$130,MATCH($B117,BDD_Penalites!$A$2:$A$130,0)))</f>
        <v/>
      </c>
      <c r="Y117">
        <f>IF(R117=0,0,INDEX(BDD_Penalites!$H$2:$H$130,MATCH($B117,BDD_Penalites!$A$2:$A$130,0)))</f>
        <v/>
      </c>
      <c r="Z117">
        <f>IF(R117=0,0,INDEX(BDD_Penalites!$I$2:$I$130,MATCH($B117,BDD_Penalites!$A$2:$A$130,0)))</f>
        <v/>
      </c>
      <c r="AA117">
        <f>IF(R117=0,0,INDEX(BDD_Penalites!$J$2:$J$130,MATCH($B117,BDD_Penalites!$A$2:$A$130,0)))</f>
        <v/>
      </c>
      <c r="AB117">
        <f>IF(R117=0,0,INDEX(BDD_Penalites!$K$2:$K$130,MATCH($B117,BDD_Penalites!$A$2:$A$130,0)))</f>
        <v/>
      </c>
      <c r="AC117">
        <f>IF(R117=0,0,INDEX(BDD_Penalites!$L$2:$L$130,MATCH($B117,BDD_Penalites!$A$2:$A$130,0)))</f>
        <v/>
      </c>
      <c r="AD117">
        <f>IF(OR($C117="",Q117="FUTUR"),"",_xlfn.IFS(Q117&lt;U117,V117,Q117&lt;W117,X117,Q117&lt;Y117,Z117,Q117&lt;AA117,AB117,TRUE,AC117))</f>
        <v/>
      </c>
    </row>
    <row r="118" ht="14" customHeight="1">
      <c r="A118" s="65" t="inlineStr">
        <is>
          <t>H2O Multistrategies R C</t>
        </is>
      </c>
      <c r="B118" s="77" t="inlineStr">
        <is>
          <t>FR0010923383</t>
        </is>
      </c>
      <c r="C118" s="268" t="n"/>
      <c r="D118" s="269">
        <f>IF(H118=0,"Calendrier non disponible pour ce fonds — contacter la société de gestion.",IF(I118="","Calendrier connu jusqu'au "&amp;TEXT(K118,"dd/mm/yyyy")&amp;" — demander le calendrier à jour.","Cut-off : "&amp;TEXT(I118,"dd/mm/yyyy")&amp;"  |  VL : "&amp;TEXT(J118,"dd/mm/yyyy")))</f>
        <v/>
      </c>
      <c r="E118" s="269">
        <f>IF(L118=0,"Calendrier non disponible pour ce fonds — contacter la société de gestion.",IF(M118="","Calendrier connu jusqu'au "&amp;TEXT(P118,"dd/mm/yyyy")&amp;" — demander le calendrier à jour.","Cut-off : "&amp;TEXT(M118,"dd/mm/yyyy")&amp;"  |  VL : "&amp;TEXT(N118,"dd/mm/yyyy")))</f>
        <v/>
      </c>
      <c r="F118" s="269">
        <f>IF(L118=0,"Calendrier non disponible pour ce fonds.",IF(M118="","Calendrier connu jusqu'au "&amp;TEXT(P118,"dd/mm/yyyy")&amp;".",IF(O118="","Non précisé dans le calendrier pour cette échéance.","Réception : "&amp;TEXT(O118,"dd/mm/yyyy")&amp;"  (suite au rachat du "&amp;TEXT(N118,"dd/mm/yyyy")&amp;")")))</f>
        <v/>
      </c>
      <c r="G118" s="269">
        <f>_xlfn.IFS(S118="aucune","Aucune pénalité de sortie."&amp;IF(T118&lt;&gt;""," ("&amp;T118&amp;")",""),S118="manuel","⚠️ À VÉRIFIER MANUELLEMENT : "&amp;T118,S118="inconnue","Pénalité non renseignée — vérifier la notice / DICI du fonds.",$C118="","Saisir une date d'investissement pour statuer sur la pénalité.",Q118="FUTUR","Date d'investissement postérieure à aujourd'hui — vérifier la saisie.",AD118&gt;0,"⚠️ CONCERNÉ : pénalité de "&amp;AD118&amp;"% (détention "&amp;Q118&amp;" mois). "&amp;T118,TRUE,"Non concerné (détention "&amp;Q118&amp;" mois). "&amp;T118)</f>
        <v/>
      </c>
      <c r="H118">
        <f>COUNTIFS(BDD_Calendrier!$A$2:$A$616,$B118,BDD_Calendrier!$C$2:$C$616,"Souscription")</f>
        <v/>
      </c>
      <c r="I118">
        <f>IF(H118=0,"",IFERROR(_xlfn.MINIFS(BDD_Calendrier!$D$2:$D$616,BDD_Calendrier!$A$2:$A$616,$B118,BDD_Calendrier!$C$2:$C$616,"Souscription",BDD_Calendrier!$D$2:$D$616,"&gt;="&amp;TODAY()),""))</f>
        <v/>
      </c>
      <c r="J118">
        <f>IF(I118="","",IFERROR(INDEX(BDD_Calendrier!$E$2:$E$616,MATCH($B118&amp;"|Souscription|"&amp;TEXT(I118,"yyyy-mm-dd"),BDD_Calendrier!$I$2:$I$616,0)),""))</f>
        <v/>
      </c>
      <c r="K118">
        <f>IF(H118=0,"",_xlfn.MAXIFS(BDD_Calendrier!$D$2:$D$616,BDD_Calendrier!$A$2:$A$616,$B118,BDD_Calendrier!$C$2:$C$616,"Souscription"))</f>
        <v/>
      </c>
      <c r="L118">
        <f>COUNTIFS(BDD_Calendrier!$A$2:$A$616,$B118,BDD_Calendrier!$C$2:$C$616,"Rachat")</f>
        <v/>
      </c>
      <c r="M118">
        <f>IF(L118=0,"",IFERROR(_xlfn.MINIFS(BDD_Calendrier!$D$2:$D$616,BDD_Calendrier!$A$2:$A$616,$B118,BDD_Calendrier!$C$2:$C$616,"Rachat",BDD_Calendrier!$D$2:$D$616,"&gt;="&amp;TODAY()),""))</f>
        <v/>
      </c>
      <c r="N118">
        <f>IF(M118="","",IFERROR(INDEX(BDD_Calendrier!$E$2:$E$616,MATCH($B118&amp;"|Rachat|"&amp;TEXT(M118,"yyyy-mm-dd"),BDD_Calendrier!$I$2:$I$616,0)),""))</f>
        <v/>
      </c>
      <c r="O118">
        <f>IF(M118="","",IFERROR(INDEX(BDD_Calendrier!$H$2:$H$616,MATCH($B118&amp;"|Rachat|"&amp;TEXT(M118,"yyyy-mm-dd"),BDD_Calendrier!$I$2:$I$616,0)),""))</f>
        <v/>
      </c>
      <c r="P118">
        <f>IF(L118=0,"",_xlfn.MAXIFS(BDD_Calendrier!$D$2:$D$616,BDD_Calendrier!$A$2:$A$616,$B118,BDD_Calendrier!$C$2:$C$616,"Rachat"))</f>
        <v/>
      </c>
      <c r="Q118">
        <f>IF($C118="","",IF($C118&gt;TODAY(),"FUTUR",DATEDIF($C118,TODAY(),"m")))</f>
        <v/>
      </c>
      <c r="R118">
        <f>COUNTIF(BDD_Penalites!$A$2:$A$130,$B118)</f>
        <v/>
      </c>
      <c r="S118">
        <f>IF(R118=0,"inconnue",INDEX(BDD_Penalites!$C$2:$C$130,MATCH($B118,BDD_Penalites!$A$2:$A$130,0)))</f>
        <v/>
      </c>
      <c r="T118">
        <f>IF(R118=0,"",INDEX(BDD_Penalites!$M$2:$M$130,MATCH($B118,BDD_Penalites!$A$2:$A$130,0)))</f>
        <v/>
      </c>
      <c r="U118">
        <f>IF(R118=0,0,INDEX(BDD_Penalites!$D$2:$D$130,MATCH($B118,BDD_Penalites!$A$2:$A$130,0)))</f>
        <v/>
      </c>
      <c r="V118">
        <f>IF(R118=0,0,INDEX(BDD_Penalites!$E$2:$E$130,MATCH($B118,BDD_Penalites!$A$2:$A$130,0)))</f>
        <v/>
      </c>
      <c r="W118">
        <f>IF(R118=0,0,INDEX(BDD_Penalites!$F$2:$F$130,MATCH($B118,BDD_Penalites!$A$2:$A$130,0)))</f>
        <v/>
      </c>
      <c r="X118">
        <f>IF(R118=0,0,INDEX(BDD_Penalites!$G$2:$G$130,MATCH($B118,BDD_Penalites!$A$2:$A$130,0)))</f>
        <v/>
      </c>
      <c r="Y118">
        <f>IF(R118=0,0,INDEX(BDD_Penalites!$H$2:$H$130,MATCH($B118,BDD_Penalites!$A$2:$A$130,0)))</f>
        <v/>
      </c>
      <c r="Z118">
        <f>IF(R118=0,0,INDEX(BDD_Penalites!$I$2:$I$130,MATCH($B118,BDD_Penalites!$A$2:$A$130,0)))</f>
        <v/>
      </c>
      <c r="AA118">
        <f>IF(R118=0,0,INDEX(BDD_Penalites!$J$2:$J$130,MATCH($B118,BDD_Penalites!$A$2:$A$130,0)))</f>
        <v/>
      </c>
      <c r="AB118">
        <f>IF(R118=0,0,INDEX(BDD_Penalites!$K$2:$K$130,MATCH($B118,BDD_Penalites!$A$2:$A$130,0)))</f>
        <v/>
      </c>
      <c r="AC118">
        <f>IF(R118=0,0,INDEX(BDD_Penalites!$L$2:$L$130,MATCH($B118,BDD_Penalites!$A$2:$A$130,0)))</f>
        <v/>
      </c>
      <c r="AD118">
        <f>IF(OR($C118="",Q118="FUTUR"),"",_xlfn.IFS(Q118&lt;U118,V118,Q118&lt;W118,X118,Q118&lt;Y118,Z118,Q118&lt;AA118,AB118,TRUE,AC118))</f>
        <v/>
      </c>
    </row>
    <row r="119" ht="14" customHeight="1">
      <c r="A119" s="65" t="inlineStr">
        <is>
          <t>H2O Moderato SP N ©</t>
        </is>
      </c>
      <c r="B119" s="77" t="inlineStr">
        <is>
          <t>FR0013535242</t>
        </is>
      </c>
      <c r="C119" s="268" t="n"/>
      <c r="D119" s="269">
        <f>IF(H119=0,"Calendrier non disponible pour ce fonds — contacter la société de gestion.",IF(I119="","Calendrier connu jusqu'au "&amp;TEXT(K119,"dd/mm/yyyy")&amp;" — demander le calendrier à jour.","Cut-off : "&amp;TEXT(I119,"dd/mm/yyyy")&amp;"  |  VL : "&amp;TEXT(J119,"dd/mm/yyyy")))</f>
        <v/>
      </c>
      <c r="E119" s="269">
        <f>IF(L119=0,"Calendrier non disponible pour ce fonds — contacter la société de gestion.",IF(M119="","Calendrier connu jusqu'au "&amp;TEXT(P119,"dd/mm/yyyy")&amp;" — demander le calendrier à jour.","Cut-off : "&amp;TEXT(M119,"dd/mm/yyyy")&amp;"  |  VL : "&amp;TEXT(N119,"dd/mm/yyyy")))</f>
        <v/>
      </c>
      <c r="F119" s="269">
        <f>IF(L119=0,"Calendrier non disponible pour ce fonds.",IF(M119="","Calendrier connu jusqu'au "&amp;TEXT(P119,"dd/mm/yyyy")&amp;".",IF(O119="","Non précisé dans le calendrier pour cette échéance.","Réception : "&amp;TEXT(O119,"dd/mm/yyyy")&amp;"  (suite au rachat du "&amp;TEXT(N119,"dd/mm/yyyy")&amp;")")))</f>
        <v/>
      </c>
      <c r="G119" s="269">
        <f>_xlfn.IFS(S119="aucune","Aucune pénalité de sortie."&amp;IF(T119&lt;&gt;""," ("&amp;T119&amp;")",""),S119="manuel","⚠️ À VÉRIFIER MANUELLEMENT : "&amp;T119,S119="inconnue","Pénalité non renseignée — vérifier la notice / DICI du fonds.",$C119="","Saisir une date d'investissement pour statuer sur la pénalité.",Q119="FUTUR","Date d'investissement postérieure à aujourd'hui — vérifier la saisie.",AD119&gt;0,"⚠️ CONCERNÉ : pénalité de "&amp;AD119&amp;"% (détention "&amp;Q119&amp;" mois). "&amp;T119,TRUE,"Non concerné (détention "&amp;Q119&amp;" mois). "&amp;T119)</f>
        <v/>
      </c>
      <c r="H119">
        <f>COUNTIFS(BDD_Calendrier!$A$2:$A$616,$B119,BDD_Calendrier!$C$2:$C$616,"Souscription")</f>
        <v/>
      </c>
      <c r="I119">
        <f>IF(H119=0,"",IFERROR(_xlfn.MINIFS(BDD_Calendrier!$D$2:$D$616,BDD_Calendrier!$A$2:$A$616,$B119,BDD_Calendrier!$C$2:$C$616,"Souscription",BDD_Calendrier!$D$2:$D$616,"&gt;="&amp;TODAY()),""))</f>
        <v/>
      </c>
      <c r="J119">
        <f>IF(I119="","",IFERROR(INDEX(BDD_Calendrier!$E$2:$E$616,MATCH($B119&amp;"|Souscription|"&amp;TEXT(I119,"yyyy-mm-dd"),BDD_Calendrier!$I$2:$I$616,0)),""))</f>
        <v/>
      </c>
      <c r="K119">
        <f>IF(H119=0,"",_xlfn.MAXIFS(BDD_Calendrier!$D$2:$D$616,BDD_Calendrier!$A$2:$A$616,$B119,BDD_Calendrier!$C$2:$C$616,"Souscription"))</f>
        <v/>
      </c>
      <c r="L119">
        <f>COUNTIFS(BDD_Calendrier!$A$2:$A$616,$B119,BDD_Calendrier!$C$2:$C$616,"Rachat")</f>
        <v/>
      </c>
      <c r="M119">
        <f>IF(L119=0,"",IFERROR(_xlfn.MINIFS(BDD_Calendrier!$D$2:$D$616,BDD_Calendrier!$A$2:$A$616,$B119,BDD_Calendrier!$C$2:$C$616,"Rachat",BDD_Calendrier!$D$2:$D$616,"&gt;="&amp;TODAY()),""))</f>
        <v/>
      </c>
      <c r="N119">
        <f>IF(M119="","",IFERROR(INDEX(BDD_Calendrier!$E$2:$E$616,MATCH($B119&amp;"|Rachat|"&amp;TEXT(M119,"yyyy-mm-dd"),BDD_Calendrier!$I$2:$I$616,0)),""))</f>
        <v/>
      </c>
      <c r="O119">
        <f>IF(M119="","",IFERROR(INDEX(BDD_Calendrier!$H$2:$H$616,MATCH($B119&amp;"|Rachat|"&amp;TEXT(M119,"yyyy-mm-dd"),BDD_Calendrier!$I$2:$I$616,0)),""))</f>
        <v/>
      </c>
      <c r="P119">
        <f>IF(L119=0,"",_xlfn.MAXIFS(BDD_Calendrier!$D$2:$D$616,BDD_Calendrier!$A$2:$A$616,$B119,BDD_Calendrier!$C$2:$C$616,"Rachat"))</f>
        <v/>
      </c>
      <c r="Q119">
        <f>IF($C119="","",IF($C119&gt;TODAY(),"FUTUR",DATEDIF($C119,TODAY(),"m")))</f>
        <v/>
      </c>
      <c r="R119">
        <f>COUNTIF(BDD_Penalites!$A$2:$A$130,$B119)</f>
        <v/>
      </c>
      <c r="S119">
        <f>IF(R119=0,"inconnue",INDEX(BDD_Penalites!$C$2:$C$130,MATCH($B119,BDD_Penalites!$A$2:$A$130,0)))</f>
        <v/>
      </c>
      <c r="T119">
        <f>IF(R119=0,"",INDEX(BDD_Penalites!$M$2:$M$130,MATCH($B119,BDD_Penalites!$A$2:$A$130,0)))</f>
        <v/>
      </c>
      <c r="U119">
        <f>IF(R119=0,0,INDEX(BDD_Penalites!$D$2:$D$130,MATCH($B119,BDD_Penalites!$A$2:$A$130,0)))</f>
        <v/>
      </c>
      <c r="V119">
        <f>IF(R119=0,0,INDEX(BDD_Penalites!$E$2:$E$130,MATCH($B119,BDD_Penalites!$A$2:$A$130,0)))</f>
        <v/>
      </c>
      <c r="W119">
        <f>IF(R119=0,0,INDEX(BDD_Penalites!$F$2:$F$130,MATCH($B119,BDD_Penalites!$A$2:$A$130,0)))</f>
        <v/>
      </c>
      <c r="X119">
        <f>IF(R119=0,0,INDEX(BDD_Penalites!$G$2:$G$130,MATCH($B119,BDD_Penalites!$A$2:$A$130,0)))</f>
        <v/>
      </c>
      <c r="Y119">
        <f>IF(R119=0,0,INDEX(BDD_Penalites!$H$2:$H$130,MATCH($B119,BDD_Penalites!$A$2:$A$130,0)))</f>
        <v/>
      </c>
      <c r="Z119">
        <f>IF(R119=0,0,INDEX(BDD_Penalites!$I$2:$I$130,MATCH($B119,BDD_Penalites!$A$2:$A$130,0)))</f>
        <v/>
      </c>
      <c r="AA119">
        <f>IF(R119=0,0,INDEX(BDD_Penalites!$J$2:$J$130,MATCH($B119,BDD_Penalites!$A$2:$A$130,0)))</f>
        <v/>
      </c>
      <c r="AB119">
        <f>IF(R119=0,0,INDEX(BDD_Penalites!$K$2:$K$130,MATCH($B119,BDD_Penalites!$A$2:$A$130,0)))</f>
        <v/>
      </c>
      <c r="AC119">
        <f>IF(R119=0,0,INDEX(BDD_Penalites!$L$2:$L$130,MATCH($B119,BDD_Penalites!$A$2:$A$130,0)))</f>
        <v/>
      </c>
      <c r="AD119">
        <f>IF(OR($C119="",Q119="FUTUR"),"",_xlfn.IFS(Q119&lt;U119,V119,Q119&lt;W119,X119,Q119&lt;Y119,Z119,Q119&lt;AA119,AB119,TRUE,AC119))</f>
        <v/>
      </c>
    </row>
    <row r="120" ht="14" customHeight="1">
      <c r="A120" s="65" t="inlineStr">
        <is>
          <t>H2O Multistrategies SP R ©</t>
        </is>
      </c>
      <c r="B120" s="77" t="inlineStr">
        <is>
          <t>FR0013535408</t>
        </is>
      </c>
      <c r="C120" s="268" t="n"/>
      <c r="D120" s="269">
        <f>IF(H120=0,"Calendrier non disponible pour ce fonds — contacter la société de gestion.",IF(I120="","Calendrier connu jusqu'au "&amp;TEXT(K120,"dd/mm/yyyy")&amp;" — demander le calendrier à jour.","Cut-off : "&amp;TEXT(I120,"dd/mm/yyyy")&amp;"  |  VL : "&amp;TEXT(J120,"dd/mm/yyyy")))</f>
        <v/>
      </c>
      <c r="E120" s="269">
        <f>IF(L120=0,"Calendrier non disponible pour ce fonds — contacter la société de gestion.",IF(M120="","Calendrier connu jusqu'au "&amp;TEXT(P120,"dd/mm/yyyy")&amp;" — demander le calendrier à jour.","Cut-off : "&amp;TEXT(M120,"dd/mm/yyyy")&amp;"  |  VL : "&amp;TEXT(N120,"dd/mm/yyyy")))</f>
        <v/>
      </c>
      <c r="F120" s="269">
        <f>IF(L120=0,"Calendrier non disponible pour ce fonds.",IF(M120="","Calendrier connu jusqu'au "&amp;TEXT(P120,"dd/mm/yyyy")&amp;".",IF(O120="","Non précisé dans le calendrier pour cette échéance.","Réception : "&amp;TEXT(O120,"dd/mm/yyyy")&amp;"  (suite au rachat du "&amp;TEXT(N120,"dd/mm/yyyy")&amp;")")))</f>
        <v/>
      </c>
      <c r="G120" s="269">
        <f>_xlfn.IFS(S120="aucune","Aucune pénalité de sortie."&amp;IF(T120&lt;&gt;""," ("&amp;T120&amp;")",""),S120="manuel","⚠️ À VÉRIFIER MANUELLEMENT : "&amp;T120,S120="inconnue","Pénalité non renseignée — vérifier la notice / DICI du fonds.",$C120="","Saisir une date d'investissement pour statuer sur la pénalité.",Q120="FUTUR","Date d'investissement postérieure à aujourd'hui — vérifier la saisie.",AD120&gt;0,"⚠️ CONCERNÉ : pénalité de "&amp;AD120&amp;"% (détention "&amp;Q120&amp;" mois). "&amp;T120,TRUE,"Non concerné (détention "&amp;Q120&amp;" mois). "&amp;T120)</f>
        <v/>
      </c>
      <c r="H120">
        <f>COUNTIFS(BDD_Calendrier!$A$2:$A$616,$B120,BDD_Calendrier!$C$2:$C$616,"Souscription")</f>
        <v/>
      </c>
      <c r="I120">
        <f>IF(H120=0,"",IFERROR(_xlfn.MINIFS(BDD_Calendrier!$D$2:$D$616,BDD_Calendrier!$A$2:$A$616,$B120,BDD_Calendrier!$C$2:$C$616,"Souscription",BDD_Calendrier!$D$2:$D$616,"&gt;="&amp;TODAY()),""))</f>
        <v/>
      </c>
      <c r="J120">
        <f>IF(I120="","",IFERROR(INDEX(BDD_Calendrier!$E$2:$E$616,MATCH($B120&amp;"|Souscription|"&amp;TEXT(I120,"yyyy-mm-dd"),BDD_Calendrier!$I$2:$I$616,0)),""))</f>
        <v/>
      </c>
      <c r="K120">
        <f>IF(H120=0,"",_xlfn.MAXIFS(BDD_Calendrier!$D$2:$D$616,BDD_Calendrier!$A$2:$A$616,$B120,BDD_Calendrier!$C$2:$C$616,"Souscription"))</f>
        <v/>
      </c>
      <c r="L120">
        <f>COUNTIFS(BDD_Calendrier!$A$2:$A$616,$B120,BDD_Calendrier!$C$2:$C$616,"Rachat")</f>
        <v/>
      </c>
      <c r="M120">
        <f>IF(L120=0,"",IFERROR(_xlfn.MINIFS(BDD_Calendrier!$D$2:$D$616,BDD_Calendrier!$A$2:$A$616,$B120,BDD_Calendrier!$C$2:$C$616,"Rachat",BDD_Calendrier!$D$2:$D$616,"&gt;="&amp;TODAY()),""))</f>
        <v/>
      </c>
      <c r="N120">
        <f>IF(M120="","",IFERROR(INDEX(BDD_Calendrier!$E$2:$E$616,MATCH($B120&amp;"|Rachat|"&amp;TEXT(M120,"yyyy-mm-dd"),BDD_Calendrier!$I$2:$I$616,0)),""))</f>
        <v/>
      </c>
      <c r="O120">
        <f>IF(M120="","",IFERROR(INDEX(BDD_Calendrier!$H$2:$H$616,MATCH($B120&amp;"|Rachat|"&amp;TEXT(M120,"yyyy-mm-dd"),BDD_Calendrier!$I$2:$I$616,0)),""))</f>
        <v/>
      </c>
      <c r="P120">
        <f>IF(L120=0,"",_xlfn.MAXIFS(BDD_Calendrier!$D$2:$D$616,BDD_Calendrier!$A$2:$A$616,$B120,BDD_Calendrier!$C$2:$C$616,"Rachat"))</f>
        <v/>
      </c>
      <c r="Q120">
        <f>IF($C120="","",IF($C120&gt;TODAY(),"FUTUR",DATEDIF($C120,TODAY(),"m")))</f>
        <v/>
      </c>
      <c r="R120">
        <f>COUNTIF(BDD_Penalites!$A$2:$A$130,$B120)</f>
        <v/>
      </c>
      <c r="S120">
        <f>IF(R120=0,"inconnue",INDEX(BDD_Penalites!$C$2:$C$130,MATCH($B120,BDD_Penalites!$A$2:$A$130,0)))</f>
        <v/>
      </c>
      <c r="T120">
        <f>IF(R120=0,"",INDEX(BDD_Penalites!$M$2:$M$130,MATCH($B120,BDD_Penalites!$A$2:$A$130,0)))</f>
        <v/>
      </c>
      <c r="U120">
        <f>IF(R120=0,0,INDEX(BDD_Penalites!$D$2:$D$130,MATCH($B120,BDD_Penalites!$A$2:$A$130,0)))</f>
        <v/>
      </c>
      <c r="V120">
        <f>IF(R120=0,0,INDEX(BDD_Penalites!$E$2:$E$130,MATCH($B120,BDD_Penalites!$A$2:$A$130,0)))</f>
        <v/>
      </c>
      <c r="W120">
        <f>IF(R120=0,0,INDEX(BDD_Penalites!$F$2:$F$130,MATCH($B120,BDD_Penalites!$A$2:$A$130,0)))</f>
        <v/>
      </c>
      <c r="X120">
        <f>IF(R120=0,0,INDEX(BDD_Penalites!$G$2:$G$130,MATCH($B120,BDD_Penalites!$A$2:$A$130,0)))</f>
        <v/>
      </c>
      <c r="Y120">
        <f>IF(R120=0,0,INDEX(BDD_Penalites!$H$2:$H$130,MATCH($B120,BDD_Penalites!$A$2:$A$130,0)))</f>
        <v/>
      </c>
      <c r="Z120">
        <f>IF(R120=0,0,INDEX(BDD_Penalites!$I$2:$I$130,MATCH($B120,BDD_Penalites!$A$2:$A$130,0)))</f>
        <v/>
      </c>
      <c r="AA120">
        <f>IF(R120=0,0,INDEX(BDD_Penalites!$J$2:$J$130,MATCH($B120,BDD_Penalites!$A$2:$A$130,0)))</f>
        <v/>
      </c>
      <c r="AB120">
        <f>IF(R120=0,0,INDEX(BDD_Penalites!$K$2:$K$130,MATCH($B120,BDD_Penalites!$A$2:$A$130,0)))</f>
        <v/>
      </c>
      <c r="AC120">
        <f>IF(R120=0,0,INDEX(BDD_Penalites!$L$2:$L$130,MATCH($B120,BDD_Penalites!$A$2:$A$130,0)))</f>
        <v/>
      </c>
      <c r="AD120">
        <f>IF(OR($C120="",Q120="FUTUR"),"",_xlfn.IFS(Q120&lt;U120,V120,Q120&lt;W120,X120,Q120&lt;Y120,Z120,Q120&lt;AA120,AB120,TRUE,AC120))</f>
        <v/>
      </c>
    </row>
    <row r="121" ht="14" customHeight="1">
      <c r="A121" s="65" t="inlineStr">
        <is>
          <t xml:space="preserve">H2O Multistrategies </t>
        </is>
      </c>
      <c r="B121" s="77" t="inlineStr">
        <is>
          <t>/</t>
        </is>
      </c>
      <c r="C121" s="268" t="n"/>
      <c r="D121" s="269">
        <f>IF(H121=0,"Calendrier non disponible pour ce fonds — contacter la société de gestion.",IF(I121="","Calendrier connu jusqu'au "&amp;TEXT(K121,"dd/mm/yyyy")&amp;" — demander le calendrier à jour.","Cut-off : "&amp;TEXT(I121,"dd/mm/yyyy")&amp;"  |  VL : "&amp;TEXT(J121,"dd/mm/yyyy")))</f>
        <v/>
      </c>
      <c r="E121" s="269">
        <f>IF(L121=0,"Calendrier non disponible pour ce fonds — contacter la société de gestion.",IF(M121="","Calendrier connu jusqu'au "&amp;TEXT(P121,"dd/mm/yyyy")&amp;" — demander le calendrier à jour.","Cut-off : "&amp;TEXT(M121,"dd/mm/yyyy")&amp;"  |  VL : "&amp;TEXT(N121,"dd/mm/yyyy")))</f>
        <v/>
      </c>
      <c r="F121" s="269">
        <f>IF(L121=0,"Calendrier non disponible pour ce fonds.",IF(M121="","Calendrier connu jusqu'au "&amp;TEXT(P121,"dd/mm/yyyy")&amp;".",IF(O121="","Non précisé dans le calendrier pour cette échéance.","Réception : "&amp;TEXT(O121,"dd/mm/yyyy")&amp;"  (suite au rachat du "&amp;TEXT(N121,"dd/mm/yyyy")&amp;")")))</f>
        <v/>
      </c>
      <c r="G121" s="269">
        <f>_xlfn.IFS(S121="aucune","Aucune pénalité de sortie."&amp;IF(T121&lt;&gt;""," ("&amp;T121&amp;")",""),S121="manuel","⚠️ À VÉRIFIER MANUELLEMENT : "&amp;T121,S121="inconnue","Pénalité non renseignée — vérifier la notice / DICI du fonds.",$C121="","Saisir une date d'investissement pour statuer sur la pénalité.",Q121="FUTUR","Date d'investissement postérieure à aujourd'hui — vérifier la saisie.",AD121&gt;0,"⚠️ CONCERNÉ : pénalité de "&amp;AD121&amp;"% (détention "&amp;Q121&amp;" mois). "&amp;T121,TRUE,"Non concerné (détention "&amp;Q121&amp;" mois). "&amp;T121)</f>
        <v/>
      </c>
      <c r="H121">
        <f>COUNTIFS(BDD_Calendrier!$A$2:$A$616,$B121,BDD_Calendrier!$C$2:$C$616,"Souscription")</f>
        <v/>
      </c>
      <c r="I121">
        <f>IF(H121=0,"",IFERROR(_xlfn.MINIFS(BDD_Calendrier!$D$2:$D$616,BDD_Calendrier!$A$2:$A$616,$B121,BDD_Calendrier!$C$2:$C$616,"Souscription",BDD_Calendrier!$D$2:$D$616,"&gt;="&amp;TODAY()),""))</f>
        <v/>
      </c>
      <c r="J121">
        <f>IF(I121="","",IFERROR(INDEX(BDD_Calendrier!$E$2:$E$616,MATCH($B121&amp;"|Souscription|"&amp;TEXT(I121,"yyyy-mm-dd"),BDD_Calendrier!$I$2:$I$616,0)),""))</f>
        <v/>
      </c>
      <c r="K121">
        <f>IF(H121=0,"",_xlfn.MAXIFS(BDD_Calendrier!$D$2:$D$616,BDD_Calendrier!$A$2:$A$616,$B121,BDD_Calendrier!$C$2:$C$616,"Souscription"))</f>
        <v/>
      </c>
      <c r="L121">
        <f>COUNTIFS(BDD_Calendrier!$A$2:$A$616,$B121,BDD_Calendrier!$C$2:$C$616,"Rachat")</f>
        <v/>
      </c>
      <c r="M121">
        <f>IF(L121=0,"",IFERROR(_xlfn.MINIFS(BDD_Calendrier!$D$2:$D$616,BDD_Calendrier!$A$2:$A$616,$B121,BDD_Calendrier!$C$2:$C$616,"Rachat",BDD_Calendrier!$D$2:$D$616,"&gt;="&amp;TODAY()),""))</f>
        <v/>
      </c>
      <c r="N121">
        <f>IF(M121="","",IFERROR(INDEX(BDD_Calendrier!$E$2:$E$616,MATCH($B121&amp;"|Rachat|"&amp;TEXT(M121,"yyyy-mm-dd"),BDD_Calendrier!$I$2:$I$616,0)),""))</f>
        <v/>
      </c>
      <c r="O121">
        <f>IF(M121="","",IFERROR(INDEX(BDD_Calendrier!$H$2:$H$616,MATCH($B121&amp;"|Rachat|"&amp;TEXT(M121,"yyyy-mm-dd"),BDD_Calendrier!$I$2:$I$616,0)),""))</f>
        <v/>
      </c>
      <c r="P121">
        <f>IF(L121=0,"",_xlfn.MAXIFS(BDD_Calendrier!$D$2:$D$616,BDD_Calendrier!$A$2:$A$616,$B121,BDD_Calendrier!$C$2:$C$616,"Rachat"))</f>
        <v/>
      </c>
      <c r="Q121">
        <f>IF($C121="","",IF($C121&gt;TODAY(),"FUTUR",DATEDIF($C121,TODAY(),"m")))</f>
        <v/>
      </c>
      <c r="R121">
        <f>COUNTIF(BDD_Penalites!$A$2:$A$130,$B121)</f>
        <v/>
      </c>
      <c r="S121">
        <f>IF(R121=0,"inconnue",INDEX(BDD_Penalites!$C$2:$C$130,MATCH($B121,BDD_Penalites!$A$2:$A$130,0)))</f>
        <v/>
      </c>
      <c r="T121">
        <f>IF(R121=0,"",INDEX(BDD_Penalites!$M$2:$M$130,MATCH($B121,BDD_Penalites!$A$2:$A$130,0)))</f>
        <v/>
      </c>
      <c r="U121">
        <f>IF(R121=0,0,INDEX(BDD_Penalites!$D$2:$D$130,MATCH($B121,BDD_Penalites!$A$2:$A$130,0)))</f>
        <v/>
      </c>
      <c r="V121">
        <f>IF(R121=0,0,INDEX(BDD_Penalites!$E$2:$E$130,MATCH($B121,BDD_Penalites!$A$2:$A$130,0)))</f>
        <v/>
      </c>
      <c r="W121">
        <f>IF(R121=0,0,INDEX(BDD_Penalites!$F$2:$F$130,MATCH($B121,BDD_Penalites!$A$2:$A$130,0)))</f>
        <v/>
      </c>
      <c r="X121">
        <f>IF(R121=0,0,INDEX(BDD_Penalites!$G$2:$G$130,MATCH($B121,BDD_Penalites!$A$2:$A$130,0)))</f>
        <v/>
      </c>
      <c r="Y121">
        <f>IF(R121=0,0,INDEX(BDD_Penalites!$H$2:$H$130,MATCH($B121,BDD_Penalites!$A$2:$A$130,0)))</f>
        <v/>
      </c>
      <c r="Z121">
        <f>IF(R121=0,0,INDEX(BDD_Penalites!$I$2:$I$130,MATCH($B121,BDD_Penalites!$A$2:$A$130,0)))</f>
        <v/>
      </c>
      <c r="AA121">
        <f>IF(R121=0,0,INDEX(BDD_Penalites!$J$2:$J$130,MATCH($B121,BDD_Penalites!$A$2:$A$130,0)))</f>
        <v/>
      </c>
      <c r="AB121">
        <f>IF(R121=0,0,INDEX(BDD_Penalites!$K$2:$K$130,MATCH($B121,BDD_Penalites!$A$2:$A$130,0)))</f>
        <v/>
      </c>
      <c r="AC121">
        <f>IF(R121=0,0,INDEX(BDD_Penalites!$L$2:$L$130,MATCH($B121,BDD_Penalites!$A$2:$A$130,0)))</f>
        <v/>
      </c>
      <c r="AD121">
        <f>IF(OR($C121="",Q121="FUTUR"),"",_xlfn.IFS(Q121&lt;U121,V121,Q121&lt;W121,X121,Q121&lt;Y121,Z121,Q121&lt;AA121,AB121,TRUE,AC121))</f>
        <v/>
      </c>
    </row>
    <row r="122" ht="14" customHeight="1">
      <c r="A122" s="78" t="inlineStr">
        <is>
          <t>JPMorgan Funds Europe Equity Absolute Alpha fund A</t>
        </is>
      </c>
      <c r="B122" s="79" t="inlineStr">
        <is>
          <t>LU1001747408</t>
        </is>
      </c>
      <c r="C122" s="268" t="n"/>
      <c r="D122" s="269">
        <f>IF(H122=0,"Calendrier non disponible pour ce fonds — contacter la société de gestion.",IF(I122="","Calendrier connu jusqu'au "&amp;TEXT(K122,"dd/mm/yyyy")&amp;" — demander le calendrier à jour.","Cut-off : "&amp;TEXT(I122,"dd/mm/yyyy")&amp;"  |  VL : "&amp;TEXT(J122,"dd/mm/yyyy")))</f>
        <v/>
      </c>
      <c r="E122" s="269">
        <f>IF(L122=0,"Calendrier non disponible pour ce fonds — contacter la société de gestion.",IF(M122="","Calendrier connu jusqu'au "&amp;TEXT(P122,"dd/mm/yyyy")&amp;" — demander le calendrier à jour.","Cut-off : "&amp;TEXT(M122,"dd/mm/yyyy")&amp;"  |  VL : "&amp;TEXT(N122,"dd/mm/yyyy")))</f>
        <v/>
      </c>
      <c r="F122" s="269">
        <f>IF(L122=0,"Calendrier non disponible pour ce fonds.",IF(M122="","Calendrier connu jusqu'au "&amp;TEXT(P122,"dd/mm/yyyy")&amp;".",IF(O122="","Non précisé dans le calendrier pour cette échéance.","Réception : "&amp;TEXT(O122,"dd/mm/yyyy")&amp;"  (suite au rachat du "&amp;TEXT(N122,"dd/mm/yyyy")&amp;")")))</f>
        <v/>
      </c>
      <c r="G122" s="269">
        <f>_xlfn.IFS(S122="aucune","Aucune pénalité de sortie."&amp;IF(T122&lt;&gt;""," ("&amp;T122&amp;")",""),S122="manuel","⚠️ À VÉRIFIER MANUELLEMENT : "&amp;T122,S122="inconnue","Pénalité non renseignée — vérifier la notice / DICI du fonds.",$C122="","Saisir une date d'investissement pour statuer sur la pénalité.",Q122="FUTUR","Date d'investissement postérieure à aujourd'hui — vérifier la saisie.",AD122&gt;0,"⚠️ CONCERNÉ : pénalité de "&amp;AD122&amp;"% (détention "&amp;Q122&amp;" mois). "&amp;T122,TRUE,"Non concerné (détention "&amp;Q122&amp;" mois). "&amp;T122)</f>
        <v/>
      </c>
      <c r="H122">
        <f>COUNTIFS(BDD_Calendrier!$A$2:$A$616,$B122,BDD_Calendrier!$C$2:$C$616,"Souscription")</f>
        <v/>
      </c>
      <c r="I122">
        <f>IF(H122=0,"",IFERROR(_xlfn.MINIFS(BDD_Calendrier!$D$2:$D$616,BDD_Calendrier!$A$2:$A$616,$B122,BDD_Calendrier!$C$2:$C$616,"Souscription",BDD_Calendrier!$D$2:$D$616,"&gt;="&amp;TODAY()),""))</f>
        <v/>
      </c>
      <c r="J122">
        <f>IF(I122="","",IFERROR(INDEX(BDD_Calendrier!$E$2:$E$616,MATCH($B122&amp;"|Souscription|"&amp;TEXT(I122,"yyyy-mm-dd"),BDD_Calendrier!$I$2:$I$616,0)),""))</f>
        <v/>
      </c>
      <c r="K122">
        <f>IF(H122=0,"",_xlfn.MAXIFS(BDD_Calendrier!$D$2:$D$616,BDD_Calendrier!$A$2:$A$616,$B122,BDD_Calendrier!$C$2:$C$616,"Souscription"))</f>
        <v/>
      </c>
      <c r="L122">
        <f>COUNTIFS(BDD_Calendrier!$A$2:$A$616,$B122,BDD_Calendrier!$C$2:$C$616,"Rachat")</f>
        <v/>
      </c>
      <c r="M122">
        <f>IF(L122=0,"",IFERROR(_xlfn.MINIFS(BDD_Calendrier!$D$2:$D$616,BDD_Calendrier!$A$2:$A$616,$B122,BDD_Calendrier!$C$2:$C$616,"Rachat",BDD_Calendrier!$D$2:$D$616,"&gt;="&amp;TODAY()),""))</f>
        <v/>
      </c>
      <c r="N122">
        <f>IF(M122="","",IFERROR(INDEX(BDD_Calendrier!$E$2:$E$616,MATCH($B122&amp;"|Rachat|"&amp;TEXT(M122,"yyyy-mm-dd"),BDD_Calendrier!$I$2:$I$616,0)),""))</f>
        <v/>
      </c>
      <c r="O122">
        <f>IF(M122="","",IFERROR(INDEX(BDD_Calendrier!$H$2:$H$616,MATCH($B122&amp;"|Rachat|"&amp;TEXT(M122,"yyyy-mm-dd"),BDD_Calendrier!$I$2:$I$616,0)),""))</f>
        <v/>
      </c>
      <c r="P122">
        <f>IF(L122=0,"",_xlfn.MAXIFS(BDD_Calendrier!$D$2:$D$616,BDD_Calendrier!$A$2:$A$616,$B122,BDD_Calendrier!$C$2:$C$616,"Rachat"))</f>
        <v/>
      </c>
      <c r="Q122">
        <f>IF($C122="","",IF($C122&gt;TODAY(),"FUTUR",DATEDIF($C122,TODAY(),"m")))</f>
        <v/>
      </c>
      <c r="R122">
        <f>COUNTIF(BDD_Penalites!$A$2:$A$130,$B122)</f>
        <v/>
      </c>
      <c r="S122">
        <f>IF(R122=0,"inconnue",INDEX(BDD_Penalites!$C$2:$C$130,MATCH($B122,BDD_Penalites!$A$2:$A$130,0)))</f>
        <v/>
      </c>
      <c r="T122">
        <f>IF(R122=0,"",INDEX(BDD_Penalites!$M$2:$M$130,MATCH($B122,BDD_Penalites!$A$2:$A$130,0)))</f>
        <v/>
      </c>
      <c r="U122">
        <f>IF(R122=0,0,INDEX(BDD_Penalites!$D$2:$D$130,MATCH($B122,BDD_Penalites!$A$2:$A$130,0)))</f>
        <v/>
      </c>
      <c r="V122">
        <f>IF(R122=0,0,INDEX(BDD_Penalites!$E$2:$E$130,MATCH($B122,BDD_Penalites!$A$2:$A$130,0)))</f>
        <v/>
      </c>
      <c r="W122">
        <f>IF(R122=0,0,INDEX(BDD_Penalites!$F$2:$F$130,MATCH($B122,BDD_Penalites!$A$2:$A$130,0)))</f>
        <v/>
      </c>
      <c r="X122">
        <f>IF(R122=0,0,INDEX(BDD_Penalites!$G$2:$G$130,MATCH($B122,BDD_Penalites!$A$2:$A$130,0)))</f>
        <v/>
      </c>
      <c r="Y122">
        <f>IF(R122=0,0,INDEX(BDD_Penalites!$H$2:$H$130,MATCH($B122,BDD_Penalites!$A$2:$A$130,0)))</f>
        <v/>
      </c>
      <c r="Z122">
        <f>IF(R122=0,0,INDEX(BDD_Penalites!$I$2:$I$130,MATCH($B122,BDD_Penalites!$A$2:$A$130,0)))</f>
        <v/>
      </c>
      <c r="AA122">
        <f>IF(R122=0,0,INDEX(BDD_Penalites!$J$2:$J$130,MATCH($B122,BDD_Penalites!$A$2:$A$130,0)))</f>
        <v/>
      </c>
      <c r="AB122">
        <f>IF(R122=0,0,INDEX(BDD_Penalites!$K$2:$K$130,MATCH($B122,BDD_Penalites!$A$2:$A$130,0)))</f>
        <v/>
      </c>
      <c r="AC122">
        <f>IF(R122=0,0,INDEX(BDD_Penalites!$L$2:$L$130,MATCH($B122,BDD_Penalites!$A$2:$A$130,0)))</f>
        <v/>
      </c>
      <c r="AD122">
        <f>IF(OR($C122="",Q122="FUTUR"),"",_xlfn.IFS(Q122&lt;U122,V122,Q122&lt;W122,X122,Q122&lt;Y122,Z122,Q122&lt;AA122,AB122,TRUE,AC122))</f>
        <v/>
      </c>
    </row>
    <row r="123" ht="14" customHeight="1">
      <c r="A123" s="65" t="n"/>
      <c r="B123" s="79" t="n"/>
    </row>
    <row r="124" ht="14" customHeight="1">
      <c r="A124" s="65" t="n"/>
      <c r="B124" s="79" t="n"/>
    </row>
    <row r="125" ht="14" customHeight="1">
      <c r="A125" s="65" t="n"/>
      <c r="B125" s="79" t="n"/>
    </row>
    <row r="126" ht="14" customHeight="1">
      <c r="A126" s="65" t="n"/>
      <c r="B126" s="79" t="n"/>
    </row>
    <row r="127" ht="14" customHeight="1">
      <c r="A127" s="65" t="n"/>
      <c r="B127" s="79" t="n"/>
    </row>
    <row r="128" ht="14" customHeight="1">
      <c r="A128" s="65" t="n"/>
      <c r="B128" s="79" t="n"/>
    </row>
    <row r="129" ht="14" customHeight="1">
      <c r="A129" s="65" t="n"/>
      <c r="B129" s="79" t="n"/>
    </row>
    <row r="130" ht="14" customHeight="1">
      <c r="A130" s="65" t="n"/>
      <c r="B130" s="79" t="n"/>
    </row>
    <row r="131" ht="14" customHeight="1">
      <c r="A131" s="65" t="n"/>
      <c r="B131" s="79" t="n"/>
    </row>
    <row r="132" ht="14" customHeight="1">
      <c r="A132" s="65" t="n"/>
      <c r="B132" s="79" t="n"/>
    </row>
    <row r="133" ht="14" customHeight="1">
      <c r="A133" s="65" t="n"/>
      <c r="B133" s="79" t="n"/>
    </row>
    <row r="134" ht="14" customHeight="1">
      <c r="A134" s="65" t="n"/>
      <c r="B134" s="79" t="n"/>
    </row>
    <row r="135" ht="14" customHeight="1">
      <c r="A135" s="65" t="n"/>
      <c r="B135" s="79" t="n"/>
    </row>
    <row r="136" ht="14" customHeight="1">
      <c r="A136" s="65" t="n"/>
      <c r="B136" s="79" t="n"/>
    </row>
    <row r="137" ht="14" customHeight="1">
      <c r="A137" s="65" t="n"/>
      <c r="B137" s="79" t="n"/>
    </row>
    <row r="138" ht="14" customHeight="1">
      <c r="A138" s="65" t="n"/>
      <c r="B138" s="79" t="n"/>
    </row>
    <row r="139" ht="14" customHeight="1">
      <c r="A139" s="235" t="inlineStr">
        <is>
          <t>Immobilier</t>
        </is>
      </c>
      <c r="B139" s="236" t="n"/>
      <c r="C139" s="235" t="n"/>
      <c r="D139" s="235" t="n"/>
      <c r="E139" s="235" t="n"/>
      <c r="F139" s="235" t="n"/>
      <c r="G139" s="235" t="n"/>
    </row>
    <row r="140" ht="13.5" customHeight="1">
      <c r="A140" s="65" t="inlineStr">
        <is>
          <t>BK OPCI A</t>
        </is>
      </c>
      <c r="B140" s="66" t="inlineStr">
        <is>
          <t>FR0013144094</t>
        </is>
      </c>
      <c r="C140" s="268" t="n"/>
      <c r="D140" s="269">
        <f>IF(H140=0,"Calendrier non disponible pour ce fonds — contacter la société de gestion.",IF(I140="","Calendrier connu jusqu'au "&amp;TEXT(K140,"dd/mm/yyyy")&amp;" — demander le calendrier à jour.","Cut-off : "&amp;TEXT(I140,"dd/mm/yyyy")&amp;"  |  VL : "&amp;TEXT(J140,"dd/mm/yyyy")))</f>
        <v/>
      </c>
      <c r="E140" s="269">
        <f>IF(L140=0,"Calendrier non disponible pour ce fonds — contacter la société de gestion.",IF(M140="","Calendrier connu jusqu'au "&amp;TEXT(P140,"dd/mm/yyyy")&amp;" — demander le calendrier à jour.","Cut-off : "&amp;TEXT(M140,"dd/mm/yyyy")&amp;"  |  VL : "&amp;TEXT(N140,"dd/mm/yyyy")))</f>
        <v/>
      </c>
      <c r="F140" s="269">
        <f>IF(L140=0,"Calendrier non disponible pour ce fonds.",IF(M140="","Calendrier connu jusqu'au "&amp;TEXT(P140,"dd/mm/yyyy")&amp;".",IF(O140="","Non précisé dans le calendrier pour cette échéance.","Réception : "&amp;TEXT(O140,"dd/mm/yyyy")&amp;"  (suite au rachat du "&amp;TEXT(N140,"dd/mm/yyyy")&amp;")")))</f>
        <v/>
      </c>
      <c r="G140" s="269">
        <f>_xlfn.IFS(S140="aucune","Aucune pénalité de sortie."&amp;IF(T140&lt;&gt;""," ("&amp;T140&amp;")",""),S140="manuel","⚠️ À VÉRIFIER MANUELLEMENT : "&amp;T140,S140="inconnue","Pénalité non renseignée — vérifier la notice / DICI du fonds.",$C140="","Saisir une date d'investissement pour statuer sur la pénalité.",Q140="FUTUR","Date d'investissement postérieure à aujourd'hui — vérifier la saisie.",AD140&gt;0,"⚠️ CONCERNÉ : pénalité de "&amp;AD140&amp;"% (détention "&amp;Q140&amp;" mois). "&amp;T140,TRUE,"Non concerné (détention "&amp;Q140&amp;" mois). "&amp;T140)</f>
        <v/>
      </c>
      <c r="H140">
        <f>COUNTIFS(BDD_Calendrier!$A$2:$A$616,$B140,BDD_Calendrier!$C$2:$C$616,"Souscription")</f>
        <v/>
      </c>
      <c r="I140">
        <f>IF(H140=0,"",IFERROR(_xlfn.MINIFS(BDD_Calendrier!$D$2:$D$616,BDD_Calendrier!$A$2:$A$616,$B140,BDD_Calendrier!$C$2:$C$616,"Souscription",BDD_Calendrier!$D$2:$D$616,"&gt;="&amp;TODAY()),""))</f>
        <v/>
      </c>
      <c r="J140">
        <f>IF(I140="","",IFERROR(INDEX(BDD_Calendrier!$E$2:$E$616,MATCH($B140&amp;"|Souscription|"&amp;TEXT(I140,"yyyy-mm-dd"),BDD_Calendrier!$I$2:$I$616,0)),""))</f>
        <v/>
      </c>
      <c r="K140">
        <f>IF(H140=0,"",_xlfn.MAXIFS(BDD_Calendrier!$D$2:$D$616,BDD_Calendrier!$A$2:$A$616,$B140,BDD_Calendrier!$C$2:$C$616,"Souscription"))</f>
        <v/>
      </c>
      <c r="L140">
        <f>COUNTIFS(BDD_Calendrier!$A$2:$A$616,$B140,BDD_Calendrier!$C$2:$C$616,"Rachat")</f>
        <v/>
      </c>
      <c r="M140">
        <f>IF(L140=0,"",IFERROR(_xlfn.MINIFS(BDD_Calendrier!$D$2:$D$616,BDD_Calendrier!$A$2:$A$616,$B140,BDD_Calendrier!$C$2:$C$616,"Rachat",BDD_Calendrier!$D$2:$D$616,"&gt;="&amp;TODAY()),""))</f>
        <v/>
      </c>
      <c r="N140">
        <f>IF(M140="","",IFERROR(INDEX(BDD_Calendrier!$E$2:$E$616,MATCH($B140&amp;"|Rachat|"&amp;TEXT(M140,"yyyy-mm-dd"),BDD_Calendrier!$I$2:$I$616,0)),""))</f>
        <v/>
      </c>
      <c r="O140">
        <f>IF(M140="","",IFERROR(INDEX(BDD_Calendrier!$H$2:$H$616,MATCH($B140&amp;"|Rachat|"&amp;TEXT(M140,"yyyy-mm-dd"),BDD_Calendrier!$I$2:$I$616,0)),""))</f>
        <v/>
      </c>
      <c r="P140">
        <f>IF(L140=0,"",_xlfn.MAXIFS(BDD_Calendrier!$D$2:$D$616,BDD_Calendrier!$A$2:$A$616,$B140,BDD_Calendrier!$C$2:$C$616,"Rachat"))</f>
        <v/>
      </c>
      <c r="Q140">
        <f>IF($C140="","",IF($C140&gt;TODAY(),"FUTUR",DATEDIF($C140,TODAY(),"m")))</f>
        <v/>
      </c>
      <c r="R140">
        <f>COUNTIF(BDD_Penalites!$A$2:$A$130,$B140)</f>
        <v/>
      </c>
      <c r="S140">
        <f>IF(R140=0,"inconnue",INDEX(BDD_Penalites!$C$2:$C$130,MATCH($B140,BDD_Penalites!$A$2:$A$130,0)))</f>
        <v/>
      </c>
      <c r="T140">
        <f>IF(R140=0,"",INDEX(BDD_Penalites!$M$2:$M$130,MATCH($B140,BDD_Penalites!$A$2:$A$130,0)))</f>
        <v/>
      </c>
      <c r="U140">
        <f>IF(R140=0,0,INDEX(BDD_Penalites!$D$2:$D$130,MATCH($B140,BDD_Penalites!$A$2:$A$130,0)))</f>
        <v/>
      </c>
      <c r="V140">
        <f>IF(R140=0,0,INDEX(BDD_Penalites!$E$2:$E$130,MATCH($B140,BDD_Penalites!$A$2:$A$130,0)))</f>
        <v/>
      </c>
      <c r="W140">
        <f>IF(R140=0,0,INDEX(BDD_Penalites!$F$2:$F$130,MATCH($B140,BDD_Penalites!$A$2:$A$130,0)))</f>
        <v/>
      </c>
      <c r="X140">
        <f>IF(R140=0,0,INDEX(BDD_Penalites!$G$2:$G$130,MATCH($B140,BDD_Penalites!$A$2:$A$130,0)))</f>
        <v/>
      </c>
      <c r="Y140">
        <f>IF(R140=0,0,INDEX(BDD_Penalites!$H$2:$H$130,MATCH($B140,BDD_Penalites!$A$2:$A$130,0)))</f>
        <v/>
      </c>
      <c r="Z140">
        <f>IF(R140=0,0,INDEX(BDD_Penalites!$I$2:$I$130,MATCH($B140,BDD_Penalites!$A$2:$A$130,0)))</f>
        <v/>
      </c>
      <c r="AA140">
        <f>IF(R140=0,0,INDEX(BDD_Penalites!$J$2:$J$130,MATCH($B140,BDD_Penalites!$A$2:$A$130,0)))</f>
        <v/>
      </c>
      <c r="AB140">
        <f>IF(R140=0,0,INDEX(BDD_Penalites!$K$2:$K$130,MATCH($B140,BDD_Penalites!$A$2:$A$130,0)))</f>
        <v/>
      </c>
      <c r="AC140">
        <f>IF(R140=0,0,INDEX(BDD_Penalites!$L$2:$L$130,MATCH($B140,BDD_Penalites!$A$2:$A$130,0)))</f>
        <v/>
      </c>
      <c r="AD140">
        <f>IF(OR($C140="",Q140="FUTUR"),"",_xlfn.IFS(Q140&lt;U140,V140,Q140&lt;W140,X140,Q140&lt;Y140,Z140,Q140&lt;AA140,AB140,TRUE,AC140))</f>
        <v/>
      </c>
    </row>
    <row r="141" ht="13.5" customHeight="1">
      <c r="A141" s="65" t="inlineStr">
        <is>
          <t>BK OPCI B</t>
        </is>
      </c>
      <c r="B141" s="66" t="inlineStr">
        <is>
          <t>FR0013182664</t>
        </is>
      </c>
      <c r="C141" s="268" t="n"/>
      <c r="D141" s="269">
        <f>IF(H141=0,"Calendrier non disponible pour ce fonds — contacter la société de gestion.",IF(I141="","Calendrier connu jusqu'au "&amp;TEXT(K141,"dd/mm/yyyy")&amp;" — demander le calendrier à jour.","Cut-off : "&amp;TEXT(I141,"dd/mm/yyyy")&amp;"  |  VL : "&amp;TEXT(J141,"dd/mm/yyyy")))</f>
        <v/>
      </c>
      <c r="E141" s="269">
        <f>IF(L141=0,"Calendrier non disponible pour ce fonds — contacter la société de gestion.",IF(M141="","Calendrier connu jusqu'au "&amp;TEXT(P141,"dd/mm/yyyy")&amp;" — demander le calendrier à jour.","Cut-off : "&amp;TEXT(M141,"dd/mm/yyyy")&amp;"  |  VL : "&amp;TEXT(N141,"dd/mm/yyyy")))</f>
        <v/>
      </c>
      <c r="F141" s="269">
        <f>IF(L141=0,"Calendrier non disponible pour ce fonds.",IF(M141="","Calendrier connu jusqu'au "&amp;TEXT(P141,"dd/mm/yyyy")&amp;".",IF(O141="","Non précisé dans le calendrier pour cette échéance.","Réception : "&amp;TEXT(O141,"dd/mm/yyyy")&amp;"  (suite au rachat du "&amp;TEXT(N141,"dd/mm/yyyy")&amp;")")))</f>
        <v/>
      </c>
      <c r="G141" s="269">
        <f>_xlfn.IFS(S141="aucune","Aucune pénalité de sortie."&amp;IF(T141&lt;&gt;""," ("&amp;T141&amp;")",""),S141="manuel","⚠️ À VÉRIFIER MANUELLEMENT : "&amp;T141,S141="inconnue","Pénalité non renseignée — vérifier la notice / DICI du fonds.",$C141="","Saisir une date d'investissement pour statuer sur la pénalité.",Q141="FUTUR","Date d'investissement postérieure à aujourd'hui — vérifier la saisie.",AD141&gt;0,"⚠️ CONCERNÉ : pénalité de "&amp;AD141&amp;"% (détention "&amp;Q141&amp;" mois). "&amp;T141,TRUE,"Non concerné (détention "&amp;Q141&amp;" mois). "&amp;T141)</f>
        <v/>
      </c>
      <c r="H141">
        <f>COUNTIFS(BDD_Calendrier!$A$2:$A$616,$B141,BDD_Calendrier!$C$2:$C$616,"Souscription")</f>
        <v/>
      </c>
      <c r="I141">
        <f>IF(H141=0,"",IFERROR(_xlfn.MINIFS(BDD_Calendrier!$D$2:$D$616,BDD_Calendrier!$A$2:$A$616,$B141,BDD_Calendrier!$C$2:$C$616,"Souscription",BDD_Calendrier!$D$2:$D$616,"&gt;="&amp;TODAY()),""))</f>
        <v/>
      </c>
      <c r="J141">
        <f>IF(I141="","",IFERROR(INDEX(BDD_Calendrier!$E$2:$E$616,MATCH($B141&amp;"|Souscription|"&amp;TEXT(I141,"yyyy-mm-dd"),BDD_Calendrier!$I$2:$I$616,0)),""))</f>
        <v/>
      </c>
      <c r="K141">
        <f>IF(H141=0,"",_xlfn.MAXIFS(BDD_Calendrier!$D$2:$D$616,BDD_Calendrier!$A$2:$A$616,$B141,BDD_Calendrier!$C$2:$C$616,"Souscription"))</f>
        <v/>
      </c>
      <c r="L141">
        <f>COUNTIFS(BDD_Calendrier!$A$2:$A$616,$B141,BDD_Calendrier!$C$2:$C$616,"Rachat")</f>
        <v/>
      </c>
      <c r="M141">
        <f>IF(L141=0,"",IFERROR(_xlfn.MINIFS(BDD_Calendrier!$D$2:$D$616,BDD_Calendrier!$A$2:$A$616,$B141,BDD_Calendrier!$C$2:$C$616,"Rachat",BDD_Calendrier!$D$2:$D$616,"&gt;="&amp;TODAY()),""))</f>
        <v/>
      </c>
      <c r="N141">
        <f>IF(M141="","",IFERROR(INDEX(BDD_Calendrier!$E$2:$E$616,MATCH($B141&amp;"|Rachat|"&amp;TEXT(M141,"yyyy-mm-dd"),BDD_Calendrier!$I$2:$I$616,0)),""))</f>
        <v/>
      </c>
      <c r="O141">
        <f>IF(M141="","",IFERROR(INDEX(BDD_Calendrier!$H$2:$H$616,MATCH($B141&amp;"|Rachat|"&amp;TEXT(M141,"yyyy-mm-dd"),BDD_Calendrier!$I$2:$I$616,0)),""))</f>
        <v/>
      </c>
      <c r="P141">
        <f>IF(L141=0,"",_xlfn.MAXIFS(BDD_Calendrier!$D$2:$D$616,BDD_Calendrier!$A$2:$A$616,$B141,BDD_Calendrier!$C$2:$C$616,"Rachat"))</f>
        <v/>
      </c>
      <c r="Q141">
        <f>IF($C141="","",IF($C141&gt;TODAY(),"FUTUR",DATEDIF($C141,TODAY(),"m")))</f>
        <v/>
      </c>
      <c r="R141">
        <f>COUNTIF(BDD_Penalites!$A$2:$A$130,$B141)</f>
        <v/>
      </c>
      <c r="S141">
        <f>IF(R141=0,"inconnue",INDEX(BDD_Penalites!$C$2:$C$130,MATCH($B141,BDD_Penalites!$A$2:$A$130,0)))</f>
        <v/>
      </c>
      <c r="T141">
        <f>IF(R141=0,"",INDEX(BDD_Penalites!$M$2:$M$130,MATCH($B141,BDD_Penalites!$A$2:$A$130,0)))</f>
        <v/>
      </c>
      <c r="U141">
        <f>IF(R141=0,0,INDEX(BDD_Penalites!$D$2:$D$130,MATCH($B141,BDD_Penalites!$A$2:$A$130,0)))</f>
        <v/>
      </c>
      <c r="V141">
        <f>IF(R141=0,0,INDEX(BDD_Penalites!$E$2:$E$130,MATCH($B141,BDD_Penalites!$A$2:$A$130,0)))</f>
        <v/>
      </c>
      <c r="W141">
        <f>IF(R141=0,0,INDEX(BDD_Penalites!$F$2:$F$130,MATCH($B141,BDD_Penalites!$A$2:$A$130,0)))</f>
        <v/>
      </c>
      <c r="X141">
        <f>IF(R141=0,0,INDEX(BDD_Penalites!$G$2:$G$130,MATCH($B141,BDD_Penalites!$A$2:$A$130,0)))</f>
        <v/>
      </c>
      <c r="Y141">
        <f>IF(R141=0,0,INDEX(BDD_Penalites!$H$2:$H$130,MATCH($B141,BDD_Penalites!$A$2:$A$130,0)))</f>
        <v/>
      </c>
      <c r="Z141">
        <f>IF(R141=0,0,INDEX(BDD_Penalites!$I$2:$I$130,MATCH($B141,BDD_Penalites!$A$2:$A$130,0)))</f>
        <v/>
      </c>
      <c r="AA141">
        <f>IF(R141=0,0,INDEX(BDD_Penalites!$J$2:$J$130,MATCH($B141,BDD_Penalites!$A$2:$A$130,0)))</f>
        <v/>
      </c>
      <c r="AB141">
        <f>IF(R141=0,0,INDEX(BDD_Penalites!$K$2:$K$130,MATCH($B141,BDD_Penalites!$A$2:$A$130,0)))</f>
        <v/>
      </c>
      <c r="AC141">
        <f>IF(R141=0,0,INDEX(BDD_Penalites!$L$2:$L$130,MATCH($B141,BDD_Penalites!$A$2:$A$130,0)))</f>
        <v/>
      </c>
      <c r="AD141">
        <f>IF(OR($C141="",Q141="FUTUR"),"",_xlfn.IFS(Q141&lt;U141,V141,Q141&lt;W141,X141,Q141&lt;Y141,Z141,Q141&lt;AA141,AB141,TRUE,AC141))</f>
        <v/>
      </c>
    </row>
    <row r="142" ht="13.5" customHeight="1">
      <c r="A142" s="65" t="inlineStr">
        <is>
          <t>FIC PPG Retail</t>
        </is>
      </c>
      <c r="B142" s="66" t="inlineStr">
        <is>
          <t>ALZ013324662</t>
        </is>
      </c>
      <c r="C142" s="268" t="n"/>
      <c r="D142" s="269">
        <f>IF(H142=0,"Calendrier non disponible pour ce fonds — contacter la société de gestion.",IF(I142="","Calendrier connu jusqu'au "&amp;TEXT(K142,"dd/mm/yyyy")&amp;" — demander le calendrier à jour.","Cut-off : "&amp;TEXT(I142,"dd/mm/yyyy")&amp;"  |  VL : "&amp;TEXT(J142,"dd/mm/yyyy")))</f>
        <v/>
      </c>
      <c r="E142" s="269">
        <f>IF(L142=0,"Calendrier non disponible pour ce fonds — contacter la société de gestion.",IF(M142="","Calendrier connu jusqu'au "&amp;TEXT(P142,"dd/mm/yyyy")&amp;" — demander le calendrier à jour.","Cut-off : "&amp;TEXT(M142,"dd/mm/yyyy")&amp;"  |  VL : "&amp;TEXT(N142,"dd/mm/yyyy")))</f>
        <v/>
      </c>
      <c r="F142" s="269">
        <f>IF(L142=0,"Calendrier non disponible pour ce fonds.",IF(M142="","Calendrier connu jusqu'au "&amp;TEXT(P142,"dd/mm/yyyy")&amp;".",IF(O142="","Non précisé dans le calendrier pour cette échéance.","Réception : "&amp;TEXT(O142,"dd/mm/yyyy")&amp;"  (suite au rachat du "&amp;TEXT(N142,"dd/mm/yyyy")&amp;")")))</f>
        <v/>
      </c>
      <c r="G142" s="269">
        <f>_xlfn.IFS(S142="aucune","Aucune pénalité de sortie."&amp;IF(T142&lt;&gt;""," ("&amp;T142&amp;")",""),S142="manuel","⚠️ À VÉRIFIER MANUELLEMENT : "&amp;T142,S142="inconnue","Pénalité non renseignée — vérifier la notice / DICI du fonds.",$C142="","Saisir une date d'investissement pour statuer sur la pénalité.",Q142="FUTUR","Date d'investissement postérieure à aujourd'hui — vérifier la saisie.",AD142&gt;0,"⚠️ CONCERNÉ : pénalité de "&amp;AD142&amp;"% (détention "&amp;Q142&amp;" mois). "&amp;T142,TRUE,"Non concerné (détention "&amp;Q142&amp;" mois). "&amp;T142)</f>
        <v/>
      </c>
      <c r="H142">
        <f>COUNTIFS(BDD_Calendrier!$A$2:$A$616,$B142,BDD_Calendrier!$C$2:$C$616,"Souscription")</f>
        <v/>
      </c>
      <c r="I142">
        <f>IF(H142=0,"",IFERROR(_xlfn.MINIFS(BDD_Calendrier!$D$2:$D$616,BDD_Calendrier!$A$2:$A$616,$B142,BDD_Calendrier!$C$2:$C$616,"Souscription",BDD_Calendrier!$D$2:$D$616,"&gt;="&amp;TODAY()),""))</f>
        <v/>
      </c>
      <c r="J142">
        <f>IF(I142="","",IFERROR(INDEX(BDD_Calendrier!$E$2:$E$616,MATCH($B142&amp;"|Souscription|"&amp;TEXT(I142,"yyyy-mm-dd"),BDD_Calendrier!$I$2:$I$616,0)),""))</f>
        <v/>
      </c>
      <c r="K142">
        <f>IF(H142=0,"",_xlfn.MAXIFS(BDD_Calendrier!$D$2:$D$616,BDD_Calendrier!$A$2:$A$616,$B142,BDD_Calendrier!$C$2:$C$616,"Souscription"))</f>
        <v/>
      </c>
      <c r="L142">
        <f>COUNTIFS(BDD_Calendrier!$A$2:$A$616,$B142,BDD_Calendrier!$C$2:$C$616,"Rachat")</f>
        <v/>
      </c>
      <c r="M142">
        <f>IF(L142=0,"",IFERROR(_xlfn.MINIFS(BDD_Calendrier!$D$2:$D$616,BDD_Calendrier!$A$2:$A$616,$B142,BDD_Calendrier!$C$2:$C$616,"Rachat",BDD_Calendrier!$D$2:$D$616,"&gt;="&amp;TODAY()),""))</f>
        <v/>
      </c>
      <c r="N142">
        <f>IF(M142="","",IFERROR(INDEX(BDD_Calendrier!$E$2:$E$616,MATCH($B142&amp;"|Rachat|"&amp;TEXT(M142,"yyyy-mm-dd"),BDD_Calendrier!$I$2:$I$616,0)),""))</f>
        <v/>
      </c>
      <c r="O142">
        <f>IF(M142="","",IFERROR(INDEX(BDD_Calendrier!$H$2:$H$616,MATCH($B142&amp;"|Rachat|"&amp;TEXT(M142,"yyyy-mm-dd"),BDD_Calendrier!$I$2:$I$616,0)),""))</f>
        <v/>
      </c>
      <c r="P142">
        <f>IF(L142=0,"",_xlfn.MAXIFS(BDD_Calendrier!$D$2:$D$616,BDD_Calendrier!$A$2:$A$616,$B142,BDD_Calendrier!$C$2:$C$616,"Rachat"))</f>
        <v/>
      </c>
      <c r="Q142">
        <f>IF($C142="","",IF($C142&gt;TODAY(),"FUTUR",DATEDIF($C142,TODAY(),"m")))</f>
        <v/>
      </c>
      <c r="R142">
        <f>COUNTIF(BDD_Penalites!$A$2:$A$130,$B142)</f>
        <v/>
      </c>
      <c r="S142">
        <f>IF(R142=0,"inconnue",INDEX(BDD_Penalites!$C$2:$C$130,MATCH($B142,BDD_Penalites!$A$2:$A$130,0)))</f>
        <v/>
      </c>
      <c r="T142">
        <f>IF(R142=0,"",INDEX(BDD_Penalites!$M$2:$M$130,MATCH($B142,BDD_Penalites!$A$2:$A$130,0)))</f>
        <v/>
      </c>
      <c r="U142">
        <f>IF(R142=0,0,INDEX(BDD_Penalites!$D$2:$D$130,MATCH($B142,BDD_Penalites!$A$2:$A$130,0)))</f>
        <v/>
      </c>
      <c r="V142">
        <f>IF(R142=0,0,INDEX(BDD_Penalites!$E$2:$E$130,MATCH($B142,BDD_Penalites!$A$2:$A$130,0)))</f>
        <v/>
      </c>
      <c r="W142">
        <f>IF(R142=0,0,INDEX(BDD_Penalites!$F$2:$F$130,MATCH($B142,BDD_Penalites!$A$2:$A$130,0)))</f>
        <v/>
      </c>
      <c r="X142">
        <f>IF(R142=0,0,INDEX(BDD_Penalites!$G$2:$G$130,MATCH($B142,BDD_Penalites!$A$2:$A$130,0)))</f>
        <v/>
      </c>
      <c r="Y142">
        <f>IF(R142=0,0,INDEX(BDD_Penalites!$H$2:$H$130,MATCH($B142,BDD_Penalites!$A$2:$A$130,0)))</f>
        <v/>
      </c>
      <c r="Z142">
        <f>IF(R142=0,0,INDEX(BDD_Penalites!$I$2:$I$130,MATCH($B142,BDD_Penalites!$A$2:$A$130,0)))</f>
        <v/>
      </c>
      <c r="AA142">
        <f>IF(R142=0,0,INDEX(BDD_Penalites!$J$2:$J$130,MATCH($B142,BDD_Penalites!$A$2:$A$130,0)))</f>
        <v/>
      </c>
      <c r="AB142">
        <f>IF(R142=0,0,INDEX(BDD_Penalites!$K$2:$K$130,MATCH($B142,BDD_Penalites!$A$2:$A$130,0)))</f>
        <v/>
      </c>
      <c r="AC142">
        <f>IF(R142=0,0,INDEX(BDD_Penalites!$L$2:$L$130,MATCH($B142,BDD_Penalites!$A$2:$A$130,0)))</f>
        <v/>
      </c>
      <c r="AD142">
        <f>IF(OR($C142="",Q142="FUTUR"),"",_xlfn.IFS(Q142&lt;U142,V142,Q142&lt;W142,X142,Q142&lt;Y142,Z142,Q142&lt;AA142,AB142,TRUE,AC142))</f>
        <v/>
      </c>
    </row>
    <row r="143" ht="13.5" customHeight="1">
      <c r="A143" s="65" t="inlineStr">
        <is>
          <t>OPPCI PPG Retail A</t>
        </is>
      </c>
      <c r="B143" s="66" t="inlineStr">
        <is>
          <t>FR0013324662</t>
        </is>
      </c>
      <c r="C143" s="268" t="n"/>
      <c r="D143" s="269">
        <f>IF(H143=0,"Calendrier non disponible pour ce fonds — contacter la société de gestion.",IF(I143="","Calendrier connu jusqu'au "&amp;TEXT(K143,"dd/mm/yyyy")&amp;" — demander le calendrier à jour.","Cut-off : "&amp;TEXT(I143,"dd/mm/yyyy")&amp;"  |  VL : "&amp;TEXT(J143,"dd/mm/yyyy")))</f>
        <v/>
      </c>
      <c r="E143" s="269">
        <f>IF(L143=0,"Calendrier non disponible pour ce fonds — contacter la société de gestion.",IF(M143="","Calendrier connu jusqu'au "&amp;TEXT(P143,"dd/mm/yyyy")&amp;" — demander le calendrier à jour.","Cut-off : "&amp;TEXT(M143,"dd/mm/yyyy")&amp;"  |  VL : "&amp;TEXT(N143,"dd/mm/yyyy")))</f>
        <v/>
      </c>
      <c r="F143" s="269">
        <f>IF(L143=0,"Calendrier non disponible pour ce fonds.",IF(M143="","Calendrier connu jusqu'au "&amp;TEXT(P143,"dd/mm/yyyy")&amp;".",IF(O143="","Non précisé dans le calendrier pour cette échéance.","Réception : "&amp;TEXT(O143,"dd/mm/yyyy")&amp;"  (suite au rachat du "&amp;TEXT(N143,"dd/mm/yyyy")&amp;")")))</f>
        <v/>
      </c>
      <c r="G143" s="269">
        <f>_xlfn.IFS(S143="aucune","Aucune pénalité de sortie."&amp;IF(T143&lt;&gt;""," ("&amp;T143&amp;")",""),S143="manuel","⚠️ À VÉRIFIER MANUELLEMENT : "&amp;T143,S143="inconnue","Pénalité non renseignée — vérifier la notice / DICI du fonds.",$C143="","Saisir une date d'investissement pour statuer sur la pénalité.",Q143="FUTUR","Date d'investissement postérieure à aujourd'hui — vérifier la saisie.",AD143&gt;0,"⚠️ CONCERNÉ : pénalité de "&amp;AD143&amp;"% (détention "&amp;Q143&amp;" mois). "&amp;T143,TRUE,"Non concerné (détention "&amp;Q143&amp;" mois). "&amp;T143)</f>
        <v/>
      </c>
      <c r="H143">
        <f>COUNTIFS(BDD_Calendrier!$A$2:$A$616,$B143,BDD_Calendrier!$C$2:$C$616,"Souscription")</f>
        <v/>
      </c>
      <c r="I143">
        <f>IF(H143=0,"",IFERROR(_xlfn.MINIFS(BDD_Calendrier!$D$2:$D$616,BDD_Calendrier!$A$2:$A$616,$B143,BDD_Calendrier!$C$2:$C$616,"Souscription",BDD_Calendrier!$D$2:$D$616,"&gt;="&amp;TODAY()),""))</f>
        <v/>
      </c>
      <c r="J143">
        <f>IF(I143="","",IFERROR(INDEX(BDD_Calendrier!$E$2:$E$616,MATCH($B143&amp;"|Souscription|"&amp;TEXT(I143,"yyyy-mm-dd"),BDD_Calendrier!$I$2:$I$616,0)),""))</f>
        <v/>
      </c>
      <c r="K143">
        <f>IF(H143=0,"",_xlfn.MAXIFS(BDD_Calendrier!$D$2:$D$616,BDD_Calendrier!$A$2:$A$616,$B143,BDD_Calendrier!$C$2:$C$616,"Souscription"))</f>
        <v/>
      </c>
      <c r="L143">
        <f>COUNTIFS(BDD_Calendrier!$A$2:$A$616,$B143,BDD_Calendrier!$C$2:$C$616,"Rachat")</f>
        <v/>
      </c>
      <c r="M143">
        <f>IF(L143=0,"",IFERROR(_xlfn.MINIFS(BDD_Calendrier!$D$2:$D$616,BDD_Calendrier!$A$2:$A$616,$B143,BDD_Calendrier!$C$2:$C$616,"Rachat",BDD_Calendrier!$D$2:$D$616,"&gt;="&amp;TODAY()),""))</f>
        <v/>
      </c>
      <c r="N143">
        <f>IF(M143="","",IFERROR(INDEX(BDD_Calendrier!$E$2:$E$616,MATCH($B143&amp;"|Rachat|"&amp;TEXT(M143,"yyyy-mm-dd"),BDD_Calendrier!$I$2:$I$616,0)),""))</f>
        <v/>
      </c>
      <c r="O143">
        <f>IF(M143="","",IFERROR(INDEX(BDD_Calendrier!$H$2:$H$616,MATCH($B143&amp;"|Rachat|"&amp;TEXT(M143,"yyyy-mm-dd"),BDD_Calendrier!$I$2:$I$616,0)),""))</f>
        <v/>
      </c>
      <c r="P143">
        <f>IF(L143=0,"",_xlfn.MAXIFS(BDD_Calendrier!$D$2:$D$616,BDD_Calendrier!$A$2:$A$616,$B143,BDD_Calendrier!$C$2:$C$616,"Rachat"))</f>
        <v/>
      </c>
      <c r="Q143">
        <f>IF($C143="","",IF($C143&gt;TODAY(),"FUTUR",DATEDIF($C143,TODAY(),"m")))</f>
        <v/>
      </c>
      <c r="R143">
        <f>COUNTIF(BDD_Penalites!$A$2:$A$130,$B143)</f>
        <v/>
      </c>
      <c r="S143">
        <f>IF(R143=0,"inconnue",INDEX(BDD_Penalites!$C$2:$C$130,MATCH($B143,BDD_Penalites!$A$2:$A$130,0)))</f>
        <v/>
      </c>
      <c r="T143">
        <f>IF(R143=0,"",INDEX(BDD_Penalites!$M$2:$M$130,MATCH($B143,BDD_Penalites!$A$2:$A$130,0)))</f>
        <v/>
      </c>
      <c r="U143">
        <f>IF(R143=0,0,INDEX(BDD_Penalites!$D$2:$D$130,MATCH($B143,BDD_Penalites!$A$2:$A$130,0)))</f>
        <v/>
      </c>
      <c r="V143">
        <f>IF(R143=0,0,INDEX(BDD_Penalites!$E$2:$E$130,MATCH($B143,BDD_Penalites!$A$2:$A$130,0)))</f>
        <v/>
      </c>
      <c r="W143">
        <f>IF(R143=0,0,INDEX(BDD_Penalites!$F$2:$F$130,MATCH($B143,BDD_Penalites!$A$2:$A$130,0)))</f>
        <v/>
      </c>
      <c r="X143">
        <f>IF(R143=0,0,INDEX(BDD_Penalites!$G$2:$G$130,MATCH($B143,BDD_Penalites!$A$2:$A$130,0)))</f>
        <v/>
      </c>
      <c r="Y143">
        <f>IF(R143=0,0,INDEX(BDD_Penalites!$H$2:$H$130,MATCH($B143,BDD_Penalites!$A$2:$A$130,0)))</f>
        <v/>
      </c>
      <c r="Z143">
        <f>IF(R143=0,0,INDEX(BDD_Penalites!$I$2:$I$130,MATCH($B143,BDD_Penalites!$A$2:$A$130,0)))</f>
        <v/>
      </c>
      <c r="AA143">
        <f>IF(R143=0,0,INDEX(BDD_Penalites!$J$2:$J$130,MATCH($B143,BDD_Penalites!$A$2:$A$130,0)))</f>
        <v/>
      </c>
      <c r="AB143">
        <f>IF(R143=0,0,INDEX(BDD_Penalites!$K$2:$K$130,MATCH($B143,BDD_Penalites!$A$2:$A$130,0)))</f>
        <v/>
      </c>
      <c r="AC143">
        <f>IF(R143=0,0,INDEX(BDD_Penalites!$L$2:$L$130,MATCH($B143,BDD_Penalites!$A$2:$A$130,0)))</f>
        <v/>
      </c>
      <c r="AD143">
        <f>IF(OR($C143="",Q143="FUTUR"),"",_xlfn.IFS(Q143&lt;U143,V143,Q143&lt;W143,X143,Q143&lt;Y143,Z143,Q143&lt;AA143,AB143,TRUE,AC143))</f>
        <v/>
      </c>
    </row>
    <row r="144" ht="13.5" customHeight="1">
      <c r="A144" s="65" t="inlineStr">
        <is>
          <t>OPPCI PPG Retail B</t>
        </is>
      </c>
      <c r="B144" s="66" t="inlineStr">
        <is>
          <t>FR0013324670</t>
        </is>
      </c>
      <c r="C144" s="268" t="n"/>
      <c r="D144" s="269">
        <f>IF(H144=0,"Calendrier non disponible pour ce fonds — contacter la société de gestion.",IF(I144="","Calendrier connu jusqu'au "&amp;TEXT(K144,"dd/mm/yyyy")&amp;" — demander le calendrier à jour.","Cut-off : "&amp;TEXT(I144,"dd/mm/yyyy")&amp;"  |  VL : "&amp;TEXT(J144,"dd/mm/yyyy")))</f>
        <v/>
      </c>
      <c r="E144" s="269">
        <f>IF(L144=0,"Calendrier non disponible pour ce fonds — contacter la société de gestion.",IF(M144="","Calendrier connu jusqu'au "&amp;TEXT(P144,"dd/mm/yyyy")&amp;" — demander le calendrier à jour.","Cut-off : "&amp;TEXT(M144,"dd/mm/yyyy")&amp;"  |  VL : "&amp;TEXT(N144,"dd/mm/yyyy")))</f>
        <v/>
      </c>
      <c r="F144" s="269">
        <f>IF(L144=0,"Calendrier non disponible pour ce fonds.",IF(M144="","Calendrier connu jusqu'au "&amp;TEXT(P144,"dd/mm/yyyy")&amp;".",IF(O144="","Non précisé dans le calendrier pour cette échéance.","Réception : "&amp;TEXT(O144,"dd/mm/yyyy")&amp;"  (suite au rachat du "&amp;TEXT(N144,"dd/mm/yyyy")&amp;")")))</f>
        <v/>
      </c>
      <c r="G144" s="269">
        <f>_xlfn.IFS(S144="aucune","Aucune pénalité de sortie."&amp;IF(T144&lt;&gt;""," ("&amp;T144&amp;")",""),S144="manuel","⚠️ À VÉRIFIER MANUELLEMENT : "&amp;T144,S144="inconnue","Pénalité non renseignée — vérifier la notice / DICI du fonds.",$C144="","Saisir une date d'investissement pour statuer sur la pénalité.",Q144="FUTUR","Date d'investissement postérieure à aujourd'hui — vérifier la saisie.",AD144&gt;0,"⚠️ CONCERNÉ : pénalité de "&amp;AD144&amp;"% (détention "&amp;Q144&amp;" mois). "&amp;T144,TRUE,"Non concerné (détention "&amp;Q144&amp;" mois). "&amp;T144)</f>
        <v/>
      </c>
      <c r="H144">
        <f>COUNTIFS(BDD_Calendrier!$A$2:$A$616,$B144,BDD_Calendrier!$C$2:$C$616,"Souscription")</f>
        <v/>
      </c>
      <c r="I144">
        <f>IF(H144=0,"",IFERROR(_xlfn.MINIFS(BDD_Calendrier!$D$2:$D$616,BDD_Calendrier!$A$2:$A$616,$B144,BDD_Calendrier!$C$2:$C$616,"Souscription",BDD_Calendrier!$D$2:$D$616,"&gt;="&amp;TODAY()),""))</f>
        <v/>
      </c>
      <c r="J144">
        <f>IF(I144="","",IFERROR(INDEX(BDD_Calendrier!$E$2:$E$616,MATCH($B144&amp;"|Souscription|"&amp;TEXT(I144,"yyyy-mm-dd"),BDD_Calendrier!$I$2:$I$616,0)),""))</f>
        <v/>
      </c>
      <c r="K144">
        <f>IF(H144=0,"",_xlfn.MAXIFS(BDD_Calendrier!$D$2:$D$616,BDD_Calendrier!$A$2:$A$616,$B144,BDD_Calendrier!$C$2:$C$616,"Souscription"))</f>
        <v/>
      </c>
      <c r="L144">
        <f>COUNTIFS(BDD_Calendrier!$A$2:$A$616,$B144,BDD_Calendrier!$C$2:$C$616,"Rachat")</f>
        <v/>
      </c>
      <c r="M144">
        <f>IF(L144=0,"",IFERROR(_xlfn.MINIFS(BDD_Calendrier!$D$2:$D$616,BDD_Calendrier!$A$2:$A$616,$B144,BDD_Calendrier!$C$2:$C$616,"Rachat",BDD_Calendrier!$D$2:$D$616,"&gt;="&amp;TODAY()),""))</f>
        <v/>
      </c>
      <c r="N144">
        <f>IF(M144="","",IFERROR(INDEX(BDD_Calendrier!$E$2:$E$616,MATCH($B144&amp;"|Rachat|"&amp;TEXT(M144,"yyyy-mm-dd"),BDD_Calendrier!$I$2:$I$616,0)),""))</f>
        <v/>
      </c>
      <c r="O144">
        <f>IF(M144="","",IFERROR(INDEX(BDD_Calendrier!$H$2:$H$616,MATCH($B144&amp;"|Rachat|"&amp;TEXT(M144,"yyyy-mm-dd"),BDD_Calendrier!$I$2:$I$616,0)),""))</f>
        <v/>
      </c>
      <c r="P144">
        <f>IF(L144=0,"",_xlfn.MAXIFS(BDD_Calendrier!$D$2:$D$616,BDD_Calendrier!$A$2:$A$616,$B144,BDD_Calendrier!$C$2:$C$616,"Rachat"))</f>
        <v/>
      </c>
      <c r="Q144">
        <f>IF($C144="","",IF($C144&gt;TODAY(),"FUTUR",DATEDIF($C144,TODAY(),"m")))</f>
        <v/>
      </c>
      <c r="R144">
        <f>COUNTIF(BDD_Penalites!$A$2:$A$130,$B144)</f>
        <v/>
      </c>
      <c r="S144">
        <f>IF(R144=0,"inconnue",INDEX(BDD_Penalites!$C$2:$C$130,MATCH($B144,BDD_Penalites!$A$2:$A$130,0)))</f>
        <v/>
      </c>
      <c r="T144">
        <f>IF(R144=0,"",INDEX(BDD_Penalites!$M$2:$M$130,MATCH($B144,BDD_Penalites!$A$2:$A$130,0)))</f>
        <v/>
      </c>
      <c r="U144">
        <f>IF(R144=0,0,INDEX(BDD_Penalites!$D$2:$D$130,MATCH($B144,BDD_Penalites!$A$2:$A$130,0)))</f>
        <v/>
      </c>
      <c r="V144">
        <f>IF(R144=0,0,INDEX(BDD_Penalites!$E$2:$E$130,MATCH($B144,BDD_Penalites!$A$2:$A$130,0)))</f>
        <v/>
      </c>
      <c r="W144">
        <f>IF(R144=0,0,INDEX(BDD_Penalites!$F$2:$F$130,MATCH($B144,BDD_Penalites!$A$2:$A$130,0)))</f>
        <v/>
      </c>
      <c r="X144">
        <f>IF(R144=0,0,INDEX(BDD_Penalites!$G$2:$G$130,MATCH($B144,BDD_Penalites!$A$2:$A$130,0)))</f>
        <v/>
      </c>
      <c r="Y144">
        <f>IF(R144=0,0,INDEX(BDD_Penalites!$H$2:$H$130,MATCH($B144,BDD_Penalites!$A$2:$A$130,0)))</f>
        <v/>
      </c>
      <c r="Z144">
        <f>IF(R144=0,0,INDEX(BDD_Penalites!$I$2:$I$130,MATCH($B144,BDD_Penalites!$A$2:$A$130,0)))</f>
        <v/>
      </c>
      <c r="AA144">
        <f>IF(R144=0,0,INDEX(BDD_Penalites!$J$2:$J$130,MATCH($B144,BDD_Penalites!$A$2:$A$130,0)))</f>
        <v/>
      </c>
      <c r="AB144">
        <f>IF(R144=0,0,INDEX(BDD_Penalites!$K$2:$K$130,MATCH($B144,BDD_Penalites!$A$2:$A$130,0)))</f>
        <v/>
      </c>
      <c r="AC144">
        <f>IF(R144=0,0,INDEX(BDD_Penalites!$L$2:$L$130,MATCH($B144,BDD_Penalites!$A$2:$A$130,0)))</f>
        <v/>
      </c>
      <c r="AD144">
        <f>IF(OR($C144="",Q144="FUTUR"),"",_xlfn.IFS(Q144&lt;U144,V144,Q144&lt;W144,X144,Q144&lt;Y144,Z144,Q144&lt;AA144,AB144,TRUE,AC144))</f>
        <v/>
      </c>
    </row>
    <row r="145" ht="13.5" customHeight="1">
      <c r="A145" s="65" t="inlineStr">
        <is>
          <t>PPG Croissance A</t>
        </is>
      </c>
      <c r="B145" s="66" t="inlineStr">
        <is>
          <t>FR0013265683</t>
        </is>
      </c>
      <c r="C145" s="268" t="n"/>
      <c r="D145" s="269">
        <f>IF(H145=0,"Calendrier non disponible pour ce fonds — contacter la société de gestion.",IF(I145="","Calendrier connu jusqu'au "&amp;TEXT(K145,"dd/mm/yyyy")&amp;" — demander le calendrier à jour.","Cut-off : "&amp;TEXT(I145,"dd/mm/yyyy")&amp;"  |  VL : "&amp;TEXT(J145,"dd/mm/yyyy")))</f>
        <v/>
      </c>
      <c r="E145" s="269">
        <f>IF(L145=0,"Calendrier non disponible pour ce fonds — contacter la société de gestion.",IF(M145="","Calendrier connu jusqu'au "&amp;TEXT(P145,"dd/mm/yyyy")&amp;" — demander le calendrier à jour.","Cut-off : "&amp;TEXT(M145,"dd/mm/yyyy")&amp;"  |  VL : "&amp;TEXT(N145,"dd/mm/yyyy")))</f>
        <v/>
      </c>
      <c r="F145" s="269">
        <f>IF(L145=0,"Calendrier non disponible pour ce fonds.",IF(M145="","Calendrier connu jusqu'au "&amp;TEXT(P145,"dd/mm/yyyy")&amp;".",IF(O145="","Non précisé dans le calendrier pour cette échéance.","Réception : "&amp;TEXT(O145,"dd/mm/yyyy")&amp;"  (suite au rachat du "&amp;TEXT(N145,"dd/mm/yyyy")&amp;")")))</f>
        <v/>
      </c>
      <c r="G145" s="269">
        <f>_xlfn.IFS(S145="aucune","Aucune pénalité de sortie."&amp;IF(T145&lt;&gt;""," ("&amp;T145&amp;")",""),S145="manuel","⚠️ À VÉRIFIER MANUELLEMENT : "&amp;T145,S145="inconnue","Pénalité non renseignée — vérifier la notice / DICI du fonds.",$C145="","Saisir une date d'investissement pour statuer sur la pénalité.",Q145="FUTUR","Date d'investissement postérieure à aujourd'hui — vérifier la saisie.",AD145&gt;0,"⚠️ CONCERNÉ : pénalité de "&amp;AD145&amp;"% (détention "&amp;Q145&amp;" mois). "&amp;T145,TRUE,"Non concerné (détention "&amp;Q145&amp;" mois). "&amp;T145)</f>
        <v/>
      </c>
      <c r="H145">
        <f>COUNTIFS(BDD_Calendrier!$A$2:$A$616,$B145,BDD_Calendrier!$C$2:$C$616,"Souscription")</f>
        <v/>
      </c>
      <c r="I145">
        <f>IF(H145=0,"",IFERROR(_xlfn.MINIFS(BDD_Calendrier!$D$2:$D$616,BDD_Calendrier!$A$2:$A$616,$B145,BDD_Calendrier!$C$2:$C$616,"Souscription",BDD_Calendrier!$D$2:$D$616,"&gt;="&amp;TODAY()),""))</f>
        <v/>
      </c>
      <c r="J145">
        <f>IF(I145="","",IFERROR(INDEX(BDD_Calendrier!$E$2:$E$616,MATCH($B145&amp;"|Souscription|"&amp;TEXT(I145,"yyyy-mm-dd"),BDD_Calendrier!$I$2:$I$616,0)),""))</f>
        <v/>
      </c>
      <c r="K145">
        <f>IF(H145=0,"",_xlfn.MAXIFS(BDD_Calendrier!$D$2:$D$616,BDD_Calendrier!$A$2:$A$616,$B145,BDD_Calendrier!$C$2:$C$616,"Souscription"))</f>
        <v/>
      </c>
      <c r="L145">
        <f>COUNTIFS(BDD_Calendrier!$A$2:$A$616,$B145,BDD_Calendrier!$C$2:$C$616,"Rachat")</f>
        <v/>
      </c>
      <c r="M145">
        <f>IF(L145=0,"",IFERROR(_xlfn.MINIFS(BDD_Calendrier!$D$2:$D$616,BDD_Calendrier!$A$2:$A$616,$B145,BDD_Calendrier!$C$2:$C$616,"Rachat",BDD_Calendrier!$D$2:$D$616,"&gt;="&amp;TODAY()),""))</f>
        <v/>
      </c>
      <c r="N145">
        <f>IF(M145="","",IFERROR(INDEX(BDD_Calendrier!$E$2:$E$616,MATCH($B145&amp;"|Rachat|"&amp;TEXT(M145,"yyyy-mm-dd"),BDD_Calendrier!$I$2:$I$616,0)),""))</f>
        <v/>
      </c>
      <c r="O145">
        <f>IF(M145="","",IFERROR(INDEX(BDD_Calendrier!$H$2:$H$616,MATCH($B145&amp;"|Rachat|"&amp;TEXT(M145,"yyyy-mm-dd"),BDD_Calendrier!$I$2:$I$616,0)),""))</f>
        <v/>
      </c>
      <c r="P145">
        <f>IF(L145=0,"",_xlfn.MAXIFS(BDD_Calendrier!$D$2:$D$616,BDD_Calendrier!$A$2:$A$616,$B145,BDD_Calendrier!$C$2:$C$616,"Rachat"))</f>
        <v/>
      </c>
      <c r="Q145">
        <f>IF($C145="","",IF($C145&gt;TODAY(),"FUTUR",DATEDIF($C145,TODAY(),"m")))</f>
        <v/>
      </c>
      <c r="R145">
        <f>COUNTIF(BDD_Penalites!$A$2:$A$130,$B145)</f>
        <v/>
      </c>
      <c r="S145">
        <f>IF(R145=0,"inconnue",INDEX(BDD_Penalites!$C$2:$C$130,MATCH($B145,BDD_Penalites!$A$2:$A$130,0)))</f>
        <v/>
      </c>
      <c r="T145">
        <f>IF(R145=0,"",INDEX(BDD_Penalites!$M$2:$M$130,MATCH($B145,BDD_Penalites!$A$2:$A$130,0)))</f>
        <v/>
      </c>
      <c r="U145">
        <f>IF(R145=0,0,INDEX(BDD_Penalites!$D$2:$D$130,MATCH($B145,BDD_Penalites!$A$2:$A$130,0)))</f>
        <v/>
      </c>
      <c r="V145">
        <f>IF(R145=0,0,INDEX(BDD_Penalites!$E$2:$E$130,MATCH($B145,BDD_Penalites!$A$2:$A$130,0)))</f>
        <v/>
      </c>
      <c r="W145">
        <f>IF(R145=0,0,INDEX(BDD_Penalites!$F$2:$F$130,MATCH($B145,BDD_Penalites!$A$2:$A$130,0)))</f>
        <v/>
      </c>
      <c r="X145">
        <f>IF(R145=0,0,INDEX(BDD_Penalites!$G$2:$G$130,MATCH($B145,BDD_Penalites!$A$2:$A$130,0)))</f>
        <v/>
      </c>
      <c r="Y145">
        <f>IF(R145=0,0,INDEX(BDD_Penalites!$H$2:$H$130,MATCH($B145,BDD_Penalites!$A$2:$A$130,0)))</f>
        <v/>
      </c>
      <c r="Z145">
        <f>IF(R145=0,0,INDEX(BDD_Penalites!$I$2:$I$130,MATCH($B145,BDD_Penalites!$A$2:$A$130,0)))</f>
        <v/>
      </c>
      <c r="AA145">
        <f>IF(R145=0,0,INDEX(BDD_Penalites!$J$2:$J$130,MATCH($B145,BDD_Penalites!$A$2:$A$130,0)))</f>
        <v/>
      </c>
      <c r="AB145">
        <f>IF(R145=0,0,INDEX(BDD_Penalites!$K$2:$K$130,MATCH($B145,BDD_Penalites!$A$2:$A$130,0)))</f>
        <v/>
      </c>
      <c r="AC145">
        <f>IF(R145=0,0,INDEX(BDD_Penalites!$L$2:$L$130,MATCH($B145,BDD_Penalites!$A$2:$A$130,0)))</f>
        <v/>
      </c>
      <c r="AD145">
        <f>IF(OR($C145="",Q145="FUTUR"),"",_xlfn.IFS(Q145&lt;U145,V145,Q145&lt;W145,X145,Q145&lt;Y145,Z145,Q145&lt;AA145,AB145,TRUE,AC145))</f>
        <v/>
      </c>
    </row>
    <row r="146" ht="13.5" customHeight="1">
      <c r="A146" s="65" t="inlineStr">
        <is>
          <t>PPG Croissance B</t>
        </is>
      </c>
      <c r="B146" s="66" t="inlineStr">
        <is>
          <t>FR001400LW94</t>
        </is>
      </c>
      <c r="C146" s="268" t="n"/>
      <c r="D146" s="269">
        <f>IF(H146=0,"Calendrier non disponible pour ce fonds — contacter la société de gestion.",IF(I146="","Calendrier connu jusqu'au "&amp;TEXT(K146,"dd/mm/yyyy")&amp;" — demander le calendrier à jour.","Cut-off : "&amp;TEXT(I146,"dd/mm/yyyy")&amp;"  |  VL : "&amp;TEXT(J146,"dd/mm/yyyy")))</f>
        <v/>
      </c>
      <c r="E146" s="269">
        <f>IF(L146=0,"Calendrier non disponible pour ce fonds — contacter la société de gestion.",IF(M146="","Calendrier connu jusqu'au "&amp;TEXT(P146,"dd/mm/yyyy")&amp;" — demander le calendrier à jour.","Cut-off : "&amp;TEXT(M146,"dd/mm/yyyy")&amp;"  |  VL : "&amp;TEXT(N146,"dd/mm/yyyy")))</f>
        <v/>
      </c>
      <c r="F146" s="269">
        <f>IF(L146=0,"Calendrier non disponible pour ce fonds.",IF(M146="","Calendrier connu jusqu'au "&amp;TEXT(P146,"dd/mm/yyyy")&amp;".",IF(O146="","Non précisé dans le calendrier pour cette échéance.","Réception : "&amp;TEXT(O146,"dd/mm/yyyy")&amp;"  (suite au rachat du "&amp;TEXT(N146,"dd/mm/yyyy")&amp;")")))</f>
        <v/>
      </c>
      <c r="G146" s="269">
        <f>_xlfn.IFS(S146="aucune","Aucune pénalité de sortie."&amp;IF(T146&lt;&gt;""," ("&amp;T146&amp;")",""),S146="manuel","⚠️ À VÉRIFIER MANUELLEMENT : "&amp;T146,S146="inconnue","Pénalité non renseignée — vérifier la notice / DICI du fonds.",$C146="","Saisir une date d'investissement pour statuer sur la pénalité.",Q146="FUTUR","Date d'investissement postérieure à aujourd'hui — vérifier la saisie.",AD146&gt;0,"⚠️ CONCERNÉ : pénalité de "&amp;AD146&amp;"% (détention "&amp;Q146&amp;" mois). "&amp;T146,TRUE,"Non concerné (détention "&amp;Q146&amp;" mois). "&amp;T146)</f>
        <v/>
      </c>
      <c r="H146">
        <f>COUNTIFS(BDD_Calendrier!$A$2:$A$616,$B146,BDD_Calendrier!$C$2:$C$616,"Souscription")</f>
        <v/>
      </c>
      <c r="I146">
        <f>IF(H146=0,"",IFERROR(_xlfn.MINIFS(BDD_Calendrier!$D$2:$D$616,BDD_Calendrier!$A$2:$A$616,$B146,BDD_Calendrier!$C$2:$C$616,"Souscription",BDD_Calendrier!$D$2:$D$616,"&gt;="&amp;TODAY()),""))</f>
        <v/>
      </c>
      <c r="J146">
        <f>IF(I146="","",IFERROR(INDEX(BDD_Calendrier!$E$2:$E$616,MATCH($B146&amp;"|Souscription|"&amp;TEXT(I146,"yyyy-mm-dd"),BDD_Calendrier!$I$2:$I$616,0)),""))</f>
        <v/>
      </c>
      <c r="K146">
        <f>IF(H146=0,"",_xlfn.MAXIFS(BDD_Calendrier!$D$2:$D$616,BDD_Calendrier!$A$2:$A$616,$B146,BDD_Calendrier!$C$2:$C$616,"Souscription"))</f>
        <v/>
      </c>
      <c r="L146">
        <f>COUNTIFS(BDD_Calendrier!$A$2:$A$616,$B146,BDD_Calendrier!$C$2:$C$616,"Rachat")</f>
        <v/>
      </c>
      <c r="M146">
        <f>IF(L146=0,"",IFERROR(_xlfn.MINIFS(BDD_Calendrier!$D$2:$D$616,BDD_Calendrier!$A$2:$A$616,$B146,BDD_Calendrier!$C$2:$C$616,"Rachat",BDD_Calendrier!$D$2:$D$616,"&gt;="&amp;TODAY()),""))</f>
        <v/>
      </c>
      <c r="N146">
        <f>IF(M146="","",IFERROR(INDEX(BDD_Calendrier!$E$2:$E$616,MATCH($B146&amp;"|Rachat|"&amp;TEXT(M146,"yyyy-mm-dd"),BDD_Calendrier!$I$2:$I$616,0)),""))</f>
        <v/>
      </c>
      <c r="O146">
        <f>IF(M146="","",IFERROR(INDEX(BDD_Calendrier!$H$2:$H$616,MATCH($B146&amp;"|Rachat|"&amp;TEXT(M146,"yyyy-mm-dd"),BDD_Calendrier!$I$2:$I$616,0)),""))</f>
        <v/>
      </c>
      <c r="P146">
        <f>IF(L146=0,"",_xlfn.MAXIFS(BDD_Calendrier!$D$2:$D$616,BDD_Calendrier!$A$2:$A$616,$B146,BDD_Calendrier!$C$2:$C$616,"Rachat"))</f>
        <v/>
      </c>
      <c r="Q146">
        <f>IF($C146="","",IF($C146&gt;TODAY(),"FUTUR",DATEDIF($C146,TODAY(),"m")))</f>
        <v/>
      </c>
      <c r="R146">
        <f>COUNTIF(BDD_Penalites!$A$2:$A$130,$B146)</f>
        <v/>
      </c>
      <c r="S146">
        <f>IF(R146=0,"inconnue",INDEX(BDD_Penalites!$C$2:$C$130,MATCH($B146,BDD_Penalites!$A$2:$A$130,0)))</f>
        <v/>
      </c>
      <c r="T146">
        <f>IF(R146=0,"",INDEX(BDD_Penalites!$M$2:$M$130,MATCH($B146,BDD_Penalites!$A$2:$A$130,0)))</f>
        <v/>
      </c>
      <c r="U146">
        <f>IF(R146=0,0,INDEX(BDD_Penalites!$D$2:$D$130,MATCH($B146,BDD_Penalites!$A$2:$A$130,0)))</f>
        <v/>
      </c>
      <c r="V146">
        <f>IF(R146=0,0,INDEX(BDD_Penalites!$E$2:$E$130,MATCH($B146,BDD_Penalites!$A$2:$A$130,0)))</f>
        <v/>
      </c>
      <c r="W146">
        <f>IF(R146=0,0,INDEX(BDD_Penalites!$F$2:$F$130,MATCH($B146,BDD_Penalites!$A$2:$A$130,0)))</f>
        <v/>
      </c>
      <c r="X146">
        <f>IF(R146=0,0,INDEX(BDD_Penalites!$G$2:$G$130,MATCH($B146,BDD_Penalites!$A$2:$A$130,0)))</f>
        <v/>
      </c>
      <c r="Y146">
        <f>IF(R146=0,0,INDEX(BDD_Penalites!$H$2:$H$130,MATCH($B146,BDD_Penalites!$A$2:$A$130,0)))</f>
        <v/>
      </c>
      <c r="Z146">
        <f>IF(R146=0,0,INDEX(BDD_Penalites!$I$2:$I$130,MATCH($B146,BDD_Penalites!$A$2:$A$130,0)))</f>
        <v/>
      </c>
      <c r="AA146">
        <f>IF(R146=0,0,INDEX(BDD_Penalites!$J$2:$J$130,MATCH($B146,BDD_Penalites!$A$2:$A$130,0)))</f>
        <v/>
      </c>
      <c r="AB146">
        <f>IF(R146=0,0,INDEX(BDD_Penalites!$K$2:$K$130,MATCH($B146,BDD_Penalites!$A$2:$A$130,0)))</f>
        <v/>
      </c>
      <c r="AC146">
        <f>IF(R146=0,0,INDEX(BDD_Penalites!$L$2:$L$130,MATCH($B146,BDD_Penalites!$A$2:$A$130,0)))</f>
        <v/>
      </c>
      <c r="AD146">
        <f>IF(OR($C146="",Q146="FUTUR"),"",_xlfn.IFS(Q146&lt;U146,V146,Q146&lt;W146,X146,Q146&lt;Y146,Z146,Q146&lt;AA146,AB146,TRUE,AC146))</f>
        <v/>
      </c>
    </row>
    <row r="147" ht="13.5" customHeight="1">
      <c r="A147" s="65" t="inlineStr">
        <is>
          <t>FCPR PPG Valeur Immo - Part A - EUR</t>
        </is>
      </c>
      <c r="B147" s="66" t="inlineStr">
        <is>
          <t>FR001400C5U8</t>
        </is>
      </c>
      <c r="C147" s="268" t="n"/>
      <c r="D147" s="269">
        <f>IF(H147=0,"Calendrier non disponible pour ce fonds — contacter la société de gestion.",IF(I147="","Calendrier connu jusqu'au "&amp;TEXT(K147,"dd/mm/yyyy")&amp;" — demander le calendrier à jour.","Cut-off : "&amp;TEXT(I147,"dd/mm/yyyy")&amp;"  |  VL : "&amp;TEXT(J147,"dd/mm/yyyy")))</f>
        <v/>
      </c>
      <c r="E147" s="269">
        <f>IF(L147=0,"Calendrier non disponible pour ce fonds — contacter la société de gestion.",IF(M147="","Calendrier connu jusqu'au "&amp;TEXT(P147,"dd/mm/yyyy")&amp;" — demander le calendrier à jour.","Cut-off : "&amp;TEXT(M147,"dd/mm/yyyy")&amp;"  |  VL : "&amp;TEXT(N147,"dd/mm/yyyy")))</f>
        <v/>
      </c>
      <c r="F147" s="269">
        <f>IF(L147=0,"Calendrier non disponible pour ce fonds.",IF(M147="","Calendrier connu jusqu'au "&amp;TEXT(P147,"dd/mm/yyyy")&amp;".",IF(O147="","Non précisé dans le calendrier pour cette échéance.","Réception : "&amp;TEXT(O147,"dd/mm/yyyy")&amp;"  (suite au rachat du "&amp;TEXT(N147,"dd/mm/yyyy")&amp;")")))</f>
        <v/>
      </c>
      <c r="G147" s="269">
        <f>_xlfn.IFS(S147="aucune","Aucune pénalité de sortie."&amp;IF(T147&lt;&gt;""," ("&amp;T147&amp;")",""),S147="manuel","⚠️ À VÉRIFIER MANUELLEMENT : "&amp;T147,S147="inconnue","Pénalité non renseignée — vérifier la notice / DICI du fonds.",$C147="","Saisir une date d'investissement pour statuer sur la pénalité.",Q147="FUTUR","Date d'investissement postérieure à aujourd'hui — vérifier la saisie.",AD147&gt;0,"⚠️ CONCERNÉ : pénalité de "&amp;AD147&amp;"% (détention "&amp;Q147&amp;" mois). "&amp;T147,TRUE,"Non concerné (détention "&amp;Q147&amp;" mois). "&amp;T147)</f>
        <v/>
      </c>
      <c r="H147">
        <f>COUNTIFS(BDD_Calendrier!$A$2:$A$616,$B147,BDD_Calendrier!$C$2:$C$616,"Souscription")</f>
        <v/>
      </c>
      <c r="I147">
        <f>IF(H147=0,"",IFERROR(_xlfn.MINIFS(BDD_Calendrier!$D$2:$D$616,BDD_Calendrier!$A$2:$A$616,$B147,BDD_Calendrier!$C$2:$C$616,"Souscription",BDD_Calendrier!$D$2:$D$616,"&gt;="&amp;TODAY()),""))</f>
        <v/>
      </c>
      <c r="J147">
        <f>IF(I147="","",IFERROR(INDEX(BDD_Calendrier!$E$2:$E$616,MATCH($B147&amp;"|Souscription|"&amp;TEXT(I147,"yyyy-mm-dd"),BDD_Calendrier!$I$2:$I$616,0)),""))</f>
        <v/>
      </c>
      <c r="K147">
        <f>IF(H147=0,"",_xlfn.MAXIFS(BDD_Calendrier!$D$2:$D$616,BDD_Calendrier!$A$2:$A$616,$B147,BDD_Calendrier!$C$2:$C$616,"Souscription"))</f>
        <v/>
      </c>
      <c r="L147">
        <f>COUNTIFS(BDD_Calendrier!$A$2:$A$616,$B147,BDD_Calendrier!$C$2:$C$616,"Rachat")</f>
        <v/>
      </c>
      <c r="M147">
        <f>IF(L147=0,"",IFERROR(_xlfn.MINIFS(BDD_Calendrier!$D$2:$D$616,BDD_Calendrier!$A$2:$A$616,$B147,BDD_Calendrier!$C$2:$C$616,"Rachat",BDD_Calendrier!$D$2:$D$616,"&gt;="&amp;TODAY()),""))</f>
        <v/>
      </c>
      <c r="N147">
        <f>IF(M147="","",IFERROR(INDEX(BDD_Calendrier!$E$2:$E$616,MATCH($B147&amp;"|Rachat|"&amp;TEXT(M147,"yyyy-mm-dd"),BDD_Calendrier!$I$2:$I$616,0)),""))</f>
        <v/>
      </c>
      <c r="O147">
        <f>IF(M147="","",IFERROR(INDEX(BDD_Calendrier!$H$2:$H$616,MATCH($B147&amp;"|Rachat|"&amp;TEXT(M147,"yyyy-mm-dd"),BDD_Calendrier!$I$2:$I$616,0)),""))</f>
        <v/>
      </c>
      <c r="P147">
        <f>IF(L147=0,"",_xlfn.MAXIFS(BDD_Calendrier!$D$2:$D$616,BDD_Calendrier!$A$2:$A$616,$B147,BDD_Calendrier!$C$2:$C$616,"Rachat"))</f>
        <v/>
      </c>
      <c r="Q147">
        <f>IF($C147="","",IF($C147&gt;TODAY(),"FUTUR",DATEDIF($C147,TODAY(),"m")))</f>
        <v/>
      </c>
      <c r="R147">
        <f>COUNTIF(BDD_Penalites!$A$2:$A$130,$B147)</f>
        <v/>
      </c>
      <c r="S147">
        <f>IF(R147=0,"inconnue",INDEX(BDD_Penalites!$C$2:$C$130,MATCH($B147,BDD_Penalites!$A$2:$A$130,0)))</f>
        <v/>
      </c>
      <c r="T147">
        <f>IF(R147=0,"",INDEX(BDD_Penalites!$M$2:$M$130,MATCH($B147,BDD_Penalites!$A$2:$A$130,0)))</f>
        <v/>
      </c>
      <c r="U147">
        <f>IF(R147=0,0,INDEX(BDD_Penalites!$D$2:$D$130,MATCH($B147,BDD_Penalites!$A$2:$A$130,0)))</f>
        <v/>
      </c>
      <c r="V147">
        <f>IF(R147=0,0,INDEX(BDD_Penalites!$E$2:$E$130,MATCH($B147,BDD_Penalites!$A$2:$A$130,0)))</f>
        <v/>
      </c>
      <c r="W147">
        <f>IF(R147=0,0,INDEX(BDD_Penalites!$F$2:$F$130,MATCH($B147,BDD_Penalites!$A$2:$A$130,0)))</f>
        <v/>
      </c>
      <c r="X147">
        <f>IF(R147=0,0,INDEX(BDD_Penalites!$G$2:$G$130,MATCH($B147,BDD_Penalites!$A$2:$A$130,0)))</f>
        <v/>
      </c>
      <c r="Y147">
        <f>IF(R147=0,0,INDEX(BDD_Penalites!$H$2:$H$130,MATCH($B147,BDD_Penalites!$A$2:$A$130,0)))</f>
        <v/>
      </c>
      <c r="Z147">
        <f>IF(R147=0,0,INDEX(BDD_Penalites!$I$2:$I$130,MATCH($B147,BDD_Penalites!$A$2:$A$130,0)))</f>
        <v/>
      </c>
      <c r="AA147">
        <f>IF(R147=0,0,INDEX(BDD_Penalites!$J$2:$J$130,MATCH($B147,BDD_Penalites!$A$2:$A$130,0)))</f>
        <v/>
      </c>
      <c r="AB147">
        <f>IF(R147=0,0,INDEX(BDD_Penalites!$K$2:$K$130,MATCH($B147,BDD_Penalites!$A$2:$A$130,0)))</f>
        <v/>
      </c>
      <c r="AC147">
        <f>IF(R147=0,0,INDEX(BDD_Penalites!$L$2:$L$130,MATCH($B147,BDD_Penalites!$A$2:$A$130,0)))</f>
        <v/>
      </c>
      <c r="AD147">
        <f>IF(OR($C147="",Q147="FUTUR"),"",_xlfn.IFS(Q147&lt;U147,V147,Q147&lt;W147,X147,Q147&lt;Y147,Z147,Q147&lt;AA147,AB147,TRUE,AC147))</f>
        <v/>
      </c>
    </row>
    <row r="148" ht="13.5" customHeight="1">
      <c r="A148" s="65" t="inlineStr">
        <is>
          <t>FCPR PPG Valeur Immo - Part B</t>
        </is>
      </c>
      <c r="B148" s="66" t="inlineStr">
        <is>
          <t>FR001400C5V6</t>
        </is>
      </c>
      <c r="C148" s="268" t="n"/>
      <c r="D148" s="269">
        <f>IF(H148=0,"Calendrier non disponible pour ce fonds — contacter la société de gestion.",IF(I148="","Calendrier connu jusqu'au "&amp;TEXT(K148,"dd/mm/yyyy")&amp;" — demander le calendrier à jour.","Cut-off : "&amp;TEXT(I148,"dd/mm/yyyy")&amp;"  |  VL : "&amp;TEXT(J148,"dd/mm/yyyy")))</f>
        <v/>
      </c>
      <c r="E148" s="269">
        <f>IF(L148=0,"Calendrier non disponible pour ce fonds — contacter la société de gestion.",IF(M148="","Calendrier connu jusqu'au "&amp;TEXT(P148,"dd/mm/yyyy")&amp;" — demander le calendrier à jour.","Cut-off : "&amp;TEXT(M148,"dd/mm/yyyy")&amp;"  |  VL : "&amp;TEXT(N148,"dd/mm/yyyy")))</f>
        <v/>
      </c>
      <c r="F148" s="269">
        <f>IF(L148=0,"Calendrier non disponible pour ce fonds.",IF(M148="","Calendrier connu jusqu'au "&amp;TEXT(P148,"dd/mm/yyyy")&amp;".",IF(O148="","Non précisé dans le calendrier pour cette échéance.","Réception : "&amp;TEXT(O148,"dd/mm/yyyy")&amp;"  (suite au rachat du "&amp;TEXT(N148,"dd/mm/yyyy")&amp;")")))</f>
        <v/>
      </c>
      <c r="G148" s="269">
        <f>_xlfn.IFS(S148="aucune","Aucune pénalité de sortie."&amp;IF(T148&lt;&gt;""," ("&amp;T148&amp;")",""),S148="manuel","⚠️ À VÉRIFIER MANUELLEMENT : "&amp;T148,S148="inconnue","Pénalité non renseignée — vérifier la notice / DICI du fonds.",$C148="","Saisir une date d'investissement pour statuer sur la pénalité.",Q148="FUTUR","Date d'investissement postérieure à aujourd'hui — vérifier la saisie.",AD148&gt;0,"⚠️ CONCERNÉ : pénalité de "&amp;AD148&amp;"% (détention "&amp;Q148&amp;" mois). "&amp;T148,TRUE,"Non concerné (détention "&amp;Q148&amp;" mois). "&amp;T148)</f>
        <v/>
      </c>
      <c r="H148">
        <f>COUNTIFS(BDD_Calendrier!$A$2:$A$616,$B148,BDD_Calendrier!$C$2:$C$616,"Souscription")</f>
        <v/>
      </c>
      <c r="I148">
        <f>IF(H148=0,"",IFERROR(_xlfn.MINIFS(BDD_Calendrier!$D$2:$D$616,BDD_Calendrier!$A$2:$A$616,$B148,BDD_Calendrier!$C$2:$C$616,"Souscription",BDD_Calendrier!$D$2:$D$616,"&gt;="&amp;TODAY()),""))</f>
        <v/>
      </c>
      <c r="J148">
        <f>IF(I148="","",IFERROR(INDEX(BDD_Calendrier!$E$2:$E$616,MATCH($B148&amp;"|Souscription|"&amp;TEXT(I148,"yyyy-mm-dd"),BDD_Calendrier!$I$2:$I$616,0)),""))</f>
        <v/>
      </c>
      <c r="K148">
        <f>IF(H148=0,"",_xlfn.MAXIFS(BDD_Calendrier!$D$2:$D$616,BDD_Calendrier!$A$2:$A$616,$B148,BDD_Calendrier!$C$2:$C$616,"Souscription"))</f>
        <v/>
      </c>
      <c r="L148">
        <f>COUNTIFS(BDD_Calendrier!$A$2:$A$616,$B148,BDD_Calendrier!$C$2:$C$616,"Rachat")</f>
        <v/>
      </c>
      <c r="M148">
        <f>IF(L148=0,"",IFERROR(_xlfn.MINIFS(BDD_Calendrier!$D$2:$D$616,BDD_Calendrier!$A$2:$A$616,$B148,BDD_Calendrier!$C$2:$C$616,"Rachat",BDD_Calendrier!$D$2:$D$616,"&gt;="&amp;TODAY()),""))</f>
        <v/>
      </c>
      <c r="N148">
        <f>IF(M148="","",IFERROR(INDEX(BDD_Calendrier!$E$2:$E$616,MATCH($B148&amp;"|Rachat|"&amp;TEXT(M148,"yyyy-mm-dd"),BDD_Calendrier!$I$2:$I$616,0)),""))</f>
        <v/>
      </c>
      <c r="O148">
        <f>IF(M148="","",IFERROR(INDEX(BDD_Calendrier!$H$2:$H$616,MATCH($B148&amp;"|Rachat|"&amp;TEXT(M148,"yyyy-mm-dd"),BDD_Calendrier!$I$2:$I$616,0)),""))</f>
        <v/>
      </c>
      <c r="P148">
        <f>IF(L148=0,"",_xlfn.MAXIFS(BDD_Calendrier!$D$2:$D$616,BDD_Calendrier!$A$2:$A$616,$B148,BDD_Calendrier!$C$2:$C$616,"Rachat"))</f>
        <v/>
      </c>
      <c r="Q148">
        <f>IF($C148="","",IF($C148&gt;TODAY(),"FUTUR",DATEDIF($C148,TODAY(),"m")))</f>
        <v/>
      </c>
      <c r="R148">
        <f>COUNTIF(BDD_Penalites!$A$2:$A$130,$B148)</f>
        <v/>
      </c>
      <c r="S148">
        <f>IF(R148=0,"inconnue",INDEX(BDD_Penalites!$C$2:$C$130,MATCH($B148,BDD_Penalites!$A$2:$A$130,0)))</f>
        <v/>
      </c>
      <c r="T148">
        <f>IF(R148=0,"",INDEX(BDD_Penalites!$M$2:$M$130,MATCH($B148,BDD_Penalites!$A$2:$A$130,0)))</f>
        <v/>
      </c>
      <c r="U148">
        <f>IF(R148=0,0,INDEX(BDD_Penalites!$D$2:$D$130,MATCH($B148,BDD_Penalites!$A$2:$A$130,0)))</f>
        <v/>
      </c>
      <c r="V148">
        <f>IF(R148=0,0,INDEX(BDD_Penalites!$E$2:$E$130,MATCH($B148,BDD_Penalites!$A$2:$A$130,0)))</f>
        <v/>
      </c>
      <c r="W148">
        <f>IF(R148=0,0,INDEX(BDD_Penalites!$F$2:$F$130,MATCH($B148,BDD_Penalites!$A$2:$A$130,0)))</f>
        <v/>
      </c>
      <c r="X148">
        <f>IF(R148=0,0,INDEX(BDD_Penalites!$G$2:$G$130,MATCH($B148,BDD_Penalites!$A$2:$A$130,0)))</f>
        <v/>
      </c>
      <c r="Y148">
        <f>IF(R148=0,0,INDEX(BDD_Penalites!$H$2:$H$130,MATCH($B148,BDD_Penalites!$A$2:$A$130,0)))</f>
        <v/>
      </c>
      <c r="Z148">
        <f>IF(R148=0,0,INDEX(BDD_Penalites!$I$2:$I$130,MATCH($B148,BDD_Penalites!$A$2:$A$130,0)))</f>
        <v/>
      </c>
      <c r="AA148">
        <f>IF(R148=0,0,INDEX(BDD_Penalites!$J$2:$J$130,MATCH($B148,BDD_Penalites!$A$2:$A$130,0)))</f>
        <v/>
      </c>
      <c r="AB148">
        <f>IF(R148=0,0,INDEX(BDD_Penalites!$K$2:$K$130,MATCH($B148,BDD_Penalites!$A$2:$A$130,0)))</f>
        <v/>
      </c>
      <c r="AC148">
        <f>IF(R148=0,0,INDEX(BDD_Penalites!$L$2:$L$130,MATCH($B148,BDD_Penalites!$A$2:$A$130,0)))</f>
        <v/>
      </c>
      <c r="AD148">
        <f>IF(OR($C148="",Q148="FUTUR"),"",_xlfn.IFS(Q148&lt;U148,V148,Q148&lt;W148,X148,Q148&lt;Y148,Z148,Q148&lt;AA148,AB148,TRUE,AC148))</f>
        <v/>
      </c>
    </row>
    <row r="149" ht="13.5" customHeight="1">
      <c r="A149" s="65" t="inlineStr">
        <is>
          <t>PPG Valeur Immo I</t>
        </is>
      </c>
      <c r="B149" s="66" t="inlineStr">
        <is>
          <t>FR001400C5W4</t>
        </is>
      </c>
      <c r="C149" s="268" t="n"/>
      <c r="D149" s="269">
        <f>IF(H149=0,"Calendrier non disponible pour ce fonds — contacter la société de gestion.",IF(I149="","Calendrier connu jusqu'au "&amp;TEXT(K149,"dd/mm/yyyy")&amp;" — demander le calendrier à jour.","Cut-off : "&amp;TEXT(I149,"dd/mm/yyyy")&amp;"  |  VL : "&amp;TEXT(J149,"dd/mm/yyyy")))</f>
        <v/>
      </c>
      <c r="E149" s="269">
        <f>IF(L149=0,"Calendrier non disponible pour ce fonds — contacter la société de gestion.",IF(M149="","Calendrier connu jusqu'au "&amp;TEXT(P149,"dd/mm/yyyy")&amp;" — demander le calendrier à jour.","Cut-off : "&amp;TEXT(M149,"dd/mm/yyyy")&amp;"  |  VL : "&amp;TEXT(N149,"dd/mm/yyyy")))</f>
        <v/>
      </c>
      <c r="F149" s="269">
        <f>IF(L149=0,"Calendrier non disponible pour ce fonds.",IF(M149="","Calendrier connu jusqu'au "&amp;TEXT(P149,"dd/mm/yyyy")&amp;".",IF(O149="","Non précisé dans le calendrier pour cette échéance.","Réception : "&amp;TEXT(O149,"dd/mm/yyyy")&amp;"  (suite au rachat du "&amp;TEXT(N149,"dd/mm/yyyy")&amp;")")))</f>
        <v/>
      </c>
      <c r="G149" s="269">
        <f>_xlfn.IFS(S149="aucune","Aucune pénalité de sortie."&amp;IF(T149&lt;&gt;""," ("&amp;T149&amp;")",""),S149="manuel","⚠️ À VÉRIFIER MANUELLEMENT : "&amp;T149,S149="inconnue","Pénalité non renseignée — vérifier la notice / DICI du fonds.",$C149="","Saisir une date d'investissement pour statuer sur la pénalité.",Q149="FUTUR","Date d'investissement postérieure à aujourd'hui — vérifier la saisie.",AD149&gt;0,"⚠️ CONCERNÉ : pénalité de "&amp;AD149&amp;"% (détention "&amp;Q149&amp;" mois). "&amp;T149,TRUE,"Non concerné (détention "&amp;Q149&amp;" mois). "&amp;T149)</f>
        <v/>
      </c>
      <c r="H149">
        <f>COUNTIFS(BDD_Calendrier!$A$2:$A$616,$B149,BDD_Calendrier!$C$2:$C$616,"Souscription")</f>
        <v/>
      </c>
      <c r="I149">
        <f>IF(H149=0,"",IFERROR(_xlfn.MINIFS(BDD_Calendrier!$D$2:$D$616,BDD_Calendrier!$A$2:$A$616,$B149,BDD_Calendrier!$C$2:$C$616,"Souscription",BDD_Calendrier!$D$2:$D$616,"&gt;="&amp;TODAY()),""))</f>
        <v/>
      </c>
      <c r="J149">
        <f>IF(I149="","",IFERROR(INDEX(BDD_Calendrier!$E$2:$E$616,MATCH($B149&amp;"|Souscription|"&amp;TEXT(I149,"yyyy-mm-dd"),BDD_Calendrier!$I$2:$I$616,0)),""))</f>
        <v/>
      </c>
      <c r="K149">
        <f>IF(H149=0,"",_xlfn.MAXIFS(BDD_Calendrier!$D$2:$D$616,BDD_Calendrier!$A$2:$A$616,$B149,BDD_Calendrier!$C$2:$C$616,"Souscription"))</f>
        <v/>
      </c>
      <c r="L149">
        <f>COUNTIFS(BDD_Calendrier!$A$2:$A$616,$B149,BDD_Calendrier!$C$2:$C$616,"Rachat")</f>
        <v/>
      </c>
      <c r="M149">
        <f>IF(L149=0,"",IFERROR(_xlfn.MINIFS(BDD_Calendrier!$D$2:$D$616,BDD_Calendrier!$A$2:$A$616,$B149,BDD_Calendrier!$C$2:$C$616,"Rachat",BDD_Calendrier!$D$2:$D$616,"&gt;="&amp;TODAY()),""))</f>
        <v/>
      </c>
      <c r="N149">
        <f>IF(M149="","",IFERROR(INDEX(BDD_Calendrier!$E$2:$E$616,MATCH($B149&amp;"|Rachat|"&amp;TEXT(M149,"yyyy-mm-dd"),BDD_Calendrier!$I$2:$I$616,0)),""))</f>
        <v/>
      </c>
      <c r="O149">
        <f>IF(M149="","",IFERROR(INDEX(BDD_Calendrier!$H$2:$H$616,MATCH($B149&amp;"|Rachat|"&amp;TEXT(M149,"yyyy-mm-dd"),BDD_Calendrier!$I$2:$I$616,0)),""))</f>
        <v/>
      </c>
      <c r="P149">
        <f>IF(L149=0,"",_xlfn.MAXIFS(BDD_Calendrier!$D$2:$D$616,BDD_Calendrier!$A$2:$A$616,$B149,BDD_Calendrier!$C$2:$C$616,"Rachat"))</f>
        <v/>
      </c>
      <c r="Q149">
        <f>IF($C149="","",IF($C149&gt;TODAY(),"FUTUR",DATEDIF($C149,TODAY(),"m")))</f>
        <v/>
      </c>
      <c r="R149">
        <f>COUNTIF(BDD_Penalites!$A$2:$A$130,$B149)</f>
        <v/>
      </c>
      <c r="S149">
        <f>IF(R149=0,"inconnue",INDEX(BDD_Penalites!$C$2:$C$130,MATCH($B149,BDD_Penalites!$A$2:$A$130,0)))</f>
        <v/>
      </c>
      <c r="T149">
        <f>IF(R149=0,"",INDEX(BDD_Penalites!$M$2:$M$130,MATCH($B149,BDD_Penalites!$A$2:$A$130,0)))</f>
        <v/>
      </c>
      <c r="U149">
        <f>IF(R149=0,0,INDEX(BDD_Penalites!$D$2:$D$130,MATCH($B149,BDD_Penalites!$A$2:$A$130,0)))</f>
        <v/>
      </c>
      <c r="V149">
        <f>IF(R149=0,0,INDEX(BDD_Penalites!$E$2:$E$130,MATCH($B149,BDD_Penalites!$A$2:$A$130,0)))</f>
        <v/>
      </c>
      <c r="W149">
        <f>IF(R149=0,0,INDEX(BDD_Penalites!$F$2:$F$130,MATCH($B149,BDD_Penalites!$A$2:$A$130,0)))</f>
        <v/>
      </c>
      <c r="X149">
        <f>IF(R149=0,0,INDEX(BDD_Penalites!$G$2:$G$130,MATCH($B149,BDD_Penalites!$A$2:$A$130,0)))</f>
        <v/>
      </c>
      <c r="Y149">
        <f>IF(R149=0,0,INDEX(BDD_Penalites!$H$2:$H$130,MATCH($B149,BDD_Penalites!$A$2:$A$130,0)))</f>
        <v/>
      </c>
      <c r="Z149">
        <f>IF(R149=0,0,INDEX(BDD_Penalites!$I$2:$I$130,MATCH($B149,BDD_Penalites!$A$2:$A$130,0)))</f>
        <v/>
      </c>
      <c r="AA149">
        <f>IF(R149=0,0,INDEX(BDD_Penalites!$J$2:$J$130,MATCH($B149,BDD_Penalites!$A$2:$A$130,0)))</f>
        <v/>
      </c>
      <c r="AB149">
        <f>IF(R149=0,0,INDEX(BDD_Penalites!$K$2:$K$130,MATCH($B149,BDD_Penalites!$A$2:$A$130,0)))</f>
        <v/>
      </c>
      <c r="AC149">
        <f>IF(R149=0,0,INDEX(BDD_Penalites!$L$2:$L$130,MATCH($B149,BDD_Penalites!$A$2:$A$130,0)))</f>
        <v/>
      </c>
      <c r="AD149">
        <f>IF(OR($C149="",Q149="FUTUR"),"",_xlfn.IFS(Q149&lt;U149,V149,Q149&lt;W149,X149,Q149&lt;Y149,Z149,Q149&lt;AA149,AB149,TRUE,AC149))</f>
        <v/>
      </c>
    </row>
    <row r="150" ht="13.5" customHeight="1">
      <c r="A150" s="65" t="inlineStr">
        <is>
          <t>Iroko Zen</t>
        </is>
      </c>
      <c r="B150" s="66" t="inlineStr">
        <is>
          <t>/</t>
        </is>
      </c>
      <c r="C150" s="268" t="n"/>
      <c r="D150" s="269">
        <f>IF(H150=0,"Calendrier non disponible pour ce fonds — contacter la société de gestion.",IF(I150="","Calendrier connu jusqu'au "&amp;TEXT(K150,"dd/mm/yyyy")&amp;" — demander le calendrier à jour.","Cut-off : "&amp;TEXT(I150,"dd/mm/yyyy")&amp;"  |  VL : "&amp;TEXT(J150,"dd/mm/yyyy")))</f>
        <v/>
      </c>
      <c r="E150" s="269">
        <f>IF(L150=0,"Calendrier non disponible pour ce fonds — contacter la société de gestion.",IF(M150="","Calendrier connu jusqu'au "&amp;TEXT(P150,"dd/mm/yyyy")&amp;" — demander le calendrier à jour.","Cut-off : "&amp;TEXT(M150,"dd/mm/yyyy")&amp;"  |  VL : "&amp;TEXT(N150,"dd/mm/yyyy")))</f>
        <v/>
      </c>
      <c r="F150" s="269">
        <f>IF(L150=0,"Calendrier non disponible pour ce fonds.",IF(M150="","Calendrier connu jusqu'au "&amp;TEXT(P150,"dd/mm/yyyy")&amp;".",IF(O150="","Non précisé dans le calendrier pour cette échéance.","Réception : "&amp;TEXT(O150,"dd/mm/yyyy")&amp;"  (suite au rachat du "&amp;TEXT(N150,"dd/mm/yyyy")&amp;")")))</f>
        <v/>
      </c>
      <c r="G150" s="269">
        <f>_xlfn.IFS(S150="aucune","Aucune pénalité de sortie."&amp;IF(T150&lt;&gt;""," ("&amp;T150&amp;")",""),S150="manuel","⚠️ À VÉRIFIER MANUELLEMENT : "&amp;T150,S150="inconnue","Pénalité non renseignée — vérifier la notice / DICI du fonds.",$C150="","Saisir une date d'investissement pour statuer sur la pénalité.",Q150="FUTUR","Date d'investissement postérieure à aujourd'hui — vérifier la saisie.",AD150&gt;0,"⚠️ CONCERNÉ : pénalité de "&amp;AD150&amp;"% (détention "&amp;Q150&amp;" mois). "&amp;T150,TRUE,"Non concerné (détention "&amp;Q150&amp;" mois). "&amp;T150)</f>
        <v/>
      </c>
      <c r="H150">
        <f>COUNTIFS(BDD_Calendrier!$A$2:$A$616,$B150,BDD_Calendrier!$C$2:$C$616,"Souscription")</f>
        <v/>
      </c>
      <c r="I150">
        <f>IF(H150=0,"",IFERROR(_xlfn.MINIFS(BDD_Calendrier!$D$2:$D$616,BDD_Calendrier!$A$2:$A$616,$B150,BDD_Calendrier!$C$2:$C$616,"Souscription",BDD_Calendrier!$D$2:$D$616,"&gt;="&amp;TODAY()),""))</f>
        <v/>
      </c>
      <c r="J150">
        <f>IF(I150="","",IFERROR(INDEX(BDD_Calendrier!$E$2:$E$616,MATCH($B150&amp;"|Souscription|"&amp;TEXT(I150,"yyyy-mm-dd"),BDD_Calendrier!$I$2:$I$616,0)),""))</f>
        <v/>
      </c>
      <c r="K150">
        <f>IF(H150=0,"",_xlfn.MAXIFS(BDD_Calendrier!$D$2:$D$616,BDD_Calendrier!$A$2:$A$616,$B150,BDD_Calendrier!$C$2:$C$616,"Souscription"))</f>
        <v/>
      </c>
      <c r="L150">
        <f>COUNTIFS(BDD_Calendrier!$A$2:$A$616,$B150,BDD_Calendrier!$C$2:$C$616,"Rachat")</f>
        <v/>
      </c>
      <c r="M150">
        <f>IF(L150=0,"",IFERROR(_xlfn.MINIFS(BDD_Calendrier!$D$2:$D$616,BDD_Calendrier!$A$2:$A$616,$B150,BDD_Calendrier!$C$2:$C$616,"Rachat",BDD_Calendrier!$D$2:$D$616,"&gt;="&amp;TODAY()),""))</f>
        <v/>
      </c>
      <c r="N150">
        <f>IF(M150="","",IFERROR(INDEX(BDD_Calendrier!$E$2:$E$616,MATCH($B150&amp;"|Rachat|"&amp;TEXT(M150,"yyyy-mm-dd"),BDD_Calendrier!$I$2:$I$616,0)),""))</f>
        <v/>
      </c>
      <c r="O150">
        <f>IF(M150="","",IFERROR(INDEX(BDD_Calendrier!$H$2:$H$616,MATCH($B150&amp;"|Rachat|"&amp;TEXT(M150,"yyyy-mm-dd"),BDD_Calendrier!$I$2:$I$616,0)),""))</f>
        <v/>
      </c>
      <c r="P150">
        <f>IF(L150=0,"",_xlfn.MAXIFS(BDD_Calendrier!$D$2:$D$616,BDD_Calendrier!$A$2:$A$616,$B150,BDD_Calendrier!$C$2:$C$616,"Rachat"))</f>
        <v/>
      </c>
      <c r="Q150">
        <f>IF($C150="","",IF($C150&gt;TODAY(),"FUTUR",DATEDIF($C150,TODAY(),"m")))</f>
        <v/>
      </c>
      <c r="R150">
        <f>COUNTIF(BDD_Penalites!$A$2:$A$130,$B150)</f>
        <v/>
      </c>
      <c r="S150">
        <f>IF(R150=0,"inconnue",INDEX(BDD_Penalites!$C$2:$C$130,MATCH($B150,BDD_Penalites!$A$2:$A$130,0)))</f>
        <v/>
      </c>
      <c r="T150">
        <f>IF(R150=0,"",INDEX(BDD_Penalites!$M$2:$M$130,MATCH($B150,BDD_Penalites!$A$2:$A$130,0)))</f>
        <v/>
      </c>
      <c r="U150">
        <f>IF(R150=0,0,INDEX(BDD_Penalites!$D$2:$D$130,MATCH($B150,BDD_Penalites!$A$2:$A$130,0)))</f>
        <v/>
      </c>
      <c r="V150">
        <f>IF(R150=0,0,INDEX(BDD_Penalites!$E$2:$E$130,MATCH($B150,BDD_Penalites!$A$2:$A$130,0)))</f>
        <v/>
      </c>
      <c r="W150">
        <f>IF(R150=0,0,INDEX(BDD_Penalites!$F$2:$F$130,MATCH($B150,BDD_Penalites!$A$2:$A$130,0)))</f>
        <v/>
      </c>
      <c r="X150">
        <f>IF(R150=0,0,INDEX(BDD_Penalites!$G$2:$G$130,MATCH($B150,BDD_Penalites!$A$2:$A$130,0)))</f>
        <v/>
      </c>
      <c r="Y150">
        <f>IF(R150=0,0,INDEX(BDD_Penalites!$H$2:$H$130,MATCH($B150,BDD_Penalites!$A$2:$A$130,0)))</f>
        <v/>
      </c>
      <c r="Z150">
        <f>IF(R150=0,0,INDEX(BDD_Penalites!$I$2:$I$130,MATCH($B150,BDD_Penalites!$A$2:$A$130,0)))</f>
        <v/>
      </c>
      <c r="AA150">
        <f>IF(R150=0,0,INDEX(BDD_Penalites!$J$2:$J$130,MATCH($B150,BDD_Penalites!$A$2:$A$130,0)))</f>
        <v/>
      </c>
      <c r="AB150">
        <f>IF(R150=0,0,INDEX(BDD_Penalites!$K$2:$K$130,MATCH($B150,BDD_Penalites!$A$2:$A$130,0)))</f>
        <v/>
      </c>
      <c r="AC150">
        <f>IF(R150=0,0,INDEX(BDD_Penalites!$L$2:$L$130,MATCH($B150,BDD_Penalites!$A$2:$A$130,0)))</f>
        <v/>
      </c>
      <c r="AD150">
        <f>IF(OR($C150="",Q150="FUTUR"),"",_xlfn.IFS(Q150&lt;U150,V150,Q150&lt;W150,X150,Q150&lt;Y150,Z150,Q150&lt;AA150,AB150,TRUE,AC150))</f>
        <v/>
      </c>
    </row>
    <row r="151" ht="13.5" customHeight="1">
      <c r="A151" s="65" t="inlineStr">
        <is>
          <t>Iroko Atlas</t>
        </is>
      </c>
      <c r="B151" s="66" t="inlineStr">
        <is>
          <t>/</t>
        </is>
      </c>
      <c r="C151" s="268" t="n"/>
      <c r="D151" s="269">
        <f>IF(H151=0,"Calendrier non disponible pour ce fonds — contacter la société de gestion.",IF(I151="","Calendrier connu jusqu'au "&amp;TEXT(K151,"dd/mm/yyyy")&amp;" — demander le calendrier à jour.","Cut-off : "&amp;TEXT(I151,"dd/mm/yyyy")&amp;"  |  VL : "&amp;TEXT(J151,"dd/mm/yyyy")))</f>
        <v/>
      </c>
      <c r="E151" s="269">
        <f>IF(L151=0,"Calendrier non disponible pour ce fonds — contacter la société de gestion.",IF(M151="","Calendrier connu jusqu'au "&amp;TEXT(P151,"dd/mm/yyyy")&amp;" — demander le calendrier à jour.","Cut-off : "&amp;TEXT(M151,"dd/mm/yyyy")&amp;"  |  VL : "&amp;TEXT(N151,"dd/mm/yyyy")))</f>
        <v/>
      </c>
      <c r="F151" s="269">
        <f>IF(L151=0,"Calendrier non disponible pour ce fonds.",IF(M151="","Calendrier connu jusqu'au "&amp;TEXT(P151,"dd/mm/yyyy")&amp;".",IF(O151="","Non précisé dans le calendrier pour cette échéance.","Réception : "&amp;TEXT(O151,"dd/mm/yyyy")&amp;"  (suite au rachat du "&amp;TEXT(N151,"dd/mm/yyyy")&amp;")")))</f>
        <v/>
      </c>
      <c r="G151" s="269">
        <f>_xlfn.IFS(S151="aucune","Aucune pénalité de sortie."&amp;IF(T151&lt;&gt;""," ("&amp;T151&amp;")",""),S151="manuel","⚠️ À VÉRIFIER MANUELLEMENT : "&amp;T151,S151="inconnue","Pénalité non renseignée — vérifier la notice / DICI du fonds.",$C151="","Saisir une date d'investissement pour statuer sur la pénalité.",Q151="FUTUR","Date d'investissement postérieure à aujourd'hui — vérifier la saisie.",AD151&gt;0,"⚠️ CONCERNÉ : pénalité de "&amp;AD151&amp;"% (détention "&amp;Q151&amp;" mois). "&amp;T151,TRUE,"Non concerné (détention "&amp;Q151&amp;" mois). "&amp;T151)</f>
        <v/>
      </c>
      <c r="H151">
        <f>COUNTIFS(BDD_Calendrier!$A$2:$A$616,$B151,BDD_Calendrier!$C$2:$C$616,"Souscription")</f>
        <v/>
      </c>
      <c r="I151">
        <f>IF(H151=0,"",IFERROR(_xlfn.MINIFS(BDD_Calendrier!$D$2:$D$616,BDD_Calendrier!$A$2:$A$616,$B151,BDD_Calendrier!$C$2:$C$616,"Souscription",BDD_Calendrier!$D$2:$D$616,"&gt;="&amp;TODAY()),""))</f>
        <v/>
      </c>
      <c r="J151">
        <f>IF(I151="","",IFERROR(INDEX(BDD_Calendrier!$E$2:$E$616,MATCH($B151&amp;"|Souscription|"&amp;TEXT(I151,"yyyy-mm-dd"),BDD_Calendrier!$I$2:$I$616,0)),""))</f>
        <v/>
      </c>
      <c r="K151">
        <f>IF(H151=0,"",_xlfn.MAXIFS(BDD_Calendrier!$D$2:$D$616,BDD_Calendrier!$A$2:$A$616,$B151,BDD_Calendrier!$C$2:$C$616,"Souscription"))</f>
        <v/>
      </c>
      <c r="L151">
        <f>COUNTIFS(BDD_Calendrier!$A$2:$A$616,$B151,BDD_Calendrier!$C$2:$C$616,"Rachat")</f>
        <v/>
      </c>
      <c r="M151">
        <f>IF(L151=0,"",IFERROR(_xlfn.MINIFS(BDD_Calendrier!$D$2:$D$616,BDD_Calendrier!$A$2:$A$616,$B151,BDD_Calendrier!$C$2:$C$616,"Rachat",BDD_Calendrier!$D$2:$D$616,"&gt;="&amp;TODAY()),""))</f>
        <v/>
      </c>
      <c r="N151">
        <f>IF(M151="","",IFERROR(INDEX(BDD_Calendrier!$E$2:$E$616,MATCH($B151&amp;"|Rachat|"&amp;TEXT(M151,"yyyy-mm-dd"),BDD_Calendrier!$I$2:$I$616,0)),""))</f>
        <v/>
      </c>
      <c r="O151">
        <f>IF(M151="","",IFERROR(INDEX(BDD_Calendrier!$H$2:$H$616,MATCH($B151&amp;"|Rachat|"&amp;TEXT(M151,"yyyy-mm-dd"),BDD_Calendrier!$I$2:$I$616,0)),""))</f>
        <v/>
      </c>
      <c r="P151">
        <f>IF(L151=0,"",_xlfn.MAXIFS(BDD_Calendrier!$D$2:$D$616,BDD_Calendrier!$A$2:$A$616,$B151,BDD_Calendrier!$C$2:$C$616,"Rachat"))</f>
        <v/>
      </c>
      <c r="Q151">
        <f>IF($C151="","",IF($C151&gt;TODAY(),"FUTUR",DATEDIF($C151,TODAY(),"m")))</f>
        <v/>
      </c>
      <c r="R151">
        <f>COUNTIF(BDD_Penalites!$A$2:$A$130,$B151)</f>
        <v/>
      </c>
      <c r="S151">
        <f>IF(R151=0,"inconnue",INDEX(BDD_Penalites!$C$2:$C$130,MATCH($B151,BDD_Penalites!$A$2:$A$130,0)))</f>
        <v/>
      </c>
      <c r="T151">
        <f>IF(R151=0,"",INDEX(BDD_Penalites!$M$2:$M$130,MATCH($B151,BDD_Penalites!$A$2:$A$130,0)))</f>
        <v/>
      </c>
      <c r="U151">
        <f>IF(R151=0,0,INDEX(BDD_Penalites!$D$2:$D$130,MATCH($B151,BDD_Penalites!$A$2:$A$130,0)))</f>
        <v/>
      </c>
      <c r="V151">
        <f>IF(R151=0,0,INDEX(BDD_Penalites!$E$2:$E$130,MATCH($B151,BDD_Penalites!$A$2:$A$130,0)))</f>
        <v/>
      </c>
      <c r="W151">
        <f>IF(R151=0,0,INDEX(BDD_Penalites!$F$2:$F$130,MATCH($B151,BDD_Penalites!$A$2:$A$130,0)))</f>
        <v/>
      </c>
      <c r="X151">
        <f>IF(R151=0,0,INDEX(BDD_Penalites!$G$2:$G$130,MATCH($B151,BDD_Penalites!$A$2:$A$130,0)))</f>
        <v/>
      </c>
      <c r="Y151">
        <f>IF(R151=0,0,INDEX(BDD_Penalites!$H$2:$H$130,MATCH($B151,BDD_Penalites!$A$2:$A$130,0)))</f>
        <v/>
      </c>
      <c r="Z151">
        <f>IF(R151=0,0,INDEX(BDD_Penalites!$I$2:$I$130,MATCH($B151,BDD_Penalites!$A$2:$A$130,0)))</f>
        <v/>
      </c>
      <c r="AA151">
        <f>IF(R151=0,0,INDEX(BDD_Penalites!$J$2:$J$130,MATCH($B151,BDD_Penalites!$A$2:$A$130,0)))</f>
        <v/>
      </c>
      <c r="AB151">
        <f>IF(R151=0,0,INDEX(BDD_Penalites!$K$2:$K$130,MATCH($B151,BDD_Penalites!$A$2:$A$130,0)))</f>
        <v/>
      </c>
      <c r="AC151">
        <f>IF(R151=0,0,INDEX(BDD_Penalites!$L$2:$L$130,MATCH($B151,BDD_Penalites!$A$2:$A$130,0)))</f>
        <v/>
      </c>
      <c r="AD151">
        <f>IF(OR($C151="",Q151="FUTUR"),"",_xlfn.IFS(Q151&lt;U151,V151,Q151&lt;W151,X151,Q151&lt;Y151,Z151,Q151&lt;AA151,AB151,TRUE,AC151))</f>
        <v/>
      </c>
    </row>
    <row r="152" ht="13.5" customHeight="1">
      <c r="A152" s="65" t="inlineStr">
        <is>
          <t>Remake Live</t>
        </is>
      </c>
      <c r="B152" s="66" t="inlineStr">
        <is>
          <t>SCPI00004799</t>
        </is>
      </c>
      <c r="C152" s="268" t="n"/>
      <c r="D152" s="269">
        <f>IF(H152=0,"Calendrier non disponible pour ce fonds — contacter la société de gestion.",IF(I152="","Calendrier connu jusqu'au "&amp;TEXT(K152,"dd/mm/yyyy")&amp;" — demander le calendrier à jour.","Cut-off : "&amp;TEXT(I152,"dd/mm/yyyy")&amp;"  |  VL : "&amp;TEXT(J152,"dd/mm/yyyy")))</f>
        <v/>
      </c>
      <c r="E152" s="269">
        <f>IF(L152=0,"Calendrier non disponible pour ce fonds — contacter la société de gestion.",IF(M152="","Calendrier connu jusqu'au "&amp;TEXT(P152,"dd/mm/yyyy")&amp;" — demander le calendrier à jour.","Cut-off : "&amp;TEXT(M152,"dd/mm/yyyy")&amp;"  |  VL : "&amp;TEXT(N152,"dd/mm/yyyy")))</f>
        <v/>
      </c>
      <c r="F152" s="269">
        <f>IF(L152=0,"Calendrier non disponible pour ce fonds.",IF(M152="","Calendrier connu jusqu'au "&amp;TEXT(P152,"dd/mm/yyyy")&amp;".",IF(O152="","Non précisé dans le calendrier pour cette échéance.","Réception : "&amp;TEXT(O152,"dd/mm/yyyy")&amp;"  (suite au rachat du "&amp;TEXT(N152,"dd/mm/yyyy")&amp;")")))</f>
        <v/>
      </c>
      <c r="G152" s="269">
        <f>_xlfn.IFS(S152="aucune","Aucune pénalité de sortie."&amp;IF(T152&lt;&gt;""," ("&amp;T152&amp;")",""),S152="manuel","⚠️ À VÉRIFIER MANUELLEMENT : "&amp;T152,S152="inconnue","Pénalité non renseignée — vérifier la notice / DICI du fonds.",$C152="","Saisir une date d'investissement pour statuer sur la pénalité.",Q152="FUTUR","Date d'investissement postérieure à aujourd'hui — vérifier la saisie.",AD152&gt;0,"⚠️ CONCERNÉ : pénalité de "&amp;AD152&amp;"% (détention "&amp;Q152&amp;" mois). "&amp;T152,TRUE,"Non concerné (détention "&amp;Q152&amp;" mois). "&amp;T152)</f>
        <v/>
      </c>
      <c r="H152">
        <f>COUNTIFS(BDD_Calendrier!$A$2:$A$616,$B152,BDD_Calendrier!$C$2:$C$616,"Souscription")</f>
        <v/>
      </c>
      <c r="I152">
        <f>IF(H152=0,"",IFERROR(_xlfn.MINIFS(BDD_Calendrier!$D$2:$D$616,BDD_Calendrier!$A$2:$A$616,$B152,BDD_Calendrier!$C$2:$C$616,"Souscription",BDD_Calendrier!$D$2:$D$616,"&gt;="&amp;TODAY()),""))</f>
        <v/>
      </c>
      <c r="J152">
        <f>IF(I152="","",IFERROR(INDEX(BDD_Calendrier!$E$2:$E$616,MATCH($B152&amp;"|Souscription|"&amp;TEXT(I152,"yyyy-mm-dd"),BDD_Calendrier!$I$2:$I$616,0)),""))</f>
        <v/>
      </c>
      <c r="K152">
        <f>IF(H152=0,"",_xlfn.MAXIFS(BDD_Calendrier!$D$2:$D$616,BDD_Calendrier!$A$2:$A$616,$B152,BDD_Calendrier!$C$2:$C$616,"Souscription"))</f>
        <v/>
      </c>
      <c r="L152">
        <f>COUNTIFS(BDD_Calendrier!$A$2:$A$616,$B152,BDD_Calendrier!$C$2:$C$616,"Rachat")</f>
        <v/>
      </c>
      <c r="M152">
        <f>IF(L152=0,"",IFERROR(_xlfn.MINIFS(BDD_Calendrier!$D$2:$D$616,BDD_Calendrier!$A$2:$A$616,$B152,BDD_Calendrier!$C$2:$C$616,"Rachat",BDD_Calendrier!$D$2:$D$616,"&gt;="&amp;TODAY()),""))</f>
        <v/>
      </c>
      <c r="N152">
        <f>IF(M152="","",IFERROR(INDEX(BDD_Calendrier!$E$2:$E$616,MATCH($B152&amp;"|Rachat|"&amp;TEXT(M152,"yyyy-mm-dd"),BDD_Calendrier!$I$2:$I$616,0)),""))</f>
        <v/>
      </c>
      <c r="O152">
        <f>IF(M152="","",IFERROR(INDEX(BDD_Calendrier!$H$2:$H$616,MATCH($B152&amp;"|Rachat|"&amp;TEXT(M152,"yyyy-mm-dd"),BDD_Calendrier!$I$2:$I$616,0)),""))</f>
        <v/>
      </c>
      <c r="P152">
        <f>IF(L152=0,"",_xlfn.MAXIFS(BDD_Calendrier!$D$2:$D$616,BDD_Calendrier!$A$2:$A$616,$B152,BDD_Calendrier!$C$2:$C$616,"Rachat"))</f>
        <v/>
      </c>
      <c r="Q152">
        <f>IF($C152="","",IF($C152&gt;TODAY(),"FUTUR",DATEDIF($C152,TODAY(),"m")))</f>
        <v/>
      </c>
      <c r="R152">
        <f>COUNTIF(BDD_Penalites!$A$2:$A$130,$B152)</f>
        <v/>
      </c>
      <c r="S152">
        <f>IF(R152=0,"inconnue",INDEX(BDD_Penalites!$C$2:$C$130,MATCH($B152,BDD_Penalites!$A$2:$A$130,0)))</f>
        <v/>
      </c>
      <c r="T152">
        <f>IF(R152=0,"",INDEX(BDD_Penalites!$M$2:$M$130,MATCH($B152,BDD_Penalites!$A$2:$A$130,0)))</f>
        <v/>
      </c>
      <c r="U152">
        <f>IF(R152=0,0,INDEX(BDD_Penalites!$D$2:$D$130,MATCH($B152,BDD_Penalites!$A$2:$A$130,0)))</f>
        <v/>
      </c>
      <c r="V152">
        <f>IF(R152=0,0,INDEX(BDD_Penalites!$E$2:$E$130,MATCH($B152,BDD_Penalites!$A$2:$A$130,0)))</f>
        <v/>
      </c>
      <c r="W152">
        <f>IF(R152=0,0,INDEX(BDD_Penalites!$F$2:$F$130,MATCH($B152,BDD_Penalites!$A$2:$A$130,0)))</f>
        <v/>
      </c>
      <c r="X152">
        <f>IF(R152=0,0,INDEX(BDD_Penalites!$G$2:$G$130,MATCH($B152,BDD_Penalites!$A$2:$A$130,0)))</f>
        <v/>
      </c>
      <c r="Y152">
        <f>IF(R152=0,0,INDEX(BDD_Penalites!$H$2:$H$130,MATCH($B152,BDD_Penalites!$A$2:$A$130,0)))</f>
        <v/>
      </c>
      <c r="Z152">
        <f>IF(R152=0,0,INDEX(BDD_Penalites!$I$2:$I$130,MATCH($B152,BDD_Penalites!$A$2:$A$130,0)))</f>
        <v/>
      </c>
      <c r="AA152">
        <f>IF(R152=0,0,INDEX(BDD_Penalites!$J$2:$J$130,MATCH($B152,BDD_Penalites!$A$2:$A$130,0)))</f>
        <v/>
      </c>
      <c r="AB152">
        <f>IF(R152=0,0,INDEX(BDD_Penalites!$K$2:$K$130,MATCH($B152,BDD_Penalites!$A$2:$A$130,0)))</f>
        <v/>
      </c>
      <c r="AC152">
        <f>IF(R152=0,0,INDEX(BDD_Penalites!$L$2:$L$130,MATCH($B152,BDD_Penalites!$A$2:$A$130,0)))</f>
        <v/>
      </c>
      <c r="AD152">
        <f>IF(OR($C152="",Q152="FUTUR"),"",_xlfn.IFS(Q152&lt;U152,V152,Q152&lt;W152,X152,Q152&lt;Y152,Z152,Q152&lt;AA152,AB152,TRUE,AC152))</f>
        <v/>
      </c>
    </row>
    <row r="153" ht="13.5" customHeight="1">
      <c r="A153" s="65" t="inlineStr">
        <is>
          <t>SCPI Remake Live - Part D</t>
        </is>
      </c>
      <c r="B153" s="66" t="inlineStr">
        <is>
          <t>FR001400E052</t>
        </is>
      </c>
      <c r="C153" s="268" t="n"/>
      <c r="D153" s="269">
        <f>IF(H153=0,"Calendrier non disponible pour ce fonds — contacter la société de gestion.",IF(I153="","Calendrier connu jusqu'au "&amp;TEXT(K153,"dd/mm/yyyy")&amp;" — demander le calendrier à jour.","Cut-off : "&amp;TEXT(I153,"dd/mm/yyyy")&amp;"  |  VL : "&amp;TEXT(J153,"dd/mm/yyyy")))</f>
        <v/>
      </c>
      <c r="E153" s="269">
        <f>IF(L153=0,"Calendrier non disponible pour ce fonds — contacter la société de gestion.",IF(M153="","Calendrier connu jusqu'au "&amp;TEXT(P153,"dd/mm/yyyy")&amp;" — demander le calendrier à jour.","Cut-off : "&amp;TEXT(M153,"dd/mm/yyyy")&amp;"  |  VL : "&amp;TEXT(N153,"dd/mm/yyyy")))</f>
        <v/>
      </c>
      <c r="F153" s="269">
        <f>IF(L153=0,"Calendrier non disponible pour ce fonds.",IF(M153="","Calendrier connu jusqu'au "&amp;TEXT(P153,"dd/mm/yyyy")&amp;".",IF(O153="","Non précisé dans le calendrier pour cette échéance.","Réception : "&amp;TEXT(O153,"dd/mm/yyyy")&amp;"  (suite au rachat du "&amp;TEXT(N153,"dd/mm/yyyy")&amp;")")))</f>
        <v/>
      </c>
      <c r="G153" s="269">
        <f>_xlfn.IFS(S153="aucune","Aucune pénalité de sortie."&amp;IF(T153&lt;&gt;""," ("&amp;T153&amp;")",""),S153="manuel","⚠️ À VÉRIFIER MANUELLEMENT : "&amp;T153,S153="inconnue","Pénalité non renseignée — vérifier la notice / DICI du fonds.",$C153="","Saisir une date d'investissement pour statuer sur la pénalité.",Q153="FUTUR","Date d'investissement postérieure à aujourd'hui — vérifier la saisie.",AD153&gt;0,"⚠️ CONCERNÉ : pénalité de "&amp;AD153&amp;"% (détention "&amp;Q153&amp;" mois). "&amp;T153,TRUE,"Non concerné (détention "&amp;Q153&amp;" mois). "&amp;T153)</f>
        <v/>
      </c>
      <c r="H153">
        <f>COUNTIFS(BDD_Calendrier!$A$2:$A$616,$B153,BDD_Calendrier!$C$2:$C$616,"Souscription")</f>
        <v/>
      </c>
      <c r="I153">
        <f>IF(H153=0,"",IFERROR(_xlfn.MINIFS(BDD_Calendrier!$D$2:$D$616,BDD_Calendrier!$A$2:$A$616,$B153,BDD_Calendrier!$C$2:$C$616,"Souscription",BDD_Calendrier!$D$2:$D$616,"&gt;="&amp;TODAY()),""))</f>
        <v/>
      </c>
      <c r="J153">
        <f>IF(I153="","",IFERROR(INDEX(BDD_Calendrier!$E$2:$E$616,MATCH($B153&amp;"|Souscription|"&amp;TEXT(I153,"yyyy-mm-dd"),BDD_Calendrier!$I$2:$I$616,0)),""))</f>
        <v/>
      </c>
      <c r="K153">
        <f>IF(H153=0,"",_xlfn.MAXIFS(BDD_Calendrier!$D$2:$D$616,BDD_Calendrier!$A$2:$A$616,$B153,BDD_Calendrier!$C$2:$C$616,"Souscription"))</f>
        <v/>
      </c>
      <c r="L153">
        <f>COUNTIFS(BDD_Calendrier!$A$2:$A$616,$B153,BDD_Calendrier!$C$2:$C$616,"Rachat")</f>
        <v/>
      </c>
      <c r="M153">
        <f>IF(L153=0,"",IFERROR(_xlfn.MINIFS(BDD_Calendrier!$D$2:$D$616,BDD_Calendrier!$A$2:$A$616,$B153,BDD_Calendrier!$C$2:$C$616,"Rachat",BDD_Calendrier!$D$2:$D$616,"&gt;="&amp;TODAY()),""))</f>
        <v/>
      </c>
      <c r="N153">
        <f>IF(M153="","",IFERROR(INDEX(BDD_Calendrier!$E$2:$E$616,MATCH($B153&amp;"|Rachat|"&amp;TEXT(M153,"yyyy-mm-dd"),BDD_Calendrier!$I$2:$I$616,0)),""))</f>
        <v/>
      </c>
      <c r="O153">
        <f>IF(M153="","",IFERROR(INDEX(BDD_Calendrier!$H$2:$H$616,MATCH($B153&amp;"|Rachat|"&amp;TEXT(M153,"yyyy-mm-dd"),BDD_Calendrier!$I$2:$I$616,0)),""))</f>
        <v/>
      </c>
      <c r="P153">
        <f>IF(L153=0,"",_xlfn.MAXIFS(BDD_Calendrier!$D$2:$D$616,BDD_Calendrier!$A$2:$A$616,$B153,BDD_Calendrier!$C$2:$C$616,"Rachat"))</f>
        <v/>
      </c>
      <c r="Q153">
        <f>IF($C153="","",IF($C153&gt;TODAY(),"FUTUR",DATEDIF($C153,TODAY(),"m")))</f>
        <v/>
      </c>
      <c r="R153">
        <f>COUNTIF(BDD_Penalites!$A$2:$A$130,$B153)</f>
        <v/>
      </c>
      <c r="S153">
        <f>IF(R153=0,"inconnue",INDEX(BDD_Penalites!$C$2:$C$130,MATCH($B153,BDD_Penalites!$A$2:$A$130,0)))</f>
        <v/>
      </c>
      <c r="T153">
        <f>IF(R153=0,"",INDEX(BDD_Penalites!$M$2:$M$130,MATCH($B153,BDD_Penalites!$A$2:$A$130,0)))</f>
        <v/>
      </c>
      <c r="U153">
        <f>IF(R153=0,0,INDEX(BDD_Penalites!$D$2:$D$130,MATCH($B153,BDD_Penalites!$A$2:$A$130,0)))</f>
        <v/>
      </c>
      <c r="V153">
        <f>IF(R153=0,0,INDEX(BDD_Penalites!$E$2:$E$130,MATCH($B153,BDD_Penalites!$A$2:$A$130,0)))</f>
        <v/>
      </c>
      <c r="W153">
        <f>IF(R153=0,0,INDEX(BDD_Penalites!$F$2:$F$130,MATCH($B153,BDD_Penalites!$A$2:$A$130,0)))</f>
        <v/>
      </c>
      <c r="X153">
        <f>IF(R153=0,0,INDEX(BDD_Penalites!$G$2:$G$130,MATCH($B153,BDD_Penalites!$A$2:$A$130,0)))</f>
        <v/>
      </c>
      <c r="Y153">
        <f>IF(R153=0,0,INDEX(BDD_Penalites!$H$2:$H$130,MATCH($B153,BDD_Penalites!$A$2:$A$130,0)))</f>
        <v/>
      </c>
      <c r="Z153">
        <f>IF(R153=0,0,INDEX(BDD_Penalites!$I$2:$I$130,MATCH($B153,BDD_Penalites!$A$2:$A$130,0)))</f>
        <v/>
      </c>
      <c r="AA153">
        <f>IF(R153=0,0,INDEX(BDD_Penalites!$J$2:$J$130,MATCH($B153,BDD_Penalites!$A$2:$A$130,0)))</f>
        <v/>
      </c>
      <c r="AB153">
        <f>IF(R153=0,0,INDEX(BDD_Penalites!$K$2:$K$130,MATCH($B153,BDD_Penalites!$A$2:$A$130,0)))</f>
        <v/>
      </c>
      <c r="AC153">
        <f>IF(R153=0,0,INDEX(BDD_Penalites!$L$2:$L$130,MATCH($B153,BDD_Penalites!$A$2:$A$130,0)))</f>
        <v/>
      </c>
      <c r="AD153">
        <f>IF(OR($C153="",Q153="FUTUR"),"",_xlfn.IFS(Q153&lt;U153,V153,Q153&lt;W153,X153,Q153&lt;Y153,Z153,Q153&lt;AA153,AB153,TRUE,AC153))</f>
        <v/>
      </c>
    </row>
    <row r="154" ht="13.5" customHeight="1">
      <c r="A154" s="65" t="inlineStr">
        <is>
          <t>Partners Group Global Real Estate FCP I</t>
        </is>
      </c>
      <c r="B154" s="66" t="inlineStr">
        <is>
          <t>LU1346205443</t>
        </is>
      </c>
      <c r="C154" s="268" t="n"/>
      <c r="D154" s="269">
        <f>IF(H154=0,"Calendrier non disponible pour ce fonds — contacter la société de gestion.",IF(I154="","Calendrier connu jusqu'au "&amp;TEXT(K154,"dd/mm/yyyy")&amp;" — demander le calendrier à jour.","Cut-off : "&amp;TEXT(I154,"dd/mm/yyyy")&amp;"  |  VL : "&amp;TEXT(J154,"dd/mm/yyyy")))</f>
        <v/>
      </c>
      <c r="E154" s="269">
        <f>IF(L154=0,"Calendrier non disponible pour ce fonds — contacter la société de gestion.",IF(M154="","Calendrier connu jusqu'au "&amp;TEXT(P154,"dd/mm/yyyy")&amp;" — demander le calendrier à jour.","Cut-off : "&amp;TEXT(M154,"dd/mm/yyyy")&amp;"  |  VL : "&amp;TEXT(N154,"dd/mm/yyyy")))</f>
        <v/>
      </c>
      <c r="F154" s="269">
        <f>IF(L154=0,"Calendrier non disponible pour ce fonds.",IF(M154="","Calendrier connu jusqu'au "&amp;TEXT(P154,"dd/mm/yyyy")&amp;".",IF(O154="","Non précisé dans le calendrier pour cette échéance.","Réception : "&amp;TEXT(O154,"dd/mm/yyyy")&amp;"  (suite au rachat du "&amp;TEXT(N154,"dd/mm/yyyy")&amp;")")))</f>
        <v/>
      </c>
      <c r="G154" s="269">
        <f>_xlfn.IFS(S154="aucune","Aucune pénalité de sortie."&amp;IF(T154&lt;&gt;""," ("&amp;T154&amp;")",""),S154="manuel","⚠️ À VÉRIFIER MANUELLEMENT : "&amp;T154,S154="inconnue","Pénalité non renseignée — vérifier la notice / DICI du fonds.",$C154="","Saisir une date d'investissement pour statuer sur la pénalité.",Q154="FUTUR","Date d'investissement postérieure à aujourd'hui — vérifier la saisie.",AD154&gt;0,"⚠️ CONCERNÉ : pénalité de "&amp;AD154&amp;"% (détention "&amp;Q154&amp;" mois). "&amp;T154,TRUE,"Non concerné (détention "&amp;Q154&amp;" mois). "&amp;T154)</f>
        <v/>
      </c>
      <c r="H154">
        <f>COUNTIFS(BDD_Calendrier!$A$2:$A$616,$B154,BDD_Calendrier!$C$2:$C$616,"Souscription")</f>
        <v/>
      </c>
      <c r="I154">
        <f>IF(H154=0,"",IFERROR(_xlfn.MINIFS(BDD_Calendrier!$D$2:$D$616,BDD_Calendrier!$A$2:$A$616,$B154,BDD_Calendrier!$C$2:$C$616,"Souscription",BDD_Calendrier!$D$2:$D$616,"&gt;="&amp;TODAY()),""))</f>
        <v/>
      </c>
      <c r="J154">
        <f>IF(I154="","",IFERROR(INDEX(BDD_Calendrier!$E$2:$E$616,MATCH($B154&amp;"|Souscription|"&amp;TEXT(I154,"yyyy-mm-dd"),BDD_Calendrier!$I$2:$I$616,0)),""))</f>
        <v/>
      </c>
      <c r="K154">
        <f>IF(H154=0,"",_xlfn.MAXIFS(BDD_Calendrier!$D$2:$D$616,BDD_Calendrier!$A$2:$A$616,$B154,BDD_Calendrier!$C$2:$C$616,"Souscription"))</f>
        <v/>
      </c>
      <c r="L154">
        <f>COUNTIFS(BDD_Calendrier!$A$2:$A$616,$B154,BDD_Calendrier!$C$2:$C$616,"Rachat")</f>
        <v/>
      </c>
      <c r="M154">
        <f>IF(L154=0,"",IFERROR(_xlfn.MINIFS(BDD_Calendrier!$D$2:$D$616,BDD_Calendrier!$A$2:$A$616,$B154,BDD_Calendrier!$C$2:$C$616,"Rachat",BDD_Calendrier!$D$2:$D$616,"&gt;="&amp;TODAY()),""))</f>
        <v/>
      </c>
      <c r="N154">
        <f>IF(M154="","",IFERROR(INDEX(BDD_Calendrier!$E$2:$E$616,MATCH($B154&amp;"|Rachat|"&amp;TEXT(M154,"yyyy-mm-dd"),BDD_Calendrier!$I$2:$I$616,0)),""))</f>
        <v/>
      </c>
      <c r="O154">
        <f>IF(M154="","",IFERROR(INDEX(BDD_Calendrier!$H$2:$H$616,MATCH($B154&amp;"|Rachat|"&amp;TEXT(M154,"yyyy-mm-dd"),BDD_Calendrier!$I$2:$I$616,0)),""))</f>
        <v/>
      </c>
      <c r="P154">
        <f>IF(L154=0,"",_xlfn.MAXIFS(BDD_Calendrier!$D$2:$D$616,BDD_Calendrier!$A$2:$A$616,$B154,BDD_Calendrier!$C$2:$C$616,"Rachat"))</f>
        <v/>
      </c>
      <c r="Q154">
        <f>IF($C154="","",IF($C154&gt;TODAY(),"FUTUR",DATEDIF($C154,TODAY(),"m")))</f>
        <v/>
      </c>
      <c r="R154">
        <f>COUNTIF(BDD_Penalites!$A$2:$A$130,$B154)</f>
        <v/>
      </c>
      <c r="S154">
        <f>IF(R154=0,"inconnue",INDEX(BDD_Penalites!$C$2:$C$130,MATCH($B154,BDD_Penalites!$A$2:$A$130,0)))</f>
        <v/>
      </c>
      <c r="T154">
        <f>IF(R154=0,"",INDEX(BDD_Penalites!$M$2:$M$130,MATCH($B154,BDD_Penalites!$A$2:$A$130,0)))</f>
        <v/>
      </c>
      <c r="U154">
        <f>IF(R154=0,0,INDEX(BDD_Penalites!$D$2:$D$130,MATCH($B154,BDD_Penalites!$A$2:$A$130,0)))</f>
        <v/>
      </c>
      <c r="V154">
        <f>IF(R154=0,0,INDEX(BDD_Penalites!$E$2:$E$130,MATCH($B154,BDD_Penalites!$A$2:$A$130,0)))</f>
        <v/>
      </c>
      <c r="W154">
        <f>IF(R154=0,0,INDEX(BDD_Penalites!$F$2:$F$130,MATCH($B154,BDD_Penalites!$A$2:$A$130,0)))</f>
        <v/>
      </c>
      <c r="X154">
        <f>IF(R154=0,0,INDEX(BDD_Penalites!$G$2:$G$130,MATCH($B154,BDD_Penalites!$A$2:$A$130,0)))</f>
        <v/>
      </c>
      <c r="Y154">
        <f>IF(R154=0,0,INDEX(BDD_Penalites!$H$2:$H$130,MATCH($B154,BDD_Penalites!$A$2:$A$130,0)))</f>
        <v/>
      </c>
      <c r="Z154">
        <f>IF(R154=0,0,INDEX(BDD_Penalites!$I$2:$I$130,MATCH($B154,BDD_Penalites!$A$2:$A$130,0)))</f>
        <v/>
      </c>
      <c r="AA154">
        <f>IF(R154=0,0,INDEX(BDD_Penalites!$J$2:$J$130,MATCH($B154,BDD_Penalites!$A$2:$A$130,0)))</f>
        <v/>
      </c>
      <c r="AB154">
        <f>IF(R154=0,0,INDEX(BDD_Penalites!$K$2:$K$130,MATCH($B154,BDD_Penalites!$A$2:$A$130,0)))</f>
        <v/>
      </c>
      <c r="AC154">
        <f>IF(R154=0,0,INDEX(BDD_Penalites!$L$2:$L$130,MATCH($B154,BDD_Penalites!$A$2:$A$130,0)))</f>
        <v/>
      </c>
      <c r="AD154">
        <f>IF(OR($C154="",Q154="FUTUR"),"",_xlfn.IFS(Q154&lt;U154,V154,Q154&lt;W154,X154,Q154&lt;Y154,Z154,Q154&lt;AA154,AB154,TRUE,AC154))</f>
        <v/>
      </c>
    </row>
    <row r="155" ht="13.5" customHeight="1">
      <c r="A155" s="65" t="inlineStr">
        <is>
          <t>Schroder Global Real Estate Total Return</t>
        </is>
      </c>
      <c r="B155" s="66" t="inlineStr">
        <is>
          <t>LU2658265710</t>
        </is>
      </c>
      <c r="C155" s="268" t="n"/>
      <c r="D155" s="269">
        <f>IF(H155=0,"Calendrier non disponible pour ce fonds — contacter la société de gestion.",IF(I155="","Calendrier connu jusqu'au "&amp;TEXT(K155,"dd/mm/yyyy")&amp;" — demander le calendrier à jour.","Cut-off : "&amp;TEXT(I155,"dd/mm/yyyy")&amp;"  |  VL : "&amp;TEXT(J155,"dd/mm/yyyy")))</f>
        <v/>
      </c>
      <c r="E155" s="269">
        <f>IF(L155=0,"Calendrier non disponible pour ce fonds — contacter la société de gestion.",IF(M155="","Calendrier connu jusqu'au "&amp;TEXT(P155,"dd/mm/yyyy")&amp;" — demander le calendrier à jour.","Cut-off : "&amp;TEXT(M155,"dd/mm/yyyy")&amp;"  |  VL : "&amp;TEXT(N155,"dd/mm/yyyy")))</f>
        <v/>
      </c>
      <c r="F155" s="269">
        <f>IF(L155=0,"Calendrier non disponible pour ce fonds.",IF(M155="","Calendrier connu jusqu'au "&amp;TEXT(P155,"dd/mm/yyyy")&amp;".",IF(O155="","Non précisé dans le calendrier pour cette échéance.","Réception : "&amp;TEXT(O155,"dd/mm/yyyy")&amp;"  (suite au rachat du "&amp;TEXT(N155,"dd/mm/yyyy")&amp;")")))</f>
        <v/>
      </c>
      <c r="G155" s="269">
        <f>_xlfn.IFS(S155="aucune","Aucune pénalité de sortie."&amp;IF(T155&lt;&gt;""," ("&amp;T155&amp;")",""),S155="manuel","⚠️ À VÉRIFIER MANUELLEMENT : "&amp;T155,S155="inconnue","Pénalité non renseignée — vérifier la notice / DICI du fonds.",$C155="","Saisir une date d'investissement pour statuer sur la pénalité.",Q155="FUTUR","Date d'investissement postérieure à aujourd'hui — vérifier la saisie.",AD155&gt;0,"⚠️ CONCERNÉ : pénalité de "&amp;AD155&amp;"% (détention "&amp;Q155&amp;" mois). "&amp;T155,TRUE,"Non concerné (détention "&amp;Q155&amp;" mois). "&amp;T155)</f>
        <v/>
      </c>
      <c r="H155">
        <f>COUNTIFS(BDD_Calendrier!$A$2:$A$616,$B155,BDD_Calendrier!$C$2:$C$616,"Souscription")</f>
        <v/>
      </c>
      <c r="I155">
        <f>IF(H155=0,"",IFERROR(_xlfn.MINIFS(BDD_Calendrier!$D$2:$D$616,BDD_Calendrier!$A$2:$A$616,$B155,BDD_Calendrier!$C$2:$C$616,"Souscription",BDD_Calendrier!$D$2:$D$616,"&gt;="&amp;TODAY()),""))</f>
        <v/>
      </c>
      <c r="J155">
        <f>IF(I155="","",IFERROR(INDEX(BDD_Calendrier!$E$2:$E$616,MATCH($B155&amp;"|Souscription|"&amp;TEXT(I155,"yyyy-mm-dd"),BDD_Calendrier!$I$2:$I$616,0)),""))</f>
        <v/>
      </c>
      <c r="K155">
        <f>IF(H155=0,"",_xlfn.MAXIFS(BDD_Calendrier!$D$2:$D$616,BDD_Calendrier!$A$2:$A$616,$B155,BDD_Calendrier!$C$2:$C$616,"Souscription"))</f>
        <v/>
      </c>
      <c r="L155">
        <f>COUNTIFS(BDD_Calendrier!$A$2:$A$616,$B155,BDD_Calendrier!$C$2:$C$616,"Rachat")</f>
        <v/>
      </c>
      <c r="M155">
        <f>IF(L155=0,"",IFERROR(_xlfn.MINIFS(BDD_Calendrier!$D$2:$D$616,BDD_Calendrier!$A$2:$A$616,$B155,BDD_Calendrier!$C$2:$C$616,"Rachat",BDD_Calendrier!$D$2:$D$616,"&gt;="&amp;TODAY()),""))</f>
        <v/>
      </c>
      <c r="N155">
        <f>IF(M155="","",IFERROR(INDEX(BDD_Calendrier!$E$2:$E$616,MATCH($B155&amp;"|Rachat|"&amp;TEXT(M155,"yyyy-mm-dd"),BDD_Calendrier!$I$2:$I$616,0)),""))</f>
        <v/>
      </c>
      <c r="O155">
        <f>IF(M155="","",IFERROR(INDEX(BDD_Calendrier!$H$2:$H$616,MATCH($B155&amp;"|Rachat|"&amp;TEXT(M155,"yyyy-mm-dd"),BDD_Calendrier!$I$2:$I$616,0)),""))</f>
        <v/>
      </c>
      <c r="P155">
        <f>IF(L155=0,"",_xlfn.MAXIFS(BDD_Calendrier!$D$2:$D$616,BDD_Calendrier!$A$2:$A$616,$B155,BDD_Calendrier!$C$2:$C$616,"Rachat"))</f>
        <v/>
      </c>
      <c r="Q155">
        <f>IF($C155="","",IF($C155&gt;TODAY(),"FUTUR",DATEDIF($C155,TODAY(),"m")))</f>
        <v/>
      </c>
      <c r="R155">
        <f>COUNTIF(BDD_Penalites!$A$2:$A$130,$B155)</f>
        <v/>
      </c>
      <c r="S155">
        <f>IF(R155=0,"inconnue",INDEX(BDD_Penalites!$C$2:$C$130,MATCH($B155,BDD_Penalites!$A$2:$A$130,0)))</f>
        <v/>
      </c>
      <c r="T155">
        <f>IF(R155=0,"",INDEX(BDD_Penalites!$M$2:$M$130,MATCH($B155,BDD_Penalites!$A$2:$A$130,0)))</f>
        <v/>
      </c>
      <c r="U155">
        <f>IF(R155=0,0,INDEX(BDD_Penalites!$D$2:$D$130,MATCH($B155,BDD_Penalites!$A$2:$A$130,0)))</f>
        <v/>
      </c>
      <c r="V155">
        <f>IF(R155=0,0,INDEX(BDD_Penalites!$E$2:$E$130,MATCH($B155,BDD_Penalites!$A$2:$A$130,0)))</f>
        <v/>
      </c>
      <c r="W155">
        <f>IF(R155=0,0,INDEX(BDD_Penalites!$F$2:$F$130,MATCH($B155,BDD_Penalites!$A$2:$A$130,0)))</f>
        <v/>
      </c>
      <c r="X155">
        <f>IF(R155=0,0,INDEX(BDD_Penalites!$G$2:$G$130,MATCH($B155,BDD_Penalites!$A$2:$A$130,0)))</f>
        <v/>
      </c>
      <c r="Y155">
        <f>IF(R155=0,0,INDEX(BDD_Penalites!$H$2:$H$130,MATCH($B155,BDD_Penalites!$A$2:$A$130,0)))</f>
        <v/>
      </c>
      <c r="Z155">
        <f>IF(R155=0,0,INDEX(BDD_Penalites!$I$2:$I$130,MATCH($B155,BDD_Penalites!$A$2:$A$130,0)))</f>
        <v/>
      </c>
      <c r="AA155">
        <f>IF(R155=0,0,INDEX(BDD_Penalites!$J$2:$J$130,MATCH($B155,BDD_Penalites!$A$2:$A$130,0)))</f>
        <v/>
      </c>
      <c r="AB155">
        <f>IF(R155=0,0,INDEX(BDD_Penalites!$K$2:$K$130,MATCH($B155,BDD_Penalites!$A$2:$A$130,0)))</f>
        <v/>
      </c>
      <c r="AC155">
        <f>IF(R155=0,0,INDEX(BDD_Penalites!$L$2:$L$130,MATCH($B155,BDD_Penalites!$A$2:$A$130,0)))</f>
        <v/>
      </c>
      <c r="AD155">
        <f>IF(OR($C155="",Q155="FUTUR"),"",_xlfn.IFS(Q155&lt;U155,V155,Q155&lt;W155,X155,Q155&lt;Y155,Z155,Q155&lt;AA155,AB155,TRUE,AC155))</f>
        <v/>
      </c>
    </row>
    <row r="156" ht="13.5" customHeight="1">
      <c r="A156" s="65" t="inlineStr">
        <is>
          <t>SLP June Opportunity</t>
        </is>
      </c>
      <c r="B156" s="66" t="inlineStr">
        <is>
          <t>FR00140001C5</t>
        </is>
      </c>
      <c r="C156" s="268" t="n"/>
      <c r="D156" s="269">
        <f>IF(H156=0,"Calendrier non disponible pour ce fonds — contacter la société de gestion.",IF(I156="","Calendrier connu jusqu'au "&amp;TEXT(K156,"dd/mm/yyyy")&amp;" — demander le calendrier à jour.","Cut-off : "&amp;TEXT(I156,"dd/mm/yyyy")&amp;"  |  VL : "&amp;TEXT(J156,"dd/mm/yyyy")))</f>
        <v/>
      </c>
      <c r="E156" s="269">
        <f>IF(L156=0,"Calendrier non disponible pour ce fonds — contacter la société de gestion.",IF(M156="","Calendrier connu jusqu'au "&amp;TEXT(P156,"dd/mm/yyyy")&amp;" — demander le calendrier à jour.","Cut-off : "&amp;TEXT(M156,"dd/mm/yyyy")&amp;"  |  VL : "&amp;TEXT(N156,"dd/mm/yyyy")))</f>
        <v/>
      </c>
      <c r="F156" s="269">
        <f>IF(L156=0,"Calendrier non disponible pour ce fonds.",IF(M156="","Calendrier connu jusqu'au "&amp;TEXT(P156,"dd/mm/yyyy")&amp;".",IF(O156="","Non précisé dans le calendrier pour cette échéance.","Réception : "&amp;TEXT(O156,"dd/mm/yyyy")&amp;"  (suite au rachat du "&amp;TEXT(N156,"dd/mm/yyyy")&amp;")")))</f>
        <v/>
      </c>
      <c r="G156" s="269">
        <f>_xlfn.IFS(S156="aucune","Aucune pénalité de sortie."&amp;IF(T156&lt;&gt;""," ("&amp;T156&amp;")",""),S156="manuel","⚠️ À VÉRIFIER MANUELLEMENT : "&amp;T156,S156="inconnue","Pénalité non renseignée — vérifier la notice / DICI du fonds.",$C156="","Saisir une date d'investissement pour statuer sur la pénalité.",Q156="FUTUR","Date d'investissement postérieure à aujourd'hui — vérifier la saisie.",AD156&gt;0,"⚠️ CONCERNÉ : pénalité de "&amp;AD156&amp;"% (détention "&amp;Q156&amp;" mois). "&amp;T156,TRUE,"Non concerné (détention "&amp;Q156&amp;" mois). "&amp;T156)</f>
        <v/>
      </c>
      <c r="H156">
        <f>COUNTIFS(BDD_Calendrier!$A$2:$A$616,$B156,BDD_Calendrier!$C$2:$C$616,"Souscription")</f>
        <v/>
      </c>
      <c r="I156">
        <f>IF(H156=0,"",IFERROR(_xlfn.MINIFS(BDD_Calendrier!$D$2:$D$616,BDD_Calendrier!$A$2:$A$616,$B156,BDD_Calendrier!$C$2:$C$616,"Souscription",BDD_Calendrier!$D$2:$D$616,"&gt;="&amp;TODAY()),""))</f>
        <v/>
      </c>
      <c r="J156">
        <f>IF(I156="","",IFERROR(INDEX(BDD_Calendrier!$E$2:$E$616,MATCH($B156&amp;"|Souscription|"&amp;TEXT(I156,"yyyy-mm-dd"),BDD_Calendrier!$I$2:$I$616,0)),""))</f>
        <v/>
      </c>
      <c r="K156">
        <f>IF(H156=0,"",_xlfn.MAXIFS(BDD_Calendrier!$D$2:$D$616,BDD_Calendrier!$A$2:$A$616,$B156,BDD_Calendrier!$C$2:$C$616,"Souscription"))</f>
        <v/>
      </c>
      <c r="L156">
        <f>COUNTIFS(BDD_Calendrier!$A$2:$A$616,$B156,BDD_Calendrier!$C$2:$C$616,"Rachat")</f>
        <v/>
      </c>
      <c r="M156">
        <f>IF(L156=0,"",IFERROR(_xlfn.MINIFS(BDD_Calendrier!$D$2:$D$616,BDD_Calendrier!$A$2:$A$616,$B156,BDD_Calendrier!$C$2:$C$616,"Rachat",BDD_Calendrier!$D$2:$D$616,"&gt;="&amp;TODAY()),""))</f>
        <v/>
      </c>
      <c r="N156">
        <f>IF(M156="","",IFERROR(INDEX(BDD_Calendrier!$E$2:$E$616,MATCH($B156&amp;"|Rachat|"&amp;TEXT(M156,"yyyy-mm-dd"),BDD_Calendrier!$I$2:$I$616,0)),""))</f>
        <v/>
      </c>
      <c r="O156">
        <f>IF(M156="","",IFERROR(INDEX(BDD_Calendrier!$H$2:$H$616,MATCH($B156&amp;"|Rachat|"&amp;TEXT(M156,"yyyy-mm-dd"),BDD_Calendrier!$I$2:$I$616,0)),""))</f>
        <v/>
      </c>
      <c r="P156">
        <f>IF(L156=0,"",_xlfn.MAXIFS(BDD_Calendrier!$D$2:$D$616,BDD_Calendrier!$A$2:$A$616,$B156,BDD_Calendrier!$C$2:$C$616,"Rachat"))</f>
        <v/>
      </c>
      <c r="Q156">
        <f>IF($C156="","",IF($C156&gt;TODAY(),"FUTUR",DATEDIF($C156,TODAY(),"m")))</f>
        <v/>
      </c>
      <c r="R156">
        <f>COUNTIF(BDD_Penalites!$A$2:$A$130,$B156)</f>
        <v/>
      </c>
      <c r="S156">
        <f>IF(R156=0,"inconnue",INDEX(BDD_Penalites!$C$2:$C$130,MATCH($B156,BDD_Penalites!$A$2:$A$130,0)))</f>
        <v/>
      </c>
      <c r="T156">
        <f>IF(R156=0,"",INDEX(BDD_Penalites!$M$2:$M$130,MATCH($B156,BDD_Penalites!$A$2:$A$130,0)))</f>
        <v/>
      </c>
      <c r="U156">
        <f>IF(R156=0,0,INDEX(BDD_Penalites!$D$2:$D$130,MATCH($B156,BDD_Penalites!$A$2:$A$130,0)))</f>
        <v/>
      </c>
      <c r="V156">
        <f>IF(R156=0,0,INDEX(BDD_Penalites!$E$2:$E$130,MATCH($B156,BDD_Penalites!$A$2:$A$130,0)))</f>
        <v/>
      </c>
      <c r="W156">
        <f>IF(R156=0,0,INDEX(BDD_Penalites!$F$2:$F$130,MATCH($B156,BDD_Penalites!$A$2:$A$130,0)))</f>
        <v/>
      </c>
      <c r="X156">
        <f>IF(R156=0,0,INDEX(BDD_Penalites!$G$2:$G$130,MATCH($B156,BDD_Penalites!$A$2:$A$130,0)))</f>
        <v/>
      </c>
      <c r="Y156">
        <f>IF(R156=0,0,INDEX(BDD_Penalites!$H$2:$H$130,MATCH($B156,BDD_Penalites!$A$2:$A$130,0)))</f>
        <v/>
      </c>
      <c r="Z156">
        <f>IF(R156=0,0,INDEX(BDD_Penalites!$I$2:$I$130,MATCH($B156,BDD_Penalites!$A$2:$A$130,0)))</f>
        <v/>
      </c>
      <c r="AA156">
        <f>IF(R156=0,0,INDEX(BDD_Penalites!$J$2:$J$130,MATCH($B156,BDD_Penalites!$A$2:$A$130,0)))</f>
        <v/>
      </c>
      <c r="AB156">
        <f>IF(R156=0,0,INDEX(BDD_Penalites!$K$2:$K$130,MATCH($B156,BDD_Penalites!$A$2:$A$130,0)))</f>
        <v/>
      </c>
      <c r="AC156">
        <f>IF(R156=0,0,INDEX(BDD_Penalites!$L$2:$L$130,MATCH($B156,BDD_Penalites!$A$2:$A$130,0)))</f>
        <v/>
      </c>
      <c r="AD156">
        <f>IF(OR($C156="",Q156="FUTUR"),"",_xlfn.IFS(Q156&lt;U156,V156,Q156&lt;W156,X156,Q156&lt;Y156,Z156,Q156&lt;AA156,AB156,TRUE,AC156))</f>
        <v/>
      </c>
    </row>
    <row r="157" ht="13.5" customFormat="1" customHeight="1" s="29">
      <c r="A157" s="65" t="inlineStr">
        <is>
          <t>White Stone Value</t>
        </is>
      </c>
      <c r="B157" s="66" t="inlineStr">
        <is>
          <t>FR0013324993</t>
        </is>
      </c>
      <c r="C157" s="268" t="n"/>
      <c r="D157" s="269">
        <f>IF(H157=0,"Calendrier non disponible pour ce fonds — contacter la société de gestion.",IF(I157="","Calendrier connu jusqu'au "&amp;TEXT(K157,"dd/mm/yyyy")&amp;" — demander le calendrier à jour.","Cut-off : "&amp;TEXT(I157,"dd/mm/yyyy")&amp;"  |  VL : "&amp;TEXT(J157,"dd/mm/yyyy")))</f>
        <v/>
      </c>
      <c r="E157" s="269">
        <f>IF(L157=0,"Calendrier non disponible pour ce fonds — contacter la société de gestion.",IF(M157="","Calendrier connu jusqu'au "&amp;TEXT(P157,"dd/mm/yyyy")&amp;" — demander le calendrier à jour.","Cut-off : "&amp;TEXT(M157,"dd/mm/yyyy")&amp;"  |  VL : "&amp;TEXT(N157,"dd/mm/yyyy")))</f>
        <v/>
      </c>
      <c r="F157" s="269">
        <f>IF(L157=0,"Calendrier non disponible pour ce fonds.",IF(M157="","Calendrier connu jusqu'au "&amp;TEXT(P157,"dd/mm/yyyy")&amp;".",IF(O157="","Non précisé dans le calendrier pour cette échéance.","Réception : "&amp;TEXT(O157,"dd/mm/yyyy")&amp;"  (suite au rachat du "&amp;TEXT(N157,"dd/mm/yyyy")&amp;")")))</f>
        <v/>
      </c>
      <c r="G157" s="269">
        <f>_xlfn.IFS(S157="aucune","Aucune pénalité de sortie."&amp;IF(T157&lt;&gt;""," ("&amp;T157&amp;")",""),S157="manuel","⚠️ À VÉRIFIER MANUELLEMENT : "&amp;T157,S157="inconnue","Pénalité non renseignée — vérifier la notice / DICI du fonds.",$C157="","Saisir une date d'investissement pour statuer sur la pénalité.",Q157="FUTUR","Date d'investissement postérieure à aujourd'hui — vérifier la saisie.",AD157&gt;0,"⚠️ CONCERNÉ : pénalité de "&amp;AD157&amp;"% (détention "&amp;Q157&amp;" mois). "&amp;T157,TRUE,"Non concerné (détention "&amp;Q157&amp;" mois). "&amp;T157)</f>
        <v/>
      </c>
      <c r="H157">
        <f>COUNTIFS(BDD_Calendrier!$A$2:$A$616,$B157,BDD_Calendrier!$C$2:$C$616,"Souscription")</f>
        <v/>
      </c>
      <c r="I157">
        <f>IF(H157=0,"",IFERROR(_xlfn.MINIFS(BDD_Calendrier!$D$2:$D$616,BDD_Calendrier!$A$2:$A$616,$B157,BDD_Calendrier!$C$2:$C$616,"Souscription",BDD_Calendrier!$D$2:$D$616,"&gt;="&amp;TODAY()),""))</f>
        <v/>
      </c>
      <c r="J157">
        <f>IF(I157="","",IFERROR(INDEX(BDD_Calendrier!$E$2:$E$616,MATCH($B157&amp;"|Souscription|"&amp;TEXT(I157,"yyyy-mm-dd"),BDD_Calendrier!$I$2:$I$616,0)),""))</f>
        <v/>
      </c>
      <c r="K157">
        <f>IF(H157=0,"",_xlfn.MAXIFS(BDD_Calendrier!$D$2:$D$616,BDD_Calendrier!$A$2:$A$616,$B157,BDD_Calendrier!$C$2:$C$616,"Souscription"))</f>
        <v/>
      </c>
      <c r="L157">
        <f>COUNTIFS(BDD_Calendrier!$A$2:$A$616,$B157,BDD_Calendrier!$C$2:$C$616,"Rachat")</f>
        <v/>
      </c>
      <c r="M157">
        <f>IF(L157=0,"",IFERROR(_xlfn.MINIFS(BDD_Calendrier!$D$2:$D$616,BDD_Calendrier!$A$2:$A$616,$B157,BDD_Calendrier!$C$2:$C$616,"Rachat",BDD_Calendrier!$D$2:$D$616,"&gt;="&amp;TODAY()),""))</f>
        <v/>
      </c>
      <c r="N157">
        <f>IF(M157="","",IFERROR(INDEX(BDD_Calendrier!$E$2:$E$616,MATCH($B157&amp;"|Rachat|"&amp;TEXT(M157,"yyyy-mm-dd"),BDD_Calendrier!$I$2:$I$616,0)),""))</f>
        <v/>
      </c>
      <c r="O157">
        <f>IF(M157="","",IFERROR(INDEX(BDD_Calendrier!$H$2:$H$616,MATCH($B157&amp;"|Rachat|"&amp;TEXT(M157,"yyyy-mm-dd"),BDD_Calendrier!$I$2:$I$616,0)),""))</f>
        <v/>
      </c>
      <c r="P157">
        <f>IF(L157=0,"",_xlfn.MAXIFS(BDD_Calendrier!$D$2:$D$616,BDD_Calendrier!$A$2:$A$616,$B157,BDD_Calendrier!$C$2:$C$616,"Rachat"))</f>
        <v/>
      </c>
      <c r="Q157">
        <f>IF($C157="","",IF($C157&gt;TODAY(),"FUTUR",DATEDIF($C157,TODAY(),"m")))</f>
        <v/>
      </c>
      <c r="R157">
        <f>COUNTIF(BDD_Penalites!$A$2:$A$130,$B157)</f>
        <v/>
      </c>
      <c r="S157">
        <f>IF(R157=0,"inconnue",INDEX(BDD_Penalites!$C$2:$C$130,MATCH($B157,BDD_Penalites!$A$2:$A$130,0)))</f>
        <v/>
      </c>
      <c r="T157">
        <f>IF(R157=0,"",INDEX(BDD_Penalites!$M$2:$M$130,MATCH($B157,BDD_Penalites!$A$2:$A$130,0)))</f>
        <v/>
      </c>
      <c r="U157">
        <f>IF(R157=0,0,INDEX(BDD_Penalites!$D$2:$D$130,MATCH($B157,BDD_Penalites!$A$2:$A$130,0)))</f>
        <v/>
      </c>
      <c r="V157">
        <f>IF(R157=0,0,INDEX(BDD_Penalites!$E$2:$E$130,MATCH($B157,BDD_Penalites!$A$2:$A$130,0)))</f>
        <v/>
      </c>
      <c r="W157">
        <f>IF(R157=0,0,INDEX(BDD_Penalites!$F$2:$F$130,MATCH($B157,BDD_Penalites!$A$2:$A$130,0)))</f>
        <v/>
      </c>
      <c r="X157">
        <f>IF(R157=0,0,INDEX(BDD_Penalites!$G$2:$G$130,MATCH($B157,BDD_Penalites!$A$2:$A$130,0)))</f>
        <v/>
      </c>
      <c r="Y157">
        <f>IF(R157=0,0,INDEX(BDD_Penalites!$H$2:$H$130,MATCH($B157,BDD_Penalites!$A$2:$A$130,0)))</f>
        <v/>
      </c>
      <c r="Z157">
        <f>IF(R157=0,0,INDEX(BDD_Penalites!$I$2:$I$130,MATCH($B157,BDD_Penalites!$A$2:$A$130,0)))</f>
        <v/>
      </c>
      <c r="AA157">
        <f>IF(R157=0,0,INDEX(BDD_Penalites!$J$2:$J$130,MATCH($B157,BDD_Penalites!$A$2:$A$130,0)))</f>
        <v/>
      </c>
      <c r="AB157">
        <f>IF(R157=0,0,INDEX(BDD_Penalites!$K$2:$K$130,MATCH($B157,BDD_Penalites!$A$2:$A$130,0)))</f>
        <v/>
      </c>
      <c r="AC157">
        <f>IF(R157=0,0,INDEX(BDD_Penalites!$L$2:$L$130,MATCH($B157,BDD_Penalites!$A$2:$A$130,0)))</f>
        <v/>
      </c>
      <c r="AD157">
        <f>IF(OR($C157="",Q157="FUTUR"),"",_xlfn.IFS(Q157&lt;U157,V157,Q157&lt;W157,X157,Q157&lt;Y157,Z157,Q157&lt;AA157,AB157,TRUE,AC157))</f>
        <v/>
      </c>
    </row>
    <row r="158" ht="13.5" customFormat="1" customHeight="1" s="29">
      <c r="A158" s="65" t="inlineStr">
        <is>
          <t>Vadora</t>
        </is>
      </c>
      <c r="B158" s="66" t="inlineStr">
        <is>
          <t>FR00140047N5</t>
        </is>
      </c>
      <c r="C158" s="268" t="n"/>
      <c r="D158" s="269">
        <f>IF(H158=0,"Calendrier non disponible pour ce fonds — contacter la société de gestion.",IF(I158="","Calendrier connu jusqu'au "&amp;TEXT(K158,"dd/mm/yyyy")&amp;" — demander le calendrier à jour.","Cut-off : "&amp;TEXT(I158,"dd/mm/yyyy")&amp;"  |  VL : "&amp;TEXT(J158,"dd/mm/yyyy")))</f>
        <v/>
      </c>
      <c r="E158" s="269">
        <f>IF(L158=0,"Calendrier non disponible pour ce fonds — contacter la société de gestion.",IF(M158="","Calendrier connu jusqu'au "&amp;TEXT(P158,"dd/mm/yyyy")&amp;" — demander le calendrier à jour.","Cut-off : "&amp;TEXT(M158,"dd/mm/yyyy")&amp;"  |  VL : "&amp;TEXT(N158,"dd/mm/yyyy")))</f>
        <v/>
      </c>
      <c r="F158" s="269">
        <f>IF(L158=0,"Calendrier non disponible pour ce fonds.",IF(M158="","Calendrier connu jusqu'au "&amp;TEXT(P158,"dd/mm/yyyy")&amp;".",IF(O158="","Non précisé dans le calendrier pour cette échéance.","Réception : "&amp;TEXT(O158,"dd/mm/yyyy")&amp;"  (suite au rachat du "&amp;TEXT(N158,"dd/mm/yyyy")&amp;")")))</f>
        <v/>
      </c>
      <c r="G158" s="269">
        <f>_xlfn.IFS(S158="aucune","Aucune pénalité de sortie."&amp;IF(T158&lt;&gt;""," ("&amp;T158&amp;")",""),S158="manuel","⚠️ À VÉRIFIER MANUELLEMENT : "&amp;T158,S158="inconnue","Pénalité non renseignée — vérifier la notice / DICI du fonds.",$C158="","Saisir une date d'investissement pour statuer sur la pénalité.",Q158="FUTUR","Date d'investissement postérieure à aujourd'hui — vérifier la saisie.",AD158&gt;0,"⚠️ CONCERNÉ : pénalité de "&amp;AD158&amp;"% (détention "&amp;Q158&amp;" mois). "&amp;T158,TRUE,"Non concerné (détention "&amp;Q158&amp;" mois). "&amp;T158)</f>
        <v/>
      </c>
      <c r="H158">
        <f>COUNTIFS(BDD_Calendrier!$A$2:$A$616,$B158,BDD_Calendrier!$C$2:$C$616,"Souscription")</f>
        <v/>
      </c>
      <c r="I158">
        <f>IF(H158=0,"",IFERROR(_xlfn.MINIFS(BDD_Calendrier!$D$2:$D$616,BDD_Calendrier!$A$2:$A$616,$B158,BDD_Calendrier!$C$2:$C$616,"Souscription",BDD_Calendrier!$D$2:$D$616,"&gt;="&amp;TODAY()),""))</f>
        <v/>
      </c>
      <c r="J158">
        <f>IF(I158="","",IFERROR(INDEX(BDD_Calendrier!$E$2:$E$616,MATCH($B158&amp;"|Souscription|"&amp;TEXT(I158,"yyyy-mm-dd"),BDD_Calendrier!$I$2:$I$616,0)),""))</f>
        <v/>
      </c>
      <c r="K158">
        <f>IF(H158=0,"",_xlfn.MAXIFS(BDD_Calendrier!$D$2:$D$616,BDD_Calendrier!$A$2:$A$616,$B158,BDD_Calendrier!$C$2:$C$616,"Souscription"))</f>
        <v/>
      </c>
      <c r="L158">
        <f>COUNTIFS(BDD_Calendrier!$A$2:$A$616,$B158,BDD_Calendrier!$C$2:$C$616,"Rachat")</f>
        <v/>
      </c>
      <c r="M158">
        <f>IF(L158=0,"",IFERROR(_xlfn.MINIFS(BDD_Calendrier!$D$2:$D$616,BDD_Calendrier!$A$2:$A$616,$B158,BDD_Calendrier!$C$2:$C$616,"Rachat",BDD_Calendrier!$D$2:$D$616,"&gt;="&amp;TODAY()),""))</f>
        <v/>
      </c>
      <c r="N158">
        <f>IF(M158="","",IFERROR(INDEX(BDD_Calendrier!$E$2:$E$616,MATCH($B158&amp;"|Rachat|"&amp;TEXT(M158,"yyyy-mm-dd"),BDD_Calendrier!$I$2:$I$616,0)),""))</f>
        <v/>
      </c>
      <c r="O158">
        <f>IF(M158="","",IFERROR(INDEX(BDD_Calendrier!$H$2:$H$616,MATCH($B158&amp;"|Rachat|"&amp;TEXT(M158,"yyyy-mm-dd"),BDD_Calendrier!$I$2:$I$616,0)),""))</f>
        <v/>
      </c>
      <c r="P158">
        <f>IF(L158=0,"",_xlfn.MAXIFS(BDD_Calendrier!$D$2:$D$616,BDD_Calendrier!$A$2:$A$616,$B158,BDD_Calendrier!$C$2:$C$616,"Rachat"))</f>
        <v/>
      </c>
      <c r="Q158">
        <f>IF($C158="","",IF($C158&gt;TODAY(),"FUTUR",DATEDIF($C158,TODAY(),"m")))</f>
        <v/>
      </c>
      <c r="R158">
        <f>COUNTIF(BDD_Penalites!$A$2:$A$130,$B158)</f>
        <v/>
      </c>
      <c r="S158">
        <f>IF(R158=0,"inconnue",INDEX(BDD_Penalites!$C$2:$C$130,MATCH($B158,BDD_Penalites!$A$2:$A$130,0)))</f>
        <v/>
      </c>
      <c r="T158">
        <f>IF(R158=0,"",INDEX(BDD_Penalites!$M$2:$M$130,MATCH($B158,BDD_Penalites!$A$2:$A$130,0)))</f>
        <v/>
      </c>
      <c r="U158">
        <f>IF(R158=0,0,INDEX(BDD_Penalites!$D$2:$D$130,MATCH($B158,BDD_Penalites!$A$2:$A$130,0)))</f>
        <v/>
      </c>
      <c r="V158">
        <f>IF(R158=0,0,INDEX(BDD_Penalites!$E$2:$E$130,MATCH($B158,BDD_Penalites!$A$2:$A$130,0)))</f>
        <v/>
      </c>
      <c r="W158">
        <f>IF(R158=0,0,INDEX(BDD_Penalites!$F$2:$F$130,MATCH($B158,BDD_Penalites!$A$2:$A$130,0)))</f>
        <v/>
      </c>
      <c r="X158">
        <f>IF(R158=0,0,INDEX(BDD_Penalites!$G$2:$G$130,MATCH($B158,BDD_Penalites!$A$2:$A$130,0)))</f>
        <v/>
      </c>
      <c r="Y158">
        <f>IF(R158=0,0,INDEX(BDD_Penalites!$H$2:$H$130,MATCH($B158,BDD_Penalites!$A$2:$A$130,0)))</f>
        <v/>
      </c>
      <c r="Z158">
        <f>IF(R158=0,0,INDEX(BDD_Penalites!$I$2:$I$130,MATCH($B158,BDD_Penalites!$A$2:$A$130,0)))</f>
        <v/>
      </c>
      <c r="AA158">
        <f>IF(R158=0,0,INDEX(BDD_Penalites!$J$2:$J$130,MATCH($B158,BDD_Penalites!$A$2:$A$130,0)))</f>
        <v/>
      </c>
      <c r="AB158">
        <f>IF(R158=0,0,INDEX(BDD_Penalites!$K$2:$K$130,MATCH($B158,BDD_Penalites!$A$2:$A$130,0)))</f>
        <v/>
      </c>
      <c r="AC158">
        <f>IF(R158=0,0,INDEX(BDD_Penalites!$L$2:$L$130,MATCH($B158,BDD_Penalites!$A$2:$A$130,0)))</f>
        <v/>
      </c>
      <c r="AD158">
        <f>IF(OR($C158="",Q158="FUTUR"),"",_xlfn.IFS(Q158&lt;U158,V158,Q158&lt;W158,X158,Q158&lt;Y158,Z158,Q158&lt;AA158,AB158,TRUE,AC158))</f>
        <v/>
      </c>
    </row>
    <row r="159" ht="13.5" customHeight="1">
      <c r="A159" s="65" t="inlineStr">
        <is>
          <t>Club OSAE Real Estate 2 A</t>
        </is>
      </c>
      <c r="B159" s="66" t="inlineStr">
        <is>
          <t>/</t>
        </is>
      </c>
      <c r="C159" s="268" t="n"/>
      <c r="D159" s="269">
        <f>IF(H159=0,"Calendrier non disponible pour ce fonds — contacter la société de gestion.",IF(I159="","Calendrier connu jusqu'au "&amp;TEXT(K159,"dd/mm/yyyy")&amp;" — demander le calendrier à jour.","Cut-off : "&amp;TEXT(I159,"dd/mm/yyyy")&amp;"  |  VL : "&amp;TEXT(J159,"dd/mm/yyyy")))</f>
        <v/>
      </c>
      <c r="E159" s="269">
        <f>IF(L159=0,"Calendrier non disponible pour ce fonds — contacter la société de gestion.",IF(M159="","Calendrier connu jusqu'au "&amp;TEXT(P159,"dd/mm/yyyy")&amp;" — demander le calendrier à jour.","Cut-off : "&amp;TEXT(M159,"dd/mm/yyyy")&amp;"  |  VL : "&amp;TEXT(N159,"dd/mm/yyyy")))</f>
        <v/>
      </c>
      <c r="F159" s="269">
        <f>IF(L159=0,"Calendrier non disponible pour ce fonds.",IF(M159="","Calendrier connu jusqu'au "&amp;TEXT(P159,"dd/mm/yyyy")&amp;".",IF(O159="","Non précisé dans le calendrier pour cette échéance.","Réception : "&amp;TEXT(O159,"dd/mm/yyyy")&amp;"  (suite au rachat du "&amp;TEXT(N159,"dd/mm/yyyy")&amp;")")))</f>
        <v/>
      </c>
      <c r="G159" s="269">
        <f>_xlfn.IFS(S159="aucune","Aucune pénalité de sortie."&amp;IF(T159&lt;&gt;""," ("&amp;T159&amp;")",""),S159="manuel","⚠️ À VÉRIFIER MANUELLEMENT : "&amp;T159,S159="inconnue","Pénalité non renseignée — vérifier la notice / DICI du fonds.",$C159="","Saisir une date d'investissement pour statuer sur la pénalité.",Q159="FUTUR","Date d'investissement postérieure à aujourd'hui — vérifier la saisie.",AD159&gt;0,"⚠️ CONCERNÉ : pénalité de "&amp;AD159&amp;"% (détention "&amp;Q159&amp;" mois). "&amp;T159,TRUE,"Non concerné (détention "&amp;Q159&amp;" mois). "&amp;T159)</f>
        <v/>
      </c>
      <c r="H159">
        <f>COUNTIFS(BDD_Calendrier!$A$2:$A$616,$B159,BDD_Calendrier!$C$2:$C$616,"Souscription")</f>
        <v/>
      </c>
      <c r="I159">
        <f>IF(H159=0,"",IFERROR(_xlfn.MINIFS(BDD_Calendrier!$D$2:$D$616,BDD_Calendrier!$A$2:$A$616,$B159,BDD_Calendrier!$C$2:$C$616,"Souscription",BDD_Calendrier!$D$2:$D$616,"&gt;="&amp;TODAY()),""))</f>
        <v/>
      </c>
      <c r="J159">
        <f>IF(I159="","",IFERROR(INDEX(BDD_Calendrier!$E$2:$E$616,MATCH($B159&amp;"|Souscription|"&amp;TEXT(I159,"yyyy-mm-dd"),BDD_Calendrier!$I$2:$I$616,0)),""))</f>
        <v/>
      </c>
      <c r="K159">
        <f>IF(H159=0,"",_xlfn.MAXIFS(BDD_Calendrier!$D$2:$D$616,BDD_Calendrier!$A$2:$A$616,$B159,BDD_Calendrier!$C$2:$C$616,"Souscription"))</f>
        <v/>
      </c>
      <c r="L159">
        <f>COUNTIFS(BDD_Calendrier!$A$2:$A$616,$B159,BDD_Calendrier!$C$2:$C$616,"Rachat")</f>
        <v/>
      </c>
      <c r="M159">
        <f>IF(L159=0,"",IFERROR(_xlfn.MINIFS(BDD_Calendrier!$D$2:$D$616,BDD_Calendrier!$A$2:$A$616,$B159,BDD_Calendrier!$C$2:$C$616,"Rachat",BDD_Calendrier!$D$2:$D$616,"&gt;="&amp;TODAY()),""))</f>
        <v/>
      </c>
      <c r="N159">
        <f>IF(M159="","",IFERROR(INDEX(BDD_Calendrier!$E$2:$E$616,MATCH($B159&amp;"|Rachat|"&amp;TEXT(M159,"yyyy-mm-dd"),BDD_Calendrier!$I$2:$I$616,0)),""))</f>
        <v/>
      </c>
      <c r="O159">
        <f>IF(M159="","",IFERROR(INDEX(BDD_Calendrier!$H$2:$H$616,MATCH($B159&amp;"|Rachat|"&amp;TEXT(M159,"yyyy-mm-dd"),BDD_Calendrier!$I$2:$I$616,0)),""))</f>
        <v/>
      </c>
      <c r="P159">
        <f>IF(L159=0,"",_xlfn.MAXIFS(BDD_Calendrier!$D$2:$D$616,BDD_Calendrier!$A$2:$A$616,$B159,BDD_Calendrier!$C$2:$C$616,"Rachat"))</f>
        <v/>
      </c>
      <c r="Q159">
        <f>IF($C159="","",IF($C159&gt;TODAY(),"FUTUR",DATEDIF($C159,TODAY(),"m")))</f>
        <v/>
      </c>
      <c r="R159">
        <f>COUNTIF(BDD_Penalites!$A$2:$A$130,$B159)</f>
        <v/>
      </c>
      <c r="S159">
        <f>IF(R159=0,"inconnue",INDEX(BDD_Penalites!$C$2:$C$130,MATCH($B159,BDD_Penalites!$A$2:$A$130,0)))</f>
        <v/>
      </c>
      <c r="T159">
        <f>IF(R159=0,"",INDEX(BDD_Penalites!$M$2:$M$130,MATCH($B159,BDD_Penalites!$A$2:$A$130,0)))</f>
        <v/>
      </c>
      <c r="U159">
        <f>IF(R159=0,0,INDEX(BDD_Penalites!$D$2:$D$130,MATCH($B159,BDD_Penalites!$A$2:$A$130,0)))</f>
        <v/>
      </c>
      <c r="V159">
        <f>IF(R159=0,0,INDEX(BDD_Penalites!$E$2:$E$130,MATCH($B159,BDD_Penalites!$A$2:$A$130,0)))</f>
        <v/>
      </c>
      <c r="W159">
        <f>IF(R159=0,0,INDEX(BDD_Penalites!$F$2:$F$130,MATCH($B159,BDD_Penalites!$A$2:$A$130,0)))</f>
        <v/>
      </c>
      <c r="X159">
        <f>IF(R159=0,0,INDEX(BDD_Penalites!$G$2:$G$130,MATCH($B159,BDD_Penalites!$A$2:$A$130,0)))</f>
        <v/>
      </c>
      <c r="Y159">
        <f>IF(R159=0,0,INDEX(BDD_Penalites!$H$2:$H$130,MATCH($B159,BDD_Penalites!$A$2:$A$130,0)))</f>
        <v/>
      </c>
      <c r="Z159">
        <f>IF(R159=0,0,INDEX(BDD_Penalites!$I$2:$I$130,MATCH($B159,BDD_Penalites!$A$2:$A$130,0)))</f>
        <v/>
      </c>
      <c r="AA159">
        <f>IF(R159=0,0,INDEX(BDD_Penalites!$J$2:$J$130,MATCH($B159,BDD_Penalites!$A$2:$A$130,0)))</f>
        <v/>
      </c>
      <c r="AB159">
        <f>IF(R159=0,0,INDEX(BDD_Penalites!$K$2:$K$130,MATCH($B159,BDD_Penalites!$A$2:$A$130,0)))</f>
        <v/>
      </c>
      <c r="AC159">
        <f>IF(R159=0,0,INDEX(BDD_Penalites!$L$2:$L$130,MATCH($B159,BDD_Penalites!$A$2:$A$130,0)))</f>
        <v/>
      </c>
      <c r="AD159">
        <f>IF(OR($C159="",Q159="FUTUR"),"",_xlfn.IFS(Q159&lt;U159,V159,Q159&lt;W159,X159,Q159&lt;Y159,Z159,Q159&lt;AA159,AB159,TRUE,AC159))</f>
        <v/>
      </c>
    </row>
    <row r="160" ht="13.5" customHeight="1">
      <c r="A160" s="65" t="inlineStr">
        <is>
          <t>SAS Palladium</t>
        </is>
      </c>
      <c r="B160" s="66" t="inlineStr">
        <is>
          <t>/</t>
        </is>
      </c>
      <c r="C160" s="268" t="n"/>
      <c r="D160" s="269">
        <f>IF(H160=0,"Calendrier non disponible pour ce fonds — contacter la société de gestion.",IF(I160="","Calendrier connu jusqu'au "&amp;TEXT(K160,"dd/mm/yyyy")&amp;" — demander le calendrier à jour.","Cut-off : "&amp;TEXT(I160,"dd/mm/yyyy")&amp;"  |  VL : "&amp;TEXT(J160,"dd/mm/yyyy")))</f>
        <v/>
      </c>
      <c r="E160" s="269">
        <f>IF(L160=0,"Calendrier non disponible pour ce fonds — contacter la société de gestion.",IF(M160="","Calendrier connu jusqu'au "&amp;TEXT(P160,"dd/mm/yyyy")&amp;" — demander le calendrier à jour.","Cut-off : "&amp;TEXT(M160,"dd/mm/yyyy")&amp;"  |  VL : "&amp;TEXT(N160,"dd/mm/yyyy")))</f>
        <v/>
      </c>
      <c r="F160" s="269">
        <f>IF(L160=0,"Calendrier non disponible pour ce fonds.",IF(M160="","Calendrier connu jusqu'au "&amp;TEXT(P160,"dd/mm/yyyy")&amp;".",IF(O160="","Non précisé dans le calendrier pour cette échéance.","Réception : "&amp;TEXT(O160,"dd/mm/yyyy")&amp;"  (suite au rachat du "&amp;TEXT(N160,"dd/mm/yyyy")&amp;")")))</f>
        <v/>
      </c>
      <c r="G160" s="269">
        <f>_xlfn.IFS(S160="aucune","Aucune pénalité de sortie."&amp;IF(T160&lt;&gt;""," ("&amp;T160&amp;")",""),S160="manuel","⚠️ À VÉRIFIER MANUELLEMENT : "&amp;T160,S160="inconnue","Pénalité non renseignée — vérifier la notice / DICI du fonds.",$C160="","Saisir une date d'investissement pour statuer sur la pénalité.",Q160="FUTUR","Date d'investissement postérieure à aujourd'hui — vérifier la saisie.",AD160&gt;0,"⚠️ CONCERNÉ : pénalité de "&amp;AD160&amp;"% (détention "&amp;Q160&amp;" mois). "&amp;T160,TRUE,"Non concerné (détention "&amp;Q160&amp;" mois). "&amp;T160)</f>
        <v/>
      </c>
      <c r="H160">
        <f>COUNTIFS(BDD_Calendrier!$A$2:$A$616,$B160,BDD_Calendrier!$C$2:$C$616,"Souscription")</f>
        <v/>
      </c>
      <c r="I160">
        <f>IF(H160=0,"",IFERROR(_xlfn.MINIFS(BDD_Calendrier!$D$2:$D$616,BDD_Calendrier!$A$2:$A$616,$B160,BDD_Calendrier!$C$2:$C$616,"Souscription",BDD_Calendrier!$D$2:$D$616,"&gt;="&amp;TODAY()),""))</f>
        <v/>
      </c>
      <c r="J160">
        <f>IF(I160="","",IFERROR(INDEX(BDD_Calendrier!$E$2:$E$616,MATCH($B160&amp;"|Souscription|"&amp;TEXT(I160,"yyyy-mm-dd"),BDD_Calendrier!$I$2:$I$616,0)),""))</f>
        <v/>
      </c>
      <c r="K160">
        <f>IF(H160=0,"",_xlfn.MAXIFS(BDD_Calendrier!$D$2:$D$616,BDD_Calendrier!$A$2:$A$616,$B160,BDD_Calendrier!$C$2:$C$616,"Souscription"))</f>
        <v/>
      </c>
      <c r="L160">
        <f>COUNTIFS(BDD_Calendrier!$A$2:$A$616,$B160,BDD_Calendrier!$C$2:$C$616,"Rachat")</f>
        <v/>
      </c>
      <c r="M160">
        <f>IF(L160=0,"",IFERROR(_xlfn.MINIFS(BDD_Calendrier!$D$2:$D$616,BDD_Calendrier!$A$2:$A$616,$B160,BDD_Calendrier!$C$2:$C$616,"Rachat",BDD_Calendrier!$D$2:$D$616,"&gt;="&amp;TODAY()),""))</f>
        <v/>
      </c>
      <c r="N160">
        <f>IF(M160="","",IFERROR(INDEX(BDD_Calendrier!$E$2:$E$616,MATCH($B160&amp;"|Rachat|"&amp;TEXT(M160,"yyyy-mm-dd"),BDD_Calendrier!$I$2:$I$616,0)),""))</f>
        <v/>
      </c>
      <c r="O160">
        <f>IF(M160="","",IFERROR(INDEX(BDD_Calendrier!$H$2:$H$616,MATCH($B160&amp;"|Rachat|"&amp;TEXT(M160,"yyyy-mm-dd"),BDD_Calendrier!$I$2:$I$616,0)),""))</f>
        <v/>
      </c>
      <c r="P160">
        <f>IF(L160=0,"",_xlfn.MAXIFS(BDD_Calendrier!$D$2:$D$616,BDD_Calendrier!$A$2:$A$616,$B160,BDD_Calendrier!$C$2:$C$616,"Rachat"))</f>
        <v/>
      </c>
      <c r="Q160">
        <f>IF($C160="","",IF($C160&gt;TODAY(),"FUTUR",DATEDIF($C160,TODAY(),"m")))</f>
        <v/>
      </c>
      <c r="R160">
        <f>COUNTIF(BDD_Penalites!$A$2:$A$130,$B160)</f>
        <v/>
      </c>
      <c r="S160">
        <f>IF(R160=0,"inconnue",INDEX(BDD_Penalites!$C$2:$C$130,MATCH($B160,BDD_Penalites!$A$2:$A$130,0)))</f>
        <v/>
      </c>
      <c r="T160">
        <f>IF(R160=0,"",INDEX(BDD_Penalites!$M$2:$M$130,MATCH($B160,BDD_Penalites!$A$2:$A$130,0)))</f>
        <v/>
      </c>
      <c r="U160">
        <f>IF(R160=0,0,INDEX(BDD_Penalites!$D$2:$D$130,MATCH($B160,BDD_Penalites!$A$2:$A$130,0)))</f>
        <v/>
      </c>
      <c r="V160">
        <f>IF(R160=0,0,INDEX(BDD_Penalites!$E$2:$E$130,MATCH($B160,BDD_Penalites!$A$2:$A$130,0)))</f>
        <v/>
      </c>
      <c r="W160">
        <f>IF(R160=0,0,INDEX(BDD_Penalites!$F$2:$F$130,MATCH($B160,BDD_Penalites!$A$2:$A$130,0)))</f>
        <v/>
      </c>
      <c r="X160">
        <f>IF(R160=0,0,INDEX(BDD_Penalites!$G$2:$G$130,MATCH($B160,BDD_Penalites!$A$2:$A$130,0)))</f>
        <v/>
      </c>
      <c r="Y160">
        <f>IF(R160=0,0,INDEX(BDD_Penalites!$H$2:$H$130,MATCH($B160,BDD_Penalites!$A$2:$A$130,0)))</f>
        <v/>
      </c>
      <c r="Z160">
        <f>IF(R160=0,0,INDEX(BDD_Penalites!$I$2:$I$130,MATCH($B160,BDD_Penalites!$A$2:$A$130,0)))</f>
        <v/>
      </c>
      <c r="AA160">
        <f>IF(R160=0,0,INDEX(BDD_Penalites!$J$2:$J$130,MATCH($B160,BDD_Penalites!$A$2:$A$130,0)))</f>
        <v/>
      </c>
      <c r="AB160">
        <f>IF(R160=0,0,INDEX(BDD_Penalites!$K$2:$K$130,MATCH($B160,BDD_Penalites!$A$2:$A$130,0)))</f>
        <v/>
      </c>
      <c r="AC160">
        <f>IF(R160=0,0,INDEX(BDD_Penalites!$L$2:$L$130,MATCH($B160,BDD_Penalites!$A$2:$A$130,0)))</f>
        <v/>
      </c>
      <c r="AD160">
        <f>IF(OR($C160="",Q160="FUTUR"),"",_xlfn.IFS(Q160&lt;U160,V160,Q160&lt;W160,X160,Q160&lt;Y160,Z160,Q160&lt;AA160,AB160,TRUE,AC160))</f>
        <v/>
      </c>
    </row>
    <row r="161" ht="13.5" customHeight="1">
      <c r="A161" s="65" t="inlineStr">
        <is>
          <t>SCPI Allianz Pierre</t>
        </is>
      </c>
      <c r="B161" s="66" t="inlineStr">
        <is>
          <t>/</t>
        </is>
      </c>
      <c r="C161" s="268" t="n"/>
      <c r="D161" s="269">
        <f>IF(H161=0,"Calendrier non disponible pour ce fonds — contacter la société de gestion.",IF(I161="","Calendrier connu jusqu'au "&amp;TEXT(K161,"dd/mm/yyyy")&amp;" — demander le calendrier à jour.","Cut-off : "&amp;TEXT(I161,"dd/mm/yyyy")&amp;"  |  VL : "&amp;TEXT(J161,"dd/mm/yyyy")))</f>
        <v/>
      </c>
      <c r="E161" s="269">
        <f>IF(L161=0,"Calendrier non disponible pour ce fonds — contacter la société de gestion.",IF(M161="","Calendrier connu jusqu'au "&amp;TEXT(P161,"dd/mm/yyyy")&amp;" — demander le calendrier à jour.","Cut-off : "&amp;TEXT(M161,"dd/mm/yyyy")&amp;"  |  VL : "&amp;TEXT(N161,"dd/mm/yyyy")))</f>
        <v/>
      </c>
      <c r="F161" s="269">
        <f>IF(L161=0,"Calendrier non disponible pour ce fonds.",IF(M161="","Calendrier connu jusqu'au "&amp;TEXT(P161,"dd/mm/yyyy")&amp;".",IF(O161="","Non précisé dans le calendrier pour cette échéance.","Réception : "&amp;TEXT(O161,"dd/mm/yyyy")&amp;"  (suite au rachat du "&amp;TEXT(N161,"dd/mm/yyyy")&amp;")")))</f>
        <v/>
      </c>
      <c r="G161" s="269">
        <f>_xlfn.IFS(S161="aucune","Aucune pénalité de sortie."&amp;IF(T161&lt;&gt;""," ("&amp;T161&amp;")",""),S161="manuel","⚠️ À VÉRIFIER MANUELLEMENT : "&amp;T161,S161="inconnue","Pénalité non renseignée — vérifier la notice / DICI du fonds.",$C161="","Saisir une date d'investissement pour statuer sur la pénalité.",Q161="FUTUR","Date d'investissement postérieure à aujourd'hui — vérifier la saisie.",AD161&gt;0,"⚠️ CONCERNÉ : pénalité de "&amp;AD161&amp;"% (détention "&amp;Q161&amp;" mois). "&amp;T161,TRUE,"Non concerné (détention "&amp;Q161&amp;" mois). "&amp;T161)</f>
        <v/>
      </c>
      <c r="H161">
        <f>COUNTIFS(BDD_Calendrier!$A$2:$A$616,$B161,BDD_Calendrier!$C$2:$C$616,"Souscription")</f>
        <v/>
      </c>
      <c r="I161">
        <f>IF(H161=0,"",IFERROR(_xlfn.MINIFS(BDD_Calendrier!$D$2:$D$616,BDD_Calendrier!$A$2:$A$616,$B161,BDD_Calendrier!$C$2:$C$616,"Souscription",BDD_Calendrier!$D$2:$D$616,"&gt;="&amp;TODAY()),""))</f>
        <v/>
      </c>
      <c r="J161">
        <f>IF(I161="","",IFERROR(INDEX(BDD_Calendrier!$E$2:$E$616,MATCH($B161&amp;"|Souscription|"&amp;TEXT(I161,"yyyy-mm-dd"),BDD_Calendrier!$I$2:$I$616,0)),""))</f>
        <v/>
      </c>
      <c r="K161">
        <f>IF(H161=0,"",_xlfn.MAXIFS(BDD_Calendrier!$D$2:$D$616,BDD_Calendrier!$A$2:$A$616,$B161,BDD_Calendrier!$C$2:$C$616,"Souscription"))</f>
        <v/>
      </c>
      <c r="L161">
        <f>COUNTIFS(BDD_Calendrier!$A$2:$A$616,$B161,BDD_Calendrier!$C$2:$C$616,"Rachat")</f>
        <v/>
      </c>
      <c r="M161">
        <f>IF(L161=0,"",IFERROR(_xlfn.MINIFS(BDD_Calendrier!$D$2:$D$616,BDD_Calendrier!$A$2:$A$616,$B161,BDD_Calendrier!$C$2:$C$616,"Rachat",BDD_Calendrier!$D$2:$D$616,"&gt;="&amp;TODAY()),""))</f>
        <v/>
      </c>
      <c r="N161">
        <f>IF(M161="","",IFERROR(INDEX(BDD_Calendrier!$E$2:$E$616,MATCH($B161&amp;"|Rachat|"&amp;TEXT(M161,"yyyy-mm-dd"),BDD_Calendrier!$I$2:$I$616,0)),""))</f>
        <v/>
      </c>
      <c r="O161">
        <f>IF(M161="","",IFERROR(INDEX(BDD_Calendrier!$H$2:$H$616,MATCH($B161&amp;"|Rachat|"&amp;TEXT(M161,"yyyy-mm-dd"),BDD_Calendrier!$I$2:$I$616,0)),""))</f>
        <v/>
      </c>
      <c r="P161">
        <f>IF(L161=0,"",_xlfn.MAXIFS(BDD_Calendrier!$D$2:$D$616,BDD_Calendrier!$A$2:$A$616,$B161,BDD_Calendrier!$C$2:$C$616,"Rachat"))</f>
        <v/>
      </c>
      <c r="Q161">
        <f>IF($C161="","",IF($C161&gt;TODAY(),"FUTUR",DATEDIF($C161,TODAY(),"m")))</f>
        <v/>
      </c>
      <c r="R161">
        <f>COUNTIF(BDD_Penalites!$A$2:$A$130,$B161)</f>
        <v/>
      </c>
      <c r="S161">
        <f>IF(R161=0,"inconnue",INDEX(BDD_Penalites!$C$2:$C$130,MATCH($B161,BDD_Penalites!$A$2:$A$130,0)))</f>
        <v/>
      </c>
      <c r="T161">
        <f>IF(R161=0,"",INDEX(BDD_Penalites!$M$2:$M$130,MATCH($B161,BDD_Penalites!$A$2:$A$130,0)))</f>
        <v/>
      </c>
      <c r="U161">
        <f>IF(R161=0,0,INDEX(BDD_Penalites!$D$2:$D$130,MATCH($B161,BDD_Penalites!$A$2:$A$130,0)))</f>
        <v/>
      </c>
      <c r="V161">
        <f>IF(R161=0,0,INDEX(BDD_Penalites!$E$2:$E$130,MATCH($B161,BDD_Penalites!$A$2:$A$130,0)))</f>
        <v/>
      </c>
      <c r="W161">
        <f>IF(R161=0,0,INDEX(BDD_Penalites!$F$2:$F$130,MATCH($B161,BDD_Penalites!$A$2:$A$130,0)))</f>
        <v/>
      </c>
      <c r="X161">
        <f>IF(R161=0,0,INDEX(BDD_Penalites!$G$2:$G$130,MATCH($B161,BDD_Penalites!$A$2:$A$130,0)))</f>
        <v/>
      </c>
      <c r="Y161">
        <f>IF(R161=0,0,INDEX(BDD_Penalites!$H$2:$H$130,MATCH($B161,BDD_Penalites!$A$2:$A$130,0)))</f>
        <v/>
      </c>
      <c r="Z161">
        <f>IF(R161=0,0,INDEX(BDD_Penalites!$I$2:$I$130,MATCH($B161,BDD_Penalites!$A$2:$A$130,0)))</f>
        <v/>
      </c>
      <c r="AA161">
        <f>IF(R161=0,0,INDEX(BDD_Penalites!$J$2:$J$130,MATCH($B161,BDD_Penalites!$A$2:$A$130,0)))</f>
        <v/>
      </c>
      <c r="AB161">
        <f>IF(R161=0,0,INDEX(BDD_Penalites!$K$2:$K$130,MATCH($B161,BDD_Penalites!$A$2:$A$130,0)))</f>
        <v/>
      </c>
      <c r="AC161">
        <f>IF(R161=0,0,INDEX(BDD_Penalites!$L$2:$L$130,MATCH($B161,BDD_Penalites!$A$2:$A$130,0)))</f>
        <v/>
      </c>
      <c r="AD161">
        <f>IF(OR($C161="",Q161="FUTUR"),"",_xlfn.IFS(Q161&lt;U161,V161,Q161&lt;W161,X161,Q161&lt;Y161,Z161,Q161&lt;AA161,AB161,TRUE,AC161))</f>
        <v/>
      </c>
    </row>
    <row r="162" ht="13.5" customHeight="1">
      <c r="A162" s="65" t="inlineStr">
        <is>
          <t>SCPI Neo</t>
        </is>
      </c>
      <c r="B162" s="66" t="inlineStr">
        <is>
          <t>/</t>
        </is>
      </c>
      <c r="C162" s="268" t="n"/>
      <c r="D162" s="269">
        <f>IF(H162=0,"Calendrier non disponible pour ce fonds — contacter la société de gestion.",IF(I162="","Calendrier connu jusqu'au "&amp;TEXT(K162,"dd/mm/yyyy")&amp;" — demander le calendrier à jour.","Cut-off : "&amp;TEXT(I162,"dd/mm/yyyy")&amp;"  |  VL : "&amp;TEXT(J162,"dd/mm/yyyy")))</f>
        <v/>
      </c>
      <c r="E162" s="269">
        <f>IF(L162=0,"Calendrier non disponible pour ce fonds — contacter la société de gestion.",IF(M162="","Calendrier connu jusqu'au "&amp;TEXT(P162,"dd/mm/yyyy")&amp;" — demander le calendrier à jour.","Cut-off : "&amp;TEXT(M162,"dd/mm/yyyy")&amp;"  |  VL : "&amp;TEXT(N162,"dd/mm/yyyy")))</f>
        <v/>
      </c>
      <c r="F162" s="269">
        <f>IF(L162=0,"Calendrier non disponible pour ce fonds.",IF(M162="","Calendrier connu jusqu'au "&amp;TEXT(P162,"dd/mm/yyyy")&amp;".",IF(O162="","Non précisé dans le calendrier pour cette échéance.","Réception : "&amp;TEXT(O162,"dd/mm/yyyy")&amp;"  (suite au rachat du "&amp;TEXT(N162,"dd/mm/yyyy")&amp;")")))</f>
        <v/>
      </c>
      <c r="G162" s="269">
        <f>_xlfn.IFS(S162="aucune","Aucune pénalité de sortie."&amp;IF(T162&lt;&gt;""," ("&amp;T162&amp;")",""),S162="manuel","⚠️ À VÉRIFIER MANUELLEMENT : "&amp;T162,S162="inconnue","Pénalité non renseignée — vérifier la notice / DICI du fonds.",$C162="","Saisir une date d'investissement pour statuer sur la pénalité.",Q162="FUTUR","Date d'investissement postérieure à aujourd'hui — vérifier la saisie.",AD162&gt;0,"⚠️ CONCERNÉ : pénalité de "&amp;AD162&amp;"% (détention "&amp;Q162&amp;" mois). "&amp;T162,TRUE,"Non concerné (détention "&amp;Q162&amp;" mois). "&amp;T162)</f>
        <v/>
      </c>
      <c r="H162">
        <f>COUNTIFS(BDD_Calendrier!$A$2:$A$616,$B162,BDD_Calendrier!$C$2:$C$616,"Souscription")</f>
        <v/>
      </c>
      <c r="I162">
        <f>IF(H162=0,"",IFERROR(_xlfn.MINIFS(BDD_Calendrier!$D$2:$D$616,BDD_Calendrier!$A$2:$A$616,$B162,BDD_Calendrier!$C$2:$C$616,"Souscription",BDD_Calendrier!$D$2:$D$616,"&gt;="&amp;TODAY()),""))</f>
        <v/>
      </c>
      <c r="J162">
        <f>IF(I162="","",IFERROR(INDEX(BDD_Calendrier!$E$2:$E$616,MATCH($B162&amp;"|Souscription|"&amp;TEXT(I162,"yyyy-mm-dd"),BDD_Calendrier!$I$2:$I$616,0)),""))</f>
        <v/>
      </c>
      <c r="K162">
        <f>IF(H162=0,"",_xlfn.MAXIFS(BDD_Calendrier!$D$2:$D$616,BDD_Calendrier!$A$2:$A$616,$B162,BDD_Calendrier!$C$2:$C$616,"Souscription"))</f>
        <v/>
      </c>
      <c r="L162">
        <f>COUNTIFS(BDD_Calendrier!$A$2:$A$616,$B162,BDD_Calendrier!$C$2:$C$616,"Rachat")</f>
        <v/>
      </c>
      <c r="M162">
        <f>IF(L162=0,"",IFERROR(_xlfn.MINIFS(BDD_Calendrier!$D$2:$D$616,BDD_Calendrier!$A$2:$A$616,$B162,BDD_Calendrier!$C$2:$C$616,"Rachat",BDD_Calendrier!$D$2:$D$616,"&gt;="&amp;TODAY()),""))</f>
        <v/>
      </c>
      <c r="N162">
        <f>IF(M162="","",IFERROR(INDEX(BDD_Calendrier!$E$2:$E$616,MATCH($B162&amp;"|Rachat|"&amp;TEXT(M162,"yyyy-mm-dd"),BDD_Calendrier!$I$2:$I$616,0)),""))</f>
        <v/>
      </c>
      <c r="O162">
        <f>IF(M162="","",IFERROR(INDEX(BDD_Calendrier!$H$2:$H$616,MATCH($B162&amp;"|Rachat|"&amp;TEXT(M162,"yyyy-mm-dd"),BDD_Calendrier!$I$2:$I$616,0)),""))</f>
        <v/>
      </c>
      <c r="P162">
        <f>IF(L162=0,"",_xlfn.MAXIFS(BDD_Calendrier!$D$2:$D$616,BDD_Calendrier!$A$2:$A$616,$B162,BDD_Calendrier!$C$2:$C$616,"Rachat"))</f>
        <v/>
      </c>
      <c r="Q162">
        <f>IF($C162="","",IF($C162&gt;TODAY(),"FUTUR",DATEDIF($C162,TODAY(),"m")))</f>
        <v/>
      </c>
      <c r="R162">
        <f>COUNTIF(BDD_Penalites!$A$2:$A$130,$B162)</f>
        <v/>
      </c>
      <c r="S162">
        <f>IF(R162=0,"inconnue",INDEX(BDD_Penalites!$C$2:$C$130,MATCH($B162,BDD_Penalites!$A$2:$A$130,0)))</f>
        <v/>
      </c>
      <c r="T162">
        <f>IF(R162=0,"",INDEX(BDD_Penalites!$M$2:$M$130,MATCH($B162,BDD_Penalites!$A$2:$A$130,0)))</f>
        <v/>
      </c>
      <c r="U162">
        <f>IF(R162=0,0,INDEX(BDD_Penalites!$D$2:$D$130,MATCH($B162,BDD_Penalites!$A$2:$A$130,0)))</f>
        <v/>
      </c>
      <c r="V162">
        <f>IF(R162=0,0,INDEX(BDD_Penalites!$E$2:$E$130,MATCH($B162,BDD_Penalites!$A$2:$A$130,0)))</f>
        <v/>
      </c>
      <c r="W162">
        <f>IF(R162=0,0,INDEX(BDD_Penalites!$F$2:$F$130,MATCH($B162,BDD_Penalites!$A$2:$A$130,0)))</f>
        <v/>
      </c>
      <c r="X162">
        <f>IF(R162=0,0,INDEX(BDD_Penalites!$G$2:$G$130,MATCH($B162,BDD_Penalites!$A$2:$A$130,0)))</f>
        <v/>
      </c>
      <c r="Y162">
        <f>IF(R162=0,0,INDEX(BDD_Penalites!$H$2:$H$130,MATCH($B162,BDD_Penalites!$A$2:$A$130,0)))</f>
        <v/>
      </c>
      <c r="Z162">
        <f>IF(R162=0,0,INDEX(BDD_Penalites!$I$2:$I$130,MATCH($B162,BDD_Penalites!$A$2:$A$130,0)))</f>
        <v/>
      </c>
      <c r="AA162">
        <f>IF(R162=0,0,INDEX(BDD_Penalites!$J$2:$J$130,MATCH($B162,BDD_Penalites!$A$2:$A$130,0)))</f>
        <v/>
      </c>
      <c r="AB162">
        <f>IF(R162=0,0,INDEX(BDD_Penalites!$K$2:$K$130,MATCH($B162,BDD_Penalites!$A$2:$A$130,0)))</f>
        <v/>
      </c>
      <c r="AC162">
        <f>IF(R162=0,0,INDEX(BDD_Penalites!$L$2:$L$130,MATCH($B162,BDD_Penalites!$A$2:$A$130,0)))</f>
        <v/>
      </c>
      <c r="AD162">
        <f>IF(OR($C162="",Q162="FUTUR"),"",_xlfn.IFS(Q162&lt;U162,V162,Q162&lt;W162,X162,Q162&lt;Y162,Z162,Q162&lt;AA162,AB162,TRUE,AC162))</f>
        <v/>
      </c>
    </row>
    <row r="163" ht="13.5" customHeight="1">
      <c r="A163" s="65" t="inlineStr">
        <is>
          <t>SCI Primonial Capimmo</t>
        </is>
      </c>
      <c r="B163" s="66" t="inlineStr">
        <is>
          <t>/</t>
        </is>
      </c>
      <c r="C163" s="268" t="n"/>
      <c r="D163" s="269">
        <f>IF(H163=0,"Calendrier non disponible pour ce fonds — contacter la société de gestion.",IF(I163="","Calendrier connu jusqu'au "&amp;TEXT(K163,"dd/mm/yyyy")&amp;" — demander le calendrier à jour.","Cut-off : "&amp;TEXT(I163,"dd/mm/yyyy")&amp;"  |  VL : "&amp;TEXT(J163,"dd/mm/yyyy")))</f>
        <v/>
      </c>
      <c r="E163" s="269">
        <f>IF(L163=0,"Calendrier non disponible pour ce fonds — contacter la société de gestion.",IF(M163="","Calendrier connu jusqu'au "&amp;TEXT(P163,"dd/mm/yyyy")&amp;" — demander le calendrier à jour.","Cut-off : "&amp;TEXT(M163,"dd/mm/yyyy")&amp;"  |  VL : "&amp;TEXT(N163,"dd/mm/yyyy")))</f>
        <v/>
      </c>
      <c r="F163" s="269">
        <f>IF(L163=0,"Calendrier non disponible pour ce fonds.",IF(M163="","Calendrier connu jusqu'au "&amp;TEXT(P163,"dd/mm/yyyy")&amp;".",IF(O163="","Non précisé dans le calendrier pour cette échéance.","Réception : "&amp;TEXT(O163,"dd/mm/yyyy")&amp;"  (suite au rachat du "&amp;TEXT(N163,"dd/mm/yyyy")&amp;")")))</f>
        <v/>
      </c>
      <c r="G163" s="269">
        <f>_xlfn.IFS(S163="aucune","Aucune pénalité de sortie."&amp;IF(T163&lt;&gt;""," ("&amp;T163&amp;")",""),S163="manuel","⚠️ À VÉRIFIER MANUELLEMENT : "&amp;T163,S163="inconnue","Pénalité non renseignée — vérifier la notice / DICI du fonds.",$C163="","Saisir une date d'investissement pour statuer sur la pénalité.",Q163="FUTUR","Date d'investissement postérieure à aujourd'hui — vérifier la saisie.",AD163&gt;0,"⚠️ CONCERNÉ : pénalité de "&amp;AD163&amp;"% (détention "&amp;Q163&amp;" mois). "&amp;T163,TRUE,"Non concerné (détention "&amp;Q163&amp;" mois). "&amp;T163)</f>
        <v/>
      </c>
      <c r="H163">
        <f>COUNTIFS(BDD_Calendrier!$A$2:$A$616,$B163,BDD_Calendrier!$C$2:$C$616,"Souscription")</f>
        <v/>
      </c>
      <c r="I163">
        <f>IF(H163=0,"",IFERROR(_xlfn.MINIFS(BDD_Calendrier!$D$2:$D$616,BDD_Calendrier!$A$2:$A$616,$B163,BDD_Calendrier!$C$2:$C$616,"Souscription",BDD_Calendrier!$D$2:$D$616,"&gt;="&amp;TODAY()),""))</f>
        <v/>
      </c>
      <c r="J163">
        <f>IF(I163="","",IFERROR(INDEX(BDD_Calendrier!$E$2:$E$616,MATCH($B163&amp;"|Souscription|"&amp;TEXT(I163,"yyyy-mm-dd"),BDD_Calendrier!$I$2:$I$616,0)),""))</f>
        <v/>
      </c>
      <c r="K163">
        <f>IF(H163=0,"",_xlfn.MAXIFS(BDD_Calendrier!$D$2:$D$616,BDD_Calendrier!$A$2:$A$616,$B163,BDD_Calendrier!$C$2:$C$616,"Souscription"))</f>
        <v/>
      </c>
      <c r="L163">
        <f>COUNTIFS(BDD_Calendrier!$A$2:$A$616,$B163,BDD_Calendrier!$C$2:$C$616,"Rachat")</f>
        <v/>
      </c>
      <c r="M163">
        <f>IF(L163=0,"",IFERROR(_xlfn.MINIFS(BDD_Calendrier!$D$2:$D$616,BDD_Calendrier!$A$2:$A$616,$B163,BDD_Calendrier!$C$2:$C$616,"Rachat",BDD_Calendrier!$D$2:$D$616,"&gt;="&amp;TODAY()),""))</f>
        <v/>
      </c>
      <c r="N163">
        <f>IF(M163="","",IFERROR(INDEX(BDD_Calendrier!$E$2:$E$616,MATCH($B163&amp;"|Rachat|"&amp;TEXT(M163,"yyyy-mm-dd"),BDD_Calendrier!$I$2:$I$616,0)),""))</f>
        <v/>
      </c>
      <c r="O163">
        <f>IF(M163="","",IFERROR(INDEX(BDD_Calendrier!$H$2:$H$616,MATCH($B163&amp;"|Rachat|"&amp;TEXT(M163,"yyyy-mm-dd"),BDD_Calendrier!$I$2:$I$616,0)),""))</f>
        <v/>
      </c>
      <c r="P163">
        <f>IF(L163=0,"",_xlfn.MAXIFS(BDD_Calendrier!$D$2:$D$616,BDD_Calendrier!$A$2:$A$616,$B163,BDD_Calendrier!$C$2:$C$616,"Rachat"))</f>
        <v/>
      </c>
      <c r="Q163">
        <f>IF($C163="","",IF($C163&gt;TODAY(),"FUTUR",DATEDIF($C163,TODAY(),"m")))</f>
        <v/>
      </c>
      <c r="R163">
        <f>COUNTIF(BDD_Penalites!$A$2:$A$130,$B163)</f>
        <v/>
      </c>
      <c r="S163">
        <f>IF(R163=0,"inconnue",INDEX(BDD_Penalites!$C$2:$C$130,MATCH($B163,BDD_Penalites!$A$2:$A$130,0)))</f>
        <v/>
      </c>
      <c r="T163">
        <f>IF(R163=0,"",INDEX(BDD_Penalites!$M$2:$M$130,MATCH($B163,BDD_Penalites!$A$2:$A$130,0)))</f>
        <v/>
      </c>
      <c r="U163">
        <f>IF(R163=0,0,INDEX(BDD_Penalites!$D$2:$D$130,MATCH($B163,BDD_Penalites!$A$2:$A$130,0)))</f>
        <v/>
      </c>
      <c r="V163">
        <f>IF(R163=0,0,INDEX(BDD_Penalites!$E$2:$E$130,MATCH($B163,BDD_Penalites!$A$2:$A$130,0)))</f>
        <v/>
      </c>
      <c r="W163">
        <f>IF(R163=0,0,INDEX(BDD_Penalites!$F$2:$F$130,MATCH($B163,BDD_Penalites!$A$2:$A$130,0)))</f>
        <v/>
      </c>
      <c r="X163">
        <f>IF(R163=0,0,INDEX(BDD_Penalites!$G$2:$G$130,MATCH($B163,BDD_Penalites!$A$2:$A$130,0)))</f>
        <v/>
      </c>
      <c r="Y163">
        <f>IF(R163=0,0,INDEX(BDD_Penalites!$H$2:$H$130,MATCH($B163,BDD_Penalites!$A$2:$A$130,0)))</f>
        <v/>
      </c>
      <c r="Z163">
        <f>IF(R163=0,0,INDEX(BDD_Penalites!$I$2:$I$130,MATCH($B163,BDD_Penalites!$A$2:$A$130,0)))</f>
        <v/>
      </c>
      <c r="AA163">
        <f>IF(R163=0,0,INDEX(BDD_Penalites!$J$2:$J$130,MATCH($B163,BDD_Penalites!$A$2:$A$130,0)))</f>
        <v/>
      </c>
      <c r="AB163">
        <f>IF(R163=0,0,INDEX(BDD_Penalites!$K$2:$K$130,MATCH($B163,BDD_Penalites!$A$2:$A$130,0)))</f>
        <v/>
      </c>
      <c r="AC163">
        <f>IF(R163=0,0,INDEX(BDD_Penalites!$L$2:$L$130,MATCH($B163,BDD_Penalites!$A$2:$A$130,0)))</f>
        <v/>
      </c>
      <c r="AD163">
        <f>IF(OR($C163="",Q163="FUTUR"),"",_xlfn.IFS(Q163&lt;U163,V163,Q163&lt;W163,X163,Q163&lt;Y163,Z163,Q163&lt;AA163,AB163,TRUE,AC163))</f>
        <v/>
      </c>
    </row>
    <row r="164" ht="13.5" customHeight="1">
      <c r="A164" s="65" t="inlineStr">
        <is>
          <t>SCI Convictions Immobilières</t>
        </is>
      </c>
      <c r="B164" s="66" t="inlineStr">
        <is>
          <t>/</t>
        </is>
      </c>
      <c r="C164" s="268" t="n"/>
      <c r="D164" s="269">
        <f>IF(H164=0,"Calendrier non disponible pour ce fonds — contacter la société de gestion.",IF(I164="","Calendrier connu jusqu'au "&amp;TEXT(K164,"dd/mm/yyyy")&amp;" — demander le calendrier à jour.","Cut-off : "&amp;TEXT(I164,"dd/mm/yyyy")&amp;"  |  VL : "&amp;TEXT(J164,"dd/mm/yyyy")))</f>
        <v/>
      </c>
      <c r="E164" s="269">
        <f>IF(L164=0,"Calendrier non disponible pour ce fonds — contacter la société de gestion.",IF(M164="","Calendrier connu jusqu'au "&amp;TEXT(P164,"dd/mm/yyyy")&amp;" — demander le calendrier à jour.","Cut-off : "&amp;TEXT(M164,"dd/mm/yyyy")&amp;"  |  VL : "&amp;TEXT(N164,"dd/mm/yyyy")))</f>
        <v/>
      </c>
      <c r="F164" s="269">
        <f>IF(L164=0,"Calendrier non disponible pour ce fonds.",IF(M164="","Calendrier connu jusqu'au "&amp;TEXT(P164,"dd/mm/yyyy")&amp;".",IF(O164="","Non précisé dans le calendrier pour cette échéance.","Réception : "&amp;TEXT(O164,"dd/mm/yyyy")&amp;"  (suite au rachat du "&amp;TEXT(N164,"dd/mm/yyyy")&amp;")")))</f>
        <v/>
      </c>
      <c r="G164" s="269">
        <f>_xlfn.IFS(S164="aucune","Aucune pénalité de sortie."&amp;IF(T164&lt;&gt;""," ("&amp;T164&amp;")",""),S164="manuel","⚠️ À VÉRIFIER MANUELLEMENT : "&amp;T164,S164="inconnue","Pénalité non renseignée — vérifier la notice / DICI du fonds.",$C164="","Saisir une date d'investissement pour statuer sur la pénalité.",Q164="FUTUR","Date d'investissement postérieure à aujourd'hui — vérifier la saisie.",AD164&gt;0,"⚠️ CONCERNÉ : pénalité de "&amp;AD164&amp;"% (détention "&amp;Q164&amp;" mois). "&amp;T164,TRUE,"Non concerné (détention "&amp;Q164&amp;" mois). "&amp;T164)</f>
        <v/>
      </c>
      <c r="H164">
        <f>COUNTIFS(BDD_Calendrier!$A$2:$A$616,$B164,BDD_Calendrier!$C$2:$C$616,"Souscription")</f>
        <v/>
      </c>
      <c r="I164">
        <f>IF(H164=0,"",IFERROR(_xlfn.MINIFS(BDD_Calendrier!$D$2:$D$616,BDD_Calendrier!$A$2:$A$616,$B164,BDD_Calendrier!$C$2:$C$616,"Souscription",BDD_Calendrier!$D$2:$D$616,"&gt;="&amp;TODAY()),""))</f>
        <v/>
      </c>
      <c r="J164">
        <f>IF(I164="","",IFERROR(INDEX(BDD_Calendrier!$E$2:$E$616,MATCH($B164&amp;"|Souscription|"&amp;TEXT(I164,"yyyy-mm-dd"),BDD_Calendrier!$I$2:$I$616,0)),""))</f>
        <v/>
      </c>
      <c r="K164">
        <f>IF(H164=0,"",_xlfn.MAXIFS(BDD_Calendrier!$D$2:$D$616,BDD_Calendrier!$A$2:$A$616,$B164,BDD_Calendrier!$C$2:$C$616,"Souscription"))</f>
        <v/>
      </c>
      <c r="L164">
        <f>COUNTIFS(BDD_Calendrier!$A$2:$A$616,$B164,BDD_Calendrier!$C$2:$C$616,"Rachat")</f>
        <v/>
      </c>
      <c r="M164">
        <f>IF(L164=0,"",IFERROR(_xlfn.MINIFS(BDD_Calendrier!$D$2:$D$616,BDD_Calendrier!$A$2:$A$616,$B164,BDD_Calendrier!$C$2:$C$616,"Rachat",BDD_Calendrier!$D$2:$D$616,"&gt;="&amp;TODAY()),""))</f>
        <v/>
      </c>
      <c r="N164">
        <f>IF(M164="","",IFERROR(INDEX(BDD_Calendrier!$E$2:$E$616,MATCH($B164&amp;"|Rachat|"&amp;TEXT(M164,"yyyy-mm-dd"),BDD_Calendrier!$I$2:$I$616,0)),""))</f>
        <v/>
      </c>
      <c r="O164">
        <f>IF(M164="","",IFERROR(INDEX(BDD_Calendrier!$H$2:$H$616,MATCH($B164&amp;"|Rachat|"&amp;TEXT(M164,"yyyy-mm-dd"),BDD_Calendrier!$I$2:$I$616,0)),""))</f>
        <v/>
      </c>
      <c r="P164">
        <f>IF(L164=0,"",_xlfn.MAXIFS(BDD_Calendrier!$D$2:$D$616,BDD_Calendrier!$A$2:$A$616,$B164,BDD_Calendrier!$C$2:$C$616,"Rachat"))</f>
        <v/>
      </c>
      <c r="Q164">
        <f>IF($C164="","",IF($C164&gt;TODAY(),"FUTUR",DATEDIF($C164,TODAY(),"m")))</f>
        <v/>
      </c>
      <c r="R164">
        <f>COUNTIF(BDD_Penalites!$A$2:$A$130,$B164)</f>
        <v/>
      </c>
      <c r="S164">
        <f>IF(R164=0,"inconnue",INDEX(BDD_Penalites!$C$2:$C$130,MATCH($B164,BDD_Penalites!$A$2:$A$130,0)))</f>
        <v/>
      </c>
      <c r="T164">
        <f>IF(R164=0,"",INDEX(BDD_Penalites!$M$2:$M$130,MATCH($B164,BDD_Penalites!$A$2:$A$130,0)))</f>
        <v/>
      </c>
      <c r="U164">
        <f>IF(R164=0,0,INDEX(BDD_Penalites!$D$2:$D$130,MATCH($B164,BDD_Penalites!$A$2:$A$130,0)))</f>
        <v/>
      </c>
      <c r="V164">
        <f>IF(R164=0,0,INDEX(BDD_Penalites!$E$2:$E$130,MATCH($B164,BDD_Penalites!$A$2:$A$130,0)))</f>
        <v/>
      </c>
      <c r="W164">
        <f>IF(R164=0,0,INDEX(BDD_Penalites!$F$2:$F$130,MATCH($B164,BDD_Penalites!$A$2:$A$130,0)))</f>
        <v/>
      </c>
      <c r="X164">
        <f>IF(R164=0,0,INDEX(BDD_Penalites!$G$2:$G$130,MATCH($B164,BDD_Penalites!$A$2:$A$130,0)))</f>
        <v/>
      </c>
      <c r="Y164">
        <f>IF(R164=0,0,INDEX(BDD_Penalites!$H$2:$H$130,MATCH($B164,BDD_Penalites!$A$2:$A$130,0)))</f>
        <v/>
      </c>
      <c r="Z164">
        <f>IF(R164=0,0,INDEX(BDD_Penalites!$I$2:$I$130,MATCH($B164,BDD_Penalites!$A$2:$A$130,0)))</f>
        <v/>
      </c>
      <c r="AA164">
        <f>IF(R164=0,0,INDEX(BDD_Penalites!$J$2:$J$130,MATCH($B164,BDD_Penalites!$A$2:$A$130,0)))</f>
        <v/>
      </c>
      <c r="AB164">
        <f>IF(R164=0,0,INDEX(BDD_Penalites!$K$2:$K$130,MATCH($B164,BDD_Penalites!$A$2:$A$130,0)))</f>
        <v/>
      </c>
      <c r="AC164">
        <f>IF(R164=0,0,INDEX(BDD_Penalites!$L$2:$L$130,MATCH($B164,BDD_Penalites!$A$2:$A$130,0)))</f>
        <v/>
      </c>
      <c r="AD164">
        <f>IF(OR($C164="",Q164="FUTUR"),"",_xlfn.IFS(Q164&lt;U164,V164,Q164&lt;W164,X164,Q164&lt;Y164,Z164,Q164&lt;AA164,AB164,TRUE,AC164))</f>
        <v/>
      </c>
    </row>
    <row r="165" ht="13.5" customHeight="1">
      <c r="A165" s="65" t="n"/>
      <c r="B165" s="75" t="n"/>
    </row>
    <row r="166" ht="13.5" customHeight="1">
      <c r="A166" s="65" t="n"/>
      <c r="B166" s="75" t="n"/>
    </row>
    <row r="167" ht="13.5" customHeight="1">
      <c r="A167" s="65" t="n"/>
      <c r="B167" s="75" t="n"/>
    </row>
    <row r="168" ht="13.5" customHeight="1">
      <c r="A168" s="65" t="n"/>
      <c r="B168" s="75" t="n"/>
    </row>
    <row r="169" ht="13.5" customHeight="1">
      <c r="A169" s="65" t="n"/>
      <c r="B169" s="75" t="n"/>
    </row>
    <row r="170" ht="13.5" customHeight="1">
      <c r="A170" s="65" t="n"/>
      <c r="B170" s="75" t="n"/>
    </row>
    <row r="171" ht="13.5" customHeight="1">
      <c r="A171" s="65" t="n"/>
      <c r="B171" s="75" t="n"/>
    </row>
    <row r="172" ht="13.5" customHeight="1">
      <c r="A172" s="65" t="n"/>
      <c r="B172" s="75" t="n"/>
    </row>
    <row r="173" ht="14" customHeight="1">
      <c r="A173" s="235" t="inlineStr">
        <is>
          <t>Infrastructures non cotées</t>
        </is>
      </c>
      <c r="B173" s="236" t="n"/>
      <c r="C173" s="235" t="n"/>
      <c r="D173" s="235" t="n"/>
      <c r="E173" s="235" t="n"/>
      <c r="F173" s="235" t="n"/>
      <c r="G173" s="235" t="n"/>
    </row>
    <row r="174" ht="13.5" customHeight="1">
      <c r="A174" s="65" t="inlineStr">
        <is>
          <t>Antheor Private Infrastructure part F</t>
        </is>
      </c>
      <c r="B174" s="66" t="inlineStr">
        <is>
          <t>FR001400ZM09</t>
        </is>
      </c>
      <c r="C174" s="268" t="n"/>
      <c r="D174" s="269">
        <f>IF(H174=0,"Calendrier non disponible pour ce fonds — contacter la société de gestion.",IF(I174="","Calendrier connu jusqu'au "&amp;TEXT(K174,"dd/mm/yyyy")&amp;" — demander le calendrier à jour.","Cut-off : "&amp;TEXT(I174,"dd/mm/yyyy")&amp;"  |  VL : "&amp;TEXT(J174,"dd/mm/yyyy")))</f>
        <v/>
      </c>
      <c r="E174" s="269">
        <f>IF(L174=0,"Calendrier non disponible pour ce fonds — contacter la société de gestion.",IF(M174="","Calendrier connu jusqu'au "&amp;TEXT(P174,"dd/mm/yyyy")&amp;" — demander le calendrier à jour.","Cut-off : "&amp;TEXT(M174,"dd/mm/yyyy")&amp;"  |  VL : "&amp;TEXT(N174,"dd/mm/yyyy")))</f>
        <v/>
      </c>
      <c r="F174" s="269">
        <f>IF(L174=0,"Calendrier non disponible pour ce fonds.",IF(M174="","Calendrier connu jusqu'au "&amp;TEXT(P174,"dd/mm/yyyy")&amp;".",IF(O174="","Non précisé dans le calendrier pour cette échéance.","Réception : "&amp;TEXT(O174,"dd/mm/yyyy")&amp;"  (suite au rachat du "&amp;TEXT(N174,"dd/mm/yyyy")&amp;")")))</f>
        <v/>
      </c>
      <c r="G174" s="269">
        <f>_xlfn.IFS(S174="aucune","Aucune pénalité de sortie."&amp;IF(T174&lt;&gt;""," ("&amp;T174&amp;")",""),S174="manuel","⚠️ À VÉRIFIER MANUELLEMENT : "&amp;T174,S174="inconnue","Pénalité non renseignée — vérifier la notice / DICI du fonds.",$C174="","Saisir une date d'investissement pour statuer sur la pénalité.",Q174="FUTUR","Date d'investissement postérieure à aujourd'hui — vérifier la saisie.",AD174&gt;0,"⚠️ CONCERNÉ : pénalité de "&amp;AD174&amp;"% (détention "&amp;Q174&amp;" mois). "&amp;T174,TRUE,"Non concerné (détention "&amp;Q174&amp;" mois). "&amp;T174)</f>
        <v/>
      </c>
      <c r="H174">
        <f>COUNTIFS(BDD_Calendrier!$A$2:$A$616,$B174,BDD_Calendrier!$C$2:$C$616,"Souscription")</f>
        <v/>
      </c>
      <c r="I174">
        <f>IF(H174=0,"",IFERROR(_xlfn.MINIFS(BDD_Calendrier!$D$2:$D$616,BDD_Calendrier!$A$2:$A$616,$B174,BDD_Calendrier!$C$2:$C$616,"Souscription",BDD_Calendrier!$D$2:$D$616,"&gt;="&amp;TODAY()),""))</f>
        <v/>
      </c>
      <c r="J174">
        <f>IF(I174="","",IFERROR(INDEX(BDD_Calendrier!$E$2:$E$616,MATCH($B174&amp;"|Souscription|"&amp;TEXT(I174,"yyyy-mm-dd"),BDD_Calendrier!$I$2:$I$616,0)),""))</f>
        <v/>
      </c>
      <c r="K174">
        <f>IF(H174=0,"",_xlfn.MAXIFS(BDD_Calendrier!$D$2:$D$616,BDD_Calendrier!$A$2:$A$616,$B174,BDD_Calendrier!$C$2:$C$616,"Souscription"))</f>
        <v/>
      </c>
      <c r="L174">
        <f>COUNTIFS(BDD_Calendrier!$A$2:$A$616,$B174,BDD_Calendrier!$C$2:$C$616,"Rachat")</f>
        <v/>
      </c>
      <c r="M174">
        <f>IF(L174=0,"",IFERROR(_xlfn.MINIFS(BDD_Calendrier!$D$2:$D$616,BDD_Calendrier!$A$2:$A$616,$B174,BDD_Calendrier!$C$2:$C$616,"Rachat",BDD_Calendrier!$D$2:$D$616,"&gt;="&amp;TODAY()),""))</f>
        <v/>
      </c>
      <c r="N174">
        <f>IF(M174="","",IFERROR(INDEX(BDD_Calendrier!$E$2:$E$616,MATCH($B174&amp;"|Rachat|"&amp;TEXT(M174,"yyyy-mm-dd"),BDD_Calendrier!$I$2:$I$616,0)),""))</f>
        <v/>
      </c>
      <c r="O174">
        <f>IF(M174="","",IFERROR(INDEX(BDD_Calendrier!$H$2:$H$616,MATCH($B174&amp;"|Rachat|"&amp;TEXT(M174,"yyyy-mm-dd"),BDD_Calendrier!$I$2:$I$616,0)),""))</f>
        <v/>
      </c>
      <c r="P174">
        <f>IF(L174=0,"",_xlfn.MAXIFS(BDD_Calendrier!$D$2:$D$616,BDD_Calendrier!$A$2:$A$616,$B174,BDD_Calendrier!$C$2:$C$616,"Rachat"))</f>
        <v/>
      </c>
      <c r="Q174">
        <f>IF($C174="","",IF($C174&gt;TODAY(),"FUTUR",DATEDIF($C174,TODAY(),"m")))</f>
        <v/>
      </c>
      <c r="R174">
        <f>COUNTIF(BDD_Penalites!$A$2:$A$130,$B174)</f>
        <v/>
      </c>
      <c r="S174">
        <f>IF(R174=0,"inconnue",INDEX(BDD_Penalites!$C$2:$C$130,MATCH($B174,BDD_Penalites!$A$2:$A$130,0)))</f>
        <v/>
      </c>
      <c r="T174">
        <f>IF(R174=0,"",INDEX(BDD_Penalites!$M$2:$M$130,MATCH($B174,BDD_Penalites!$A$2:$A$130,0)))</f>
        <v/>
      </c>
      <c r="U174">
        <f>IF(R174=0,0,INDEX(BDD_Penalites!$D$2:$D$130,MATCH($B174,BDD_Penalites!$A$2:$A$130,0)))</f>
        <v/>
      </c>
      <c r="V174">
        <f>IF(R174=0,0,INDEX(BDD_Penalites!$E$2:$E$130,MATCH($B174,BDD_Penalites!$A$2:$A$130,0)))</f>
        <v/>
      </c>
      <c r="W174">
        <f>IF(R174=0,0,INDEX(BDD_Penalites!$F$2:$F$130,MATCH($B174,BDD_Penalites!$A$2:$A$130,0)))</f>
        <v/>
      </c>
      <c r="X174">
        <f>IF(R174=0,0,INDEX(BDD_Penalites!$G$2:$G$130,MATCH($B174,BDD_Penalites!$A$2:$A$130,0)))</f>
        <v/>
      </c>
      <c r="Y174">
        <f>IF(R174=0,0,INDEX(BDD_Penalites!$H$2:$H$130,MATCH($B174,BDD_Penalites!$A$2:$A$130,0)))</f>
        <v/>
      </c>
      <c r="Z174">
        <f>IF(R174=0,0,INDEX(BDD_Penalites!$I$2:$I$130,MATCH($B174,BDD_Penalites!$A$2:$A$130,0)))</f>
        <v/>
      </c>
      <c r="AA174">
        <f>IF(R174=0,0,INDEX(BDD_Penalites!$J$2:$J$130,MATCH($B174,BDD_Penalites!$A$2:$A$130,0)))</f>
        <v/>
      </c>
      <c r="AB174">
        <f>IF(R174=0,0,INDEX(BDD_Penalites!$K$2:$K$130,MATCH($B174,BDD_Penalites!$A$2:$A$130,0)))</f>
        <v/>
      </c>
      <c r="AC174">
        <f>IF(R174=0,0,INDEX(BDD_Penalites!$L$2:$L$130,MATCH($B174,BDD_Penalites!$A$2:$A$130,0)))</f>
        <v/>
      </c>
      <c r="AD174">
        <f>IF(OR($C174="",Q174="FUTUR"),"",_xlfn.IFS(Q174&lt;U174,V174,Q174&lt;W174,X174,Q174&lt;Y174,Z174,Q174&lt;AA174,AB174,TRUE,AC174))</f>
        <v/>
      </c>
    </row>
    <row r="175" ht="13.5" customHeight="1">
      <c r="A175" s="65" t="inlineStr">
        <is>
          <t>Antheor Private Infrastructure part A</t>
        </is>
      </c>
      <c r="B175" s="66" t="inlineStr">
        <is>
          <t>FR001400ZLZ0</t>
        </is>
      </c>
      <c r="C175" s="268" t="n"/>
      <c r="D175" s="269">
        <f>IF(H175=0,"Calendrier non disponible pour ce fonds — contacter la société de gestion.",IF(I175="","Calendrier connu jusqu'au "&amp;TEXT(K175,"dd/mm/yyyy")&amp;" — demander le calendrier à jour.","Cut-off : "&amp;TEXT(I175,"dd/mm/yyyy")&amp;"  |  VL : "&amp;TEXT(J175,"dd/mm/yyyy")))</f>
        <v/>
      </c>
      <c r="E175" s="269">
        <f>IF(L175=0,"Calendrier non disponible pour ce fonds — contacter la société de gestion.",IF(M175="","Calendrier connu jusqu'au "&amp;TEXT(P175,"dd/mm/yyyy")&amp;" — demander le calendrier à jour.","Cut-off : "&amp;TEXT(M175,"dd/mm/yyyy")&amp;"  |  VL : "&amp;TEXT(N175,"dd/mm/yyyy")))</f>
        <v/>
      </c>
      <c r="F175" s="269">
        <f>IF(L175=0,"Calendrier non disponible pour ce fonds.",IF(M175="","Calendrier connu jusqu'au "&amp;TEXT(P175,"dd/mm/yyyy")&amp;".",IF(O175="","Non précisé dans le calendrier pour cette échéance.","Réception : "&amp;TEXT(O175,"dd/mm/yyyy")&amp;"  (suite au rachat du "&amp;TEXT(N175,"dd/mm/yyyy")&amp;")")))</f>
        <v/>
      </c>
      <c r="G175" s="269">
        <f>_xlfn.IFS(S175="aucune","Aucune pénalité de sortie."&amp;IF(T175&lt;&gt;""," ("&amp;T175&amp;")",""),S175="manuel","⚠️ À VÉRIFIER MANUELLEMENT : "&amp;T175,S175="inconnue","Pénalité non renseignée — vérifier la notice / DICI du fonds.",$C175="","Saisir une date d'investissement pour statuer sur la pénalité.",Q175="FUTUR","Date d'investissement postérieure à aujourd'hui — vérifier la saisie.",AD175&gt;0,"⚠️ CONCERNÉ : pénalité de "&amp;AD175&amp;"% (détention "&amp;Q175&amp;" mois). "&amp;T175,TRUE,"Non concerné (détention "&amp;Q175&amp;" mois). "&amp;T175)</f>
        <v/>
      </c>
      <c r="H175">
        <f>COUNTIFS(BDD_Calendrier!$A$2:$A$616,$B175,BDD_Calendrier!$C$2:$C$616,"Souscription")</f>
        <v/>
      </c>
      <c r="I175">
        <f>IF(H175=0,"",IFERROR(_xlfn.MINIFS(BDD_Calendrier!$D$2:$D$616,BDD_Calendrier!$A$2:$A$616,$B175,BDD_Calendrier!$C$2:$C$616,"Souscription",BDD_Calendrier!$D$2:$D$616,"&gt;="&amp;TODAY()),""))</f>
        <v/>
      </c>
      <c r="J175">
        <f>IF(I175="","",IFERROR(INDEX(BDD_Calendrier!$E$2:$E$616,MATCH($B175&amp;"|Souscription|"&amp;TEXT(I175,"yyyy-mm-dd"),BDD_Calendrier!$I$2:$I$616,0)),""))</f>
        <v/>
      </c>
      <c r="K175">
        <f>IF(H175=0,"",_xlfn.MAXIFS(BDD_Calendrier!$D$2:$D$616,BDD_Calendrier!$A$2:$A$616,$B175,BDD_Calendrier!$C$2:$C$616,"Souscription"))</f>
        <v/>
      </c>
      <c r="L175">
        <f>COUNTIFS(BDD_Calendrier!$A$2:$A$616,$B175,BDD_Calendrier!$C$2:$C$616,"Rachat")</f>
        <v/>
      </c>
      <c r="M175">
        <f>IF(L175=0,"",IFERROR(_xlfn.MINIFS(BDD_Calendrier!$D$2:$D$616,BDD_Calendrier!$A$2:$A$616,$B175,BDD_Calendrier!$C$2:$C$616,"Rachat",BDD_Calendrier!$D$2:$D$616,"&gt;="&amp;TODAY()),""))</f>
        <v/>
      </c>
      <c r="N175">
        <f>IF(M175="","",IFERROR(INDEX(BDD_Calendrier!$E$2:$E$616,MATCH($B175&amp;"|Rachat|"&amp;TEXT(M175,"yyyy-mm-dd"),BDD_Calendrier!$I$2:$I$616,0)),""))</f>
        <v/>
      </c>
      <c r="O175">
        <f>IF(M175="","",IFERROR(INDEX(BDD_Calendrier!$H$2:$H$616,MATCH($B175&amp;"|Rachat|"&amp;TEXT(M175,"yyyy-mm-dd"),BDD_Calendrier!$I$2:$I$616,0)),""))</f>
        <v/>
      </c>
      <c r="P175">
        <f>IF(L175=0,"",_xlfn.MAXIFS(BDD_Calendrier!$D$2:$D$616,BDD_Calendrier!$A$2:$A$616,$B175,BDD_Calendrier!$C$2:$C$616,"Rachat"))</f>
        <v/>
      </c>
      <c r="Q175">
        <f>IF($C175="","",IF($C175&gt;TODAY(),"FUTUR",DATEDIF($C175,TODAY(),"m")))</f>
        <v/>
      </c>
      <c r="R175">
        <f>COUNTIF(BDD_Penalites!$A$2:$A$130,$B175)</f>
        <v/>
      </c>
      <c r="S175">
        <f>IF(R175=0,"inconnue",INDEX(BDD_Penalites!$C$2:$C$130,MATCH($B175,BDD_Penalites!$A$2:$A$130,0)))</f>
        <v/>
      </c>
      <c r="T175">
        <f>IF(R175=0,"",INDEX(BDD_Penalites!$M$2:$M$130,MATCH($B175,BDD_Penalites!$A$2:$A$130,0)))</f>
        <v/>
      </c>
      <c r="U175">
        <f>IF(R175=0,0,INDEX(BDD_Penalites!$D$2:$D$130,MATCH($B175,BDD_Penalites!$A$2:$A$130,0)))</f>
        <v/>
      </c>
      <c r="V175">
        <f>IF(R175=0,0,INDEX(BDD_Penalites!$E$2:$E$130,MATCH($B175,BDD_Penalites!$A$2:$A$130,0)))</f>
        <v/>
      </c>
      <c r="W175">
        <f>IF(R175=0,0,INDEX(BDD_Penalites!$F$2:$F$130,MATCH($B175,BDD_Penalites!$A$2:$A$130,0)))</f>
        <v/>
      </c>
      <c r="X175">
        <f>IF(R175=0,0,INDEX(BDD_Penalites!$G$2:$G$130,MATCH($B175,BDD_Penalites!$A$2:$A$130,0)))</f>
        <v/>
      </c>
      <c r="Y175">
        <f>IF(R175=0,0,INDEX(BDD_Penalites!$H$2:$H$130,MATCH($B175,BDD_Penalites!$A$2:$A$130,0)))</f>
        <v/>
      </c>
      <c r="Z175">
        <f>IF(R175=0,0,INDEX(BDD_Penalites!$I$2:$I$130,MATCH($B175,BDD_Penalites!$A$2:$A$130,0)))</f>
        <v/>
      </c>
      <c r="AA175">
        <f>IF(R175=0,0,INDEX(BDD_Penalites!$J$2:$J$130,MATCH($B175,BDD_Penalites!$A$2:$A$130,0)))</f>
        <v/>
      </c>
      <c r="AB175">
        <f>IF(R175=0,0,INDEX(BDD_Penalites!$K$2:$K$130,MATCH($B175,BDD_Penalites!$A$2:$A$130,0)))</f>
        <v/>
      </c>
      <c r="AC175">
        <f>IF(R175=0,0,INDEX(BDD_Penalites!$L$2:$L$130,MATCH($B175,BDD_Penalites!$A$2:$A$130,0)))</f>
        <v/>
      </c>
      <c r="AD175">
        <f>IF(OR($C175="",Q175="FUTUR"),"",_xlfn.IFS(Q175&lt;U175,V175,Q175&lt;W175,X175,Q175&lt;Y175,Z175,Q175&lt;AA175,AB175,TRUE,AC175))</f>
        <v/>
      </c>
    </row>
    <row r="176" ht="13.5" customHeight="1">
      <c r="A176" s="65" t="inlineStr">
        <is>
          <t>Antheor Private Infrastructure part B</t>
        </is>
      </c>
      <c r="B176" s="66" t="inlineStr">
        <is>
          <t>FR001400ZM58</t>
        </is>
      </c>
      <c r="C176" s="268" t="n"/>
      <c r="D176" s="269">
        <f>IF(H176=0,"Calendrier non disponible pour ce fonds — contacter la société de gestion.",IF(I176="","Calendrier connu jusqu'au "&amp;TEXT(K176,"dd/mm/yyyy")&amp;" — demander le calendrier à jour.","Cut-off : "&amp;TEXT(I176,"dd/mm/yyyy")&amp;"  |  VL : "&amp;TEXT(J176,"dd/mm/yyyy")))</f>
        <v/>
      </c>
      <c r="E176" s="269">
        <f>IF(L176=0,"Calendrier non disponible pour ce fonds — contacter la société de gestion.",IF(M176="","Calendrier connu jusqu'au "&amp;TEXT(P176,"dd/mm/yyyy")&amp;" — demander le calendrier à jour.","Cut-off : "&amp;TEXT(M176,"dd/mm/yyyy")&amp;"  |  VL : "&amp;TEXT(N176,"dd/mm/yyyy")))</f>
        <v/>
      </c>
      <c r="F176" s="269">
        <f>IF(L176=0,"Calendrier non disponible pour ce fonds.",IF(M176="","Calendrier connu jusqu'au "&amp;TEXT(P176,"dd/mm/yyyy")&amp;".",IF(O176="","Non précisé dans le calendrier pour cette échéance.","Réception : "&amp;TEXT(O176,"dd/mm/yyyy")&amp;"  (suite au rachat du "&amp;TEXT(N176,"dd/mm/yyyy")&amp;")")))</f>
        <v/>
      </c>
      <c r="G176" s="269">
        <f>_xlfn.IFS(S176="aucune","Aucune pénalité de sortie."&amp;IF(T176&lt;&gt;""," ("&amp;T176&amp;")",""),S176="manuel","⚠️ À VÉRIFIER MANUELLEMENT : "&amp;T176,S176="inconnue","Pénalité non renseignée — vérifier la notice / DICI du fonds.",$C176="","Saisir une date d'investissement pour statuer sur la pénalité.",Q176="FUTUR","Date d'investissement postérieure à aujourd'hui — vérifier la saisie.",AD176&gt;0,"⚠️ CONCERNÉ : pénalité de "&amp;AD176&amp;"% (détention "&amp;Q176&amp;" mois). "&amp;T176,TRUE,"Non concerné (détention "&amp;Q176&amp;" mois). "&amp;T176)</f>
        <v/>
      </c>
      <c r="H176">
        <f>COUNTIFS(BDD_Calendrier!$A$2:$A$616,$B176,BDD_Calendrier!$C$2:$C$616,"Souscription")</f>
        <v/>
      </c>
      <c r="I176">
        <f>IF(H176=0,"",IFERROR(_xlfn.MINIFS(BDD_Calendrier!$D$2:$D$616,BDD_Calendrier!$A$2:$A$616,$B176,BDD_Calendrier!$C$2:$C$616,"Souscription",BDD_Calendrier!$D$2:$D$616,"&gt;="&amp;TODAY()),""))</f>
        <v/>
      </c>
      <c r="J176">
        <f>IF(I176="","",IFERROR(INDEX(BDD_Calendrier!$E$2:$E$616,MATCH($B176&amp;"|Souscription|"&amp;TEXT(I176,"yyyy-mm-dd"),BDD_Calendrier!$I$2:$I$616,0)),""))</f>
        <v/>
      </c>
      <c r="K176">
        <f>IF(H176=0,"",_xlfn.MAXIFS(BDD_Calendrier!$D$2:$D$616,BDD_Calendrier!$A$2:$A$616,$B176,BDD_Calendrier!$C$2:$C$616,"Souscription"))</f>
        <v/>
      </c>
      <c r="L176">
        <f>COUNTIFS(BDD_Calendrier!$A$2:$A$616,$B176,BDD_Calendrier!$C$2:$C$616,"Rachat")</f>
        <v/>
      </c>
      <c r="M176">
        <f>IF(L176=0,"",IFERROR(_xlfn.MINIFS(BDD_Calendrier!$D$2:$D$616,BDD_Calendrier!$A$2:$A$616,$B176,BDD_Calendrier!$C$2:$C$616,"Rachat",BDD_Calendrier!$D$2:$D$616,"&gt;="&amp;TODAY()),""))</f>
        <v/>
      </c>
      <c r="N176">
        <f>IF(M176="","",IFERROR(INDEX(BDD_Calendrier!$E$2:$E$616,MATCH($B176&amp;"|Rachat|"&amp;TEXT(M176,"yyyy-mm-dd"),BDD_Calendrier!$I$2:$I$616,0)),""))</f>
        <v/>
      </c>
      <c r="O176">
        <f>IF(M176="","",IFERROR(INDEX(BDD_Calendrier!$H$2:$H$616,MATCH($B176&amp;"|Rachat|"&amp;TEXT(M176,"yyyy-mm-dd"),BDD_Calendrier!$I$2:$I$616,0)),""))</f>
        <v/>
      </c>
      <c r="P176">
        <f>IF(L176=0,"",_xlfn.MAXIFS(BDD_Calendrier!$D$2:$D$616,BDD_Calendrier!$A$2:$A$616,$B176,BDD_Calendrier!$C$2:$C$616,"Rachat"))</f>
        <v/>
      </c>
      <c r="Q176">
        <f>IF($C176="","",IF($C176&gt;TODAY(),"FUTUR",DATEDIF($C176,TODAY(),"m")))</f>
        <v/>
      </c>
      <c r="R176">
        <f>COUNTIF(BDD_Penalites!$A$2:$A$130,$B176)</f>
        <v/>
      </c>
      <c r="S176">
        <f>IF(R176=0,"inconnue",INDEX(BDD_Penalites!$C$2:$C$130,MATCH($B176,BDD_Penalites!$A$2:$A$130,0)))</f>
        <v/>
      </c>
      <c r="T176">
        <f>IF(R176=0,"",INDEX(BDD_Penalites!$M$2:$M$130,MATCH($B176,BDD_Penalites!$A$2:$A$130,0)))</f>
        <v/>
      </c>
      <c r="U176">
        <f>IF(R176=0,0,INDEX(BDD_Penalites!$D$2:$D$130,MATCH($B176,BDD_Penalites!$A$2:$A$130,0)))</f>
        <v/>
      </c>
      <c r="V176">
        <f>IF(R176=0,0,INDEX(BDD_Penalites!$E$2:$E$130,MATCH($B176,BDD_Penalites!$A$2:$A$130,0)))</f>
        <v/>
      </c>
      <c r="W176">
        <f>IF(R176=0,0,INDEX(BDD_Penalites!$F$2:$F$130,MATCH($B176,BDD_Penalites!$A$2:$A$130,0)))</f>
        <v/>
      </c>
      <c r="X176">
        <f>IF(R176=0,0,INDEX(BDD_Penalites!$G$2:$G$130,MATCH($B176,BDD_Penalites!$A$2:$A$130,0)))</f>
        <v/>
      </c>
      <c r="Y176">
        <f>IF(R176=0,0,INDEX(BDD_Penalites!$H$2:$H$130,MATCH($B176,BDD_Penalites!$A$2:$A$130,0)))</f>
        <v/>
      </c>
      <c r="Z176">
        <f>IF(R176=0,0,INDEX(BDD_Penalites!$I$2:$I$130,MATCH($B176,BDD_Penalites!$A$2:$A$130,0)))</f>
        <v/>
      </c>
      <c r="AA176">
        <f>IF(R176=0,0,INDEX(BDD_Penalites!$J$2:$J$130,MATCH($B176,BDD_Penalites!$A$2:$A$130,0)))</f>
        <v/>
      </c>
      <c r="AB176">
        <f>IF(R176=0,0,INDEX(BDD_Penalites!$K$2:$K$130,MATCH($B176,BDD_Penalites!$A$2:$A$130,0)))</f>
        <v/>
      </c>
      <c r="AC176">
        <f>IF(R176=0,0,INDEX(BDD_Penalites!$L$2:$L$130,MATCH($B176,BDD_Penalites!$A$2:$A$130,0)))</f>
        <v/>
      </c>
      <c r="AD176">
        <f>IF(OR($C176="",Q176="FUTUR"),"",_xlfn.IFS(Q176&lt;U176,V176,Q176&lt;W176,X176,Q176&lt;Y176,Z176,Q176&lt;AA176,AB176,TRUE,AC176))</f>
        <v/>
      </c>
    </row>
    <row r="177" ht="13.5" customHeight="1">
      <c r="A177" s="65" t="inlineStr">
        <is>
          <t>StepStone Structure</t>
        </is>
      </c>
      <c r="B177" s="66" t="inlineStr">
        <is>
          <t>LU3084311938</t>
        </is>
      </c>
      <c r="C177" s="268" t="n"/>
      <c r="D177" s="269">
        <f>IF(H177=0,"Calendrier non disponible pour ce fonds — contacter la société de gestion.",IF(I177="","Calendrier connu jusqu'au "&amp;TEXT(K177,"dd/mm/yyyy")&amp;" — demander le calendrier à jour.","Cut-off : "&amp;TEXT(I177,"dd/mm/yyyy")&amp;"  |  VL : "&amp;TEXT(J177,"dd/mm/yyyy")))</f>
        <v/>
      </c>
      <c r="E177" s="269">
        <f>IF(L177=0,"Calendrier non disponible pour ce fonds — contacter la société de gestion.",IF(M177="","Calendrier connu jusqu'au "&amp;TEXT(P177,"dd/mm/yyyy")&amp;" — demander le calendrier à jour.","Cut-off : "&amp;TEXT(M177,"dd/mm/yyyy")&amp;"  |  VL : "&amp;TEXT(N177,"dd/mm/yyyy")))</f>
        <v/>
      </c>
      <c r="F177" s="269">
        <f>IF(L177=0,"Calendrier non disponible pour ce fonds.",IF(M177="","Calendrier connu jusqu'au "&amp;TEXT(P177,"dd/mm/yyyy")&amp;".",IF(O177="","Non précisé dans le calendrier pour cette échéance.","Réception : "&amp;TEXT(O177,"dd/mm/yyyy")&amp;"  (suite au rachat du "&amp;TEXT(N177,"dd/mm/yyyy")&amp;")")))</f>
        <v/>
      </c>
      <c r="G177" s="269">
        <f>_xlfn.IFS(S177="aucune","Aucune pénalité de sortie."&amp;IF(T177&lt;&gt;""," ("&amp;T177&amp;")",""),S177="manuel","⚠️ À VÉRIFIER MANUELLEMENT : "&amp;T177,S177="inconnue","Pénalité non renseignée — vérifier la notice / DICI du fonds.",$C177="","Saisir une date d'investissement pour statuer sur la pénalité.",Q177="FUTUR","Date d'investissement postérieure à aujourd'hui — vérifier la saisie.",AD177&gt;0,"⚠️ CONCERNÉ : pénalité de "&amp;AD177&amp;"% (détention "&amp;Q177&amp;" mois). "&amp;T177,TRUE,"Non concerné (détention "&amp;Q177&amp;" mois). "&amp;T177)</f>
        <v/>
      </c>
      <c r="H177">
        <f>COUNTIFS(BDD_Calendrier!$A$2:$A$616,$B177,BDD_Calendrier!$C$2:$C$616,"Souscription")</f>
        <v/>
      </c>
      <c r="I177">
        <f>IF(H177=0,"",IFERROR(_xlfn.MINIFS(BDD_Calendrier!$D$2:$D$616,BDD_Calendrier!$A$2:$A$616,$B177,BDD_Calendrier!$C$2:$C$616,"Souscription",BDD_Calendrier!$D$2:$D$616,"&gt;="&amp;TODAY()),""))</f>
        <v/>
      </c>
      <c r="J177">
        <f>IF(I177="","",IFERROR(INDEX(BDD_Calendrier!$E$2:$E$616,MATCH($B177&amp;"|Souscription|"&amp;TEXT(I177,"yyyy-mm-dd"),BDD_Calendrier!$I$2:$I$616,0)),""))</f>
        <v/>
      </c>
      <c r="K177">
        <f>IF(H177=0,"",_xlfn.MAXIFS(BDD_Calendrier!$D$2:$D$616,BDD_Calendrier!$A$2:$A$616,$B177,BDD_Calendrier!$C$2:$C$616,"Souscription"))</f>
        <v/>
      </c>
      <c r="L177">
        <f>COUNTIFS(BDD_Calendrier!$A$2:$A$616,$B177,BDD_Calendrier!$C$2:$C$616,"Rachat")</f>
        <v/>
      </c>
      <c r="M177">
        <f>IF(L177=0,"",IFERROR(_xlfn.MINIFS(BDD_Calendrier!$D$2:$D$616,BDD_Calendrier!$A$2:$A$616,$B177,BDD_Calendrier!$C$2:$C$616,"Rachat",BDD_Calendrier!$D$2:$D$616,"&gt;="&amp;TODAY()),""))</f>
        <v/>
      </c>
      <c r="N177">
        <f>IF(M177="","",IFERROR(INDEX(BDD_Calendrier!$E$2:$E$616,MATCH($B177&amp;"|Rachat|"&amp;TEXT(M177,"yyyy-mm-dd"),BDD_Calendrier!$I$2:$I$616,0)),""))</f>
        <v/>
      </c>
      <c r="O177">
        <f>IF(M177="","",IFERROR(INDEX(BDD_Calendrier!$H$2:$H$616,MATCH($B177&amp;"|Rachat|"&amp;TEXT(M177,"yyyy-mm-dd"),BDD_Calendrier!$I$2:$I$616,0)),""))</f>
        <v/>
      </c>
      <c r="P177">
        <f>IF(L177=0,"",_xlfn.MAXIFS(BDD_Calendrier!$D$2:$D$616,BDD_Calendrier!$A$2:$A$616,$B177,BDD_Calendrier!$C$2:$C$616,"Rachat"))</f>
        <v/>
      </c>
      <c r="Q177">
        <f>IF($C177="","",IF($C177&gt;TODAY(),"FUTUR",DATEDIF($C177,TODAY(),"m")))</f>
        <v/>
      </c>
      <c r="R177">
        <f>COUNTIF(BDD_Penalites!$A$2:$A$130,$B177)</f>
        <v/>
      </c>
      <c r="S177">
        <f>IF(R177=0,"inconnue",INDEX(BDD_Penalites!$C$2:$C$130,MATCH($B177,BDD_Penalites!$A$2:$A$130,0)))</f>
        <v/>
      </c>
      <c r="T177">
        <f>IF(R177=0,"",INDEX(BDD_Penalites!$M$2:$M$130,MATCH($B177,BDD_Penalites!$A$2:$A$130,0)))</f>
        <v/>
      </c>
      <c r="U177">
        <f>IF(R177=0,0,INDEX(BDD_Penalites!$D$2:$D$130,MATCH($B177,BDD_Penalites!$A$2:$A$130,0)))</f>
        <v/>
      </c>
      <c r="V177">
        <f>IF(R177=0,0,INDEX(BDD_Penalites!$E$2:$E$130,MATCH($B177,BDD_Penalites!$A$2:$A$130,0)))</f>
        <v/>
      </c>
      <c r="W177">
        <f>IF(R177=0,0,INDEX(BDD_Penalites!$F$2:$F$130,MATCH($B177,BDD_Penalites!$A$2:$A$130,0)))</f>
        <v/>
      </c>
      <c r="X177">
        <f>IF(R177=0,0,INDEX(BDD_Penalites!$G$2:$G$130,MATCH($B177,BDD_Penalites!$A$2:$A$130,0)))</f>
        <v/>
      </c>
      <c r="Y177">
        <f>IF(R177=0,0,INDEX(BDD_Penalites!$H$2:$H$130,MATCH($B177,BDD_Penalites!$A$2:$A$130,0)))</f>
        <v/>
      </c>
      <c r="Z177">
        <f>IF(R177=0,0,INDEX(BDD_Penalites!$I$2:$I$130,MATCH($B177,BDD_Penalites!$A$2:$A$130,0)))</f>
        <v/>
      </c>
      <c r="AA177">
        <f>IF(R177=0,0,INDEX(BDD_Penalites!$J$2:$J$130,MATCH($B177,BDD_Penalites!$A$2:$A$130,0)))</f>
        <v/>
      </c>
      <c r="AB177">
        <f>IF(R177=0,0,INDEX(BDD_Penalites!$K$2:$K$130,MATCH($B177,BDD_Penalites!$A$2:$A$130,0)))</f>
        <v/>
      </c>
      <c r="AC177">
        <f>IF(R177=0,0,INDEX(BDD_Penalites!$L$2:$L$130,MATCH($B177,BDD_Penalites!$A$2:$A$130,0)))</f>
        <v/>
      </c>
      <c r="AD177">
        <f>IF(OR($C177="",Q177="FUTUR"),"",_xlfn.IFS(Q177&lt;U177,V177,Q177&lt;W177,X177,Q177&lt;Y177,Z177,Q177&lt;AA177,AB177,TRUE,AC177))</f>
        <v/>
      </c>
    </row>
    <row r="178" ht="13.5" customHeight="1">
      <c r="A178" s="65" t="inlineStr">
        <is>
          <t>EQT Nexus Infrastructure</t>
        </is>
      </c>
      <c r="B178" s="66" t="inlineStr">
        <is>
          <t>LU2984100870</t>
        </is>
      </c>
      <c r="C178" s="268" t="n"/>
      <c r="D178" s="269">
        <f>IF(H178=0,"Calendrier non disponible pour ce fonds — contacter la société de gestion.",IF(I178="","Calendrier connu jusqu'au "&amp;TEXT(K178,"dd/mm/yyyy")&amp;" — demander le calendrier à jour.","Cut-off : "&amp;TEXT(I178,"dd/mm/yyyy")&amp;"  |  VL : "&amp;TEXT(J178,"dd/mm/yyyy")))</f>
        <v/>
      </c>
      <c r="E178" s="269">
        <f>IF(L178=0,"Calendrier non disponible pour ce fonds — contacter la société de gestion.",IF(M178="","Calendrier connu jusqu'au "&amp;TEXT(P178,"dd/mm/yyyy")&amp;" — demander le calendrier à jour.","Cut-off : "&amp;TEXT(M178,"dd/mm/yyyy")&amp;"  |  VL : "&amp;TEXT(N178,"dd/mm/yyyy")))</f>
        <v/>
      </c>
      <c r="F178" s="269">
        <f>IF(L178=0,"Calendrier non disponible pour ce fonds.",IF(M178="","Calendrier connu jusqu'au "&amp;TEXT(P178,"dd/mm/yyyy")&amp;".",IF(O178="","Non précisé dans le calendrier pour cette échéance.","Réception : "&amp;TEXT(O178,"dd/mm/yyyy")&amp;"  (suite au rachat du "&amp;TEXT(N178,"dd/mm/yyyy")&amp;")")))</f>
        <v/>
      </c>
      <c r="G178" s="269">
        <f>_xlfn.IFS(S178="aucune","Aucune pénalité de sortie."&amp;IF(T178&lt;&gt;""," ("&amp;T178&amp;")",""),S178="manuel","⚠️ À VÉRIFIER MANUELLEMENT : "&amp;T178,S178="inconnue","Pénalité non renseignée — vérifier la notice / DICI du fonds.",$C178="","Saisir une date d'investissement pour statuer sur la pénalité.",Q178="FUTUR","Date d'investissement postérieure à aujourd'hui — vérifier la saisie.",AD178&gt;0,"⚠️ CONCERNÉ : pénalité de "&amp;AD178&amp;"% (détention "&amp;Q178&amp;" mois). "&amp;T178,TRUE,"Non concerné (détention "&amp;Q178&amp;" mois). "&amp;T178)</f>
        <v/>
      </c>
      <c r="H178">
        <f>COUNTIFS(BDD_Calendrier!$A$2:$A$616,$B178,BDD_Calendrier!$C$2:$C$616,"Souscription")</f>
        <v/>
      </c>
      <c r="I178">
        <f>IF(H178=0,"",IFERROR(_xlfn.MINIFS(BDD_Calendrier!$D$2:$D$616,BDD_Calendrier!$A$2:$A$616,$B178,BDD_Calendrier!$C$2:$C$616,"Souscription",BDD_Calendrier!$D$2:$D$616,"&gt;="&amp;TODAY()),""))</f>
        <v/>
      </c>
      <c r="J178">
        <f>IF(I178="","",IFERROR(INDEX(BDD_Calendrier!$E$2:$E$616,MATCH($B178&amp;"|Souscription|"&amp;TEXT(I178,"yyyy-mm-dd"),BDD_Calendrier!$I$2:$I$616,0)),""))</f>
        <v/>
      </c>
      <c r="K178">
        <f>IF(H178=0,"",_xlfn.MAXIFS(BDD_Calendrier!$D$2:$D$616,BDD_Calendrier!$A$2:$A$616,$B178,BDD_Calendrier!$C$2:$C$616,"Souscription"))</f>
        <v/>
      </c>
      <c r="L178">
        <f>COUNTIFS(BDD_Calendrier!$A$2:$A$616,$B178,BDD_Calendrier!$C$2:$C$616,"Rachat")</f>
        <v/>
      </c>
      <c r="M178">
        <f>IF(L178=0,"",IFERROR(_xlfn.MINIFS(BDD_Calendrier!$D$2:$D$616,BDD_Calendrier!$A$2:$A$616,$B178,BDD_Calendrier!$C$2:$C$616,"Rachat",BDD_Calendrier!$D$2:$D$616,"&gt;="&amp;TODAY()),""))</f>
        <v/>
      </c>
      <c r="N178">
        <f>IF(M178="","",IFERROR(INDEX(BDD_Calendrier!$E$2:$E$616,MATCH($B178&amp;"|Rachat|"&amp;TEXT(M178,"yyyy-mm-dd"),BDD_Calendrier!$I$2:$I$616,0)),""))</f>
        <v/>
      </c>
      <c r="O178">
        <f>IF(M178="","",IFERROR(INDEX(BDD_Calendrier!$H$2:$H$616,MATCH($B178&amp;"|Rachat|"&amp;TEXT(M178,"yyyy-mm-dd"),BDD_Calendrier!$I$2:$I$616,0)),""))</f>
        <v/>
      </c>
      <c r="P178">
        <f>IF(L178=0,"",_xlfn.MAXIFS(BDD_Calendrier!$D$2:$D$616,BDD_Calendrier!$A$2:$A$616,$B178,BDD_Calendrier!$C$2:$C$616,"Rachat"))</f>
        <v/>
      </c>
      <c r="Q178">
        <f>IF($C178="","",IF($C178&gt;TODAY(),"FUTUR",DATEDIF($C178,TODAY(),"m")))</f>
        <v/>
      </c>
      <c r="R178">
        <f>COUNTIF(BDD_Penalites!$A$2:$A$130,$B178)</f>
        <v/>
      </c>
      <c r="S178">
        <f>IF(R178=0,"inconnue",INDEX(BDD_Penalites!$C$2:$C$130,MATCH($B178,BDD_Penalites!$A$2:$A$130,0)))</f>
        <v/>
      </c>
      <c r="T178">
        <f>IF(R178=0,"",INDEX(BDD_Penalites!$M$2:$M$130,MATCH($B178,BDD_Penalites!$A$2:$A$130,0)))</f>
        <v/>
      </c>
      <c r="U178">
        <f>IF(R178=0,0,INDEX(BDD_Penalites!$D$2:$D$130,MATCH($B178,BDD_Penalites!$A$2:$A$130,0)))</f>
        <v/>
      </c>
      <c r="V178">
        <f>IF(R178=0,0,INDEX(BDD_Penalites!$E$2:$E$130,MATCH($B178,BDD_Penalites!$A$2:$A$130,0)))</f>
        <v/>
      </c>
      <c r="W178">
        <f>IF(R178=0,0,INDEX(BDD_Penalites!$F$2:$F$130,MATCH($B178,BDD_Penalites!$A$2:$A$130,0)))</f>
        <v/>
      </c>
      <c r="X178">
        <f>IF(R178=0,0,INDEX(BDD_Penalites!$G$2:$G$130,MATCH($B178,BDD_Penalites!$A$2:$A$130,0)))</f>
        <v/>
      </c>
      <c r="Y178">
        <f>IF(R178=0,0,INDEX(BDD_Penalites!$H$2:$H$130,MATCH($B178,BDD_Penalites!$A$2:$A$130,0)))</f>
        <v/>
      </c>
      <c r="Z178">
        <f>IF(R178=0,0,INDEX(BDD_Penalites!$I$2:$I$130,MATCH($B178,BDD_Penalites!$A$2:$A$130,0)))</f>
        <v/>
      </c>
      <c r="AA178">
        <f>IF(R178=0,0,INDEX(BDD_Penalites!$J$2:$J$130,MATCH($B178,BDD_Penalites!$A$2:$A$130,0)))</f>
        <v/>
      </c>
      <c r="AB178">
        <f>IF(R178=0,0,INDEX(BDD_Penalites!$K$2:$K$130,MATCH($B178,BDD_Penalites!$A$2:$A$130,0)))</f>
        <v/>
      </c>
      <c r="AC178">
        <f>IF(R178=0,0,INDEX(BDD_Penalites!$L$2:$L$130,MATCH($B178,BDD_Penalites!$A$2:$A$130,0)))</f>
        <v/>
      </c>
      <c r="AD178">
        <f>IF(OR($C178="",Q178="FUTUR"),"",_xlfn.IFS(Q178&lt;U178,V178,Q178&lt;W178,X178,Q178&lt;Y178,Z178,Q178&lt;AA178,AB178,TRUE,AC178))</f>
        <v/>
      </c>
    </row>
    <row r="179" ht="13.5" customHeight="1">
      <c r="A179" s="65" t="inlineStr">
        <is>
          <t xml:space="preserve">Partners Group Next Generation Infrastructure </t>
        </is>
      </c>
      <c r="B179" s="66" t="inlineStr">
        <is>
          <t>LU2710930046</t>
        </is>
      </c>
      <c r="C179" s="268" t="n"/>
      <c r="D179" s="269">
        <f>IF(H179=0,"Calendrier non disponible pour ce fonds — contacter la société de gestion.",IF(I179="","Calendrier connu jusqu'au "&amp;TEXT(K179,"dd/mm/yyyy")&amp;" — demander le calendrier à jour.","Cut-off : "&amp;TEXT(I179,"dd/mm/yyyy")&amp;"  |  VL : "&amp;TEXT(J179,"dd/mm/yyyy")))</f>
        <v/>
      </c>
      <c r="E179" s="269">
        <f>IF(L179=0,"Calendrier non disponible pour ce fonds — contacter la société de gestion.",IF(M179="","Calendrier connu jusqu'au "&amp;TEXT(P179,"dd/mm/yyyy")&amp;" — demander le calendrier à jour.","Cut-off : "&amp;TEXT(M179,"dd/mm/yyyy")&amp;"  |  VL : "&amp;TEXT(N179,"dd/mm/yyyy")))</f>
        <v/>
      </c>
      <c r="F179" s="269">
        <f>IF(L179=0,"Calendrier non disponible pour ce fonds.",IF(M179="","Calendrier connu jusqu'au "&amp;TEXT(P179,"dd/mm/yyyy")&amp;".",IF(O179="","Non précisé dans le calendrier pour cette échéance.","Réception : "&amp;TEXT(O179,"dd/mm/yyyy")&amp;"  (suite au rachat du "&amp;TEXT(N179,"dd/mm/yyyy")&amp;")")))</f>
        <v/>
      </c>
      <c r="G179" s="269">
        <f>_xlfn.IFS(S179="aucune","Aucune pénalité de sortie."&amp;IF(T179&lt;&gt;""," ("&amp;T179&amp;")",""),S179="manuel","⚠️ À VÉRIFIER MANUELLEMENT : "&amp;T179,S179="inconnue","Pénalité non renseignée — vérifier la notice / DICI du fonds.",$C179="","Saisir une date d'investissement pour statuer sur la pénalité.",Q179="FUTUR","Date d'investissement postérieure à aujourd'hui — vérifier la saisie.",AD179&gt;0,"⚠️ CONCERNÉ : pénalité de "&amp;AD179&amp;"% (détention "&amp;Q179&amp;" mois). "&amp;T179,TRUE,"Non concerné (détention "&amp;Q179&amp;" mois). "&amp;T179)</f>
        <v/>
      </c>
      <c r="H179">
        <f>COUNTIFS(BDD_Calendrier!$A$2:$A$616,$B179,BDD_Calendrier!$C$2:$C$616,"Souscription")</f>
        <v/>
      </c>
      <c r="I179">
        <f>IF(H179=0,"",IFERROR(_xlfn.MINIFS(BDD_Calendrier!$D$2:$D$616,BDD_Calendrier!$A$2:$A$616,$B179,BDD_Calendrier!$C$2:$C$616,"Souscription",BDD_Calendrier!$D$2:$D$616,"&gt;="&amp;TODAY()),""))</f>
        <v/>
      </c>
      <c r="J179">
        <f>IF(I179="","",IFERROR(INDEX(BDD_Calendrier!$E$2:$E$616,MATCH($B179&amp;"|Souscription|"&amp;TEXT(I179,"yyyy-mm-dd"),BDD_Calendrier!$I$2:$I$616,0)),""))</f>
        <v/>
      </c>
      <c r="K179">
        <f>IF(H179=0,"",_xlfn.MAXIFS(BDD_Calendrier!$D$2:$D$616,BDD_Calendrier!$A$2:$A$616,$B179,BDD_Calendrier!$C$2:$C$616,"Souscription"))</f>
        <v/>
      </c>
      <c r="L179">
        <f>COUNTIFS(BDD_Calendrier!$A$2:$A$616,$B179,BDD_Calendrier!$C$2:$C$616,"Rachat")</f>
        <v/>
      </c>
      <c r="M179">
        <f>IF(L179=0,"",IFERROR(_xlfn.MINIFS(BDD_Calendrier!$D$2:$D$616,BDD_Calendrier!$A$2:$A$616,$B179,BDD_Calendrier!$C$2:$C$616,"Rachat",BDD_Calendrier!$D$2:$D$616,"&gt;="&amp;TODAY()),""))</f>
        <v/>
      </c>
      <c r="N179">
        <f>IF(M179="","",IFERROR(INDEX(BDD_Calendrier!$E$2:$E$616,MATCH($B179&amp;"|Rachat|"&amp;TEXT(M179,"yyyy-mm-dd"),BDD_Calendrier!$I$2:$I$616,0)),""))</f>
        <v/>
      </c>
      <c r="O179">
        <f>IF(M179="","",IFERROR(INDEX(BDD_Calendrier!$H$2:$H$616,MATCH($B179&amp;"|Rachat|"&amp;TEXT(M179,"yyyy-mm-dd"),BDD_Calendrier!$I$2:$I$616,0)),""))</f>
        <v/>
      </c>
      <c r="P179">
        <f>IF(L179=0,"",_xlfn.MAXIFS(BDD_Calendrier!$D$2:$D$616,BDD_Calendrier!$A$2:$A$616,$B179,BDD_Calendrier!$C$2:$C$616,"Rachat"))</f>
        <v/>
      </c>
      <c r="Q179">
        <f>IF($C179="","",IF($C179&gt;TODAY(),"FUTUR",DATEDIF($C179,TODAY(),"m")))</f>
        <v/>
      </c>
      <c r="R179">
        <f>COUNTIF(BDD_Penalites!$A$2:$A$130,$B179)</f>
        <v/>
      </c>
      <c r="S179">
        <f>IF(R179=0,"inconnue",INDEX(BDD_Penalites!$C$2:$C$130,MATCH($B179,BDD_Penalites!$A$2:$A$130,0)))</f>
        <v/>
      </c>
      <c r="T179">
        <f>IF(R179=0,"",INDEX(BDD_Penalites!$M$2:$M$130,MATCH($B179,BDD_Penalites!$A$2:$A$130,0)))</f>
        <v/>
      </c>
      <c r="U179">
        <f>IF(R179=0,0,INDEX(BDD_Penalites!$D$2:$D$130,MATCH($B179,BDD_Penalites!$A$2:$A$130,0)))</f>
        <v/>
      </c>
      <c r="V179">
        <f>IF(R179=0,0,INDEX(BDD_Penalites!$E$2:$E$130,MATCH($B179,BDD_Penalites!$A$2:$A$130,0)))</f>
        <v/>
      </c>
      <c r="W179">
        <f>IF(R179=0,0,INDEX(BDD_Penalites!$F$2:$F$130,MATCH($B179,BDD_Penalites!$A$2:$A$130,0)))</f>
        <v/>
      </c>
      <c r="X179">
        <f>IF(R179=0,0,INDEX(BDD_Penalites!$G$2:$G$130,MATCH($B179,BDD_Penalites!$A$2:$A$130,0)))</f>
        <v/>
      </c>
      <c r="Y179">
        <f>IF(R179=0,0,INDEX(BDD_Penalites!$H$2:$H$130,MATCH($B179,BDD_Penalites!$A$2:$A$130,0)))</f>
        <v/>
      </c>
      <c r="Z179">
        <f>IF(R179=0,0,INDEX(BDD_Penalites!$I$2:$I$130,MATCH($B179,BDD_Penalites!$A$2:$A$130,0)))</f>
        <v/>
      </c>
      <c r="AA179">
        <f>IF(R179=0,0,INDEX(BDD_Penalites!$J$2:$J$130,MATCH($B179,BDD_Penalites!$A$2:$A$130,0)))</f>
        <v/>
      </c>
      <c r="AB179">
        <f>IF(R179=0,0,INDEX(BDD_Penalites!$K$2:$K$130,MATCH($B179,BDD_Penalites!$A$2:$A$130,0)))</f>
        <v/>
      </c>
      <c r="AC179">
        <f>IF(R179=0,0,INDEX(BDD_Penalites!$L$2:$L$130,MATCH($B179,BDD_Penalites!$A$2:$A$130,0)))</f>
        <v/>
      </c>
      <c r="AD179">
        <f>IF(OR($C179="",Q179="FUTUR"),"",_xlfn.IFS(Q179&lt;U179,V179,Q179&lt;W179,X179,Q179&lt;Y179,Z179,Q179&lt;AA179,AB179,TRUE,AC179))</f>
        <v/>
      </c>
    </row>
    <row r="180" ht="13.5" customHeight="1">
      <c r="A180" s="65" t="inlineStr">
        <is>
          <t>Brookfield Infrastructure Income</t>
        </is>
      </c>
      <c r="B180" s="66" t="inlineStr">
        <is>
          <t>LU2571548820</t>
        </is>
      </c>
      <c r="C180" s="268" t="n"/>
      <c r="D180" s="269">
        <f>IF(H180=0,"Calendrier non disponible pour ce fonds — contacter la société de gestion.",IF(I180="","Calendrier connu jusqu'au "&amp;TEXT(K180,"dd/mm/yyyy")&amp;" — demander le calendrier à jour.","Cut-off : "&amp;TEXT(I180,"dd/mm/yyyy")&amp;"  |  VL : "&amp;TEXT(J180,"dd/mm/yyyy")))</f>
        <v/>
      </c>
      <c r="E180" s="269">
        <f>IF(L180=0,"Calendrier non disponible pour ce fonds — contacter la société de gestion.",IF(M180="","Calendrier connu jusqu'au "&amp;TEXT(P180,"dd/mm/yyyy")&amp;" — demander le calendrier à jour.","Cut-off : "&amp;TEXT(M180,"dd/mm/yyyy")&amp;"  |  VL : "&amp;TEXT(N180,"dd/mm/yyyy")))</f>
        <v/>
      </c>
      <c r="F180" s="269">
        <f>IF(L180=0,"Calendrier non disponible pour ce fonds.",IF(M180="","Calendrier connu jusqu'au "&amp;TEXT(P180,"dd/mm/yyyy")&amp;".",IF(O180="","Non précisé dans le calendrier pour cette échéance.","Réception : "&amp;TEXT(O180,"dd/mm/yyyy")&amp;"  (suite au rachat du "&amp;TEXT(N180,"dd/mm/yyyy")&amp;")")))</f>
        <v/>
      </c>
      <c r="G180" s="269">
        <f>_xlfn.IFS(S180="aucune","Aucune pénalité de sortie."&amp;IF(T180&lt;&gt;""," ("&amp;T180&amp;")",""),S180="manuel","⚠️ À VÉRIFIER MANUELLEMENT : "&amp;T180,S180="inconnue","Pénalité non renseignée — vérifier la notice / DICI du fonds.",$C180="","Saisir une date d'investissement pour statuer sur la pénalité.",Q180="FUTUR","Date d'investissement postérieure à aujourd'hui — vérifier la saisie.",AD180&gt;0,"⚠️ CONCERNÉ : pénalité de "&amp;AD180&amp;"% (détention "&amp;Q180&amp;" mois). "&amp;T180,TRUE,"Non concerné (détention "&amp;Q180&amp;" mois). "&amp;T180)</f>
        <v/>
      </c>
      <c r="H180">
        <f>COUNTIFS(BDD_Calendrier!$A$2:$A$616,$B180,BDD_Calendrier!$C$2:$C$616,"Souscription")</f>
        <v/>
      </c>
      <c r="I180">
        <f>IF(H180=0,"",IFERROR(_xlfn.MINIFS(BDD_Calendrier!$D$2:$D$616,BDD_Calendrier!$A$2:$A$616,$B180,BDD_Calendrier!$C$2:$C$616,"Souscription",BDD_Calendrier!$D$2:$D$616,"&gt;="&amp;TODAY()),""))</f>
        <v/>
      </c>
      <c r="J180">
        <f>IF(I180="","",IFERROR(INDEX(BDD_Calendrier!$E$2:$E$616,MATCH($B180&amp;"|Souscription|"&amp;TEXT(I180,"yyyy-mm-dd"),BDD_Calendrier!$I$2:$I$616,0)),""))</f>
        <v/>
      </c>
      <c r="K180">
        <f>IF(H180=0,"",_xlfn.MAXIFS(BDD_Calendrier!$D$2:$D$616,BDD_Calendrier!$A$2:$A$616,$B180,BDD_Calendrier!$C$2:$C$616,"Souscription"))</f>
        <v/>
      </c>
      <c r="L180">
        <f>COUNTIFS(BDD_Calendrier!$A$2:$A$616,$B180,BDD_Calendrier!$C$2:$C$616,"Rachat")</f>
        <v/>
      </c>
      <c r="M180">
        <f>IF(L180=0,"",IFERROR(_xlfn.MINIFS(BDD_Calendrier!$D$2:$D$616,BDD_Calendrier!$A$2:$A$616,$B180,BDD_Calendrier!$C$2:$C$616,"Rachat",BDD_Calendrier!$D$2:$D$616,"&gt;="&amp;TODAY()),""))</f>
        <v/>
      </c>
      <c r="N180">
        <f>IF(M180="","",IFERROR(INDEX(BDD_Calendrier!$E$2:$E$616,MATCH($B180&amp;"|Rachat|"&amp;TEXT(M180,"yyyy-mm-dd"),BDD_Calendrier!$I$2:$I$616,0)),""))</f>
        <v/>
      </c>
      <c r="O180">
        <f>IF(M180="","",IFERROR(INDEX(BDD_Calendrier!$H$2:$H$616,MATCH($B180&amp;"|Rachat|"&amp;TEXT(M180,"yyyy-mm-dd"),BDD_Calendrier!$I$2:$I$616,0)),""))</f>
        <v/>
      </c>
      <c r="P180">
        <f>IF(L180=0,"",_xlfn.MAXIFS(BDD_Calendrier!$D$2:$D$616,BDD_Calendrier!$A$2:$A$616,$B180,BDD_Calendrier!$C$2:$C$616,"Rachat"))</f>
        <v/>
      </c>
      <c r="Q180">
        <f>IF($C180="","",IF($C180&gt;TODAY(),"FUTUR",DATEDIF($C180,TODAY(),"m")))</f>
        <v/>
      </c>
      <c r="R180">
        <f>COUNTIF(BDD_Penalites!$A$2:$A$130,$B180)</f>
        <v/>
      </c>
      <c r="S180">
        <f>IF(R180=0,"inconnue",INDEX(BDD_Penalites!$C$2:$C$130,MATCH($B180,BDD_Penalites!$A$2:$A$130,0)))</f>
        <v/>
      </c>
      <c r="T180">
        <f>IF(R180=0,"",INDEX(BDD_Penalites!$M$2:$M$130,MATCH($B180,BDD_Penalites!$A$2:$A$130,0)))</f>
        <v/>
      </c>
      <c r="U180">
        <f>IF(R180=0,0,INDEX(BDD_Penalites!$D$2:$D$130,MATCH($B180,BDD_Penalites!$A$2:$A$130,0)))</f>
        <v/>
      </c>
      <c r="V180">
        <f>IF(R180=0,0,INDEX(BDD_Penalites!$E$2:$E$130,MATCH($B180,BDD_Penalites!$A$2:$A$130,0)))</f>
        <v/>
      </c>
      <c r="W180">
        <f>IF(R180=0,0,INDEX(BDD_Penalites!$F$2:$F$130,MATCH($B180,BDD_Penalites!$A$2:$A$130,0)))</f>
        <v/>
      </c>
      <c r="X180">
        <f>IF(R180=0,0,INDEX(BDD_Penalites!$G$2:$G$130,MATCH($B180,BDD_Penalites!$A$2:$A$130,0)))</f>
        <v/>
      </c>
      <c r="Y180">
        <f>IF(R180=0,0,INDEX(BDD_Penalites!$H$2:$H$130,MATCH($B180,BDD_Penalites!$A$2:$A$130,0)))</f>
        <v/>
      </c>
      <c r="Z180">
        <f>IF(R180=0,0,INDEX(BDD_Penalites!$I$2:$I$130,MATCH($B180,BDD_Penalites!$A$2:$A$130,0)))</f>
        <v/>
      </c>
      <c r="AA180">
        <f>IF(R180=0,0,INDEX(BDD_Penalites!$J$2:$J$130,MATCH($B180,BDD_Penalites!$A$2:$A$130,0)))</f>
        <v/>
      </c>
      <c r="AB180">
        <f>IF(R180=0,0,INDEX(BDD_Penalites!$K$2:$K$130,MATCH($B180,BDD_Penalites!$A$2:$A$130,0)))</f>
        <v/>
      </c>
      <c r="AC180">
        <f>IF(R180=0,0,INDEX(BDD_Penalites!$L$2:$L$130,MATCH($B180,BDD_Penalites!$A$2:$A$130,0)))</f>
        <v/>
      </c>
      <c r="AD180">
        <f>IF(OR($C180="",Q180="FUTUR"),"",_xlfn.IFS(Q180&lt;U180,V180,Q180&lt;W180,X180,Q180&lt;Y180,Z180,Q180&lt;AA180,AB180,TRUE,AC180))</f>
        <v/>
      </c>
    </row>
    <row r="181" ht="13.5" customHeight="1">
      <c r="A181" s="65" t="inlineStr">
        <is>
          <t>Stepstone Priv Infra A</t>
        </is>
      </c>
      <c r="B181" s="66" t="inlineStr">
        <is>
          <t>LU2677665254</t>
        </is>
      </c>
      <c r="C181" s="268" t="n"/>
      <c r="D181" s="269">
        <f>IF(H181=0,"Calendrier non disponible pour ce fonds — contacter la société de gestion.",IF(I181="","Calendrier connu jusqu'au "&amp;TEXT(K181,"dd/mm/yyyy")&amp;" — demander le calendrier à jour.","Cut-off : "&amp;TEXT(I181,"dd/mm/yyyy")&amp;"  |  VL : "&amp;TEXT(J181,"dd/mm/yyyy")))</f>
        <v/>
      </c>
      <c r="E181" s="269">
        <f>IF(L181=0,"Calendrier non disponible pour ce fonds — contacter la société de gestion.",IF(M181="","Calendrier connu jusqu'au "&amp;TEXT(P181,"dd/mm/yyyy")&amp;" — demander le calendrier à jour.","Cut-off : "&amp;TEXT(M181,"dd/mm/yyyy")&amp;"  |  VL : "&amp;TEXT(N181,"dd/mm/yyyy")))</f>
        <v/>
      </c>
      <c r="F181" s="269">
        <f>IF(L181=0,"Calendrier non disponible pour ce fonds.",IF(M181="","Calendrier connu jusqu'au "&amp;TEXT(P181,"dd/mm/yyyy")&amp;".",IF(O181="","Non précisé dans le calendrier pour cette échéance.","Réception : "&amp;TEXT(O181,"dd/mm/yyyy")&amp;"  (suite au rachat du "&amp;TEXT(N181,"dd/mm/yyyy")&amp;")")))</f>
        <v/>
      </c>
      <c r="G181" s="269">
        <f>_xlfn.IFS(S181="aucune","Aucune pénalité de sortie."&amp;IF(T181&lt;&gt;""," ("&amp;T181&amp;")",""),S181="manuel","⚠️ À VÉRIFIER MANUELLEMENT : "&amp;T181,S181="inconnue","Pénalité non renseignée — vérifier la notice / DICI du fonds.",$C181="","Saisir une date d'investissement pour statuer sur la pénalité.",Q181="FUTUR","Date d'investissement postérieure à aujourd'hui — vérifier la saisie.",AD181&gt;0,"⚠️ CONCERNÉ : pénalité de "&amp;AD181&amp;"% (détention "&amp;Q181&amp;" mois). "&amp;T181,TRUE,"Non concerné (détention "&amp;Q181&amp;" mois). "&amp;T181)</f>
        <v/>
      </c>
      <c r="H181">
        <f>COUNTIFS(BDD_Calendrier!$A$2:$A$616,$B181,BDD_Calendrier!$C$2:$C$616,"Souscription")</f>
        <v/>
      </c>
      <c r="I181">
        <f>IF(H181=0,"",IFERROR(_xlfn.MINIFS(BDD_Calendrier!$D$2:$D$616,BDD_Calendrier!$A$2:$A$616,$B181,BDD_Calendrier!$C$2:$C$616,"Souscription",BDD_Calendrier!$D$2:$D$616,"&gt;="&amp;TODAY()),""))</f>
        <v/>
      </c>
      <c r="J181">
        <f>IF(I181="","",IFERROR(INDEX(BDD_Calendrier!$E$2:$E$616,MATCH($B181&amp;"|Souscription|"&amp;TEXT(I181,"yyyy-mm-dd"),BDD_Calendrier!$I$2:$I$616,0)),""))</f>
        <v/>
      </c>
      <c r="K181">
        <f>IF(H181=0,"",_xlfn.MAXIFS(BDD_Calendrier!$D$2:$D$616,BDD_Calendrier!$A$2:$A$616,$B181,BDD_Calendrier!$C$2:$C$616,"Souscription"))</f>
        <v/>
      </c>
      <c r="L181">
        <f>COUNTIFS(BDD_Calendrier!$A$2:$A$616,$B181,BDD_Calendrier!$C$2:$C$616,"Rachat")</f>
        <v/>
      </c>
      <c r="M181">
        <f>IF(L181=0,"",IFERROR(_xlfn.MINIFS(BDD_Calendrier!$D$2:$D$616,BDD_Calendrier!$A$2:$A$616,$B181,BDD_Calendrier!$C$2:$C$616,"Rachat",BDD_Calendrier!$D$2:$D$616,"&gt;="&amp;TODAY()),""))</f>
        <v/>
      </c>
      <c r="N181">
        <f>IF(M181="","",IFERROR(INDEX(BDD_Calendrier!$E$2:$E$616,MATCH($B181&amp;"|Rachat|"&amp;TEXT(M181,"yyyy-mm-dd"),BDD_Calendrier!$I$2:$I$616,0)),""))</f>
        <v/>
      </c>
      <c r="O181">
        <f>IF(M181="","",IFERROR(INDEX(BDD_Calendrier!$H$2:$H$616,MATCH($B181&amp;"|Rachat|"&amp;TEXT(M181,"yyyy-mm-dd"),BDD_Calendrier!$I$2:$I$616,0)),""))</f>
        <v/>
      </c>
      <c r="P181">
        <f>IF(L181=0,"",_xlfn.MAXIFS(BDD_Calendrier!$D$2:$D$616,BDD_Calendrier!$A$2:$A$616,$B181,BDD_Calendrier!$C$2:$C$616,"Rachat"))</f>
        <v/>
      </c>
      <c r="Q181">
        <f>IF($C181="","",IF($C181&gt;TODAY(),"FUTUR",DATEDIF($C181,TODAY(),"m")))</f>
        <v/>
      </c>
      <c r="R181">
        <f>COUNTIF(BDD_Penalites!$A$2:$A$130,$B181)</f>
        <v/>
      </c>
      <c r="S181">
        <f>IF(R181=0,"inconnue",INDEX(BDD_Penalites!$C$2:$C$130,MATCH($B181,BDD_Penalites!$A$2:$A$130,0)))</f>
        <v/>
      </c>
      <c r="T181">
        <f>IF(R181=0,"",INDEX(BDD_Penalites!$M$2:$M$130,MATCH($B181,BDD_Penalites!$A$2:$A$130,0)))</f>
        <v/>
      </c>
      <c r="U181">
        <f>IF(R181=0,0,INDEX(BDD_Penalites!$D$2:$D$130,MATCH($B181,BDD_Penalites!$A$2:$A$130,0)))</f>
        <v/>
      </c>
      <c r="V181">
        <f>IF(R181=0,0,INDEX(BDD_Penalites!$E$2:$E$130,MATCH($B181,BDD_Penalites!$A$2:$A$130,0)))</f>
        <v/>
      </c>
      <c r="W181">
        <f>IF(R181=0,0,INDEX(BDD_Penalites!$F$2:$F$130,MATCH($B181,BDD_Penalites!$A$2:$A$130,0)))</f>
        <v/>
      </c>
      <c r="X181">
        <f>IF(R181=0,0,INDEX(BDD_Penalites!$G$2:$G$130,MATCH($B181,BDD_Penalites!$A$2:$A$130,0)))</f>
        <v/>
      </c>
      <c r="Y181">
        <f>IF(R181=0,0,INDEX(BDD_Penalites!$H$2:$H$130,MATCH($B181,BDD_Penalites!$A$2:$A$130,0)))</f>
        <v/>
      </c>
      <c r="Z181">
        <f>IF(R181=0,0,INDEX(BDD_Penalites!$I$2:$I$130,MATCH($B181,BDD_Penalites!$A$2:$A$130,0)))</f>
        <v/>
      </c>
      <c r="AA181">
        <f>IF(R181=0,0,INDEX(BDD_Penalites!$J$2:$J$130,MATCH($B181,BDD_Penalites!$A$2:$A$130,0)))</f>
        <v/>
      </c>
      <c r="AB181">
        <f>IF(R181=0,0,INDEX(BDD_Penalites!$K$2:$K$130,MATCH($B181,BDD_Penalites!$A$2:$A$130,0)))</f>
        <v/>
      </c>
      <c r="AC181">
        <f>IF(R181=0,0,INDEX(BDD_Penalites!$L$2:$L$130,MATCH($B181,BDD_Penalites!$A$2:$A$130,0)))</f>
        <v/>
      </c>
      <c r="AD181">
        <f>IF(OR($C181="",Q181="FUTUR"),"",_xlfn.IFS(Q181&lt;U181,V181,Q181&lt;W181,X181,Q181&lt;Y181,Z181,Q181&lt;AA181,AB181,TRUE,AC181))</f>
        <v/>
      </c>
    </row>
    <row r="182" ht="13.5" customHeight="1">
      <c r="A182" s="65" t="inlineStr">
        <is>
          <t>FCPR Eiffel Infrastructures Vertes C</t>
        </is>
      </c>
      <c r="B182" s="66" t="inlineStr">
        <is>
          <t>FR001400BCG0</t>
        </is>
      </c>
      <c r="C182" s="268" t="n"/>
      <c r="D182" s="269">
        <f>IF(H182=0,"Calendrier non disponible pour ce fonds — contacter la société de gestion.",IF(I182="","Calendrier connu jusqu'au "&amp;TEXT(K182,"dd/mm/yyyy")&amp;" — demander le calendrier à jour.","Cut-off : "&amp;TEXT(I182,"dd/mm/yyyy")&amp;"  |  VL : "&amp;TEXT(J182,"dd/mm/yyyy")))</f>
        <v/>
      </c>
      <c r="E182" s="269">
        <f>IF(L182=0,"Calendrier non disponible pour ce fonds — contacter la société de gestion.",IF(M182="","Calendrier connu jusqu'au "&amp;TEXT(P182,"dd/mm/yyyy")&amp;" — demander le calendrier à jour.","Cut-off : "&amp;TEXT(M182,"dd/mm/yyyy")&amp;"  |  VL : "&amp;TEXT(N182,"dd/mm/yyyy")))</f>
        <v/>
      </c>
      <c r="F182" s="269">
        <f>IF(L182=0,"Calendrier non disponible pour ce fonds.",IF(M182="","Calendrier connu jusqu'au "&amp;TEXT(P182,"dd/mm/yyyy")&amp;".",IF(O182="","Non précisé dans le calendrier pour cette échéance.","Réception : "&amp;TEXT(O182,"dd/mm/yyyy")&amp;"  (suite au rachat du "&amp;TEXT(N182,"dd/mm/yyyy")&amp;")")))</f>
        <v/>
      </c>
      <c r="G182" s="269">
        <f>_xlfn.IFS(S182="aucune","Aucune pénalité de sortie."&amp;IF(T182&lt;&gt;""," ("&amp;T182&amp;")",""),S182="manuel","⚠️ À VÉRIFIER MANUELLEMENT : "&amp;T182,S182="inconnue","Pénalité non renseignée — vérifier la notice / DICI du fonds.",$C182="","Saisir une date d'investissement pour statuer sur la pénalité.",Q182="FUTUR","Date d'investissement postérieure à aujourd'hui — vérifier la saisie.",AD182&gt;0,"⚠️ CONCERNÉ : pénalité de "&amp;AD182&amp;"% (détention "&amp;Q182&amp;" mois). "&amp;T182,TRUE,"Non concerné (détention "&amp;Q182&amp;" mois). "&amp;T182)</f>
        <v/>
      </c>
      <c r="H182">
        <f>COUNTIFS(BDD_Calendrier!$A$2:$A$616,$B182,BDD_Calendrier!$C$2:$C$616,"Souscription")</f>
        <v/>
      </c>
      <c r="I182">
        <f>IF(H182=0,"",IFERROR(_xlfn.MINIFS(BDD_Calendrier!$D$2:$D$616,BDD_Calendrier!$A$2:$A$616,$B182,BDD_Calendrier!$C$2:$C$616,"Souscription",BDD_Calendrier!$D$2:$D$616,"&gt;="&amp;TODAY()),""))</f>
        <v/>
      </c>
      <c r="J182">
        <f>IF(I182="","",IFERROR(INDEX(BDD_Calendrier!$E$2:$E$616,MATCH($B182&amp;"|Souscription|"&amp;TEXT(I182,"yyyy-mm-dd"),BDD_Calendrier!$I$2:$I$616,0)),""))</f>
        <v/>
      </c>
      <c r="K182">
        <f>IF(H182=0,"",_xlfn.MAXIFS(BDD_Calendrier!$D$2:$D$616,BDD_Calendrier!$A$2:$A$616,$B182,BDD_Calendrier!$C$2:$C$616,"Souscription"))</f>
        <v/>
      </c>
      <c r="L182">
        <f>COUNTIFS(BDD_Calendrier!$A$2:$A$616,$B182,BDD_Calendrier!$C$2:$C$616,"Rachat")</f>
        <v/>
      </c>
      <c r="M182">
        <f>IF(L182=0,"",IFERROR(_xlfn.MINIFS(BDD_Calendrier!$D$2:$D$616,BDD_Calendrier!$A$2:$A$616,$B182,BDD_Calendrier!$C$2:$C$616,"Rachat",BDD_Calendrier!$D$2:$D$616,"&gt;="&amp;TODAY()),""))</f>
        <v/>
      </c>
      <c r="N182">
        <f>IF(M182="","",IFERROR(INDEX(BDD_Calendrier!$E$2:$E$616,MATCH($B182&amp;"|Rachat|"&amp;TEXT(M182,"yyyy-mm-dd"),BDD_Calendrier!$I$2:$I$616,0)),""))</f>
        <v/>
      </c>
      <c r="O182">
        <f>IF(M182="","",IFERROR(INDEX(BDD_Calendrier!$H$2:$H$616,MATCH($B182&amp;"|Rachat|"&amp;TEXT(M182,"yyyy-mm-dd"),BDD_Calendrier!$I$2:$I$616,0)),""))</f>
        <v/>
      </c>
      <c r="P182">
        <f>IF(L182=0,"",_xlfn.MAXIFS(BDD_Calendrier!$D$2:$D$616,BDD_Calendrier!$A$2:$A$616,$B182,BDD_Calendrier!$C$2:$C$616,"Rachat"))</f>
        <v/>
      </c>
      <c r="Q182">
        <f>IF($C182="","",IF($C182&gt;TODAY(),"FUTUR",DATEDIF($C182,TODAY(),"m")))</f>
        <v/>
      </c>
      <c r="R182">
        <f>COUNTIF(BDD_Penalites!$A$2:$A$130,$B182)</f>
        <v/>
      </c>
      <c r="S182">
        <f>IF(R182=0,"inconnue",INDEX(BDD_Penalites!$C$2:$C$130,MATCH($B182,BDD_Penalites!$A$2:$A$130,0)))</f>
        <v/>
      </c>
      <c r="T182">
        <f>IF(R182=0,"",INDEX(BDD_Penalites!$M$2:$M$130,MATCH($B182,BDD_Penalites!$A$2:$A$130,0)))</f>
        <v/>
      </c>
      <c r="U182">
        <f>IF(R182=0,0,INDEX(BDD_Penalites!$D$2:$D$130,MATCH($B182,BDD_Penalites!$A$2:$A$130,0)))</f>
        <v/>
      </c>
      <c r="V182">
        <f>IF(R182=0,0,INDEX(BDD_Penalites!$E$2:$E$130,MATCH($B182,BDD_Penalites!$A$2:$A$130,0)))</f>
        <v/>
      </c>
      <c r="W182">
        <f>IF(R182=0,0,INDEX(BDD_Penalites!$F$2:$F$130,MATCH($B182,BDD_Penalites!$A$2:$A$130,0)))</f>
        <v/>
      </c>
      <c r="X182">
        <f>IF(R182=0,0,INDEX(BDD_Penalites!$G$2:$G$130,MATCH($B182,BDD_Penalites!$A$2:$A$130,0)))</f>
        <v/>
      </c>
      <c r="Y182">
        <f>IF(R182=0,0,INDEX(BDD_Penalites!$H$2:$H$130,MATCH($B182,BDD_Penalites!$A$2:$A$130,0)))</f>
        <v/>
      </c>
      <c r="Z182">
        <f>IF(R182=0,0,INDEX(BDD_Penalites!$I$2:$I$130,MATCH($B182,BDD_Penalites!$A$2:$A$130,0)))</f>
        <v/>
      </c>
      <c r="AA182">
        <f>IF(R182=0,0,INDEX(BDD_Penalites!$J$2:$J$130,MATCH($B182,BDD_Penalites!$A$2:$A$130,0)))</f>
        <v/>
      </c>
      <c r="AB182">
        <f>IF(R182=0,0,INDEX(BDD_Penalites!$K$2:$K$130,MATCH($B182,BDD_Penalites!$A$2:$A$130,0)))</f>
        <v/>
      </c>
      <c r="AC182">
        <f>IF(R182=0,0,INDEX(BDD_Penalites!$L$2:$L$130,MATCH($B182,BDD_Penalites!$A$2:$A$130,0)))</f>
        <v/>
      </c>
      <c r="AD182">
        <f>IF(OR($C182="",Q182="FUTUR"),"",_xlfn.IFS(Q182&lt;U182,V182,Q182&lt;W182,X182,Q182&lt;Y182,Z182,Q182&lt;AA182,AB182,TRUE,AC182))</f>
        <v/>
      </c>
    </row>
    <row r="183" ht="13.5" customHeight="1">
      <c r="A183" s="65" t="inlineStr">
        <is>
          <t>Rive Tangible Assets Income Fund</t>
        </is>
      </c>
      <c r="B183" s="66" t="inlineStr">
        <is>
          <t>LU2441620379</t>
        </is>
      </c>
      <c r="C183" s="268" t="n"/>
      <c r="D183" s="269">
        <f>IF(H183=0,"Calendrier non disponible pour ce fonds — contacter la société de gestion.",IF(I183="","Calendrier connu jusqu'au "&amp;TEXT(K183,"dd/mm/yyyy")&amp;" — demander le calendrier à jour.","Cut-off : "&amp;TEXT(I183,"dd/mm/yyyy")&amp;"  |  VL : "&amp;TEXT(J183,"dd/mm/yyyy")))</f>
        <v/>
      </c>
      <c r="E183" s="269">
        <f>IF(L183=0,"Calendrier non disponible pour ce fonds — contacter la société de gestion.",IF(M183="","Calendrier connu jusqu'au "&amp;TEXT(P183,"dd/mm/yyyy")&amp;" — demander le calendrier à jour.","Cut-off : "&amp;TEXT(M183,"dd/mm/yyyy")&amp;"  |  VL : "&amp;TEXT(N183,"dd/mm/yyyy")))</f>
        <v/>
      </c>
      <c r="F183" s="269">
        <f>IF(L183=0,"Calendrier non disponible pour ce fonds.",IF(M183="","Calendrier connu jusqu'au "&amp;TEXT(P183,"dd/mm/yyyy")&amp;".",IF(O183="","Non précisé dans le calendrier pour cette échéance.","Réception : "&amp;TEXT(O183,"dd/mm/yyyy")&amp;"  (suite au rachat du "&amp;TEXT(N183,"dd/mm/yyyy")&amp;")")))</f>
        <v/>
      </c>
      <c r="G183" s="269">
        <f>_xlfn.IFS(S183="aucune","Aucune pénalité de sortie."&amp;IF(T183&lt;&gt;""," ("&amp;T183&amp;")",""),S183="manuel","⚠️ À VÉRIFIER MANUELLEMENT : "&amp;T183,S183="inconnue","Pénalité non renseignée — vérifier la notice / DICI du fonds.",$C183="","Saisir une date d'investissement pour statuer sur la pénalité.",Q183="FUTUR","Date d'investissement postérieure à aujourd'hui — vérifier la saisie.",AD183&gt;0,"⚠️ CONCERNÉ : pénalité de "&amp;AD183&amp;"% (détention "&amp;Q183&amp;" mois). "&amp;T183,TRUE,"Non concerné (détention "&amp;Q183&amp;" mois). "&amp;T183)</f>
        <v/>
      </c>
      <c r="H183">
        <f>COUNTIFS(BDD_Calendrier!$A$2:$A$616,$B183,BDD_Calendrier!$C$2:$C$616,"Souscription")</f>
        <v/>
      </c>
      <c r="I183">
        <f>IF(H183=0,"",IFERROR(_xlfn.MINIFS(BDD_Calendrier!$D$2:$D$616,BDD_Calendrier!$A$2:$A$616,$B183,BDD_Calendrier!$C$2:$C$616,"Souscription",BDD_Calendrier!$D$2:$D$616,"&gt;="&amp;TODAY()),""))</f>
        <v/>
      </c>
      <c r="J183">
        <f>IF(I183="","",IFERROR(INDEX(BDD_Calendrier!$E$2:$E$616,MATCH($B183&amp;"|Souscription|"&amp;TEXT(I183,"yyyy-mm-dd"),BDD_Calendrier!$I$2:$I$616,0)),""))</f>
        <v/>
      </c>
      <c r="K183">
        <f>IF(H183=0,"",_xlfn.MAXIFS(BDD_Calendrier!$D$2:$D$616,BDD_Calendrier!$A$2:$A$616,$B183,BDD_Calendrier!$C$2:$C$616,"Souscription"))</f>
        <v/>
      </c>
      <c r="L183">
        <f>COUNTIFS(BDD_Calendrier!$A$2:$A$616,$B183,BDD_Calendrier!$C$2:$C$616,"Rachat")</f>
        <v/>
      </c>
      <c r="M183">
        <f>IF(L183=0,"",IFERROR(_xlfn.MINIFS(BDD_Calendrier!$D$2:$D$616,BDD_Calendrier!$A$2:$A$616,$B183,BDD_Calendrier!$C$2:$C$616,"Rachat",BDD_Calendrier!$D$2:$D$616,"&gt;="&amp;TODAY()),""))</f>
        <v/>
      </c>
      <c r="N183">
        <f>IF(M183="","",IFERROR(INDEX(BDD_Calendrier!$E$2:$E$616,MATCH($B183&amp;"|Rachat|"&amp;TEXT(M183,"yyyy-mm-dd"),BDD_Calendrier!$I$2:$I$616,0)),""))</f>
        <v/>
      </c>
      <c r="O183">
        <f>IF(M183="","",IFERROR(INDEX(BDD_Calendrier!$H$2:$H$616,MATCH($B183&amp;"|Rachat|"&amp;TEXT(M183,"yyyy-mm-dd"),BDD_Calendrier!$I$2:$I$616,0)),""))</f>
        <v/>
      </c>
      <c r="P183">
        <f>IF(L183=0,"",_xlfn.MAXIFS(BDD_Calendrier!$D$2:$D$616,BDD_Calendrier!$A$2:$A$616,$B183,BDD_Calendrier!$C$2:$C$616,"Rachat"))</f>
        <v/>
      </c>
      <c r="Q183">
        <f>IF($C183="","",IF($C183&gt;TODAY(),"FUTUR",DATEDIF($C183,TODAY(),"m")))</f>
        <v/>
      </c>
      <c r="R183">
        <f>COUNTIF(BDD_Penalites!$A$2:$A$130,$B183)</f>
        <v/>
      </c>
      <c r="S183">
        <f>IF(R183=0,"inconnue",INDEX(BDD_Penalites!$C$2:$C$130,MATCH($B183,BDD_Penalites!$A$2:$A$130,0)))</f>
        <v/>
      </c>
      <c r="T183">
        <f>IF(R183=0,"",INDEX(BDD_Penalites!$M$2:$M$130,MATCH($B183,BDD_Penalites!$A$2:$A$130,0)))</f>
        <v/>
      </c>
      <c r="U183">
        <f>IF(R183=0,0,INDEX(BDD_Penalites!$D$2:$D$130,MATCH($B183,BDD_Penalites!$A$2:$A$130,0)))</f>
        <v/>
      </c>
      <c r="V183">
        <f>IF(R183=0,0,INDEX(BDD_Penalites!$E$2:$E$130,MATCH($B183,BDD_Penalites!$A$2:$A$130,0)))</f>
        <v/>
      </c>
      <c r="W183">
        <f>IF(R183=0,0,INDEX(BDD_Penalites!$F$2:$F$130,MATCH($B183,BDD_Penalites!$A$2:$A$130,0)))</f>
        <v/>
      </c>
      <c r="X183">
        <f>IF(R183=0,0,INDEX(BDD_Penalites!$G$2:$G$130,MATCH($B183,BDD_Penalites!$A$2:$A$130,0)))</f>
        <v/>
      </c>
      <c r="Y183">
        <f>IF(R183=0,0,INDEX(BDD_Penalites!$H$2:$H$130,MATCH($B183,BDD_Penalites!$A$2:$A$130,0)))</f>
        <v/>
      </c>
      <c r="Z183">
        <f>IF(R183=0,0,INDEX(BDD_Penalites!$I$2:$I$130,MATCH($B183,BDD_Penalites!$A$2:$A$130,0)))</f>
        <v/>
      </c>
      <c r="AA183">
        <f>IF(R183=0,0,INDEX(BDD_Penalites!$J$2:$J$130,MATCH($B183,BDD_Penalites!$A$2:$A$130,0)))</f>
        <v/>
      </c>
      <c r="AB183">
        <f>IF(R183=0,0,INDEX(BDD_Penalites!$K$2:$K$130,MATCH($B183,BDD_Penalites!$A$2:$A$130,0)))</f>
        <v/>
      </c>
      <c r="AC183">
        <f>IF(R183=0,0,INDEX(BDD_Penalites!$L$2:$L$130,MATCH($B183,BDD_Penalites!$A$2:$A$130,0)))</f>
        <v/>
      </c>
      <c r="AD183">
        <f>IF(OR($C183="",Q183="FUTUR"),"",_xlfn.IFS(Q183&lt;U183,V183,Q183&lt;W183,X183,Q183&lt;Y183,Z183,Q183&lt;AA183,AB183,TRUE,AC183))</f>
        <v/>
      </c>
    </row>
    <row r="184" ht="13.5" customHeight="1">
      <c r="A184" s="65" t="inlineStr">
        <is>
          <t>FCPR AXA Avenir Infrastructures Parts T</t>
        </is>
      </c>
      <c r="B184" s="75" t="inlineStr">
        <is>
          <t>FR001400BZG1</t>
        </is>
      </c>
      <c r="C184" s="268" t="n"/>
      <c r="D184" s="269">
        <f>IF(H184=0,"Calendrier non disponible pour ce fonds — contacter la société de gestion.",IF(I184="","Calendrier connu jusqu'au "&amp;TEXT(K184,"dd/mm/yyyy")&amp;" — demander le calendrier à jour.","Cut-off : "&amp;TEXT(I184,"dd/mm/yyyy")&amp;"  |  VL : "&amp;TEXT(J184,"dd/mm/yyyy")))</f>
        <v/>
      </c>
      <c r="E184" s="269">
        <f>IF(L184=0,"Calendrier non disponible pour ce fonds — contacter la société de gestion.",IF(M184="","Calendrier connu jusqu'au "&amp;TEXT(P184,"dd/mm/yyyy")&amp;" — demander le calendrier à jour.","Cut-off : "&amp;TEXT(M184,"dd/mm/yyyy")&amp;"  |  VL : "&amp;TEXT(N184,"dd/mm/yyyy")))</f>
        <v/>
      </c>
      <c r="F184" s="269">
        <f>IF(L184=0,"Calendrier non disponible pour ce fonds.",IF(M184="","Calendrier connu jusqu'au "&amp;TEXT(P184,"dd/mm/yyyy")&amp;".",IF(O184="","Non précisé dans le calendrier pour cette échéance.","Réception : "&amp;TEXT(O184,"dd/mm/yyyy")&amp;"  (suite au rachat du "&amp;TEXT(N184,"dd/mm/yyyy")&amp;")")))</f>
        <v/>
      </c>
      <c r="G184" s="269">
        <f>_xlfn.IFS(S184="aucune","Aucune pénalité de sortie."&amp;IF(T184&lt;&gt;""," ("&amp;T184&amp;")",""),S184="manuel","⚠️ À VÉRIFIER MANUELLEMENT : "&amp;T184,S184="inconnue","Pénalité non renseignée — vérifier la notice / DICI du fonds.",$C184="","Saisir une date d'investissement pour statuer sur la pénalité.",Q184="FUTUR","Date d'investissement postérieure à aujourd'hui — vérifier la saisie.",AD184&gt;0,"⚠️ CONCERNÉ : pénalité de "&amp;AD184&amp;"% (détention "&amp;Q184&amp;" mois). "&amp;T184,TRUE,"Non concerné (détention "&amp;Q184&amp;" mois). "&amp;T184)</f>
        <v/>
      </c>
      <c r="H184">
        <f>COUNTIFS(BDD_Calendrier!$A$2:$A$616,$B184,BDD_Calendrier!$C$2:$C$616,"Souscription")</f>
        <v/>
      </c>
      <c r="I184">
        <f>IF(H184=0,"",IFERROR(_xlfn.MINIFS(BDD_Calendrier!$D$2:$D$616,BDD_Calendrier!$A$2:$A$616,$B184,BDD_Calendrier!$C$2:$C$616,"Souscription",BDD_Calendrier!$D$2:$D$616,"&gt;="&amp;TODAY()),""))</f>
        <v/>
      </c>
      <c r="J184">
        <f>IF(I184="","",IFERROR(INDEX(BDD_Calendrier!$E$2:$E$616,MATCH($B184&amp;"|Souscription|"&amp;TEXT(I184,"yyyy-mm-dd"),BDD_Calendrier!$I$2:$I$616,0)),""))</f>
        <v/>
      </c>
      <c r="K184">
        <f>IF(H184=0,"",_xlfn.MAXIFS(BDD_Calendrier!$D$2:$D$616,BDD_Calendrier!$A$2:$A$616,$B184,BDD_Calendrier!$C$2:$C$616,"Souscription"))</f>
        <v/>
      </c>
      <c r="L184">
        <f>COUNTIFS(BDD_Calendrier!$A$2:$A$616,$B184,BDD_Calendrier!$C$2:$C$616,"Rachat")</f>
        <v/>
      </c>
      <c r="M184">
        <f>IF(L184=0,"",IFERROR(_xlfn.MINIFS(BDD_Calendrier!$D$2:$D$616,BDD_Calendrier!$A$2:$A$616,$B184,BDD_Calendrier!$C$2:$C$616,"Rachat",BDD_Calendrier!$D$2:$D$616,"&gt;="&amp;TODAY()),""))</f>
        <v/>
      </c>
      <c r="N184">
        <f>IF(M184="","",IFERROR(INDEX(BDD_Calendrier!$E$2:$E$616,MATCH($B184&amp;"|Rachat|"&amp;TEXT(M184,"yyyy-mm-dd"),BDD_Calendrier!$I$2:$I$616,0)),""))</f>
        <v/>
      </c>
      <c r="O184">
        <f>IF(M184="","",IFERROR(INDEX(BDD_Calendrier!$H$2:$H$616,MATCH($B184&amp;"|Rachat|"&amp;TEXT(M184,"yyyy-mm-dd"),BDD_Calendrier!$I$2:$I$616,0)),""))</f>
        <v/>
      </c>
      <c r="P184">
        <f>IF(L184=0,"",_xlfn.MAXIFS(BDD_Calendrier!$D$2:$D$616,BDD_Calendrier!$A$2:$A$616,$B184,BDD_Calendrier!$C$2:$C$616,"Rachat"))</f>
        <v/>
      </c>
      <c r="Q184">
        <f>IF($C184="","",IF($C184&gt;TODAY(),"FUTUR",DATEDIF($C184,TODAY(),"m")))</f>
        <v/>
      </c>
      <c r="R184">
        <f>COUNTIF(BDD_Penalites!$A$2:$A$130,$B184)</f>
        <v/>
      </c>
      <c r="S184">
        <f>IF(R184=0,"inconnue",INDEX(BDD_Penalites!$C$2:$C$130,MATCH($B184,BDD_Penalites!$A$2:$A$130,0)))</f>
        <v/>
      </c>
      <c r="T184">
        <f>IF(R184=0,"",INDEX(BDD_Penalites!$M$2:$M$130,MATCH($B184,BDD_Penalites!$A$2:$A$130,0)))</f>
        <v/>
      </c>
      <c r="U184">
        <f>IF(R184=0,0,INDEX(BDD_Penalites!$D$2:$D$130,MATCH($B184,BDD_Penalites!$A$2:$A$130,0)))</f>
        <v/>
      </c>
      <c r="V184">
        <f>IF(R184=0,0,INDEX(BDD_Penalites!$E$2:$E$130,MATCH($B184,BDD_Penalites!$A$2:$A$130,0)))</f>
        <v/>
      </c>
      <c r="W184">
        <f>IF(R184=0,0,INDEX(BDD_Penalites!$F$2:$F$130,MATCH($B184,BDD_Penalites!$A$2:$A$130,0)))</f>
        <v/>
      </c>
      <c r="X184">
        <f>IF(R184=0,0,INDEX(BDD_Penalites!$G$2:$G$130,MATCH($B184,BDD_Penalites!$A$2:$A$130,0)))</f>
        <v/>
      </c>
      <c r="Y184">
        <f>IF(R184=0,0,INDEX(BDD_Penalites!$H$2:$H$130,MATCH($B184,BDD_Penalites!$A$2:$A$130,0)))</f>
        <v/>
      </c>
      <c r="Z184">
        <f>IF(R184=0,0,INDEX(BDD_Penalites!$I$2:$I$130,MATCH($B184,BDD_Penalites!$A$2:$A$130,0)))</f>
        <v/>
      </c>
      <c r="AA184">
        <f>IF(R184=0,0,INDEX(BDD_Penalites!$J$2:$J$130,MATCH($B184,BDD_Penalites!$A$2:$A$130,0)))</f>
        <v/>
      </c>
      <c r="AB184">
        <f>IF(R184=0,0,INDEX(BDD_Penalites!$K$2:$K$130,MATCH($B184,BDD_Penalites!$A$2:$A$130,0)))</f>
        <v/>
      </c>
      <c r="AC184">
        <f>IF(R184=0,0,INDEX(BDD_Penalites!$L$2:$L$130,MATCH($B184,BDD_Penalites!$A$2:$A$130,0)))</f>
        <v/>
      </c>
      <c r="AD184">
        <f>IF(OR($C184="",Q184="FUTUR"),"",_xlfn.IFS(Q184&lt;U184,V184,Q184&lt;W184,X184,Q184&lt;Y184,Z184,Q184&lt;AA184,AB184,TRUE,AC184))</f>
        <v/>
      </c>
    </row>
    <row r="185" ht="13.5" customHeight="1">
      <c r="A185" s="65" t="inlineStr">
        <is>
          <t>GF Infrastructures Durables</t>
        </is>
      </c>
      <c r="B185" s="75" t="inlineStr">
        <is>
          <t>FR0013473667</t>
        </is>
      </c>
      <c r="C185" s="268" t="n"/>
      <c r="D185" s="269">
        <f>IF(H185=0,"Calendrier non disponible pour ce fonds — contacter la société de gestion.",IF(I185="","Calendrier connu jusqu'au "&amp;TEXT(K185,"dd/mm/yyyy")&amp;" — demander le calendrier à jour.","Cut-off : "&amp;TEXT(I185,"dd/mm/yyyy")&amp;"  |  VL : "&amp;TEXT(J185,"dd/mm/yyyy")))</f>
        <v/>
      </c>
      <c r="E185" s="269">
        <f>IF(L185=0,"Calendrier non disponible pour ce fonds — contacter la société de gestion.",IF(M185="","Calendrier connu jusqu'au "&amp;TEXT(P185,"dd/mm/yyyy")&amp;" — demander le calendrier à jour.","Cut-off : "&amp;TEXT(M185,"dd/mm/yyyy")&amp;"  |  VL : "&amp;TEXT(N185,"dd/mm/yyyy")))</f>
        <v/>
      </c>
      <c r="F185" s="269">
        <f>IF(L185=0,"Calendrier non disponible pour ce fonds.",IF(M185="","Calendrier connu jusqu'au "&amp;TEXT(P185,"dd/mm/yyyy")&amp;".",IF(O185="","Non précisé dans le calendrier pour cette échéance.","Réception : "&amp;TEXT(O185,"dd/mm/yyyy")&amp;"  (suite au rachat du "&amp;TEXT(N185,"dd/mm/yyyy")&amp;")")))</f>
        <v/>
      </c>
      <c r="G185" s="269">
        <f>_xlfn.IFS(S185="aucune","Aucune pénalité de sortie."&amp;IF(T185&lt;&gt;""," ("&amp;T185&amp;")",""),S185="manuel","⚠️ À VÉRIFIER MANUELLEMENT : "&amp;T185,S185="inconnue","Pénalité non renseignée — vérifier la notice / DICI du fonds.",$C185="","Saisir une date d'investissement pour statuer sur la pénalité.",Q185="FUTUR","Date d'investissement postérieure à aujourd'hui — vérifier la saisie.",AD185&gt;0,"⚠️ CONCERNÉ : pénalité de "&amp;AD185&amp;"% (détention "&amp;Q185&amp;" mois). "&amp;T185,TRUE,"Non concerné (détention "&amp;Q185&amp;" mois). "&amp;T185)</f>
        <v/>
      </c>
      <c r="H185">
        <f>COUNTIFS(BDD_Calendrier!$A$2:$A$616,$B185,BDD_Calendrier!$C$2:$C$616,"Souscription")</f>
        <v/>
      </c>
      <c r="I185">
        <f>IF(H185=0,"",IFERROR(_xlfn.MINIFS(BDD_Calendrier!$D$2:$D$616,BDD_Calendrier!$A$2:$A$616,$B185,BDD_Calendrier!$C$2:$C$616,"Souscription",BDD_Calendrier!$D$2:$D$616,"&gt;="&amp;TODAY()),""))</f>
        <v/>
      </c>
      <c r="J185">
        <f>IF(I185="","",IFERROR(INDEX(BDD_Calendrier!$E$2:$E$616,MATCH($B185&amp;"|Souscription|"&amp;TEXT(I185,"yyyy-mm-dd"),BDD_Calendrier!$I$2:$I$616,0)),""))</f>
        <v/>
      </c>
      <c r="K185">
        <f>IF(H185=0,"",_xlfn.MAXIFS(BDD_Calendrier!$D$2:$D$616,BDD_Calendrier!$A$2:$A$616,$B185,BDD_Calendrier!$C$2:$C$616,"Souscription"))</f>
        <v/>
      </c>
      <c r="L185">
        <f>COUNTIFS(BDD_Calendrier!$A$2:$A$616,$B185,BDD_Calendrier!$C$2:$C$616,"Rachat")</f>
        <v/>
      </c>
      <c r="M185">
        <f>IF(L185=0,"",IFERROR(_xlfn.MINIFS(BDD_Calendrier!$D$2:$D$616,BDD_Calendrier!$A$2:$A$616,$B185,BDD_Calendrier!$C$2:$C$616,"Rachat",BDD_Calendrier!$D$2:$D$616,"&gt;="&amp;TODAY()),""))</f>
        <v/>
      </c>
      <c r="N185">
        <f>IF(M185="","",IFERROR(INDEX(BDD_Calendrier!$E$2:$E$616,MATCH($B185&amp;"|Rachat|"&amp;TEXT(M185,"yyyy-mm-dd"),BDD_Calendrier!$I$2:$I$616,0)),""))</f>
        <v/>
      </c>
      <c r="O185">
        <f>IF(M185="","",IFERROR(INDEX(BDD_Calendrier!$H$2:$H$616,MATCH($B185&amp;"|Rachat|"&amp;TEXT(M185,"yyyy-mm-dd"),BDD_Calendrier!$I$2:$I$616,0)),""))</f>
        <v/>
      </c>
      <c r="P185">
        <f>IF(L185=0,"",_xlfn.MAXIFS(BDD_Calendrier!$D$2:$D$616,BDD_Calendrier!$A$2:$A$616,$B185,BDD_Calendrier!$C$2:$C$616,"Rachat"))</f>
        <v/>
      </c>
      <c r="Q185">
        <f>IF($C185="","",IF($C185&gt;TODAY(),"FUTUR",DATEDIF($C185,TODAY(),"m")))</f>
        <v/>
      </c>
      <c r="R185">
        <f>COUNTIF(BDD_Penalites!$A$2:$A$130,$B185)</f>
        <v/>
      </c>
      <c r="S185">
        <f>IF(R185=0,"inconnue",INDEX(BDD_Penalites!$C$2:$C$130,MATCH($B185,BDD_Penalites!$A$2:$A$130,0)))</f>
        <v/>
      </c>
      <c r="T185">
        <f>IF(R185=0,"",INDEX(BDD_Penalites!$M$2:$M$130,MATCH($B185,BDD_Penalites!$A$2:$A$130,0)))</f>
        <v/>
      </c>
      <c r="U185">
        <f>IF(R185=0,0,INDEX(BDD_Penalites!$D$2:$D$130,MATCH($B185,BDD_Penalites!$A$2:$A$130,0)))</f>
        <v/>
      </c>
      <c r="V185">
        <f>IF(R185=0,0,INDEX(BDD_Penalites!$E$2:$E$130,MATCH($B185,BDD_Penalites!$A$2:$A$130,0)))</f>
        <v/>
      </c>
      <c r="W185">
        <f>IF(R185=0,0,INDEX(BDD_Penalites!$F$2:$F$130,MATCH($B185,BDD_Penalites!$A$2:$A$130,0)))</f>
        <v/>
      </c>
      <c r="X185">
        <f>IF(R185=0,0,INDEX(BDD_Penalites!$G$2:$G$130,MATCH($B185,BDD_Penalites!$A$2:$A$130,0)))</f>
        <v/>
      </c>
      <c r="Y185">
        <f>IF(R185=0,0,INDEX(BDD_Penalites!$H$2:$H$130,MATCH($B185,BDD_Penalites!$A$2:$A$130,0)))</f>
        <v/>
      </c>
      <c r="Z185">
        <f>IF(R185=0,0,INDEX(BDD_Penalites!$I$2:$I$130,MATCH($B185,BDD_Penalites!$A$2:$A$130,0)))</f>
        <v/>
      </c>
      <c r="AA185">
        <f>IF(R185=0,0,INDEX(BDD_Penalites!$J$2:$J$130,MATCH($B185,BDD_Penalites!$A$2:$A$130,0)))</f>
        <v/>
      </c>
      <c r="AB185">
        <f>IF(R185=0,0,INDEX(BDD_Penalites!$K$2:$K$130,MATCH($B185,BDD_Penalites!$A$2:$A$130,0)))</f>
        <v/>
      </c>
      <c r="AC185">
        <f>IF(R185=0,0,INDEX(BDD_Penalites!$L$2:$L$130,MATCH($B185,BDD_Penalites!$A$2:$A$130,0)))</f>
        <v/>
      </c>
      <c r="AD185">
        <f>IF(OR($C185="",Q185="FUTUR"),"",_xlfn.IFS(Q185&lt;U185,V185,Q185&lt;W185,X185,Q185&lt;Y185,Z185,Q185&lt;AA185,AB185,TRUE,AC185))</f>
        <v/>
      </c>
    </row>
    <row r="186" ht="13.5" customHeight="1">
      <c r="A186" s="65" t="inlineStr">
        <is>
          <t>Rive Tangible Assets Income Fund</t>
        </is>
      </c>
      <c r="B186" s="205" t="inlineStr">
        <is>
          <t>LU2842989936</t>
        </is>
      </c>
      <c r="C186" s="268" t="n"/>
      <c r="D186" s="269">
        <f>IF(H186=0,"Calendrier non disponible pour ce fonds — contacter la société de gestion.",IF(I186="","Calendrier connu jusqu'au "&amp;TEXT(K186,"dd/mm/yyyy")&amp;" — demander le calendrier à jour.","Cut-off : "&amp;TEXT(I186,"dd/mm/yyyy")&amp;"  |  VL : "&amp;TEXT(J186,"dd/mm/yyyy")))</f>
        <v/>
      </c>
      <c r="E186" s="269">
        <f>IF(L186=0,"Calendrier non disponible pour ce fonds — contacter la société de gestion.",IF(M186="","Calendrier connu jusqu'au "&amp;TEXT(P186,"dd/mm/yyyy")&amp;" — demander le calendrier à jour.","Cut-off : "&amp;TEXT(M186,"dd/mm/yyyy")&amp;"  |  VL : "&amp;TEXT(N186,"dd/mm/yyyy")))</f>
        <v/>
      </c>
      <c r="F186" s="269">
        <f>IF(L186=0,"Calendrier non disponible pour ce fonds.",IF(M186="","Calendrier connu jusqu'au "&amp;TEXT(P186,"dd/mm/yyyy")&amp;".",IF(O186="","Non précisé dans le calendrier pour cette échéance.","Réception : "&amp;TEXT(O186,"dd/mm/yyyy")&amp;"  (suite au rachat du "&amp;TEXT(N186,"dd/mm/yyyy")&amp;")")))</f>
        <v/>
      </c>
      <c r="G186" s="269">
        <f>_xlfn.IFS(S186="aucune","Aucune pénalité de sortie."&amp;IF(T186&lt;&gt;""," ("&amp;T186&amp;")",""),S186="manuel","⚠️ À VÉRIFIER MANUELLEMENT : "&amp;T186,S186="inconnue","Pénalité non renseignée — vérifier la notice / DICI du fonds.",$C186="","Saisir une date d'investissement pour statuer sur la pénalité.",Q186="FUTUR","Date d'investissement postérieure à aujourd'hui — vérifier la saisie.",AD186&gt;0,"⚠️ CONCERNÉ : pénalité de "&amp;AD186&amp;"% (détention "&amp;Q186&amp;" mois). "&amp;T186,TRUE,"Non concerné (détention "&amp;Q186&amp;" mois). "&amp;T186)</f>
        <v/>
      </c>
      <c r="H186">
        <f>COUNTIFS(BDD_Calendrier!$A$2:$A$616,$B186,BDD_Calendrier!$C$2:$C$616,"Souscription")</f>
        <v/>
      </c>
      <c r="I186">
        <f>IF(H186=0,"",IFERROR(_xlfn.MINIFS(BDD_Calendrier!$D$2:$D$616,BDD_Calendrier!$A$2:$A$616,$B186,BDD_Calendrier!$C$2:$C$616,"Souscription",BDD_Calendrier!$D$2:$D$616,"&gt;="&amp;TODAY()),""))</f>
        <v/>
      </c>
      <c r="J186">
        <f>IF(I186="","",IFERROR(INDEX(BDD_Calendrier!$E$2:$E$616,MATCH($B186&amp;"|Souscription|"&amp;TEXT(I186,"yyyy-mm-dd"),BDD_Calendrier!$I$2:$I$616,0)),""))</f>
        <v/>
      </c>
      <c r="K186">
        <f>IF(H186=0,"",_xlfn.MAXIFS(BDD_Calendrier!$D$2:$D$616,BDD_Calendrier!$A$2:$A$616,$B186,BDD_Calendrier!$C$2:$C$616,"Souscription"))</f>
        <v/>
      </c>
      <c r="L186">
        <f>COUNTIFS(BDD_Calendrier!$A$2:$A$616,$B186,BDD_Calendrier!$C$2:$C$616,"Rachat")</f>
        <v/>
      </c>
      <c r="M186">
        <f>IF(L186=0,"",IFERROR(_xlfn.MINIFS(BDD_Calendrier!$D$2:$D$616,BDD_Calendrier!$A$2:$A$616,$B186,BDD_Calendrier!$C$2:$C$616,"Rachat",BDD_Calendrier!$D$2:$D$616,"&gt;="&amp;TODAY()),""))</f>
        <v/>
      </c>
      <c r="N186">
        <f>IF(M186="","",IFERROR(INDEX(BDD_Calendrier!$E$2:$E$616,MATCH($B186&amp;"|Rachat|"&amp;TEXT(M186,"yyyy-mm-dd"),BDD_Calendrier!$I$2:$I$616,0)),""))</f>
        <v/>
      </c>
      <c r="O186">
        <f>IF(M186="","",IFERROR(INDEX(BDD_Calendrier!$H$2:$H$616,MATCH($B186&amp;"|Rachat|"&amp;TEXT(M186,"yyyy-mm-dd"),BDD_Calendrier!$I$2:$I$616,0)),""))</f>
        <v/>
      </c>
      <c r="P186">
        <f>IF(L186=0,"",_xlfn.MAXIFS(BDD_Calendrier!$D$2:$D$616,BDD_Calendrier!$A$2:$A$616,$B186,BDD_Calendrier!$C$2:$C$616,"Rachat"))</f>
        <v/>
      </c>
      <c r="Q186">
        <f>IF($C186="","",IF($C186&gt;TODAY(),"FUTUR",DATEDIF($C186,TODAY(),"m")))</f>
        <v/>
      </c>
      <c r="R186">
        <f>COUNTIF(BDD_Penalites!$A$2:$A$130,$B186)</f>
        <v/>
      </c>
      <c r="S186">
        <f>IF(R186=0,"inconnue",INDEX(BDD_Penalites!$C$2:$C$130,MATCH($B186,BDD_Penalites!$A$2:$A$130,0)))</f>
        <v/>
      </c>
      <c r="T186">
        <f>IF(R186=0,"",INDEX(BDD_Penalites!$M$2:$M$130,MATCH($B186,BDD_Penalites!$A$2:$A$130,0)))</f>
        <v/>
      </c>
      <c r="U186">
        <f>IF(R186=0,0,INDEX(BDD_Penalites!$D$2:$D$130,MATCH($B186,BDD_Penalites!$A$2:$A$130,0)))</f>
        <v/>
      </c>
      <c r="V186">
        <f>IF(R186=0,0,INDEX(BDD_Penalites!$E$2:$E$130,MATCH($B186,BDD_Penalites!$A$2:$A$130,0)))</f>
        <v/>
      </c>
      <c r="W186">
        <f>IF(R186=0,0,INDEX(BDD_Penalites!$F$2:$F$130,MATCH($B186,BDD_Penalites!$A$2:$A$130,0)))</f>
        <v/>
      </c>
      <c r="X186">
        <f>IF(R186=0,0,INDEX(BDD_Penalites!$G$2:$G$130,MATCH($B186,BDD_Penalites!$A$2:$A$130,0)))</f>
        <v/>
      </c>
      <c r="Y186">
        <f>IF(R186=0,0,INDEX(BDD_Penalites!$H$2:$H$130,MATCH($B186,BDD_Penalites!$A$2:$A$130,0)))</f>
        <v/>
      </c>
      <c r="Z186">
        <f>IF(R186=0,0,INDEX(BDD_Penalites!$I$2:$I$130,MATCH($B186,BDD_Penalites!$A$2:$A$130,0)))</f>
        <v/>
      </c>
      <c r="AA186">
        <f>IF(R186=0,0,INDEX(BDD_Penalites!$J$2:$J$130,MATCH($B186,BDD_Penalites!$A$2:$A$130,0)))</f>
        <v/>
      </c>
      <c r="AB186">
        <f>IF(R186=0,0,INDEX(BDD_Penalites!$K$2:$K$130,MATCH($B186,BDD_Penalites!$A$2:$A$130,0)))</f>
        <v/>
      </c>
      <c r="AC186">
        <f>IF(R186=0,0,INDEX(BDD_Penalites!$L$2:$L$130,MATCH($B186,BDD_Penalites!$A$2:$A$130,0)))</f>
        <v/>
      </c>
      <c r="AD186">
        <f>IF(OR($C186="",Q186="FUTUR"),"",_xlfn.IFS(Q186&lt;U186,V186,Q186&lt;W186,X186,Q186&lt;Y186,Z186,Q186&lt;AA186,AB186,TRUE,AC186))</f>
        <v/>
      </c>
    </row>
    <row r="187" ht="13.5" customHeight="1">
      <c r="A187" s="65" t="inlineStr">
        <is>
          <t>Rive Tangible Assets Income Fund AS3</t>
        </is>
      </c>
      <c r="B187" s="75" t="inlineStr">
        <is>
          <t>LU2563800726</t>
        </is>
      </c>
      <c r="C187" s="268" t="n"/>
      <c r="D187" s="269">
        <f>IF(H187=0,"Calendrier non disponible pour ce fonds — contacter la société de gestion.",IF(I187="","Calendrier connu jusqu'au "&amp;TEXT(K187,"dd/mm/yyyy")&amp;" — demander le calendrier à jour.","Cut-off : "&amp;TEXT(I187,"dd/mm/yyyy")&amp;"  |  VL : "&amp;TEXT(J187,"dd/mm/yyyy")))</f>
        <v/>
      </c>
      <c r="E187" s="269">
        <f>IF(L187=0,"Calendrier non disponible pour ce fonds — contacter la société de gestion.",IF(M187="","Calendrier connu jusqu'au "&amp;TEXT(P187,"dd/mm/yyyy")&amp;" — demander le calendrier à jour.","Cut-off : "&amp;TEXT(M187,"dd/mm/yyyy")&amp;"  |  VL : "&amp;TEXT(N187,"dd/mm/yyyy")))</f>
        <v/>
      </c>
      <c r="F187" s="269">
        <f>IF(L187=0,"Calendrier non disponible pour ce fonds.",IF(M187="","Calendrier connu jusqu'au "&amp;TEXT(P187,"dd/mm/yyyy")&amp;".",IF(O187="","Non précisé dans le calendrier pour cette échéance.","Réception : "&amp;TEXT(O187,"dd/mm/yyyy")&amp;"  (suite au rachat du "&amp;TEXT(N187,"dd/mm/yyyy")&amp;")")))</f>
        <v/>
      </c>
      <c r="G187" s="269">
        <f>_xlfn.IFS(S187="aucune","Aucune pénalité de sortie."&amp;IF(T187&lt;&gt;""," ("&amp;T187&amp;")",""),S187="manuel","⚠️ À VÉRIFIER MANUELLEMENT : "&amp;T187,S187="inconnue","Pénalité non renseignée — vérifier la notice / DICI du fonds.",$C187="","Saisir une date d'investissement pour statuer sur la pénalité.",Q187="FUTUR","Date d'investissement postérieure à aujourd'hui — vérifier la saisie.",AD187&gt;0,"⚠️ CONCERNÉ : pénalité de "&amp;AD187&amp;"% (détention "&amp;Q187&amp;" mois). "&amp;T187,TRUE,"Non concerné (détention "&amp;Q187&amp;" mois). "&amp;T187)</f>
        <v/>
      </c>
      <c r="H187">
        <f>COUNTIFS(BDD_Calendrier!$A$2:$A$616,$B187,BDD_Calendrier!$C$2:$C$616,"Souscription")</f>
        <v/>
      </c>
      <c r="I187">
        <f>IF(H187=0,"",IFERROR(_xlfn.MINIFS(BDD_Calendrier!$D$2:$D$616,BDD_Calendrier!$A$2:$A$616,$B187,BDD_Calendrier!$C$2:$C$616,"Souscription",BDD_Calendrier!$D$2:$D$616,"&gt;="&amp;TODAY()),""))</f>
        <v/>
      </c>
      <c r="J187">
        <f>IF(I187="","",IFERROR(INDEX(BDD_Calendrier!$E$2:$E$616,MATCH($B187&amp;"|Souscription|"&amp;TEXT(I187,"yyyy-mm-dd"),BDD_Calendrier!$I$2:$I$616,0)),""))</f>
        <v/>
      </c>
      <c r="K187">
        <f>IF(H187=0,"",_xlfn.MAXIFS(BDD_Calendrier!$D$2:$D$616,BDD_Calendrier!$A$2:$A$616,$B187,BDD_Calendrier!$C$2:$C$616,"Souscription"))</f>
        <v/>
      </c>
      <c r="L187">
        <f>COUNTIFS(BDD_Calendrier!$A$2:$A$616,$B187,BDD_Calendrier!$C$2:$C$616,"Rachat")</f>
        <v/>
      </c>
      <c r="M187">
        <f>IF(L187=0,"",IFERROR(_xlfn.MINIFS(BDD_Calendrier!$D$2:$D$616,BDD_Calendrier!$A$2:$A$616,$B187,BDD_Calendrier!$C$2:$C$616,"Rachat",BDD_Calendrier!$D$2:$D$616,"&gt;="&amp;TODAY()),""))</f>
        <v/>
      </c>
      <c r="N187">
        <f>IF(M187="","",IFERROR(INDEX(BDD_Calendrier!$E$2:$E$616,MATCH($B187&amp;"|Rachat|"&amp;TEXT(M187,"yyyy-mm-dd"),BDD_Calendrier!$I$2:$I$616,0)),""))</f>
        <v/>
      </c>
      <c r="O187">
        <f>IF(M187="","",IFERROR(INDEX(BDD_Calendrier!$H$2:$H$616,MATCH($B187&amp;"|Rachat|"&amp;TEXT(M187,"yyyy-mm-dd"),BDD_Calendrier!$I$2:$I$616,0)),""))</f>
        <v/>
      </c>
      <c r="P187">
        <f>IF(L187=0,"",_xlfn.MAXIFS(BDD_Calendrier!$D$2:$D$616,BDD_Calendrier!$A$2:$A$616,$B187,BDD_Calendrier!$C$2:$C$616,"Rachat"))</f>
        <v/>
      </c>
      <c r="Q187">
        <f>IF($C187="","",IF($C187&gt;TODAY(),"FUTUR",DATEDIF($C187,TODAY(),"m")))</f>
        <v/>
      </c>
      <c r="R187">
        <f>COUNTIF(BDD_Penalites!$A$2:$A$130,$B187)</f>
        <v/>
      </c>
      <c r="S187">
        <f>IF(R187=0,"inconnue",INDEX(BDD_Penalites!$C$2:$C$130,MATCH($B187,BDD_Penalites!$A$2:$A$130,0)))</f>
        <v/>
      </c>
      <c r="T187">
        <f>IF(R187=0,"",INDEX(BDD_Penalites!$M$2:$M$130,MATCH($B187,BDD_Penalites!$A$2:$A$130,0)))</f>
        <v/>
      </c>
      <c r="U187">
        <f>IF(R187=0,0,INDEX(BDD_Penalites!$D$2:$D$130,MATCH($B187,BDD_Penalites!$A$2:$A$130,0)))</f>
        <v/>
      </c>
      <c r="V187">
        <f>IF(R187=0,0,INDEX(BDD_Penalites!$E$2:$E$130,MATCH($B187,BDD_Penalites!$A$2:$A$130,0)))</f>
        <v/>
      </c>
      <c r="W187">
        <f>IF(R187=0,0,INDEX(BDD_Penalites!$F$2:$F$130,MATCH($B187,BDD_Penalites!$A$2:$A$130,0)))</f>
        <v/>
      </c>
      <c r="X187">
        <f>IF(R187=0,0,INDEX(BDD_Penalites!$G$2:$G$130,MATCH($B187,BDD_Penalites!$A$2:$A$130,0)))</f>
        <v/>
      </c>
      <c r="Y187">
        <f>IF(R187=0,0,INDEX(BDD_Penalites!$H$2:$H$130,MATCH($B187,BDD_Penalites!$A$2:$A$130,0)))</f>
        <v/>
      </c>
      <c r="Z187">
        <f>IF(R187=0,0,INDEX(BDD_Penalites!$I$2:$I$130,MATCH($B187,BDD_Penalites!$A$2:$A$130,0)))</f>
        <v/>
      </c>
      <c r="AA187">
        <f>IF(R187=0,0,INDEX(BDD_Penalites!$J$2:$J$130,MATCH($B187,BDD_Penalites!$A$2:$A$130,0)))</f>
        <v/>
      </c>
      <c r="AB187">
        <f>IF(R187=0,0,INDEX(BDD_Penalites!$K$2:$K$130,MATCH($B187,BDD_Penalites!$A$2:$A$130,0)))</f>
        <v/>
      </c>
      <c r="AC187">
        <f>IF(R187=0,0,INDEX(BDD_Penalites!$L$2:$L$130,MATCH($B187,BDD_Penalites!$A$2:$A$130,0)))</f>
        <v/>
      </c>
      <c r="AD187">
        <f>IF(OR($C187="",Q187="FUTUR"),"",_xlfn.IFS(Q187&lt;U187,V187,Q187&lt;W187,X187,Q187&lt;Y187,Z187,Q187&lt;AA187,AB187,TRUE,AC187))</f>
        <v/>
      </c>
    </row>
    <row r="188" ht="13.5" customHeight="1">
      <c r="A188" s="65" t="n"/>
      <c r="B188" s="75" t="n"/>
    </row>
    <row r="189" ht="13.5" customHeight="1">
      <c r="A189" s="65" t="n"/>
      <c r="B189" s="75" t="n"/>
    </row>
    <row r="190" ht="13.5" customHeight="1">
      <c r="A190" s="65" t="n"/>
      <c r="B190" s="75" t="n"/>
    </row>
    <row r="191" ht="13.5" customHeight="1">
      <c r="A191" s="65" t="n"/>
      <c r="B191" s="75" t="n"/>
    </row>
    <row r="192" ht="13.5" customHeight="1">
      <c r="A192" s="65" t="n"/>
      <c r="B192" s="75" t="n"/>
    </row>
    <row r="193" ht="13.5" customHeight="1">
      <c r="A193" s="65" t="n"/>
      <c r="B193" s="75" t="n"/>
    </row>
    <row r="194" ht="14" customFormat="1" customHeight="1" s="258">
      <c r="A194" s="235" t="inlineStr">
        <is>
          <t>Dette privée</t>
        </is>
      </c>
      <c r="B194" s="236" t="n"/>
      <c r="C194" s="235" t="n"/>
      <c r="D194" s="235" t="n"/>
      <c r="E194" s="235" t="n"/>
      <c r="F194" s="235" t="n"/>
      <c r="G194" s="235" t="n"/>
    </row>
    <row r="195" ht="13.5" customHeight="1">
      <c r="A195" s="65" t="inlineStr">
        <is>
          <t>Althos Private Credit part F  - Capitalisante</t>
        </is>
      </c>
      <c r="B195" s="66" t="inlineStr">
        <is>
          <t>FR001400XGV4</t>
        </is>
      </c>
      <c r="C195" s="268" t="n"/>
      <c r="D195" s="269">
        <f>IF(H195=0,"Calendrier non disponible pour ce fonds — contacter la société de gestion.",IF(I195="","Calendrier connu jusqu'au "&amp;TEXT(K195,"dd/mm/yyyy")&amp;" — demander le calendrier à jour.","Cut-off : "&amp;TEXT(I195,"dd/mm/yyyy")&amp;"  |  VL : "&amp;TEXT(J195,"dd/mm/yyyy")))</f>
        <v/>
      </c>
      <c r="E195" s="269">
        <f>IF(L195=0,"Calendrier non disponible pour ce fonds — contacter la société de gestion.",IF(M195="","Calendrier connu jusqu'au "&amp;TEXT(P195,"dd/mm/yyyy")&amp;" — demander le calendrier à jour.","Cut-off : "&amp;TEXT(M195,"dd/mm/yyyy")&amp;"  |  VL : "&amp;TEXT(N195,"dd/mm/yyyy")))</f>
        <v/>
      </c>
      <c r="F195" s="269">
        <f>IF(L195=0,"Calendrier non disponible pour ce fonds.",IF(M195="","Calendrier connu jusqu'au "&amp;TEXT(P195,"dd/mm/yyyy")&amp;".",IF(O195="","Non précisé dans le calendrier pour cette échéance.","Réception : "&amp;TEXT(O195,"dd/mm/yyyy")&amp;"  (suite au rachat du "&amp;TEXT(N195,"dd/mm/yyyy")&amp;")")))</f>
        <v/>
      </c>
      <c r="G195" s="269">
        <f>_xlfn.IFS(S195="aucune","Aucune pénalité de sortie."&amp;IF(T195&lt;&gt;""," ("&amp;T195&amp;")",""),S195="manuel","⚠️ À VÉRIFIER MANUELLEMENT : "&amp;T195,S195="inconnue","Pénalité non renseignée — vérifier la notice / DICI du fonds.",$C195="","Saisir une date d'investissement pour statuer sur la pénalité.",Q195="FUTUR","Date d'investissement postérieure à aujourd'hui — vérifier la saisie.",AD195&gt;0,"⚠️ CONCERNÉ : pénalité de "&amp;AD195&amp;"% (détention "&amp;Q195&amp;" mois). "&amp;T195,TRUE,"Non concerné (détention "&amp;Q195&amp;" mois). "&amp;T195)</f>
        <v/>
      </c>
      <c r="H195">
        <f>COUNTIFS(BDD_Calendrier!$A$2:$A$616,$B195,BDD_Calendrier!$C$2:$C$616,"Souscription")</f>
        <v/>
      </c>
      <c r="I195">
        <f>IF(H195=0,"",IFERROR(_xlfn.MINIFS(BDD_Calendrier!$D$2:$D$616,BDD_Calendrier!$A$2:$A$616,$B195,BDD_Calendrier!$C$2:$C$616,"Souscription",BDD_Calendrier!$D$2:$D$616,"&gt;="&amp;TODAY()),""))</f>
        <v/>
      </c>
      <c r="J195">
        <f>IF(I195="","",IFERROR(INDEX(BDD_Calendrier!$E$2:$E$616,MATCH($B195&amp;"|Souscription|"&amp;TEXT(I195,"yyyy-mm-dd"),BDD_Calendrier!$I$2:$I$616,0)),""))</f>
        <v/>
      </c>
      <c r="K195">
        <f>IF(H195=0,"",_xlfn.MAXIFS(BDD_Calendrier!$D$2:$D$616,BDD_Calendrier!$A$2:$A$616,$B195,BDD_Calendrier!$C$2:$C$616,"Souscription"))</f>
        <v/>
      </c>
      <c r="L195">
        <f>COUNTIFS(BDD_Calendrier!$A$2:$A$616,$B195,BDD_Calendrier!$C$2:$C$616,"Rachat")</f>
        <v/>
      </c>
      <c r="M195">
        <f>IF(L195=0,"",IFERROR(_xlfn.MINIFS(BDD_Calendrier!$D$2:$D$616,BDD_Calendrier!$A$2:$A$616,$B195,BDD_Calendrier!$C$2:$C$616,"Rachat",BDD_Calendrier!$D$2:$D$616,"&gt;="&amp;TODAY()),""))</f>
        <v/>
      </c>
      <c r="N195">
        <f>IF(M195="","",IFERROR(INDEX(BDD_Calendrier!$E$2:$E$616,MATCH($B195&amp;"|Rachat|"&amp;TEXT(M195,"yyyy-mm-dd"),BDD_Calendrier!$I$2:$I$616,0)),""))</f>
        <v/>
      </c>
      <c r="O195">
        <f>IF(M195="","",IFERROR(INDEX(BDD_Calendrier!$H$2:$H$616,MATCH($B195&amp;"|Rachat|"&amp;TEXT(M195,"yyyy-mm-dd"),BDD_Calendrier!$I$2:$I$616,0)),""))</f>
        <v/>
      </c>
      <c r="P195">
        <f>IF(L195=0,"",_xlfn.MAXIFS(BDD_Calendrier!$D$2:$D$616,BDD_Calendrier!$A$2:$A$616,$B195,BDD_Calendrier!$C$2:$C$616,"Rachat"))</f>
        <v/>
      </c>
      <c r="Q195">
        <f>IF($C195="","",IF($C195&gt;TODAY(),"FUTUR",DATEDIF($C195,TODAY(),"m")))</f>
        <v/>
      </c>
      <c r="R195">
        <f>COUNTIF(BDD_Penalites!$A$2:$A$130,$B195)</f>
        <v/>
      </c>
      <c r="S195">
        <f>IF(R195=0,"inconnue",INDEX(BDD_Penalites!$C$2:$C$130,MATCH($B195,BDD_Penalites!$A$2:$A$130,0)))</f>
        <v/>
      </c>
      <c r="T195">
        <f>IF(R195=0,"",INDEX(BDD_Penalites!$M$2:$M$130,MATCH($B195,BDD_Penalites!$A$2:$A$130,0)))</f>
        <v/>
      </c>
      <c r="U195">
        <f>IF(R195=0,0,INDEX(BDD_Penalites!$D$2:$D$130,MATCH($B195,BDD_Penalites!$A$2:$A$130,0)))</f>
        <v/>
      </c>
      <c r="V195">
        <f>IF(R195=0,0,INDEX(BDD_Penalites!$E$2:$E$130,MATCH($B195,BDD_Penalites!$A$2:$A$130,0)))</f>
        <v/>
      </c>
      <c r="W195">
        <f>IF(R195=0,0,INDEX(BDD_Penalites!$F$2:$F$130,MATCH($B195,BDD_Penalites!$A$2:$A$130,0)))</f>
        <v/>
      </c>
      <c r="X195">
        <f>IF(R195=0,0,INDEX(BDD_Penalites!$G$2:$G$130,MATCH($B195,BDD_Penalites!$A$2:$A$130,0)))</f>
        <v/>
      </c>
      <c r="Y195">
        <f>IF(R195=0,0,INDEX(BDD_Penalites!$H$2:$H$130,MATCH($B195,BDD_Penalites!$A$2:$A$130,0)))</f>
        <v/>
      </c>
      <c r="Z195">
        <f>IF(R195=0,0,INDEX(BDD_Penalites!$I$2:$I$130,MATCH($B195,BDD_Penalites!$A$2:$A$130,0)))</f>
        <v/>
      </c>
      <c r="AA195">
        <f>IF(R195=0,0,INDEX(BDD_Penalites!$J$2:$J$130,MATCH($B195,BDD_Penalites!$A$2:$A$130,0)))</f>
        <v/>
      </c>
      <c r="AB195">
        <f>IF(R195=0,0,INDEX(BDD_Penalites!$K$2:$K$130,MATCH($B195,BDD_Penalites!$A$2:$A$130,0)))</f>
        <v/>
      </c>
      <c r="AC195">
        <f>IF(R195=0,0,INDEX(BDD_Penalites!$L$2:$L$130,MATCH($B195,BDD_Penalites!$A$2:$A$130,0)))</f>
        <v/>
      </c>
      <c r="AD195">
        <f>IF(OR($C195="",Q195="FUTUR"),"",_xlfn.IFS(Q195&lt;U195,V195,Q195&lt;W195,X195,Q195&lt;Y195,Z195,Q195&lt;AA195,AB195,TRUE,AC195))</f>
        <v/>
      </c>
    </row>
    <row r="196" ht="13.5" customHeight="1">
      <c r="A196" s="65" t="inlineStr">
        <is>
          <t>Althos Private Credit part F  - Distribuant</t>
        </is>
      </c>
      <c r="B196" s="66" t="inlineStr">
        <is>
          <t>FR001400XGQ4</t>
        </is>
      </c>
      <c r="C196" s="268" t="n"/>
      <c r="D196" s="269">
        <f>IF(H196=0,"Calendrier non disponible pour ce fonds — contacter la société de gestion.",IF(I196="","Calendrier connu jusqu'au "&amp;TEXT(K196,"dd/mm/yyyy")&amp;" — demander le calendrier à jour.","Cut-off : "&amp;TEXT(I196,"dd/mm/yyyy")&amp;"  |  VL : "&amp;TEXT(J196,"dd/mm/yyyy")))</f>
        <v/>
      </c>
      <c r="E196" s="269">
        <f>IF(L196=0,"Calendrier non disponible pour ce fonds — contacter la société de gestion.",IF(M196="","Calendrier connu jusqu'au "&amp;TEXT(P196,"dd/mm/yyyy")&amp;" — demander le calendrier à jour.","Cut-off : "&amp;TEXT(M196,"dd/mm/yyyy")&amp;"  |  VL : "&amp;TEXT(N196,"dd/mm/yyyy")))</f>
        <v/>
      </c>
      <c r="F196" s="269">
        <f>IF(L196=0,"Calendrier non disponible pour ce fonds.",IF(M196="","Calendrier connu jusqu'au "&amp;TEXT(P196,"dd/mm/yyyy")&amp;".",IF(O196="","Non précisé dans le calendrier pour cette échéance.","Réception : "&amp;TEXT(O196,"dd/mm/yyyy")&amp;"  (suite au rachat du "&amp;TEXT(N196,"dd/mm/yyyy")&amp;")")))</f>
        <v/>
      </c>
      <c r="G196" s="269">
        <f>_xlfn.IFS(S196="aucune","Aucune pénalité de sortie."&amp;IF(T196&lt;&gt;""," ("&amp;T196&amp;")",""),S196="manuel","⚠️ À VÉRIFIER MANUELLEMENT : "&amp;T196,S196="inconnue","Pénalité non renseignée — vérifier la notice / DICI du fonds.",$C196="","Saisir une date d'investissement pour statuer sur la pénalité.",Q196="FUTUR","Date d'investissement postérieure à aujourd'hui — vérifier la saisie.",AD196&gt;0,"⚠️ CONCERNÉ : pénalité de "&amp;AD196&amp;"% (détention "&amp;Q196&amp;" mois). "&amp;T196,TRUE,"Non concerné (détention "&amp;Q196&amp;" mois). "&amp;T196)</f>
        <v/>
      </c>
      <c r="H196">
        <f>COUNTIFS(BDD_Calendrier!$A$2:$A$616,$B196,BDD_Calendrier!$C$2:$C$616,"Souscription")</f>
        <v/>
      </c>
      <c r="I196">
        <f>IF(H196=0,"",IFERROR(_xlfn.MINIFS(BDD_Calendrier!$D$2:$D$616,BDD_Calendrier!$A$2:$A$616,$B196,BDD_Calendrier!$C$2:$C$616,"Souscription",BDD_Calendrier!$D$2:$D$616,"&gt;="&amp;TODAY()),""))</f>
        <v/>
      </c>
      <c r="J196">
        <f>IF(I196="","",IFERROR(INDEX(BDD_Calendrier!$E$2:$E$616,MATCH($B196&amp;"|Souscription|"&amp;TEXT(I196,"yyyy-mm-dd"),BDD_Calendrier!$I$2:$I$616,0)),""))</f>
        <v/>
      </c>
      <c r="K196">
        <f>IF(H196=0,"",_xlfn.MAXIFS(BDD_Calendrier!$D$2:$D$616,BDD_Calendrier!$A$2:$A$616,$B196,BDD_Calendrier!$C$2:$C$616,"Souscription"))</f>
        <v/>
      </c>
      <c r="L196">
        <f>COUNTIFS(BDD_Calendrier!$A$2:$A$616,$B196,BDD_Calendrier!$C$2:$C$616,"Rachat")</f>
        <v/>
      </c>
      <c r="M196">
        <f>IF(L196=0,"",IFERROR(_xlfn.MINIFS(BDD_Calendrier!$D$2:$D$616,BDD_Calendrier!$A$2:$A$616,$B196,BDD_Calendrier!$C$2:$C$616,"Rachat",BDD_Calendrier!$D$2:$D$616,"&gt;="&amp;TODAY()),""))</f>
        <v/>
      </c>
      <c r="N196">
        <f>IF(M196="","",IFERROR(INDEX(BDD_Calendrier!$E$2:$E$616,MATCH($B196&amp;"|Rachat|"&amp;TEXT(M196,"yyyy-mm-dd"),BDD_Calendrier!$I$2:$I$616,0)),""))</f>
        <v/>
      </c>
      <c r="O196">
        <f>IF(M196="","",IFERROR(INDEX(BDD_Calendrier!$H$2:$H$616,MATCH($B196&amp;"|Rachat|"&amp;TEXT(M196,"yyyy-mm-dd"),BDD_Calendrier!$I$2:$I$616,0)),""))</f>
        <v/>
      </c>
      <c r="P196">
        <f>IF(L196=0,"",_xlfn.MAXIFS(BDD_Calendrier!$D$2:$D$616,BDD_Calendrier!$A$2:$A$616,$B196,BDD_Calendrier!$C$2:$C$616,"Rachat"))</f>
        <v/>
      </c>
      <c r="Q196">
        <f>IF($C196="","",IF($C196&gt;TODAY(),"FUTUR",DATEDIF($C196,TODAY(),"m")))</f>
        <v/>
      </c>
      <c r="R196">
        <f>COUNTIF(BDD_Penalites!$A$2:$A$130,$B196)</f>
        <v/>
      </c>
      <c r="S196">
        <f>IF(R196=0,"inconnue",INDEX(BDD_Penalites!$C$2:$C$130,MATCH($B196,BDD_Penalites!$A$2:$A$130,0)))</f>
        <v/>
      </c>
      <c r="T196">
        <f>IF(R196=0,"",INDEX(BDD_Penalites!$M$2:$M$130,MATCH($B196,BDD_Penalites!$A$2:$A$130,0)))</f>
        <v/>
      </c>
      <c r="U196">
        <f>IF(R196=0,0,INDEX(BDD_Penalites!$D$2:$D$130,MATCH($B196,BDD_Penalites!$A$2:$A$130,0)))</f>
        <v/>
      </c>
      <c r="V196">
        <f>IF(R196=0,0,INDEX(BDD_Penalites!$E$2:$E$130,MATCH($B196,BDD_Penalites!$A$2:$A$130,0)))</f>
        <v/>
      </c>
      <c r="W196">
        <f>IF(R196=0,0,INDEX(BDD_Penalites!$F$2:$F$130,MATCH($B196,BDD_Penalites!$A$2:$A$130,0)))</f>
        <v/>
      </c>
      <c r="X196">
        <f>IF(R196=0,0,INDEX(BDD_Penalites!$G$2:$G$130,MATCH($B196,BDD_Penalites!$A$2:$A$130,0)))</f>
        <v/>
      </c>
      <c r="Y196">
        <f>IF(R196=0,0,INDEX(BDD_Penalites!$H$2:$H$130,MATCH($B196,BDD_Penalites!$A$2:$A$130,0)))</f>
        <v/>
      </c>
      <c r="Z196">
        <f>IF(R196=0,0,INDEX(BDD_Penalites!$I$2:$I$130,MATCH($B196,BDD_Penalites!$A$2:$A$130,0)))</f>
        <v/>
      </c>
      <c r="AA196">
        <f>IF(R196=0,0,INDEX(BDD_Penalites!$J$2:$J$130,MATCH($B196,BDD_Penalites!$A$2:$A$130,0)))</f>
        <v/>
      </c>
      <c r="AB196">
        <f>IF(R196=0,0,INDEX(BDD_Penalites!$K$2:$K$130,MATCH($B196,BDD_Penalites!$A$2:$A$130,0)))</f>
        <v/>
      </c>
      <c r="AC196">
        <f>IF(R196=0,0,INDEX(BDD_Penalites!$L$2:$L$130,MATCH($B196,BDD_Penalites!$A$2:$A$130,0)))</f>
        <v/>
      </c>
      <c r="AD196">
        <f>IF(OR($C196="",Q196="FUTUR"),"",_xlfn.IFS(Q196&lt;U196,V196,Q196&lt;W196,X196,Q196&lt;Y196,Z196,Q196&lt;AA196,AB196,TRUE,AC196))</f>
        <v/>
      </c>
    </row>
    <row r="197" ht="13.5" customHeight="1">
      <c r="A197" s="65" t="inlineStr">
        <is>
          <t>Althos Private Credit part A  - Capitalisante</t>
        </is>
      </c>
      <c r="B197" s="66" t="inlineStr">
        <is>
          <t>FR001400XGO9</t>
        </is>
      </c>
      <c r="C197" s="268" t="n"/>
      <c r="D197" s="269">
        <f>IF(H197=0,"Calendrier non disponible pour ce fonds — contacter la société de gestion.",IF(I197="","Calendrier connu jusqu'au "&amp;TEXT(K197,"dd/mm/yyyy")&amp;" — demander le calendrier à jour.","Cut-off : "&amp;TEXT(I197,"dd/mm/yyyy")&amp;"  |  VL : "&amp;TEXT(J197,"dd/mm/yyyy")))</f>
        <v/>
      </c>
      <c r="E197" s="269">
        <f>IF(L197=0,"Calendrier non disponible pour ce fonds — contacter la société de gestion.",IF(M197="","Calendrier connu jusqu'au "&amp;TEXT(P197,"dd/mm/yyyy")&amp;" — demander le calendrier à jour.","Cut-off : "&amp;TEXT(M197,"dd/mm/yyyy")&amp;"  |  VL : "&amp;TEXT(N197,"dd/mm/yyyy")))</f>
        <v/>
      </c>
      <c r="F197" s="269">
        <f>IF(L197=0,"Calendrier non disponible pour ce fonds.",IF(M197="","Calendrier connu jusqu'au "&amp;TEXT(P197,"dd/mm/yyyy")&amp;".",IF(O197="","Non précisé dans le calendrier pour cette échéance.","Réception : "&amp;TEXT(O197,"dd/mm/yyyy")&amp;"  (suite au rachat du "&amp;TEXT(N197,"dd/mm/yyyy")&amp;")")))</f>
        <v/>
      </c>
      <c r="G197" s="269">
        <f>_xlfn.IFS(S197="aucune","Aucune pénalité de sortie."&amp;IF(T197&lt;&gt;""," ("&amp;T197&amp;")",""),S197="manuel","⚠️ À VÉRIFIER MANUELLEMENT : "&amp;T197,S197="inconnue","Pénalité non renseignée — vérifier la notice / DICI du fonds.",$C197="","Saisir une date d'investissement pour statuer sur la pénalité.",Q197="FUTUR","Date d'investissement postérieure à aujourd'hui — vérifier la saisie.",AD197&gt;0,"⚠️ CONCERNÉ : pénalité de "&amp;AD197&amp;"% (détention "&amp;Q197&amp;" mois). "&amp;T197,TRUE,"Non concerné (détention "&amp;Q197&amp;" mois). "&amp;T197)</f>
        <v/>
      </c>
      <c r="H197">
        <f>COUNTIFS(BDD_Calendrier!$A$2:$A$616,$B197,BDD_Calendrier!$C$2:$C$616,"Souscription")</f>
        <v/>
      </c>
      <c r="I197">
        <f>IF(H197=0,"",IFERROR(_xlfn.MINIFS(BDD_Calendrier!$D$2:$D$616,BDD_Calendrier!$A$2:$A$616,$B197,BDD_Calendrier!$C$2:$C$616,"Souscription",BDD_Calendrier!$D$2:$D$616,"&gt;="&amp;TODAY()),""))</f>
        <v/>
      </c>
      <c r="J197">
        <f>IF(I197="","",IFERROR(INDEX(BDD_Calendrier!$E$2:$E$616,MATCH($B197&amp;"|Souscription|"&amp;TEXT(I197,"yyyy-mm-dd"),BDD_Calendrier!$I$2:$I$616,0)),""))</f>
        <v/>
      </c>
      <c r="K197">
        <f>IF(H197=0,"",_xlfn.MAXIFS(BDD_Calendrier!$D$2:$D$616,BDD_Calendrier!$A$2:$A$616,$B197,BDD_Calendrier!$C$2:$C$616,"Souscription"))</f>
        <v/>
      </c>
      <c r="L197">
        <f>COUNTIFS(BDD_Calendrier!$A$2:$A$616,$B197,BDD_Calendrier!$C$2:$C$616,"Rachat")</f>
        <v/>
      </c>
      <c r="M197">
        <f>IF(L197=0,"",IFERROR(_xlfn.MINIFS(BDD_Calendrier!$D$2:$D$616,BDD_Calendrier!$A$2:$A$616,$B197,BDD_Calendrier!$C$2:$C$616,"Rachat",BDD_Calendrier!$D$2:$D$616,"&gt;="&amp;TODAY()),""))</f>
        <v/>
      </c>
      <c r="N197">
        <f>IF(M197="","",IFERROR(INDEX(BDD_Calendrier!$E$2:$E$616,MATCH($B197&amp;"|Rachat|"&amp;TEXT(M197,"yyyy-mm-dd"),BDD_Calendrier!$I$2:$I$616,0)),""))</f>
        <v/>
      </c>
      <c r="O197">
        <f>IF(M197="","",IFERROR(INDEX(BDD_Calendrier!$H$2:$H$616,MATCH($B197&amp;"|Rachat|"&amp;TEXT(M197,"yyyy-mm-dd"),BDD_Calendrier!$I$2:$I$616,0)),""))</f>
        <v/>
      </c>
      <c r="P197">
        <f>IF(L197=0,"",_xlfn.MAXIFS(BDD_Calendrier!$D$2:$D$616,BDD_Calendrier!$A$2:$A$616,$B197,BDD_Calendrier!$C$2:$C$616,"Rachat"))</f>
        <v/>
      </c>
      <c r="Q197">
        <f>IF($C197="","",IF($C197&gt;TODAY(),"FUTUR",DATEDIF($C197,TODAY(),"m")))</f>
        <v/>
      </c>
      <c r="R197">
        <f>COUNTIF(BDD_Penalites!$A$2:$A$130,$B197)</f>
        <v/>
      </c>
      <c r="S197">
        <f>IF(R197=0,"inconnue",INDEX(BDD_Penalites!$C$2:$C$130,MATCH($B197,BDD_Penalites!$A$2:$A$130,0)))</f>
        <v/>
      </c>
      <c r="T197">
        <f>IF(R197=0,"",INDEX(BDD_Penalites!$M$2:$M$130,MATCH($B197,BDD_Penalites!$A$2:$A$130,0)))</f>
        <v/>
      </c>
      <c r="U197">
        <f>IF(R197=0,0,INDEX(BDD_Penalites!$D$2:$D$130,MATCH($B197,BDD_Penalites!$A$2:$A$130,0)))</f>
        <v/>
      </c>
      <c r="V197">
        <f>IF(R197=0,0,INDEX(BDD_Penalites!$E$2:$E$130,MATCH($B197,BDD_Penalites!$A$2:$A$130,0)))</f>
        <v/>
      </c>
      <c r="W197">
        <f>IF(R197=0,0,INDEX(BDD_Penalites!$F$2:$F$130,MATCH($B197,BDD_Penalites!$A$2:$A$130,0)))</f>
        <v/>
      </c>
      <c r="X197">
        <f>IF(R197=0,0,INDEX(BDD_Penalites!$G$2:$G$130,MATCH($B197,BDD_Penalites!$A$2:$A$130,0)))</f>
        <v/>
      </c>
      <c r="Y197">
        <f>IF(R197=0,0,INDEX(BDD_Penalites!$H$2:$H$130,MATCH($B197,BDD_Penalites!$A$2:$A$130,0)))</f>
        <v/>
      </c>
      <c r="Z197">
        <f>IF(R197=0,0,INDEX(BDD_Penalites!$I$2:$I$130,MATCH($B197,BDD_Penalites!$A$2:$A$130,0)))</f>
        <v/>
      </c>
      <c r="AA197">
        <f>IF(R197=0,0,INDEX(BDD_Penalites!$J$2:$J$130,MATCH($B197,BDD_Penalites!$A$2:$A$130,0)))</f>
        <v/>
      </c>
      <c r="AB197">
        <f>IF(R197=0,0,INDEX(BDD_Penalites!$K$2:$K$130,MATCH($B197,BDD_Penalites!$A$2:$A$130,0)))</f>
        <v/>
      </c>
      <c r="AC197">
        <f>IF(R197=0,0,INDEX(BDD_Penalites!$L$2:$L$130,MATCH($B197,BDD_Penalites!$A$2:$A$130,0)))</f>
        <v/>
      </c>
      <c r="AD197">
        <f>IF(OR($C197="",Q197="FUTUR"),"",_xlfn.IFS(Q197&lt;U197,V197,Q197&lt;W197,X197,Q197&lt;Y197,Z197,Q197&lt;AA197,AB197,TRUE,AC197))</f>
        <v/>
      </c>
    </row>
    <row r="198" ht="13.5" customHeight="1">
      <c r="A198" s="65" t="inlineStr">
        <is>
          <t>Althos Private Credit part A  - Distribuant</t>
        </is>
      </c>
      <c r="B198" s="66" t="inlineStr">
        <is>
          <t>FR001400XGM3</t>
        </is>
      </c>
      <c r="C198" s="268" t="n"/>
      <c r="D198" s="269">
        <f>IF(H198=0,"Calendrier non disponible pour ce fonds — contacter la société de gestion.",IF(I198="","Calendrier connu jusqu'au "&amp;TEXT(K198,"dd/mm/yyyy")&amp;" — demander le calendrier à jour.","Cut-off : "&amp;TEXT(I198,"dd/mm/yyyy")&amp;"  |  VL : "&amp;TEXT(J198,"dd/mm/yyyy")))</f>
        <v/>
      </c>
      <c r="E198" s="269">
        <f>IF(L198=0,"Calendrier non disponible pour ce fonds — contacter la société de gestion.",IF(M198="","Calendrier connu jusqu'au "&amp;TEXT(P198,"dd/mm/yyyy")&amp;" — demander le calendrier à jour.","Cut-off : "&amp;TEXT(M198,"dd/mm/yyyy")&amp;"  |  VL : "&amp;TEXT(N198,"dd/mm/yyyy")))</f>
        <v/>
      </c>
      <c r="F198" s="269">
        <f>IF(L198=0,"Calendrier non disponible pour ce fonds.",IF(M198="","Calendrier connu jusqu'au "&amp;TEXT(P198,"dd/mm/yyyy")&amp;".",IF(O198="","Non précisé dans le calendrier pour cette échéance.","Réception : "&amp;TEXT(O198,"dd/mm/yyyy")&amp;"  (suite au rachat du "&amp;TEXT(N198,"dd/mm/yyyy")&amp;")")))</f>
        <v/>
      </c>
      <c r="G198" s="269">
        <f>_xlfn.IFS(S198="aucune","Aucune pénalité de sortie."&amp;IF(T198&lt;&gt;""," ("&amp;T198&amp;")",""),S198="manuel","⚠️ À VÉRIFIER MANUELLEMENT : "&amp;T198,S198="inconnue","Pénalité non renseignée — vérifier la notice / DICI du fonds.",$C198="","Saisir une date d'investissement pour statuer sur la pénalité.",Q198="FUTUR","Date d'investissement postérieure à aujourd'hui — vérifier la saisie.",AD198&gt;0,"⚠️ CONCERNÉ : pénalité de "&amp;AD198&amp;"% (détention "&amp;Q198&amp;" mois). "&amp;T198,TRUE,"Non concerné (détention "&amp;Q198&amp;" mois). "&amp;T198)</f>
        <v/>
      </c>
      <c r="H198">
        <f>COUNTIFS(BDD_Calendrier!$A$2:$A$616,$B198,BDD_Calendrier!$C$2:$C$616,"Souscription")</f>
        <v/>
      </c>
      <c r="I198">
        <f>IF(H198=0,"",IFERROR(_xlfn.MINIFS(BDD_Calendrier!$D$2:$D$616,BDD_Calendrier!$A$2:$A$616,$B198,BDD_Calendrier!$C$2:$C$616,"Souscription",BDD_Calendrier!$D$2:$D$616,"&gt;="&amp;TODAY()),""))</f>
        <v/>
      </c>
      <c r="J198">
        <f>IF(I198="","",IFERROR(INDEX(BDD_Calendrier!$E$2:$E$616,MATCH($B198&amp;"|Souscription|"&amp;TEXT(I198,"yyyy-mm-dd"),BDD_Calendrier!$I$2:$I$616,0)),""))</f>
        <v/>
      </c>
      <c r="K198">
        <f>IF(H198=0,"",_xlfn.MAXIFS(BDD_Calendrier!$D$2:$D$616,BDD_Calendrier!$A$2:$A$616,$B198,BDD_Calendrier!$C$2:$C$616,"Souscription"))</f>
        <v/>
      </c>
      <c r="L198">
        <f>COUNTIFS(BDD_Calendrier!$A$2:$A$616,$B198,BDD_Calendrier!$C$2:$C$616,"Rachat")</f>
        <v/>
      </c>
      <c r="M198">
        <f>IF(L198=0,"",IFERROR(_xlfn.MINIFS(BDD_Calendrier!$D$2:$D$616,BDD_Calendrier!$A$2:$A$616,$B198,BDD_Calendrier!$C$2:$C$616,"Rachat",BDD_Calendrier!$D$2:$D$616,"&gt;="&amp;TODAY()),""))</f>
        <v/>
      </c>
      <c r="N198">
        <f>IF(M198="","",IFERROR(INDEX(BDD_Calendrier!$E$2:$E$616,MATCH($B198&amp;"|Rachat|"&amp;TEXT(M198,"yyyy-mm-dd"),BDD_Calendrier!$I$2:$I$616,0)),""))</f>
        <v/>
      </c>
      <c r="O198">
        <f>IF(M198="","",IFERROR(INDEX(BDD_Calendrier!$H$2:$H$616,MATCH($B198&amp;"|Rachat|"&amp;TEXT(M198,"yyyy-mm-dd"),BDD_Calendrier!$I$2:$I$616,0)),""))</f>
        <v/>
      </c>
      <c r="P198">
        <f>IF(L198=0,"",_xlfn.MAXIFS(BDD_Calendrier!$D$2:$D$616,BDD_Calendrier!$A$2:$A$616,$B198,BDD_Calendrier!$C$2:$C$616,"Rachat"))</f>
        <v/>
      </c>
      <c r="Q198">
        <f>IF($C198="","",IF($C198&gt;TODAY(),"FUTUR",DATEDIF($C198,TODAY(),"m")))</f>
        <v/>
      </c>
      <c r="R198">
        <f>COUNTIF(BDD_Penalites!$A$2:$A$130,$B198)</f>
        <v/>
      </c>
      <c r="S198">
        <f>IF(R198=0,"inconnue",INDEX(BDD_Penalites!$C$2:$C$130,MATCH($B198,BDD_Penalites!$A$2:$A$130,0)))</f>
        <v/>
      </c>
      <c r="T198">
        <f>IF(R198=0,"",INDEX(BDD_Penalites!$M$2:$M$130,MATCH($B198,BDD_Penalites!$A$2:$A$130,0)))</f>
        <v/>
      </c>
      <c r="U198">
        <f>IF(R198=0,0,INDEX(BDD_Penalites!$D$2:$D$130,MATCH($B198,BDD_Penalites!$A$2:$A$130,0)))</f>
        <v/>
      </c>
      <c r="V198">
        <f>IF(R198=0,0,INDEX(BDD_Penalites!$E$2:$E$130,MATCH($B198,BDD_Penalites!$A$2:$A$130,0)))</f>
        <v/>
      </c>
      <c r="W198">
        <f>IF(R198=0,0,INDEX(BDD_Penalites!$F$2:$F$130,MATCH($B198,BDD_Penalites!$A$2:$A$130,0)))</f>
        <v/>
      </c>
      <c r="X198">
        <f>IF(R198=0,0,INDEX(BDD_Penalites!$G$2:$G$130,MATCH($B198,BDD_Penalites!$A$2:$A$130,0)))</f>
        <v/>
      </c>
      <c r="Y198">
        <f>IF(R198=0,0,INDEX(BDD_Penalites!$H$2:$H$130,MATCH($B198,BDD_Penalites!$A$2:$A$130,0)))</f>
        <v/>
      </c>
      <c r="Z198">
        <f>IF(R198=0,0,INDEX(BDD_Penalites!$I$2:$I$130,MATCH($B198,BDD_Penalites!$A$2:$A$130,0)))</f>
        <v/>
      </c>
      <c r="AA198">
        <f>IF(R198=0,0,INDEX(BDD_Penalites!$J$2:$J$130,MATCH($B198,BDD_Penalites!$A$2:$A$130,0)))</f>
        <v/>
      </c>
      <c r="AB198">
        <f>IF(R198=0,0,INDEX(BDD_Penalites!$K$2:$K$130,MATCH($B198,BDD_Penalites!$A$2:$A$130,0)))</f>
        <v/>
      </c>
      <c r="AC198">
        <f>IF(R198=0,0,INDEX(BDD_Penalites!$L$2:$L$130,MATCH($B198,BDD_Penalites!$A$2:$A$130,0)))</f>
        <v/>
      </c>
      <c r="AD198">
        <f>IF(OR($C198="",Q198="FUTUR"),"",_xlfn.IFS(Q198&lt;U198,V198,Q198&lt;W198,X198,Q198&lt;Y198,Z198,Q198&lt;AA198,AB198,TRUE,AC198))</f>
        <v/>
      </c>
    </row>
    <row r="199" ht="13.5" customHeight="1">
      <c r="A199" s="65" t="inlineStr">
        <is>
          <t xml:space="preserve">Morgan Stanley EPIF </t>
        </is>
      </c>
      <c r="B199" s="66" t="inlineStr">
        <is>
          <t>LU2860459879</t>
        </is>
      </c>
      <c r="C199" s="268" t="n"/>
      <c r="D199" s="269">
        <f>IF(H199=0,"Calendrier non disponible pour ce fonds — contacter la société de gestion.",IF(I199="","Calendrier connu jusqu'au "&amp;TEXT(K199,"dd/mm/yyyy")&amp;" — demander le calendrier à jour.","Cut-off : "&amp;TEXT(I199,"dd/mm/yyyy")&amp;"  |  VL : "&amp;TEXT(J199,"dd/mm/yyyy")))</f>
        <v/>
      </c>
      <c r="E199" s="269">
        <f>IF(L199=0,"Calendrier non disponible pour ce fonds — contacter la société de gestion.",IF(M199="","Calendrier connu jusqu'au "&amp;TEXT(P199,"dd/mm/yyyy")&amp;" — demander le calendrier à jour.","Cut-off : "&amp;TEXT(M199,"dd/mm/yyyy")&amp;"  |  VL : "&amp;TEXT(N199,"dd/mm/yyyy")))</f>
        <v/>
      </c>
      <c r="F199" s="269">
        <f>IF(L199=0,"Calendrier non disponible pour ce fonds.",IF(M199="","Calendrier connu jusqu'au "&amp;TEXT(P199,"dd/mm/yyyy")&amp;".",IF(O199="","Non précisé dans le calendrier pour cette échéance.","Réception : "&amp;TEXT(O199,"dd/mm/yyyy")&amp;"  (suite au rachat du "&amp;TEXT(N199,"dd/mm/yyyy")&amp;")")))</f>
        <v/>
      </c>
      <c r="G199" s="269">
        <f>_xlfn.IFS(S199="aucune","Aucune pénalité de sortie."&amp;IF(T199&lt;&gt;""," ("&amp;T199&amp;")",""),S199="manuel","⚠️ À VÉRIFIER MANUELLEMENT : "&amp;T199,S199="inconnue","Pénalité non renseignée — vérifier la notice / DICI du fonds.",$C199="","Saisir une date d'investissement pour statuer sur la pénalité.",Q199="FUTUR","Date d'investissement postérieure à aujourd'hui — vérifier la saisie.",AD199&gt;0,"⚠️ CONCERNÉ : pénalité de "&amp;AD199&amp;"% (détention "&amp;Q199&amp;" mois). "&amp;T199,TRUE,"Non concerné (détention "&amp;Q199&amp;" mois). "&amp;T199)</f>
        <v/>
      </c>
      <c r="H199">
        <f>COUNTIFS(BDD_Calendrier!$A$2:$A$616,$B199,BDD_Calendrier!$C$2:$C$616,"Souscription")</f>
        <v/>
      </c>
      <c r="I199">
        <f>IF(H199=0,"",IFERROR(_xlfn.MINIFS(BDD_Calendrier!$D$2:$D$616,BDD_Calendrier!$A$2:$A$616,$B199,BDD_Calendrier!$C$2:$C$616,"Souscription",BDD_Calendrier!$D$2:$D$616,"&gt;="&amp;TODAY()),""))</f>
        <v/>
      </c>
      <c r="J199">
        <f>IF(I199="","",IFERROR(INDEX(BDD_Calendrier!$E$2:$E$616,MATCH($B199&amp;"|Souscription|"&amp;TEXT(I199,"yyyy-mm-dd"),BDD_Calendrier!$I$2:$I$616,0)),""))</f>
        <v/>
      </c>
      <c r="K199">
        <f>IF(H199=0,"",_xlfn.MAXIFS(BDD_Calendrier!$D$2:$D$616,BDD_Calendrier!$A$2:$A$616,$B199,BDD_Calendrier!$C$2:$C$616,"Souscription"))</f>
        <v/>
      </c>
      <c r="L199">
        <f>COUNTIFS(BDD_Calendrier!$A$2:$A$616,$B199,BDD_Calendrier!$C$2:$C$616,"Rachat")</f>
        <v/>
      </c>
      <c r="M199">
        <f>IF(L199=0,"",IFERROR(_xlfn.MINIFS(BDD_Calendrier!$D$2:$D$616,BDD_Calendrier!$A$2:$A$616,$B199,BDD_Calendrier!$C$2:$C$616,"Rachat",BDD_Calendrier!$D$2:$D$616,"&gt;="&amp;TODAY()),""))</f>
        <v/>
      </c>
      <c r="N199">
        <f>IF(M199="","",IFERROR(INDEX(BDD_Calendrier!$E$2:$E$616,MATCH($B199&amp;"|Rachat|"&amp;TEXT(M199,"yyyy-mm-dd"),BDD_Calendrier!$I$2:$I$616,0)),""))</f>
        <v/>
      </c>
      <c r="O199">
        <f>IF(M199="","",IFERROR(INDEX(BDD_Calendrier!$H$2:$H$616,MATCH($B199&amp;"|Rachat|"&amp;TEXT(M199,"yyyy-mm-dd"),BDD_Calendrier!$I$2:$I$616,0)),""))</f>
        <v/>
      </c>
      <c r="P199">
        <f>IF(L199=0,"",_xlfn.MAXIFS(BDD_Calendrier!$D$2:$D$616,BDD_Calendrier!$A$2:$A$616,$B199,BDD_Calendrier!$C$2:$C$616,"Rachat"))</f>
        <v/>
      </c>
      <c r="Q199">
        <f>IF($C199="","",IF($C199&gt;TODAY(),"FUTUR",DATEDIF($C199,TODAY(),"m")))</f>
        <v/>
      </c>
      <c r="R199">
        <f>COUNTIF(BDD_Penalites!$A$2:$A$130,$B199)</f>
        <v/>
      </c>
      <c r="S199">
        <f>IF(R199=0,"inconnue",INDEX(BDD_Penalites!$C$2:$C$130,MATCH($B199,BDD_Penalites!$A$2:$A$130,0)))</f>
        <v/>
      </c>
      <c r="T199">
        <f>IF(R199=0,"",INDEX(BDD_Penalites!$M$2:$M$130,MATCH($B199,BDD_Penalites!$A$2:$A$130,0)))</f>
        <v/>
      </c>
      <c r="U199">
        <f>IF(R199=0,0,INDEX(BDD_Penalites!$D$2:$D$130,MATCH($B199,BDD_Penalites!$A$2:$A$130,0)))</f>
        <v/>
      </c>
      <c r="V199">
        <f>IF(R199=0,0,INDEX(BDD_Penalites!$E$2:$E$130,MATCH($B199,BDD_Penalites!$A$2:$A$130,0)))</f>
        <v/>
      </c>
      <c r="W199">
        <f>IF(R199=0,0,INDEX(BDD_Penalites!$F$2:$F$130,MATCH($B199,BDD_Penalites!$A$2:$A$130,0)))</f>
        <v/>
      </c>
      <c r="X199">
        <f>IF(R199=0,0,INDEX(BDD_Penalites!$G$2:$G$130,MATCH($B199,BDD_Penalites!$A$2:$A$130,0)))</f>
        <v/>
      </c>
      <c r="Y199">
        <f>IF(R199=0,0,INDEX(BDD_Penalites!$H$2:$H$130,MATCH($B199,BDD_Penalites!$A$2:$A$130,0)))</f>
        <v/>
      </c>
      <c r="Z199">
        <f>IF(R199=0,0,INDEX(BDD_Penalites!$I$2:$I$130,MATCH($B199,BDD_Penalites!$A$2:$A$130,0)))</f>
        <v/>
      </c>
      <c r="AA199">
        <f>IF(R199=0,0,INDEX(BDD_Penalites!$J$2:$J$130,MATCH($B199,BDD_Penalites!$A$2:$A$130,0)))</f>
        <v/>
      </c>
      <c r="AB199">
        <f>IF(R199=0,0,INDEX(BDD_Penalites!$K$2:$K$130,MATCH($B199,BDD_Penalites!$A$2:$A$130,0)))</f>
        <v/>
      </c>
      <c r="AC199">
        <f>IF(R199=0,0,INDEX(BDD_Penalites!$L$2:$L$130,MATCH($B199,BDD_Penalites!$A$2:$A$130,0)))</f>
        <v/>
      </c>
      <c r="AD199">
        <f>IF(OR($C199="",Q199="FUTUR"),"",_xlfn.IFS(Q199&lt;U199,V199,Q199&lt;W199,X199,Q199&lt;Y199,Z199,Q199&lt;AA199,AB199,TRUE,AC199))</f>
        <v/>
      </c>
    </row>
    <row r="200" ht="13.5" customHeight="1">
      <c r="A200" s="65" t="inlineStr">
        <is>
          <t>Pantheon GCS S Acc</t>
        </is>
      </c>
      <c r="B200" s="66" t="inlineStr">
        <is>
          <t>LU3047997575</t>
        </is>
      </c>
      <c r="C200" s="268" t="n"/>
      <c r="D200" s="269">
        <f>IF(H200=0,"Calendrier non disponible pour ce fonds — contacter la société de gestion.",IF(I200="","Calendrier connu jusqu'au "&amp;TEXT(K200,"dd/mm/yyyy")&amp;" — demander le calendrier à jour.","Cut-off : "&amp;TEXT(I200,"dd/mm/yyyy")&amp;"  |  VL : "&amp;TEXT(J200,"dd/mm/yyyy")))</f>
        <v/>
      </c>
      <c r="E200" s="269">
        <f>IF(L200=0,"Calendrier non disponible pour ce fonds — contacter la société de gestion.",IF(M200="","Calendrier connu jusqu'au "&amp;TEXT(P200,"dd/mm/yyyy")&amp;" — demander le calendrier à jour.","Cut-off : "&amp;TEXT(M200,"dd/mm/yyyy")&amp;"  |  VL : "&amp;TEXT(N200,"dd/mm/yyyy")))</f>
        <v/>
      </c>
      <c r="F200" s="269">
        <f>IF(L200=0,"Calendrier non disponible pour ce fonds.",IF(M200="","Calendrier connu jusqu'au "&amp;TEXT(P200,"dd/mm/yyyy")&amp;".",IF(O200="","Non précisé dans le calendrier pour cette échéance.","Réception : "&amp;TEXT(O200,"dd/mm/yyyy")&amp;"  (suite au rachat du "&amp;TEXT(N200,"dd/mm/yyyy")&amp;")")))</f>
        <v/>
      </c>
      <c r="G200" s="269">
        <f>_xlfn.IFS(S200="aucune","Aucune pénalité de sortie."&amp;IF(T200&lt;&gt;""," ("&amp;T200&amp;")",""),S200="manuel","⚠️ À VÉRIFIER MANUELLEMENT : "&amp;T200,S200="inconnue","Pénalité non renseignée — vérifier la notice / DICI du fonds.",$C200="","Saisir une date d'investissement pour statuer sur la pénalité.",Q200="FUTUR","Date d'investissement postérieure à aujourd'hui — vérifier la saisie.",AD200&gt;0,"⚠️ CONCERNÉ : pénalité de "&amp;AD200&amp;"% (détention "&amp;Q200&amp;" mois). "&amp;T200,TRUE,"Non concerné (détention "&amp;Q200&amp;" mois). "&amp;T200)</f>
        <v/>
      </c>
      <c r="H200">
        <f>COUNTIFS(BDD_Calendrier!$A$2:$A$616,$B200,BDD_Calendrier!$C$2:$C$616,"Souscription")</f>
        <v/>
      </c>
      <c r="I200">
        <f>IF(H200=0,"",IFERROR(_xlfn.MINIFS(BDD_Calendrier!$D$2:$D$616,BDD_Calendrier!$A$2:$A$616,$B200,BDD_Calendrier!$C$2:$C$616,"Souscription",BDD_Calendrier!$D$2:$D$616,"&gt;="&amp;TODAY()),""))</f>
        <v/>
      </c>
      <c r="J200">
        <f>IF(I200="","",IFERROR(INDEX(BDD_Calendrier!$E$2:$E$616,MATCH($B200&amp;"|Souscription|"&amp;TEXT(I200,"yyyy-mm-dd"),BDD_Calendrier!$I$2:$I$616,0)),""))</f>
        <v/>
      </c>
      <c r="K200">
        <f>IF(H200=0,"",_xlfn.MAXIFS(BDD_Calendrier!$D$2:$D$616,BDD_Calendrier!$A$2:$A$616,$B200,BDD_Calendrier!$C$2:$C$616,"Souscription"))</f>
        <v/>
      </c>
      <c r="L200">
        <f>COUNTIFS(BDD_Calendrier!$A$2:$A$616,$B200,BDD_Calendrier!$C$2:$C$616,"Rachat")</f>
        <v/>
      </c>
      <c r="M200">
        <f>IF(L200=0,"",IFERROR(_xlfn.MINIFS(BDD_Calendrier!$D$2:$D$616,BDD_Calendrier!$A$2:$A$616,$B200,BDD_Calendrier!$C$2:$C$616,"Rachat",BDD_Calendrier!$D$2:$D$616,"&gt;="&amp;TODAY()),""))</f>
        <v/>
      </c>
      <c r="N200">
        <f>IF(M200="","",IFERROR(INDEX(BDD_Calendrier!$E$2:$E$616,MATCH($B200&amp;"|Rachat|"&amp;TEXT(M200,"yyyy-mm-dd"),BDD_Calendrier!$I$2:$I$616,0)),""))</f>
        <v/>
      </c>
      <c r="O200">
        <f>IF(M200="","",IFERROR(INDEX(BDD_Calendrier!$H$2:$H$616,MATCH($B200&amp;"|Rachat|"&amp;TEXT(M200,"yyyy-mm-dd"),BDD_Calendrier!$I$2:$I$616,0)),""))</f>
        <v/>
      </c>
      <c r="P200">
        <f>IF(L200=0,"",_xlfn.MAXIFS(BDD_Calendrier!$D$2:$D$616,BDD_Calendrier!$A$2:$A$616,$B200,BDD_Calendrier!$C$2:$C$616,"Rachat"))</f>
        <v/>
      </c>
      <c r="Q200">
        <f>IF($C200="","",IF($C200&gt;TODAY(),"FUTUR",DATEDIF($C200,TODAY(),"m")))</f>
        <v/>
      </c>
      <c r="R200">
        <f>COUNTIF(BDD_Penalites!$A$2:$A$130,$B200)</f>
        <v/>
      </c>
      <c r="S200">
        <f>IF(R200=0,"inconnue",INDEX(BDD_Penalites!$C$2:$C$130,MATCH($B200,BDD_Penalites!$A$2:$A$130,0)))</f>
        <v/>
      </c>
      <c r="T200">
        <f>IF(R200=0,"",INDEX(BDD_Penalites!$M$2:$M$130,MATCH($B200,BDD_Penalites!$A$2:$A$130,0)))</f>
        <v/>
      </c>
      <c r="U200">
        <f>IF(R200=0,0,INDEX(BDD_Penalites!$D$2:$D$130,MATCH($B200,BDD_Penalites!$A$2:$A$130,0)))</f>
        <v/>
      </c>
      <c r="V200">
        <f>IF(R200=0,0,INDEX(BDD_Penalites!$E$2:$E$130,MATCH($B200,BDD_Penalites!$A$2:$A$130,0)))</f>
        <v/>
      </c>
      <c r="W200">
        <f>IF(R200=0,0,INDEX(BDD_Penalites!$F$2:$F$130,MATCH($B200,BDD_Penalites!$A$2:$A$130,0)))</f>
        <v/>
      </c>
      <c r="X200">
        <f>IF(R200=0,0,INDEX(BDD_Penalites!$G$2:$G$130,MATCH($B200,BDD_Penalites!$A$2:$A$130,0)))</f>
        <v/>
      </c>
      <c r="Y200">
        <f>IF(R200=0,0,INDEX(BDD_Penalites!$H$2:$H$130,MATCH($B200,BDD_Penalites!$A$2:$A$130,0)))</f>
        <v/>
      </c>
      <c r="Z200">
        <f>IF(R200=0,0,INDEX(BDD_Penalites!$I$2:$I$130,MATCH($B200,BDD_Penalites!$A$2:$A$130,0)))</f>
        <v/>
      </c>
      <c r="AA200">
        <f>IF(R200=0,0,INDEX(BDD_Penalites!$J$2:$J$130,MATCH($B200,BDD_Penalites!$A$2:$A$130,0)))</f>
        <v/>
      </c>
      <c r="AB200">
        <f>IF(R200=0,0,INDEX(BDD_Penalites!$K$2:$K$130,MATCH($B200,BDD_Penalites!$A$2:$A$130,0)))</f>
        <v/>
      </c>
      <c r="AC200">
        <f>IF(R200=0,0,INDEX(BDD_Penalites!$L$2:$L$130,MATCH($B200,BDD_Penalites!$A$2:$A$130,0)))</f>
        <v/>
      </c>
      <c r="AD200">
        <f>IF(OR($C200="",Q200="FUTUR"),"",_xlfn.IFS(Q200&lt;U200,V200,Q200&lt;W200,X200,Q200&lt;Y200,Z200,Q200&lt;AA200,AB200,TRUE,AC200))</f>
        <v/>
      </c>
    </row>
    <row r="201" ht="13.5" customHeight="1">
      <c r="A201" s="65" t="inlineStr">
        <is>
          <t>Blackstone Crédit Privé Europe SC</t>
        </is>
      </c>
      <c r="B201" s="66" t="inlineStr">
        <is>
          <t>FR001400L0X2</t>
        </is>
      </c>
      <c r="C201" s="268" t="n"/>
      <c r="D201" s="269">
        <f>IF(H201=0,"Calendrier non disponible pour ce fonds — contacter la société de gestion.",IF(I201="","Calendrier connu jusqu'au "&amp;TEXT(K201,"dd/mm/yyyy")&amp;" — demander le calendrier à jour.","Cut-off : "&amp;TEXT(I201,"dd/mm/yyyy")&amp;"  |  VL : "&amp;TEXT(J201,"dd/mm/yyyy")))</f>
        <v/>
      </c>
      <c r="E201" s="269">
        <f>IF(L201=0,"Calendrier non disponible pour ce fonds — contacter la société de gestion.",IF(M201="","Calendrier connu jusqu'au "&amp;TEXT(P201,"dd/mm/yyyy")&amp;" — demander le calendrier à jour.","Cut-off : "&amp;TEXT(M201,"dd/mm/yyyy")&amp;"  |  VL : "&amp;TEXT(N201,"dd/mm/yyyy")))</f>
        <v/>
      </c>
      <c r="F201" s="269">
        <f>IF(L201=0,"Calendrier non disponible pour ce fonds.",IF(M201="","Calendrier connu jusqu'au "&amp;TEXT(P201,"dd/mm/yyyy")&amp;".",IF(O201="","Non précisé dans le calendrier pour cette échéance.","Réception : "&amp;TEXT(O201,"dd/mm/yyyy")&amp;"  (suite au rachat du "&amp;TEXT(N201,"dd/mm/yyyy")&amp;")")))</f>
        <v/>
      </c>
      <c r="G201" s="269">
        <f>_xlfn.IFS(S201="aucune","Aucune pénalité de sortie."&amp;IF(T201&lt;&gt;""," ("&amp;T201&amp;")",""),S201="manuel","⚠️ À VÉRIFIER MANUELLEMENT : "&amp;T201,S201="inconnue","Pénalité non renseignée — vérifier la notice / DICI du fonds.",$C201="","Saisir une date d'investissement pour statuer sur la pénalité.",Q201="FUTUR","Date d'investissement postérieure à aujourd'hui — vérifier la saisie.",AD201&gt;0,"⚠️ CONCERNÉ : pénalité de "&amp;AD201&amp;"% (détention "&amp;Q201&amp;" mois). "&amp;T201,TRUE,"Non concerné (détention "&amp;Q201&amp;" mois). "&amp;T201)</f>
        <v/>
      </c>
      <c r="H201">
        <f>COUNTIFS(BDD_Calendrier!$A$2:$A$616,$B201,BDD_Calendrier!$C$2:$C$616,"Souscription")</f>
        <v/>
      </c>
      <c r="I201">
        <f>IF(H201=0,"",IFERROR(_xlfn.MINIFS(BDD_Calendrier!$D$2:$D$616,BDD_Calendrier!$A$2:$A$616,$B201,BDD_Calendrier!$C$2:$C$616,"Souscription",BDD_Calendrier!$D$2:$D$616,"&gt;="&amp;TODAY()),""))</f>
        <v/>
      </c>
      <c r="J201">
        <f>IF(I201="","",IFERROR(INDEX(BDD_Calendrier!$E$2:$E$616,MATCH($B201&amp;"|Souscription|"&amp;TEXT(I201,"yyyy-mm-dd"),BDD_Calendrier!$I$2:$I$616,0)),""))</f>
        <v/>
      </c>
      <c r="K201">
        <f>IF(H201=0,"",_xlfn.MAXIFS(BDD_Calendrier!$D$2:$D$616,BDD_Calendrier!$A$2:$A$616,$B201,BDD_Calendrier!$C$2:$C$616,"Souscription"))</f>
        <v/>
      </c>
      <c r="L201">
        <f>COUNTIFS(BDD_Calendrier!$A$2:$A$616,$B201,BDD_Calendrier!$C$2:$C$616,"Rachat")</f>
        <v/>
      </c>
      <c r="M201">
        <f>IF(L201=0,"",IFERROR(_xlfn.MINIFS(BDD_Calendrier!$D$2:$D$616,BDD_Calendrier!$A$2:$A$616,$B201,BDD_Calendrier!$C$2:$C$616,"Rachat",BDD_Calendrier!$D$2:$D$616,"&gt;="&amp;TODAY()),""))</f>
        <v/>
      </c>
      <c r="N201">
        <f>IF(M201="","",IFERROR(INDEX(BDD_Calendrier!$E$2:$E$616,MATCH($B201&amp;"|Rachat|"&amp;TEXT(M201,"yyyy-mm-dd"),BDD_Calendrier!$I$2:$I$616,0)),""))</f>
        <v/>
      </c>
      <c r="O201">
        <f>IF(M201="","",IFERROR(INDEX(BDD_Calendrier!$H$2:$H$616,MATCH($B201&amp;"|Rachat|"&amp;TEXT(M201,"yyyy-mm-dd"),BDD_Calendrier!$I$2:$I$616,0)),""))</f>
        <v/>
      </c>
      <c r="P201">
        <f>IF(L201=0,"",_xlfn.MAXIFS(BDD_Calendrier!$D$2:$D$616,BDD_Calendrier!$A$2:$A$616,$B201,BDD_Calendrier!$C$2:$C$616,"Rachat"))</f>
        <v/>
      </c>
      <c r="Q201">
        <f>IF($C201="","",IF($C201&gt;TODAY(),"FUTUR",DATEDIF($C201,TODAY(),"m")))</f>
        <v/>
      </c>
      <c r="R201">
        <f>COUNTIF(BDD_Penalites!$A$2:$A$130,$B201)</f>
        <v/>
      </c>
      <c r="S201">
        <f>IF(R201=0,"inconnue",INDEX(BDD_Penalites!$C$2:$C$130,MATCH($B201,BDD_Penalites!$A$2:$A$130,0)))</f>
        <v/>
      </c>
      <c r="T201">
        <f>IF(R201=0,"",INDEX(BDD_Penalites!$M$2:$M$130,MATCH($B201,BDD_Penalites!$A$2:$A$130,0)))</f>
        <v/>
      </c>
      <c r="U201">
        <f>IF(R201=0,0,INDEX(BDD_Penalites!$D$2:$D$130,MATCH($B201,BDD_Penalites!$A$2:$A$130,0)))</f>
        <v/>
      </c>
      <c r="V201">
        <f>IF(R201=0,0,INDEX(BDD_Penalites!$E$2:$E$130,MATCH($B201,BDD_Penalites!$A$2:$A$130,0)))</f>
        <v/>
      </c>
      <c r="W201">
        <f>IF(R201=0,0,INDEX(BDD_Penalites!$F$2:$F$130,MATCH($B201,BDD_Penalites!$A$2:$A$130,0)))</f>
        <v/>
      </c>
      <c r="X201">
        <f>IF(R201=0,0,INDEX(BDD_Penalites!$G$2:$G$130,MATCH($B201,BDD_Penalites!$A$2:$A$130,0)))</f>
        <v/>
      </c>
      <c r="Y201">
        <f>IF(R201=0,0,INDEX(BDD_Penalites!$H$2:$H$130,MATCH($B201,BDD_Penalites!$A$2:$A$130,0)))</f>
        <v/>
      </c>
      <c r="Z201">
        <f>IF(R201=0,0,INDEX(BDD_Penalites!$I$2:$I$130,MATCH($B201,BDD_Penalites!$A$2:$A$130,0)))</f>
        <v/>
      </c>
      <c r="AA201">
        <f>IF(R201=0,0,INDEX(BDD_Penalites!$J$2:$J$130,MATCH($B201,BDD_Penalites!$A$2:$A$130,0)))</f>
        <v/>
      </c>
      <c r="AB201">
        <f>IF(R201=0,0,INDEX(BDD_Penalites!$K$2:$K$130,MATCH($B201,BDD_Penalites!$A$2:$A$130,0)))</f>
        <v/>
      </c>
      <c r="AC201">
        <f>IF(R201=0,0,INDEX(BDD_Penalites!$L$2:$L$130,MATCH($B201,BDD_Penalites!$A$2:$A$130,0)))</f>
        <v/>
      </c>
      <c r="AD201">
        <f>IF(OR($C201="",Q201="FUTUR"),"",_xlfn.IFS(Q201&lt;U201,V201,Q201&lt;W201,X201,Q201&lt;Y201,Z201,Q201&lt;AA201,AB201,TRUE,AC201))</f>
        <v/>
      </c>
    </row>
    <row r="202" ht="13.5" customHeight="1">
      <c r="A202" s="65" t="inlineStr">
        <is>
          <t>ARES Strategic Income Fund</t>
        </is>
      </c>
      <c r="B202" s="66" t="inlineStr">
        <is>
          <t>LU2702162343</t>
        </is>
      </c>
      <c r="C202" s="268" t="n"/>
      <c r="D202" s="269">
        <f>IF(H202=0,"Calendrier non disponible pour ce fonds — contacter la société de gestion.",IF(I202="","Calendrier connu jusqu'au "&amp;TEXT(K202,"dd/mm/yyyy")&amp;" — demander le calendrier à jour.","Cut-off : "&amp;TEXT(I202,"dd/mm/yyyy")&amp;"  |  VL : "&amp;TEXT(J202,"dd/mm/yyyy")))</f>
        <v/>
      </c>
      <c r="E202" s="269">
        <f>IF(L202=0,"Calendrier non disponible pour ce fonds — contacter la société de gestion.",IF(M202="","Calendrier connu jusqu'au "&amp;TEXT(P202,"dd/mm/yyyy")&amp;" — demander le calendrier à jour.","Cut-off : "&amp;TEXT(M202,"dd/mm/yyyy")&amp;"  |  VL : "&amp;TEXT(N202,"dd/mm/yyyy")))</f>
        <v/>
      </c>
      <c r="F202" s="269">
        <f>IF(L202=0,"Calendrier non disponible pour ce fonds.",IF(M202="","Calendrier connu jusqu'au "&amp;TEXT(P202,"dd/mm/yyyy")&amp;".",IF(O202="","Non précisé dans le calendrier pour cette échéance.","Réception : "&amp;TEXT(O202,"dd/mm/yyyy")&amp;"  (suite au rachat du "&amp;TEXT(N202,"dd/mm/yyyy")&amp;")")))</f>
        <v/>
      </c>
      <c r="G202" s="269">
        <f>_xlfn.IFS(S202="aucune","Aucune pénalité de sortie."&amp;IF(T202&lt;&gt;""," ("&amp;T202&amp;")",""),S202="manuel","⚠️ À VÉRIFIER MANUELLEMENT : "&amp;T202,S202="inconnue","Pénalité non renseignée — vérifier la notice / DICI du fonds.",$C202="","Saisir une date d'investissement pour statuer sur la pénalité.",Q202="FUTUR","Date d'investissement postérieure à aujourd'hui — vérifier la saisie.",AD202&gt;0,"⚠️ CONCERNÉ : pénalité de "&amp;AD202&amp;"% (détention "&amp;Q202&amp;" mois). "&amp;T202,TRUE,"Non concerné (détention "&amp;Q202&amp;" mois). "&amp;T202)</f>
        <v/>
      </c>
      <c r="H202">
        <f>COUNTIFS(BDD_Calendrier!$A$2:$A$616,$B202,BDD_Calendrier!$C$2:$C$616,"Souscription")</f>
        <v/>
      </c>
      <c r="I202">
        <f>IF(H202=0,"",IFERROR(_xlfn.MINIFS(BDD_Calendrier!$D$2:$D$616,BDD_Calendrier!$A$2:$A$616,$B202,BDD_Calendrier!$C$2:$C$616,"Souscription",BDD_Calendrier!$D$2:$D$616,"&gt;="&amp;TODAY()),""))</f>
        <v/>
      </c>
      <c r="J202">
        <f>IF(I202="","",IFERROR(INDEX(BDD_Calendrier!$E$2:$E$616,MATCH($B202&amp;"|Souscription|"&amp;TEXT(I202,"yyyy-mm-dd"),BDD_Calendrier!$I$2:$I$616,0)),""))</f>
        <v/>
      </c>
      <c r="K202">
        <f>IF(H202=0,"",_xlfn.MAXIFS(BDD_Calendrier!$D$2:$D$616,BDD_Calendrier!$A$2:$A$616,$B202,BDD_Calendrier!$C$2:$C$616,"Souscription"))</f>
        <v/>
      </c>
      <c r="L202">
        <f>COUNTIFS(BDD_Calendrier!$A$2:$A$616,$B202,BDD_Calendrier!$C$2:$C$616,"Rachat")</f>
        <v/>
      </c>
      <c r="M202">
        <f>IF(L202=0,"",IFERROR(_xlfn.MINIFS(BDD_Calendrier!$D$2:$D$616,BDD_Calendrier!$A$2:$A$616,$B202,BDD_Calendrier!$C$2:$C$616,"Rachat",BDD_Calendrier!$D$2:$D$616,"&gt;="&amp;TODAY()),""))</f>
        <v/>
      </c>
      <c r="N202">
        <f>IF(M202="","",IFERROR(INDEX(BDD_Calendrier!$E$2:$E$616,MATCH($B202&amp;"|Rachat|"&amp;TEXT(M202,"yyyy-mm-dd"),BDD_Calendrier!$I$2:$I$616,0)),""))</f>
        <v/>
      </c>
      <c r="O202">
        <f>IF(M202="","",IFERROR(INDEX(BDD_Calendrier!$H$2:$H$616,MATCH($B202&amp;"|Rachat|"&amp;TEXT(M202,"yyyy-mm-dd"),BDD_Calendrier!$I$2:$I$616,0)),""))</f>
        <v/>
      </c>
      <c r="P202">
        <f>IF(L202=0,"",_xlfn.MAXIFS(BDD_Calendrier!$D$2:$D$616,BDD_Calendrier!$A$2:$A$616,$B202,BDD_Calendrier!$C$2:$C$616,"Rachat"))</f>
        <v/>
      </c>
      <c r="Q202">
        <f>IF($C202="","",IF($C202&gt;TODAY(),"FUTUR",DATEDIF($C202,TODAY(),"m")))</f>
        <v/>
      </c>
      <c r="R202">
        <f>COUNTIF(BDD_Penalites!$A$2:$A$130,$B202)</f>
        <v/>
      </c>
      <c r="S202">
        <f>IF(R202=0,"inconnue",INDEX(BDD_Penalites!$C$2:$C$130,MATCH($B202,BDD_Penalites!$A$2:$A$130,0)))</f>
        <v/>
      </c>
      <c r="T202">
        <f>IF(R202=0,"",INDEX(BDD_Penalites!$M$2:$M$130,MATCH($B202,BDD_Penalites!$A$2:$A$130,0)))</f>
        <v/>
      </c>
      <c r="U202">
        <f>IF(R202=0,0,INDEX(BDD_Penalites!$D$2:$D$130,MATCH($B202,BDD_Penalites!$A$2:$A$130,0)))</f>
        <v/>
      </c>
      <c r="V202">
        <f>IF(R202=0,0,INDEX(BDD_Penalites!$E$2:$E$130,MATCH($B202,BDD_Penalites!$A$2:$A$130,0)))</f>
        <v/>
      </c>
      <c r="W202">
        <f>IF(R202=0,0,INDEX(BDD_Penalites!$F$2:$F$130,MATCH($B202,BDD_Penalites!$A$2:$A$130,0)))</f>
        <v/>
      </c>
      <c r="X202">
        <f>IF(R202=0,0,INDEX(BDD_Penalites!$G$2:$G$130,MATCH($B202,BDD_Penalites!$A$2:$A$130,0)))</f>
        <v/>
      </c>
      <c r="Y202">
        <f>IF(R202=0,0,INDEX(BDD_Penalites!$H$2:$H$130,MATCH($B202,BDD_Penalites!$A$2:$A$130,0)))</f>
        <v/>
      </c>
      <c r="Z202">
        <f>IF(R202=0,0,INDEX(BDD_Penalites!$I$2:$I$130,MATCH($B202,BDD_Penalites!$A$2:$A$130,0)))</f>
        <v/>
      </c>
      <c r="AA202">
        <f>IF(R202=0,0,INDEX(BDD_Penalites!$J$2:$J$130,MATCH($B202,BDD_Penalites!$A$2:$A$130,0)))</f>
        <v/>
      </c>
      <c r="AB202">
        <f>IF(R202=0,0,INDEX(BDD_Penalites!$K$2:$K$130,MATCH($B202,BDD_Penalites!$A$2:$A$130,0)))</f>
        <v/>
      </c>
      <c r="AC202">
        <f>IF(R202=0,0,INDEX(BDD_Penalites!$L$2:$L$130,MATCH($B202,BDD_Penalites!$A$2:$A$130,0)))</f>
        <v/>
      </c>
      <c r="AD202">
        <f>IF(OR($C202="",Q202="FUTUR"),"",_xlfn.IFS(Q202&lt;U202,V202,Q202&lt;W202,X202,Q202&lt;Y202,Z202,Q202&lt;AA202,AB202,TRUE,AC202))</f>
        <v/>
      </c>
    </row>
    <row r="203" ht="13.5" customHeight="1">
      <c r="A203" s="65" t="inlineStr">
        <is>
          <t xml:space="preserve">AXA IM Private Credit Income Fund S1A EUR </t>
        </is>
      </c>
      <c r="B203" s="66" t="inlineStr">
        <is>
          <t>LU3005168235</t>
        </is>
      </c>
      <c r="C203" s="268" t="n"/>
      <c r="D203" s="269">
        <f>IF(H203=0,"Calendrier non disponible pour ce fonds — contacter la société de gestion.",IF(I203="","Calendrier connu jusqu'au "&amp;TEXT(K203,"dd/mm/yyyy")&amp;" — demander le calendrier à jour.","Cut-off : "&amp;TEXT(I203,"dd/mm/yyyy")&amp;"  |  VL : "&amp;TEXT(J203,"dd/mm/yyyy")))</f>
        <v/>
      </c>
      <c r="E203" s="269">
        <f>IF(L203=0,"Calendrier non disponible pour ce fonds — contacter la société de gestion.",IF(M203="","Calendrier connu jusqu'au "&amp;TEXT(P203,"dd/mm/yyyy")&amp;" — demander le calendrier à jour.","Cut-off : "&amp;TEXT(M203,"dd/mm/yyyy")&amp;"  |  VL : "&amp;TEXT(N203,"dd/mm/yyyy")))</f>
        <v/>
      </c>
      <c r="F203" s="269">
        <f>IF(L203=0,"Calendrier non disponible pour ce fonds.",IF(M203="","Calendrier connu jusqu'au "&amp;TEXT(P203,"dd/mm/yyyy")&amp;".",IF(O203="","Non précisé dans le calendrier pour cette échéance.","Réception : "&amp;TEXT(O203,"dd/mm/yyyy")&amp;"  (suite au rachat du "&amp;TEXT(N203,"dd/mm/yyyy")&amp;")")))</f>
        <v/>
      </c>
      <c r="G203" s="269">
        <f>_xlfn.IFS(S203="aucune","Aucune pénalité de sortie."&amp;IF(T203&lt;&gt;""," ("&amp;T203&amp;")",""),S203="manuel","⚠️ À VÉRIFIER MANUELLEMENT : "&amp;T203,S203="inconnue","Pénalité non renseignée — vérifier la notice / DICI du fonds.",$C203="","Saisir une date d'investissement pour statuer sur la pénalité.",Q203="FUTUR","Date d'investissement postérieure à aujourd'hui — vérifier la saisie.",AD203&gt;0,"⚠️ CONCERNÉ : pénalité de "&amp;AD203&amp;"% (détention "&amp;Q203&amp;" mois). "&amp;T203,TRUE,"Non concerné (détention "&amp;Q203&amp;" mois). "&amp;T203)</f>
        <v/>
      </c>
      <c r="H203">
        <f>COUNTIFS(BDD_Calendrier!$A$2:$A$616,$B203,BDD_Calendrier!$C$2:$C$616,"Souscription")</f>
        <v/>
      </c>
      <c r="I203">
        <f>IF(H203=0,"",IFERROR(_xlfn.MINIFS(BDD_Calendrier!$D$2:$D$616,BDD_Calendrier!$A$2:$A$616,$B203,BDD_Calendrier!$C$2:$C$616,"Souscription",BDD_Calendrier!$D$2:$D$616,"&gt;="&amp;TODAY()),""))</f>
        <v/>
      </c>
      <c r="J203">
        <f>IF(I203="","",IFERROR(INDEX(BDD_Calendrier!$E$2:$E$616,MATCH($B203&amp;"|Souscription|"&amp;TEXT(I203,"yyyy-mm-dd"),BDD_Calendrier!$I$2:$I$616,0)),""))</f>
        <v/>
      </c>
      <c r="K203">
        <f>IF(H203=0,"",_xlfn.MAXIFS(BDD_Calendrier!$D$2:$D$616,BDD_Calendrier!$A$2:$A$616,$B203,BDD_Calendrier!$C$2:$C$616,"Souscription"))</f>
        <v/>
      </c>
      <c r="L203">
        <f>COUNTIFS(BDD_Calendrier!$A$2:$A$616,$B203,BDD_Calendrier!$C$2:$C$616,"Rachat")</f>
        <v/>
      </c>
      <c r="M203">
        <f>IF(L203=0,"",IFERROR(_xlfn.MINIFS(BDD_Calendrier!$D$2:$D$616,BDD_Calendrier!$A$2:$A$616,$B203,BDD_Calendrier!$C$2:$C$616,"Rachat",BDD_Calendrier!$D$2:$D$616,"&gt;="&amp;TODAY()),""))</f>
        <v/>
      </c>
      <c r="N203">
        <f>IF(M203="","",IFERROR(INDEX(BDD_Calendrier!$E$2:$E$616,MATCH($B203&amp;"|Rachat|"&amp;TEXT(M203,"yyyy-mm-dd"),BDD_Calendrier!$I$2:$I$616,0)),""))</f>
        <v/>
      </c>
      <c r="O203">
        <f>IF(M203="","",IFERROR(INDEX(BDD_Calendrier!$H$2:$H$616,MATCH($B203&amp;"|Rachat|"&amp;TEXT(M203,"yyyy-mm-dd"),BDD_Calendrier!$I$2:$I$616,0)),""))</f>
        <v/>
      </c>
      <c r="P203">
        <f>IF(L203=0,"",_xlfn.MAXIFS(BDD_Calendrier!$D$2:$D$616,BDD_Calendrier!$A$2:$A$616,$B203,BDD_Calendrier!$C$2:$C$616,"Rachat"))</f>
        <v/>
      </c>
      <c r="Q203">
        <f>IF($C203="","",IF($C203&gt;TODAY(),"FUTUR",DATEDIF($C203,TODAY(),"m")))</f>
        <v/>
      </c>
      <c r="R203">
        <f>COUNTIF(BDD_Penalites!$A$2:$A$130,$B203)</f>
        <v/>
      </c>
      <c r="S203">
        <f>IF(R203=0,"inconnue",INDEX(BDD_Penalites!$C$2:$C$130,MATCH($B203,BDD_Penalites!$A$2:$A$130,0)))</f>
        <v/>
      </c>
      <c r="T203">
        <f>IF(R203=0,"",INDEX(BDD_Penalites!$M$2:$M$130,MATCH($B203,BDD_Penalites!$A$2:$A$130,0)))</f>
        <v/>
      </c>
      <c r="U203">
        <f>IF(R203=0,0,INDEX(BDD_Penalites!$D$2:$D$130,MATCH($B203,BDD_Penalites!$A$2:$A$130,0)))</f>
        <v/>
      </c>
      <c r="V203">
        <f>IF(R203=0,0,INDEX(BDD_Penalites!$E$2:$E$130,MATCH($B203,BDD_Penalites!$A$2:$A$130,0)))</f>
        <v/>
      </c>
      <c r="W203">
        <f>IF(R203=0,0,INDEX(BDD_Penalites!$F$2:$F$130,MATCH($B203,BDD_Penalites!$A$2:$A$130,0)))</f>
        <v/>
      </c>
      <c r="X203">
        <f>IF(R203=0,0,INDEX(BDD_Penalites!$G$2:$G$130,MATCH($B203,BDD_Penalites!$A$2:$A$130,0)))</f>
        <v/>
      </c>
      <c r="Y203">
        <f>IF(R203=0,0,INDEX(BDD_Penalites!$H$2:$H$130,MATCH($B203,BDD_Penalites!$A$2:$A$130,0)))</f>
        <v/>
      </c>
      <c r="Z203">
        <f>IF(R203=0,0,INDEX(BDD_Penalites!$I$2:$I$130,MATCH($B203,BDD_Penalites!$A$2:$A$130,0)))</f>
        <v/>
      </c>
      <c r="AA203">
        <f>IF(R203=0,0,INDEX(BDD_Penalites!$J$2:$J$130,MATCH($B203,BDD_Penalites!$A$2:$A$130,0)))</f>
        <v/>
      </c>
      <c r="AB203">
        <f>IF(R203=0,0,INDEX(BDD_Penalites!$K$2:$K$130,MATCH($B203,BDD_Penalites!$A$2:$A$130,0)))</f>
        <v/>
      </c>
      <c r="AC203">
        <f>IF(R203=0,0,INDEX(BDD_Penalites!$L$2:$L$130,MATCH($B203,BDD_Penalites!$A$2:$A$130,0)))</f>
        <v/>
      </c>
      <c r="AD203">
        <f>IF(OR($C203="",Q203="FUTUR"),"",_xlfn.IFS(Q203&lt;U203,V203,Q203&lt;W203,X203,Q203&lt;Y203,Z203,Q203&lt;AA203,AB203,TRUE,AC203))</f>
        <v/>
      </c>
    </row>
    <row r="204" ht="13.5" customHeight="1">
      <c r="A204" s="65" t="inlineStr">
        <is>
          <t>Morgan Stanley Dette Privée Europe SLP part IA</t>
        </is>
      </c>
      <c r="B204" s="66" t="inlineStr">
        <is>
          <t>FR001400ZI88</t>
        </is>
      </c>
      <c r="C204" s="268" t="n"/>
      <c r="D204" s="269">
        <f>IF(H204=0,"Calendrier non disponible pour ce fonds — contacter la société de gestion.",IF(I204="","Calendrier connu jusqu'au "&amp;TEXT(K204,"dd/mm/yyyy")&amp;" — demander le calendrier à jour.","Cut-off : "&amp;TEXT(I204,"dd/mm/yyyy")&amp;"  |  VL : "&amp;TEXT(J204,"dd/mm/yyyy")))</f>
        <v/>
      </c>
      <c r="E204" s="269">
        <f>IF(L204=0,"Calendrier non disponible pour ce fonds — contacter la société de gestion.",IF(M204="","Calendrier connu jusqu'au "&amp;TEXT(P204,"dd/mm/yyyy")&amp;" — demander le calendrier à jour.","Cut-off : "&amp;TEXT(M204,"dd/mm/yyyy")&amp;"  |  VL : "&amp;TEXT(N204,"dd/mm/yyyy")))</f>
        <v/>
      </c>
      <c r="F204" s="269">
        <f>IF(L204=0,"Calendrier non disponible pour ce fonds.",IF(M204="","Calendrier connu jusqu'au "&amp;TEXT(P204,"dd/mm/yyyy")&amp;".",IF(O204="","Non précisé dans le calendrier pour cette échéance.","Réception : "&amp;TEXT(O204,"dd/mm/yyyy")&amp;"  (suite au rachat du "&amp;TEXT(N204,"dd/mm/yyyy")&amp;")")))</f>
        <v/>
      </c>
      <c r="G204" s="269">
        <f>_xlfn.IFS(S204="aucune","Aucune pénalité de sortie."&amp;IF(T204&lt;&gt;""," ("&amp;T204&amp;")",""),S204="manuel","⚠️ À VÉRIFIER MANUELLEMENT : "&amp;T204,S204="inconnue","Pénalité non renseignée — vérifier la notice / DICI du fonds.",$C204="","Saisir une date d'investissement pour statuer sur la pénalité.",Q204="FUTUR","Date d'investissement postérieure à aujourd'hui — vérifier la saisie.",AD204&gt;0,"⚠️ CONCERNÉ : pénalité de "&amp;AD204&amp;"% (détention "&amp;Q204&amp;" mois). "&amp;T204,TRUE,"Non concerné (détention "&amp;Q204&amp;" mois). "&amp;T204)</f>
        <v/>
      </c>
      <c r="H204">
        <f>COUNTIFS(BDD_Calendrier!$A$2:$A$616,$B204,BDD_Calendrier!$C$2:$C$616,"Souscription")</f>
        <v/>
      </c>
      <c r="I204">
        <f>IF(H204=0,"",IFERROR(_xlfn.MINIFS(BDD_Calendrier!$D$2:$D$616,BDD_Calendrier!$A$2:$A$616,$B204,BDD_Calendrier!$C$2:$C$616,"Souscription",BDD_Calendrier!$D$2:$D$616,"&gt;="&amp;TODAY()),""))</f>
        <v/>
      </c>
      <c r="J204">
        <f>IF(I204="","",IFERROR(INDEX(BDD_Calendrier!$E$2:$E$616,MATCH($B204&amp;"|Souscription|"&amp;TEXT(I204,"yyyy-mm-dd"),BDD_Calendrier!$I$2:$I$616,0)),""))</f>
        <v/>
      </c>
      <c r="K204">
        <f>IF(H204=0,"",_xlfn.MAXIFS(BDD_Calendrier!$D$2:$D$616,BDD_Calendrier!$A$2:$A$616,$B204,BDD_Calendrier!$C$2:$C$616,"Souscription"))</f>
        <v/>
      </c>
      <c r="L204">
        <f>COUNTIFS(BDD_Calendrier!$A$2:$A$616,$B204,BDD_Calendrier!$C$2:$C$616,"Rachat")</f>
        <v/>
      </c>
      <c r="M204">
        <f>IF(L204=0,"",IFERROR(_xlfn.MINIFS(BDD_Calendrier!$D$2:$D$616,BDD_Calendrier!$A$2:$A$616,$B204,BDD_Calendrier!$C$2:$C$616,"Rachat",BDD_Calendrier!$D$2:$D$616,"&gt;="&amp;TODAY()),""))</f>
        <v/>
      </c>
      <c r="N204">
        <f>IF(M204="","",IFERROR(INDEX(BDD_Calendrier!$E$2:$E$616,MATCH($B204&amp;"|Rachat|"&amp;TEXT(M204,"yyyy-mm-dd"),BDD_Calendrier!$I$2:$I$616,0)),""))</f>
        <v/>
      </c>
      <c r="O204">
        <f>IF(M204="","",IFERROR(INDEX(BDD_Calendrier!$H$2:$H$616,MATCH($B204&amp;"|Rachat|"&amp;TEXT(M204,"yyyy-mm-dd"),BDD_Calendrier!$I$2:$I$616,0)),""))</f>
        <v/>
      </c>
      <c r="P204">
        <f>IF(L204=0,"",_xlfn.MAXIFS(BDD_Calendrier!$D$2:$D$616,BDD_Calendrier!$A$2:$A$616,$B204,BDD_Calendrier!$C$2:$C$616,"Rachat"))</f>
        <v/>
      </c>
      <c r="Q204">
        <f>IF($C204="","",IF($C204&gt;TODAY(),"FUTUR",DATEDIF($C204,TODAY(),"m")))</f>
        <v/>
      </c>
      <c r="R204">
        <f>COUNTIF(BDD_Penalites!$A$2:$A$130,$B204)</f>
        <v/>
      </c>
      <c r="S204">
        <f>IF(R204=0,"inconnue",INDEX(BDD_Penalites!$C$2:$C$130,MATCH($B204,BDD_Penalites!$A$2:$A$130,0)))</f>
        <v/>
      </c>
      <c r="T204">
        <f>IF(R204=0,"",INDEX(BDD_Penalites!$M$2:$M$130,MATCH($B204,BDD_Penalites!$A$2:$A$130,0)))</f>
        <v/>
      </c>
      <c r="U204">
        <f>IF(R204=0,0,INDEX(BDD_Penalites!$D$2:$D$130,MATCH($B204,BDD_Penalites!$A$2:$A$130,0)))</f>
        <v/>
      </c>
      <c r="V204">
        <f>IF(R204=0,0,INDEX(BDD_Penalites!$E$2:$E$130,MATCH($B204,BDD_Penalites!$A$2:$A$130,0)))</f>
        <v/>
      </c>
      <c r="W204">
        <f>IF(R204=0,0,INDEX(BDD_Penalites!$F$2:$F$130,MATCH($B204,BDD_Penalites!$A$2:$A$130,0)))</f>
        <v/>
      </c>
      <c r="X204">
        <f>IF(R204=0,0,INDEX(BDD_Penalites!$G$2:$G$130,MATCH($B204,BDD_Penalites!$A$2:$A$130,0)))</f>
        <v/>
      </c>
      <c r="Y204">
        <f>IF(R204=0,0,INDEX(BDD_Penalites!$H$2:$H$130,MATCH($B204,BDD_Penalites!$A$2:$A$130,0)))</f>
        <v/>
      </c>
      <c r="Z204">
        <f>IF(R204=0,0,INDEX(BDD_Penalites!$I$2:$I$130,MATCH($B204,BDD_Penalites!$A$2:$A$130,0)))</f>
        <v/>
      </c>
      <c r="AA204">
        <f>IF(R204=0,0,INDEX(BDD_Penalites!$J$2:$J$130,MATCH($B204,BDD_Penalites!$A$2:$A$130,0)))</f>
        <v/>
      </c>
      <c r="AB204">
        <f>IF(R204=0,0,INDEX(BDD_Penalites!$K$2:$K$130,MATCH($B204,BDD_Penalites!$A$2:$A$130,0)))</f>
        <v/>
      </c>
      <c r="AC204">
        <f>IF(R204=0,0,INDEX(BDD_Penalites!$L$2:$L$130,MATCH($B204,BDD_Penalites!$A$2:$A$130,0)))</f>
        <v/>
      </c>
      <c r="AD204">
        <f>IF(OR($C204="",Q204="FUTUR"),"",_xlfn.IFS(Q204&lt;U204,V204,Q204&lt;W204,X204,Q204&lt;Y204,Z204,Q204&lt;AA204,AB204,TRUE,AC204))</f>
        <v/>
      </c>
    </row>
    <row r="205" ht="13.5" customHeight="1">
      <c r="A205" s="65" t="inlineStr">
        <is>
          <t>Pantheon GCS S Dis</t>
        </is>
      </c>
      <c r="B205" s="66" t="inlineStr">
        <is>
          <t>LU3047997658</t>
        </is>
      </c>
      <c r="C205" s="268" t="n"/>
      <c r="D205" s="269">
        <f>IF(H205=0,"Calendrier non disponible pour ce fonds — contacter la société de gestion.",IF(I205="","Calendrier connu jusqu'au "&amp;TEXT(K205,"dd/mm/yyyy")&amp;" — demander le calendrier à jour.","Cut-off : "&amp;TEXT(I205,"dd/mm/yyyy")&amp;"  |  VL : "&amp;TEXT(J205,"dd/mm/yyyy")))</f>
        <v/>
      </c>
      <c r="E205" s="269">
        <f>IF(L205=0,"Calendrier non disponible pour ce fonds — contacter la société de gestion.",IF(M205="","Calendrier connu jusqu'au "&amp;TEXT(P205,"dd/mm/yyyy")&amp;" — demander le calendrier à jour.","Cut-off : "&amp;TEXT(M205,"dd/mm/yyyy")&amp;"  |  VL : "&amp;TEXT(N205,"dd/mm/yyyy")))</f>
        <v/>
      </c>
      <c r="F205" s="269">
        <f>IF(L205=0,"Calendrier non disponible pour ce fonds.",IF(M205="","Calendrier connu jusqu'au "&amp;TEXT(P205,"dd/mm/yyyy")&amp;".",IF(O205="","Non précisé dans le calendrier pour cette échéance.","Réception : "&amp;TEXT(O205,"dd/mm/yyyy")&amp;"  (suite au rachat du "&amp;TEXT(N205,"dd/mm/yyyy")&amp;")")))</f>
        <v/>
      </c>
      <c r="G205" s="269">
        <f>_xlfn.IFS(S205="aucune","Aucune pénalité de sortie."&amp;IF(T205&lt;&gt;""," ("&amp;T205&amp;")",""),S205="manuel","⚠️ À VÉRIFIER MANUELLEMENT : "&amp;T205,S205="inconnue","Pénalité non renseignée — vérifier la notice / DICI du fonds.",$C205="","Saisir une date d'investissement pour statuer sur la pénalité.",Q205="FUTUR","Date d'investissement postérieure à aujourd'hui — vérifier la saisie.",AD205&gt;0,"⚠️ CONCERNÉ : pénalité de "&amp;AD205&amp;"% (détention "&amp;Q205&amp;" mois). "&amp;T205,TRUE,"Non concerné (détention "&amp;Q205&amp;" mois). "&amp;T205)</f>
        <v/>
      </c>
      <c r="H205">
        <f>COUNTIFS(BDD_Calendrier!$A$2:$A$616,$B205,BDD_Calendrier!$C$2:$C$616,"Souscription")</f>
        <v/>
      </c>
      <c r="I205">
        <f>IF(H205=0,"",IFERROR(_xlfn.MINIFS(BDD_Calendrier!$D$2:$D$616,BDD_Calendrier!$A$2:$A$616,$B205,BDD_Calendrier!$C$2:$C$616,"Souscription",BDD_Calendrier!$D$2:$D$616,"&gt;="&amp;TODAY()),""))</f>
        <v/>
      </c>
      <c r="J205">
        <f>IF(I205="","",IFERROR(INDEX(BDD_Calendrier!$E$2:$E$616,MATCH($B205&amp;"|Souscription|"&amp;TEXT(I205,"yyyy-mm-dd"),BDD_Calendrier!$I$2:$I$616,0)),""))</f>
        <v/>
      </c>
      <c r="K205">
        <f>IF(H205=0,"",_xlfn.MAXIFS(BDD_Calendrier!$D$2:$D$616,BDD_Calendrier!$A$2:$A$616,$B205,BDD_Calendrier!$C$2:$C$616,"Souscription"))</f>
        <v/>
      </c>
      <c r="L205">
        <f>COUNTIFS(BDD_Calendrier!$A$2:$A$616,$B205,BDD_Calendrier!$C$2:$C$616,"Rachat")</f>
        <v/>
      </c>
      <c r="M205">
        <f>IF(L205=0,"",IFERROR(_xlfn.MINIFS(BDD_Calendrier!$D$2:$D$616,BDD_Calendrier!$A$2:$A$616,$B205,BDD_Calendrier!$C$2:$C$616,"Rachat",BDD_Calendrier!$D$2:$D$616,"&gt;="&amp;TODAY()),""))</f>
        <v/>
      </c>
      <c r="N205">
        <f>IF(M205="","",IFERROR(INDEX(BDD_Calendrier!$E$2:$E$616,MATCH($B205&amp;"|Rachat|"&amp;TEXT(M205,"yyyy-mm-dd"),BDD_Calendrier!$I$2:$I$616,0)),""))</f>
        <v/>
      </c>
      <c r="O205">
        <f>IF(M205="","",IFERROR(INDEX(BDD_Calendrier!$H$2:$H$616,MATCH($B205&amp;"|Rachat|"&amp;TEXT(M205,"yyyy-mm-dd"),BDD_Calendrier!$I$2:$I$616,0)),""))</f>
        <v/>
      </c>
      <c r="P205">
        <f>IF(L205=0,"",_xlfn.MAXIFS(BDD_Calendrier!$D$2:$D$616,BDD_Calendrier!$A$2:$A$616,$B205,BDD_Calendrier!$C$2:$C$616,"Rachat"))</f>
        <v/>
      </c>
      <c r="Q205">
        <f>IF($C205="","",IF($C205&gt;TODAY(),"FUTUR",DATEDIF($C205,TODAY(),"m")))</f>
        <v/>
      </c>
      <c r="R205">
        <f>COUNTIF(BDD_Penalites!$A$2:$A$130,$B205)</f>
        <v/>
      </c>
      <c r="S205">
        <f>IF(R205=0,"inconnue",INDEX(BDD_Penalites!$C$2:$C$130,MATCH($B205,BDD_Penalites!$A$2:$A$130,0)))</f>
        <v/>
      </c>
      <c r="T205">
        <f>IF(R205=0,"",INDEX(BDD_Penalites!$M$2:$M$130,MATCH($B205,BDD_Penalites!$A$2:$A$130,0)))</f>
        <v/>
      </c>
      <c r="U205">
        <f>IF(R205=0,0,INDEX(BDD_Penalites!$D$2:$D$130,MATCH($B205,BDD_Penalites!$A$2:$A$130,0)))</f>
        <v/>
      </c>
      <c r="V205">
        <f>IF(R205=0,0,INDEX(BDD_Penalites!$E$2:$E$130,MATCH($B205,BDD_Penalites!$A$2:$A$130,0)))</f>
        <v/>
      </c>
      <c r="W205">
        <f>IF(R205=0,0,INDEX(BDD_Penalites!$F$2:$F$130,MATCH($B205,BDD_Penalites!$A$2:$A$130,0)))</f>
        <v/>
      </c>
      <c r="X205">
        <f>IF(R205=0,0,INDEX(BDD_Penalites!$G$2:$G$130,MATCH($B205,BDD_Penalites!$A$2:$A$130,0)))</f>
        <v/>
      </c>
      <c r="Y205">
        <f>IF(R205=0,0,INDEX(BDD_Penalites!$H$2:$H$130,MATCH($B205,BDD_Penalites!$A$2:$A$130,0)))</f>
        <v/>
      </c>
      <c r="Z205">
        <f>IF(R205=0,0,INDEX(BDD_Penalites!$I$2:$I$130,MATCH($B205,BDD_Penalites!$A$2:$A$130,0)))</f>
        <v/>
      </c>
      <c r="AA205">
        <f>IF(R205=0,0,INDEX(BDD_Penalites!$J$2:$J$130,MATCH($B205,BDD_Penalites!$A$2:$A$130,0)))</f>
        <v/>
      </c>
      <c r="AB205">
        <f>IF(R205=0,0,INDEX(BDD_Penalites!$K$2:$K$130,MATCH($B205,BDD_Penalites!$A$2:$A$130,0)))</f>
        <v/>
      </c>
      <c r="AC205">
        <f>IF(R205=0,0,INDEX(BDD_Penalites!$L$2:$L$130,MATCH($B205,BDD_Penalites!$A$2:$A$130,0)))</f>
        <v/>
      </c>
      <c r="AD205">
        <f>IF(OR($C205="",Q205="FUTUR"),"",_xlfn.IFS(Q205&lt;U205,V205,Q205&lt;W205,X205,Q205&lt;Y205,Z205,Q205&lt;AA205,AB205,TRUE,AC205))</f>
        <v/>
      </c>
    </row>
    <row r="206" ht="13.5" customFormat="1" customHeight="1" s="29">
      <c r="A206" s="65" t="inlineStr">
        <is>
          <t>Blackstone Ecred</t>
        </is>
      </c>
      <c r="B206" s="66" t="inlineStr">
        <is>
          <t>LU2480032510</t>
        </is>
      </c>
      <c r="C206" s="268" t="n"/>
      <c r="D206" s="269">
        <f>IF(H206=0,"Calendrier non disponible pour ce fonds — contacter la société de gestion.",IF(I206="","Calendrier connu jusqu'au "&amp;TEXT(K206,"dd/mm/yyyy")&amp;" — demander le calendrier à jour.","Cut-off : "&amp;TEXT(I206,"dd/mm/yyyy")&amp;"  |  VL : "&amp;TEXT(J206,"dd/mm/yyyy")))</f>
        <v/>
      </c>
      <c r="E206" s="269">
        <f>IF(L206=0,"Calendrier non disponible pour ce fonds — contacter la société de gestion.",IF(M206="","Calendrier connu jusqu'au "&amp;TEXT(P206,"dd/mm/yyyy")&amp;" — demander le calendrier à jour.","Cut-off : "&amp;TEXT(M206,"dd/mm/yyyy")&amp;"  |  VL : "&amp;TEXT(N206,"dd/mm/yyyy")))</f>
        <v/>
      </c>
      <c r="F206" s="269">
        <f>IF(L206=0,"Calendrier non disponible pour ce fonds.",IF(M206="","Calendrier connu jusqu'au "&amp;TEXT(P206,"dd/mm/yyyy")&amp;".",IF(O206="","Non précisé dans le calendrier pour cette échéance.","Réception : "&amp;TEXT(O206,"dd/mm/yyyy")&amp;"  (suite au rachat du "&amp;TEXT(N206,"dd/mm/yyyy")&amp;")")))</f>
        <v/>
      </c>
      <c r="G206" s="269">
        <f>_xlfn.IFS(S206="aucune","Aucune pénalité de sortie."&amp;IF(T206&lt;&gt;""," ("&amp;T206&amp;")",""),S206="manuel","⚠️ À VÉRIFIER MANUELLEMENT : "&amp;T206,S206="inconnue","Pénalité non renseignée — vérifier la notice / DICI du fonds.",$C206="","Saisir une date d'investissement pour statuer sur la pénalité.",Q206="FUTUR","Date d'investissement postérieure à aujourd'hui — vérifier la saisie.",AD206&gt;0,"⚠️ CONCERNÉ : pénalité de "&amp;AD206&amp;"% (détention "&amp;Q206&amp;" mois). "&amp;T206,TRUE,"Non concerné (détention "&amp;Q206&amp;" mois). "&amp;T206)</f>
        <v/>
      </c>
      <c r="H206">
        <f>COUNTIFS(BDD_Calendrier!$A$2:$A$616,$B206,BDD_Calendrier!$C$2:$C$616,"Souscription")</f>
        <v/>
      </c>
      <c r="I206">
        <f>IF(H206=0,"",IFERROR(_xlfn.MINIFS(BDD_Calendrier!$D$2:$D$616,BDD_Calendrier!$A$2:$A$616,$B206,BDD_Calendrier!$C$2:$C$616,"Souscription",BDD_Calendrier!$D$2:$D$616,"&gt;="&amp;TODAY()),""))</f>
        <v/>
      </c>
      <c r="J206">
        <f>IF(I206="","",IFERROR(INDEX(BDD_Calendrier!$E$2:$E$616,MATCH($B206&amp;"|Souscription|"&amp;TEXT(I206,"yyyy-mm-dd"),BDD_Calendrier!$I$2:$I$616,0)),""))</f>
        <v/>
      </c>
      <c r="K206">
        <f>IF(H206=0,"",_xlfn.MAXIFS(BDD_Calendrier!$D$2:$D$616,BDD_Calendrier!$A$2:$A$616,$B206,BDD_Calendrier!$C$2:$C$616,"Souscription"))</f>
        <v/>
      </c>
      <c r="L206">
        <f>COUNTIFS(BDD_Calendrier!$A$2:$A$616,$B206,BDD_Calendrier!$C$2:$C$616,"Rachat")</f>
        <v/>
      </c>
      <c r="M206">
        <f>IF(L206=0,"",IFERROR(_xlfn.MINIFS(BDD_Calendrier!$D$2:$D$616,BDD_Calendrier!$A$2:$A$616,$B206,BDD_Calendrier!$C$2:$C$616,"Rachat",BDD_Calendrier!$D$2:$D$616,"&gt;="&amp;TODAY()),""))</f>
        <v/>
      </c>
      <c r="N206">
        <f>IF(M206="","",IFERROR(INDEX(BDD_Calendrier!$E$2:$E$616,MATCH($B206&amp;"|Rachat|"&amp;TEXT(M206,"yyyy-mm-dd"),BDD_Calendrier!$I$2:$I$616,0)),""))</f>
        <v/>
      </c>
      <c r="O206">
        <f>IF(M206="","",IFERROR(INDEX(BDD_Calendrier!$H$2:$H$616,MATCH($B206&amp;"|Rachat|"&amp;TEXT(M206,"yyyy-mm-dd"),BDD_Calendrier!$I$2:$I$616,0)),""))</f>
        <v/>
      </c>
      <c r="P206">
        <f>IF(L206=0,"",_xlfn.MAXIFS(BDD_Calendrier!$D$2:$D$616,BDD_Calendrier!$A$2:$A$616,$B206,BDD_Calendrier!$C$2:$C$616,"Rachat"))</f>
        <v/>
      </c>
      <c r="Q206">
        <f>IF($C206="","",IF($C206&gt;TODAY(),"FUTUR",DATEDIF($C206,TODAY(),"m")))</f>
        <v/>
      </c>
      <c r="R206">
        <f>COUNTIF(BDD_Penalites!$A$2:$A$130,$B206)</f>
        <v/>
      </c>
      <c r="S206">
        <f>IF(R206=0,"inconnue",INDEX(BDD_Penalites!$C$2:$C$130,MATCH($B206,BDD_Penalites!$A$2:$A$130,0)))</f>
        <v/>
      </c>
      <c r="T206">
        <f>IF(R206=0,"",INDEX(BDD_Penalites!$M$2:$M$130,MATCH($B206,BDD_Penalites!$A$2:$A$130,0)))</f>
        <v/>
      </c>
      <c r="U206">
        <f>IF(R206=0,0,INDEX(BDD_Penalites!$D$2:$D$130,MATCH($B206,BDD_Penalites!$A$2:$A$130,0)))</f>
        <v/>
      </c>
      <c r="V206">
        <f>IF(R206=0,0,INDEX(BDD_Penalites!$E$2:$E$130,MATCH($B206,BDD_Penalites!$A$2:$A$130,0)))</f>
        <v/>
      </c>
      <c r="W206">
        <f>IF(R206=0,0,INDEX(BDD_Penalites!$F$2:$F$130,MATCH($B206,BDD_Penalites!$A$2:$A$130,0)))</f>
        <v/>
      </c>
      <c r="X206">
        <f>IF(R206=0,0,INDEX(BDD_Penalites!$G$2:$G$130,MATCH($B206,BDD_Penalites!$A$2:$A$130,0)))</f>
        <v/>
      </c>
      <c r="Y206">
        <f>IF(R206=0,0,INDEX(BDD_Penalites!$H$2:$H$130,MATCH($B206,BDD_Penalites!$A$2:$A$130,0)))</f>
        <v/>
      </c>
      <c r="Z206">
        <f>IF(R206=0,0,INDEX(BDD_Penalites!$I$2:$I$130,MATCH($B206,BDD_Penalites!$A$2:$A$130,0)))</f>
        <v/>
      </c>
      <c r="AA206">
        <f>IF(R206=0,0,INDEX(BDD_Penalites!$J$2:$J$130,MATCH($B206,BDD_Penalites!$A$2:$A$130,0)))</f>
        <v/>
      </c>
      <c r="AB206">
        <f>IF(R206=0,0,INDEX(BDD_Penalites!$K$2:$K$130,MATCH($B206,BDD_Penalites!$A$2:$A$130,0)))</f>
        <v/>
      </c>
      <c r="AC206">
        <f>IF(R206=0,0,INDEX(BDD_Penalites!$L$2:$L$130,MATCH($B206,BDD_Penalites!$A$2:$A$130,0)))</f>
        <v/>
      </c>
      <c r="AD206">
        <f>IF(OR($C206="",Q206="FUTUR"),"",_xlfn.IFS(Q206&lt;U206,V206,Q206&lt;W206,X206,Q206&lt;Y206,Z206,Q206&lt;AA206,AB206,TRUE,AC206))</f>
        <v/>
      </c>
    </row>
    <row r="207" ht="13.5" customFormat="1" customHeight="1" s="29">
      <c r="A207" s="65" t="inlineStr">
        <is>
          <t>FCPR Eurazeo Private Value Europe 3 - part D</t>
        </is>
      </c>
      <c r="B207" s="66" t="inlineStr">
        <is>
          <t>FR0013301561</t>
        </is>
      </c>
      <c r="C207" s="268" t="n"/>
      <c r="D207" s="269">
        <f>IF(H207=0,"Calendrier non disponible pour ce fonds — contacter la société de gestion.",IF(I207="","Calendrier connu jusqu'au "&amp;TEXT(K207,"dd/mm/yyyy")&amp;" — demander le calendrier à jour.","Cut-off : "&amp;TEXT(I207,"dd/mm/yyyy")&amp;"  |  VL : "&amp;TEXT(J207,"dd/mm/yyyy")))</f>
        <v/>
      </c>
      <c r="E207" s="269">
        <f>IF(L207=0,"Calendrier non disponible pour ce fonds — contacter la société de gestion.",IF(M207="","Calendrier connu jusqu'au "&amp;TEXT(P207,"dd/mm/yyyy")&amp;" — demander le calendrier à jour.","Cut-off : "&amp;TEXT(M207,"dd/mm/yyyy")&amp;"  |  VL : "&amp;TEXT(N207,"dd/mm/yyyy")))</f>
        <v/>
      </c>
      <c r="F207" s="269">
        <f>IF(L207=0,"Calendrier non disponible pour ce fonds.",IF(M207="","Calendrier connu jusqu'au "&amp;TEXT(P207,"dd/mm/yyyy")&amp;".",IF(O207="","Non précisé dans le calendrier pour cette échéance.","Réception : "&amp;TEXT(O207,"dd/mm/yyyy")&amp;"  (suite au rachat du "&amp;TEXT(N207,"dd/mm/yyyy")&amp;")")))</f>
        <v/>
      </c>
      <c r="G207" s="269">
        <f>_xlfn.IFS(S207="aucune","Aucune pénalité de sortie."&amp;IF(T207&lt;&gt;""," ("&amp;T207&amp;")",""),S207="manuel","⚠️ À VÉRIFIER MANUELLEMENT : "&amp;T207,S207="inconnue","Pénalité non renseignée — vérifier la notice / DICI du fonds.",$C207="","Saisir une date d'investissement pour statuer sur la pénalité.",Q207="FUTUR","Date d'investissement postérieure à aujourd'hui — vérifier la saisie.",AD207&gt;0,"⚠️ CONCERNÉ : pénalité de "&amp;AD207&amp;"% (détention "&amp;Q207&amp;" mois). "&amp;T207,TRUE,"Non concerné (détention "&amp;Q207&amp;" mois). "&amp;T207)</f>
        <v/>
      </c>
      <c r="H207">
        <f>COUNTIFS(BDD_Calendrier!$A$2:$A$616,$B207,BDD_Calendrier!$C$2:$C$616,"Souscription")</f>
        <v/>
      </c>
      <c r="I207">
        <f>IF(H207=0,"",IFERROR(_xlfn.MINIFS(BDD_Calendrier!$D$2:$D$616,BDD_Calendrier!$A$2:$A$616,$B207,BDD_Calendrier!$C$2:$C$616,"Souscription",BDD_Calendrier!$D$2:$D$616,"&gt;="&amp;TODAY()),""))</f>
        <v/>
      </c>
      <c r="J207">
        <f>IF(I207="","",IFERROR(INDEX(BDD_Calendrier!$E$2:$E$616,MATCH($B207&amp;"|Souscription|"&amp;TEXT(I207,"yyyy-mm-dd"),BDD_Calendrier!$I$2:$I$616,0)),""))</f>
        <v/>
      </c>
      <c r="K207">
        <f>IF(H207=0,"",_xlfn.MAXIFS(BDD_Calendrier!$D$2:$D$616,BDD_Calendrier!$A$2:$A$616,$B207,BDD_Calendrier!$C$2:$C$616,"Souscription"))</f>
        <v/>
      </c>
      <c r="L207">
        <f>COUNTIFS(BDD_Calendrier!$A$2:$A$616,$B207,BDD_Calendrier!$C$2:$C$616,"Rachat")</f>
        <v/>
      </c>
      <c r="M207">
        <f>IF(L207=0,"",IFERROR(_xlfn.MINIFS(BDD_Calendrier!$D$2:$D$616,BDD_Calendrier!$A$2:$A$616,$B207,BDD_Calendrier!$C$2:$C$616,"Rachat",BDD_Calendrier!$D$2:$D$616,"&gt;="&amp;TODAY()),""))</f>
        <v/>
      </c>
      <c r="N207">
        <f>IF(M207="","",IFERROR(INDEX(BDD_Calendrier!$E$2:$E$616,MATCH($B207&amp;"|Rachat|"&amp;TEXT(M207,"yyyy-mm-dd"),BDD_Calendrier!$I$2:$I$616,0)),""))</f>
        <v/>
      </c>
      <c r="O207">
        <f>IF(M207="","",IFERROR(INDEX(BDD_Calendrier!$H$2:$H$616,MATCH($B207&amp;"|Rachat|"&amp;TEXT(M207,"yyyy-mm-dd"),BDD_Calendrier!$I$2:$I$616,0)),""))</f>
        <v/>
      </c>
      <c r="P207">
        <f>IF(L207=0,"",_xlfn.MAXIFS(BDD_Calendrier!$D$2:$D$616,BDD_Calendrier!$A$2:$A$616,$B207,BDD_Calendrier!$C$2:$C$616,"Rachat"))</f>
        <v/>
      </c>
      <c r="Q207">
        <f>IF($C207="","",IF($C207&gt;TODAY(),"FUTUR",DATEDIF($C207,TODAY(),"m")))</f>
        <v/>
      </c>
      <c r="R207">
        <f>COUNTIF(BDD_Penalites!$A$2:$A$130,$B207)</f>
        <v/>
      </c>
      <c r="S207">
        <f>IF(R207=0,"inconnue",INDEX(BDD_Penalites!$C$2:$C$130,MATCH($B207,BDD_Penalites!$A$2:$A$130,0)))</f>
        <v/>
      </c>
      <c r="T207">
        <f>IF(R207=0,"",INDEX(BDD_Penalites!$M$2:$M$130,MATCH($B207,BDD_Penalites!$A$2:$A$130,0)))</f>
        <v/>
      </c>
      <c r="U207">
        <f>IF(R207=0,0,INDEX(BDD_Penalites!$D$2:$D$130,MATCH($B207,BDD_Penalites!$A$2:$A$130,0)))</f>
        <v/>
      </c>
      <c r="V207">
        <f>IF(R207=0,0,INDEX(BDD_Penalites!$E$2:$E$130,MATCH($B207,BDD_Penalites!$A$2:$A$130,0)))</f>
        <v/>
      </c>
      <c r="W207">
        <f>IF(R207=0,0,INDEX(BDD_Penalites!$F$2:$F$130,MATCH($B207,BDD_Penalites!$A$2:$A$130,0)))</f>
        <v/>
      </c>
      <c r="X207">
        <f>IF(R207=0,0,INDEX(BDD_Penalites!$G$2:$G$130,MATCH($B207,BDD_Penalites!$A$2:$A$130,0)))</f>
        <v/>
      </c>
      <c r="Y207">
        <f>IF(R207=0,0,INDEX(BDD_Penalites!$H$2:$H$130,MATCH($B207,BDD_Penalites!$A$2:$A$130,0)))</f>
        <v/>
      </c>
      <c r="Z207">
        <f>IF(R207=0,0,INDEX(BDD_Penalites!$I$2:$I$130,MATCH($B207,BDD_Penalites!$A$2:$A$130,0)))</f>
        <v/>
      </c>
      <c r="AA207">
        <f>IF(R207=0,0,INDEX(BDD_Penalites!$J$2:$J$130,MATCH($B207,BDD_Penalites!$A$2:$A$130,0)))</f>
        <v/>
      </c>
      <c r="AB207">
        <f>IF(R207=0,0,INDEX(BDD_Penalites!$K$2:$K$130,MATCH($B207,BDD_Penalites!$A$2:$A$130,0)))</f>
        <v/>
      </c>
      <c r="AC207">
        <f>IF(R207=0,0,INDEX(BDD_Penalites!$L$2:$L$130,MATCH($B207,BDD_Penalites!$A$2:$A$130,0)))</f>
        <v/>
      </c>
      <c r="AD207">
        <f>IF(OR($C207="",Q207="FUTUR"),"",_xlfn.IFS(Q207&lt;U207,V207,Q207&lt;W207,X207,Q207&lt;Y207,Z207,Q207&lt;AA207,AB207,TRUE,AC207))</f>
        <v/>
      </c>
    </row>
    <row r="208" ht="13.5" customFormat="1" customHeight="1" s="29">
      <c r="A208" s="65" t="inlineStr">
        <is>
          <t>FCPR Eurazeo Private Value Europe 3 - part C</t>
        </is>
      </c>
      <c r="B208" s="66" t="inlineStr">
        <is>
          <t>FR0013301553</t>
        </is>
      </c>
      <c r="C208" s="268" t="n"/>
      <c r="D208" s="269">
        <f>IF(H208=0,"Calendrier non disponible pour ce fonds — contacter la société de gestion.",IF(I208="","Calendrier connu jusqu'au "&amp;TEXT(K208,"dd/mm/yyyy")&amp;" — demander le calendrier à jour.","Cut-off : "&amp;TEXT(I208,"dd/mm/yyyy")&amp;"  |  VL : "&amp;TEXT(J208,"dd/mm/yyyy")))</f>
        <v/>
      </c>
      <c r="E208" s="269">
        <f>IF(L208=0,"Calendrier non disponible pour ce fonds — contacter la société de gestion.",IF(M208="","Calendrier connu jusqu'au "&amp;TEXT(P208,"dd/mm/yyyy")&amp;" — demander le calendrier à jour.","Cut-off : "&amp;TEXT(M208,"dd/mm/yyyy")&amp;"  |  VL : "&amp;TEXT(N208,"dd/mm/yyyy")))</f>
        <v/>
      </c>
      <c r="F208" s="269">
        <f>IF(L208=0,"Calendrier non disponible pour ce fonds.",IF(M208="","Calendrier connu jusqu'au "&amp;TEXT(P208,"dd/mm/yyyy")&amp;".",IF(O208="","Non précisé dans le calendrier pour cette échéance.","Réception : "&amp;TEXT(O208,"dd/mm/yyyy")&amp;"  (suite au rachat du "&amp;TEXT(N208,"dd/mm/yyyy")&amp;")")))</f>
        <v/>
      </c>
      <c r="G208" s="269">
        <f>_xlfn.IFS(S208="aucune","Aucune pénalité de sortie."&amp;IF(T208&lt;&gt;""," ("&amp;T208&amp;")",""),S208="manuel","⚠️ À VÉRIFIER MANUELLEMENT : "&amp;T208,S208="inconnue","Pénalité non renseignée — vérifier la notice / DICI du fonds.",$C208="","Saisir une date d'investissement pour statuer sur la pénalité.",Q208="FUTUR","Date d'investissement postérieure à aujourd'hui — vérifier la saisie.",AD208&gt;0,"⚠️ CONCERNÉ : pénalité de "&amp;AD208&amp;"% (détention "&amp;Q208&amp;" mois). "&amp;T208,TRUE,"Non concerné (détention "&amp;Q208&amp;" mois). "&amp;T208)</f>
        <v/>
      </c>
      <c r="H208">
        <f>COUNTIFS(BDD_Calendrier!$A$2:$A$616,$B208,BDD_Calendrier!$C$2:$C$616,"Souscription")</f>
        <v/>
      </c>
      <c r="I208">
        <f>IF(H208=0,"",IFERROR(_xlfn.MINIFS(BDD_Calendrier!$D$2:$D$616,BDD_Calendrier!$A$2:$A$616,$B208,BDD_Calendrier!$C$2:$C$616,"Souscription",BDD_Calendrier!$D$2:$D$616,"&gt;="&amp;TODAY()),""))</f>
        <v/>
      </c>
      <c r="J208">
        <f>IF(I208="","",IFERROR(INDEX(BDD_Calendrier!$E$2:$E$616,MATCH($B208&amp;"|Souscription|"&amp;TEXT(I208,"yyyy-mm-dd"),BDD_Calendrier!$I$2:$I$616,0)),""))</f>
        <v/>
      </c>
      <c r="K208">
        <f>IF(H208=0,"",_xlfn.MAXIFS(BDD_Calendrier!$D$2:$D$616,BDD_Calendrier!$A$2:$A$616,$B208,BDD_Calendrier!$C$2:$C$616,"Souscription"))</f>
        <v/>
      </c>
      <c r="L208">
        <f>COUNTIFS(BDD_Calendrier!$A$2:$A$616,$B208,BDD_Calendrier!$C$2:$C$616,"Rachat")</f>
        <v/>
      </c>
      <c r="M208">
        <f>IF(L208=0,"",IFERROR(_xlfn.MINIFS(BDD_Calendrier!$D$2:$D$616,BDD_Calendrier!$A$2:$A$616,$B208,BDD_Calendrier!$C$2:$C$616,"Rachat",BDD_Calendrier!$D$2:$D$616,"&gt;="&amp;TODAY()),""))</f>
        <v/>
      </c>
      <c r="N208">
        <f>IF(M208="","",IFERROR(INDEX(BDD_Calendrier!$E$2:$E$616,MATCH($B208&amp;"|Rachat|"&amp;TEXT(M208,"yyyy-mm-dd"),BDD_Calendrier!$I$2:$I$616,0)),""))</f>
        <v/>
      </c>
      <c r="O208">
        <f>IF(M208="","",IFERROR(INDEX(BDD_Calendrier!$H$2:$H$616,MATCH($B208&amp;"|Rachat|"&amp;TEXT(M208,"yyyy-mm-dd"),BDD_Calendrier!$I$2:$I$616,0)),""))</f>
        <v/>
      </c>
      <c r="P208">
        <f>IF(L208=0,"",_xlfn.MAXIFS(BDD_Calendrier!$D$2:$D$616,BDD_Calendrier!$A$2:$A$616,$B208,BDD_Calendrier!$C$2:$C$616,"Rachat"))</f>
        <v/>
      </c>
      <c r="Q208">
        <f>IF($C208="","",IF($C208&gt;TODAY(),"FUTUR",DATEDIF($C208,TODAY(),"m")))</f>
        <v/>
      </c>
      <c r="R208">
        <f>COUNTIF(BDD_Penalites!$A$2:$A$130,$B208)</f>
        <v/>
      </c>
      <c r="S208">
        <f>IF(R208=0,"inconnue",INDEX(BDD_Penalites!$C$2:$C$130,MATCH($B208,BDD_Penalites!$A$2:$A$130,0)))</f>
        <v/>
      </c>
      <c r="T208">
        <f>IF(R208=0,"",INDEX(BDD_Penalites!$M$2:$M$130,MATCH($B208,BDD_Penalites!$A$2:$A$130,0)))</f>
        <v/>
      </c>
      <c r="U208">
        <f>IF(R208=0,0,INDEX(BDD_Penalites!$D$2:$D$130,MATCH($B208,BDD_Penalites!$A$2:$A$130,0)))</f>
        <v/>
      </c>
      <c r="V208">
        <f>IF(R208=0,0,INDEX(BDD_Penalites!$E$2:$E$130,MATCH($B208,BDD_Penalites!$A$2:$A$130,0)))</f>
        <v/>
      </c>
      <c r="W208">
        <f>IF(R208=0,0,INDEX(BDD_Penalites!$F$2:$F$130,MATCH($B208,BDD_Penalites!$A$2:$A$130,0)))</f>
        <v/>
      </c>
      <c r="X208">
        <f>IF(R208=0,0,INDEX(BDD_Penalites!$G$2:$G$130,MATCH($B208,BDD_Penalites!$A$2:$A$130,0)))</f>
        <v/>
      </c>
      <c r="Y208">
        <f>IF(R208=0,0,INDEX(BDD_Penalites!$H$2:$H$130,MATCH($B208,BDD_Penalites!$A$2:$A$130,0)))</f>
        <v/>
      </c>
      <c r="Z208">
        <f>IF(R208=0,0,INDEX(BDD_Penalites!$I$2:$I$130,MATCH($B208,BDD_Penalites!$A$2:$A$130,0)))</f>
        <v/>
      </c>
      <c r="AA208">
        <f>IF(R208=0,0,INDEX(BDD_Penalites!$J$2:$J$130,MATCH($B208,BDD_Penalites!$A$2:$A$130,0)))</f>
        <v/>
      </c>
      <c r="AB208">
        <f>IF(R208=0,0,INDEX(BDD_Penalites!$K$2:$K$130,MATCH($B208,BDD_Penalites!$A$2:$A$130,0)))</f>
        <v/>
      </c>
      <c r="AC208">
        <f>IF(R208=0,0,INDEX(BDD_Penalites!$L$2:$L$130,MATCH($B208,BDD_Penalites!$A$2:$A$130,0)))</f>
        <v/>
      </c>
      <c r="AD208">
        <f>IF(OR($C208="",Q208="FUTUR"),"",_xlfn.IFS(Q208&lt;U208,V208,Q208&lt;W208,X208,Q208&lt;Y208,Z208,Q208&lt;AA208,AB208,TRUE,AC208))</f>
        <v/>
      </c>
    </row>
    <row r="209" ht="13.5" customHeight="1">
      <c r="A209" s="65" t="inlineStr">
        <is>
          <t>FCPR Eurazeo Private Value Europe 3 - part A</t>
        </is>
      </c>
      <c r="B209" s="66" t="inlineStr">
        <is>
          <t>FR0013301546</t>
        </is>
      </c>
      <c r="C209" s="268" t="n"/>
      <c r="D209" s="269">
        <f>IF(H209=0,"Calendrier non disponible pour ce fonds — contacter la société de gestion.",IF(I209="","Calendrier connu jusqu'au "&amp;TEXT(K209,"dd/mm/yyyy")&amp;" — demander le calendrier à jour.","Cut-off : "&amp;TEXT(I209,"dd/mm/yyyy")&amp;"  |  VL : "&amp;TEXT(J209,"dd/mm/yyyy")))</f>
        <v/>
      </c>
      <c r="E209" s="269">
        <f>IF(L209=0,"Calendrier non disponible pour ce fonds — contacter la société de gestion.",IF(M209="","Calendrier connu jusqu'au "&amp;TEXT(P209,"dd/mm/yyyy")&amp;" — demander le calendrier à jour.","Cut-off : "&amp;TEXT(M209,"dd/mm/yyyy")&amp;"  |  VL : "&amp;TEXT(N209,"dd/mm/yyyy")))</f>
        <v/>
      </c>
      <c r="F209" s="269">
        <f>IF(L209=0,"Calendrier non disponible pour ce fonds.",IF(M209="","Calendrier connu jusqu'au "&amp;TEXT(P209,"dd/mm/yyyy")&amp;".",IF(O209="","Non précisé dans le calendrier pour cette échéance.","Réception : "&amp;TEXT(O209,"dd/mm/yyyy")&amp;"  (suite au rachat du "&amp;TEXT(N209,"dd/mm/yyyy")&amp;")")))</f>
        <v/>
      </c>
      <c r="G209" s="269">
        <f>_xlfn.IFS(S209="aucune","Aucune pénalité de sortie."&amp;IF(T209&lt;&gt;""," ("&amp;T209&amp;")",""),S209="manuel","⚠️ À VÉRIFIER MANUELLEMENT : "&amp;T209,S209="inconnue","Pénalité non renseignée — vérifier la notice / DICI du fonds.",$C209="","Saisir une date d'investissement pour statuer sur la pénalité.",Q209="FUTUR","Date d'investissement postérieure à aujourd'hui — vérifier la saisie.",AD209&gt;0,"⚠️ CONCERNÉ : pénalité de "&amp;AD209&amp;"% (détention "&amp;Q209&amp;" mois). "&amp;T209,TRUE,"Non concerné (détention "&amp;Q209&amp;" mois). "&amp;T209)</f>
        <v/>
      </c>
      <c r="H209">
        <f>COUNTIFS(BDD_Calendrier!$A$2:$A$616,$B209,BDD_Calendrier!$C$2:$C$616,"Souscription")</f>
        <v/>
      </c>
      <c r="I209">
        <f>IF(H209=0,"",IFERROR(_xlfn.MINIFS(BDD_Calendrier!$D$2:$D$616,BDD_Calendrier!$A$2:$A$616,$B209,BDD_Calendrier!$C$2:$C$616,"Souscription",BDD_Calendrier!$D$2:$D$616,"&gt;="&amp;TODAY()),""))</f>
        <v/>
      </c>
      <c r="J209">
        <f>IF(I209="","",IFERROR(INDEX(BDD_Calendrier!$E$2:$E$616,MATCH($B209&amp;"|Souscription|"&amp;TEXT(I209,"yyyy-mm-dd"),BDD_Calendrier!$I$2:$I$616,0)),""))</f>
        <v/>
      </c>
      <c r="K209">
        <f>IF(H209=0,"",_xlfn.MAXIFS(BDD_Calendrier!$D$2:$D$616,BDD_Calendrier!$A$2:$A$616,$B209,BDD_Calendrier!$C$2:$C$616,"Souscription"))</f>
        <v/>
      </c>
      <c r="L209">
        <f>COUNTIFS(BDD_Calendrier!$A$2:$A$616,$B209,BDD_Calendrier!$C$2:$C$616,"Rachat")</f>
        <v/>
      </c>
      <c r="M209">
        <f>IF(L209=0,"",IFERROR(_xlfn.MINIFS(BDD_Calendrier!$D$2:$D$616,BDD_Calendrier!$A$2:$A$616,$B209,BDD_Calendrier!$C$2:$C$616,"Rachat",BDD_Calendrier!$D$2:$D$616,"&gt;="&amp;TODAY()),""))</f>
        <v/>
      </c>
      <c r="N209">
        <f>IF(M209="","",IFERROR(INDEX(BDD_Calendrier!$E$2:$E$616,MATCH($B209&amp;"|Rachat|"&amp;TEXT(M209,"yyyy-mm-dd"),BDD_Calendrier!$I$2:$I$616,0)),""))</f>
        <v/>
      </c>
      <c r="O209">
        <f>IF(M209="","",IFERROR(INDEX(BDD_Calendrier!$H$2:$H$616,MATCH($B209&amp;"|Rachat|"&amp;TEXT(M209,"yyyy-mm-dd"),BDD_Calendrier!$I$2:$I$616,0)),""))</f>
        <v/>
      </c>
      <c r="P209">
        <f>IF(L209=0,"",_xlfn.MAXIFS(BDD_Calendrier!$D$2:$D$616,BDD_Calendrier!$A$2:$A$616,$B209,BDD_Calendrier!$C$2:$C$616,"Rachat"))</f>
        <v/>
      </c>
      <c r="Q209">
        <f>IF($C209="","",IF($C209&gt;TODAY(),"FUTUR",DATEDIF($C209,TODAY(),"m")))</f>
        <v/>
      </c>
      <c r="R209">
        <f>COUNTIF(BDD_Penalites!$A$2:$A$130,$B209)</f>
        <v/>
      </c>
      <c r="S209">
        <f>IF(R209=0,"inconnue",INDEX(BDD_Penalites!$C$2:$C$130,MATCH($B209,BDD_Penalites!$A$2:$A$130,0)))</f>
        <v/>
      </c>
      <c r="T209">
        <f>IF(R209=0,"",INDEX(BDD_Penalites!$M$2:$M$130,MATCH($B209,BDD_Penalites!$A$2:$A$130,0)))</f>
        <v/>
      </c>
      <c r="U209">
        <f>IF(R209=0,0,INDEX(BDD_Penalites!$D$2:$D$130,MATCH($B209,BDD_Penalites!$A$2:$A$130,0)))</f>
        <v/>
      </c>
      <c r="V209">
        <f>IF(R209=0,0,INDEX(BDD_Penalites!$E$2:$E$130,MATCH($B209,BDD_Penalites!$A$2:$A$130,0)))</f>
        <v/>
      </c>
      <c r="W209">
        <f>IF(R209=0,0,INDEX(BDD_Penalites!$F$2:$F$130,MATCH($B209,BDD_Penalites!$A$2:$A$130,0)))</f>
        <v/>
      </c>
      <c r="X209">
        <f>IF(R209=0,0,INDEX(BDD_Penalites!$G$2:$G$130,MATCH($B209,BDD_Penalites!$A$2:$A$130,0)))</f>
        <v/>
      </c>
      <c r="Y209">
        <f>IF(R209=0,0,INDEX(BDD_Penalites!$H$2:$H$130,MATCH($B209,BDD_Penalites!$A$2:$A$130,0)))</f>
        <v/>
      </c>
      <c r="Z209">
        <f>IF(R209=0,0,INDEX(BDD_Penalites!$I$2:$I$130,MATCH($B209,BDD_Penalites!$A$2:$A$130,0)))</f>
        <v/>
      </c>
      <c r="AA209">
        <f>IF(R209=0,0,INDEX(BDD_Penalites!$J$2:$J$130,MATCH($B209,BDD_Penalites!$A$2:$A$130,0)))</f>
        <v/>
      </c>
      <c r="AB209">
        <f>IF(R209=0,0,INDEX(BDD_Penalites!$K$2:$K$130,MATCH($B209,BDD_Penalites!$A$2:$A$130,0)))</f>
        <v/>
      </c>
      <c r="AC209">
        <f>IF(R209=0,0,INDEX(BDD_Penalites!$L$2:$L$130,MATCH($B209,BDD_Penalites!$A$2:$A$130,0)))</f>
        <v/>
      </c>
      <c r="AD209">
        <f>IF(OR($C209="",Q209="FUTUR"),"",_xlfn.IFS(Q209&lt;U209,V209,Q209&lt;W209,X209,Q209&lt;Y209,Z209,Q209&lt;AA209,AB209,TRUE,AC209))</f>
        <v/>
      </c>
    </row>
    <row r="210" ht="13.5" customHeight="1">
      <c r="A210" s="65" t="inlineStr">
        <is>
          <t xml:space="preserve">Goldman Sachs European Credit </t>
        </is>
      </c>
      <c r="B210" s="66" t="inlineStr">
        <is>
          <t>LU2605912075</t>
        </is>
      </c>
      <c r="C210" s="268" t="n"/>
      <c r="D210" s="269">
        <f>IF(H210=0,"Calendrier non disponible pour ce fonds — contacter la société de gestion.",IF(I210="","Calendrier connu jusqu'au "&amp;TEXT(K210,"dd/mm/yyyy")&amp;" — demander le calendrier à jour.","Cut-off : "&amp;TEXT(I210,"dd/mm/yyyy")&amp;"  |  VL : "&amp;TEXT(J210,"dd/mm/yyyy")))</f>
        <v/>
      </c>
      <c r="E210" s="269">
        <f>IF(L210=0,"Calendrier non disponible pour ce fonds — contacter la société de gestion.",IF(M210="","Calendrier connu jusqu'au "&amp;TEXT(P210,"dd/mm/yyyy")&amp;" — demander le calendrier à jour.","Cut-off : "&amp;TEXT(M210,"dd/mm/yyyy")&amp;"  |  VL : "&amp;TEXT(N210,"dd/mm/yyyy")))</f>
        <v/>
      </c>
      <c r="F210" s="269">
        <f>IF(L210=0,"Calendrier non disponible pour ce fonds.",IF(M210="","Calendrier connu jusqu'au "&amp;TEXT(P210,"dd/mm/yyyy")&amp;".",IF(O210="","Non précisé dans le calendrier pour cette échéance.","Réception : "&amp;TEXT(O210,"dd/mm/yyyy")&amp;"  (suite au rachat du "&amp;TEXT(N210,"dd/mm/yyyy")&amp;")")))</f>
        <v/>
      </c>
      <c r="G210" s="269">
        <f>_xlfn.IFS(S210="aucune","Aucune pénalité de sortie."&amp;IF(T210&lt;&gt;""," ("&amp;T210&amp;")",""),S210="manuel","⚠️ À VÉRIFIER MANUELLEMENT : "&amp;T210,S210="inconnue","Pénalité non renseignée — vérifier la notice / DICI du fonds.",$C210="","Saisir une date d'investissement pour statuer sur la pénalité.",Q210="FUTUR","Date d'investissement postérieure à aujourd'hui — vérifier la saisie.",AD210&gt;0,"⚠️ CONCERNÉ : pénalité de "&amp;AD210&amp;"% (détention "&amp;Q210&amp;" mois). "&amp;T210,TRUE,"Non concerné (détention "&amp;Q210&amp;" mois). "&amp;T210)</f>
        <v/>
      </c>
      <c r="H210">
        <f>COUNTIFS(BDD_Calendrier!$A$2:$A$616,$B210,BDD_Calendrier!$C$2:$C$616,"Souscription")</f>
        <v/>
      </c>
      <c r="I210">
        <f>IF(H210=0,"",IFERROR(_xlfn.MINIFS(BDD_Calendrier!$D$2:$D$616,BDD_Calendrier!$A$2:$A$616,$B210,BDD_Calendrier!$C$2:$C$616,"Souscription",BDD_Calendrier!$D$2:$D$616,"&gt;="&amp;TODAY()),""))</f>
        <v/>
      </c>
      <c r="J210">
        <f>IF(I210="","",IFERROR(INDEX(BDD_Calendrier!$E$2:$E$616,MATCH($B210&amp;"|Souscription|"&amp;TEXT(I210,"yyyy-mm-dd"),BDD_Calendrier!$I$2:$I$616,0)),""))</f>
        <v/>
      </c>
      <c r="K210">
        <f>IF(H210=0,"",_xlfn.MAXIFS(BDD_Calendrier!$D$2:$D$616,BDD_Calendrier!$A$2:$A$616,$B210,BDD_Calendrier!$C$2:$C$616,"Souscription"))</f>
        <v/>
      </c>
      <c r="L210">
        <f>COUNTIFS(BDD_Calendrier!$A$2:$A$616,$B210,BDD_Calendrier!$C$2:$C$616,"Rachat")</f>
        <v/>
      </c>
      <c r="M210">
        <f>IF(L210=0,"",IFERROR(_xlfn.MINIFS(BDD_Calendrier!$D$2:$D$616,BDD_Calendrier!$A$2:$A$616,$B210,BDD_Calendrier!$C$2:$C$616,"Rachat",BDD_Calendrier!$D$2:$D$616,"&gt;="&amp;TODAY()),""))</f>
        <v/>
      </c>
      <c r="N210">
        <f>IF(M210="","",IFERROR(INDEX(BDD_Calendrier!$E$2:$E$616,MATCH($B210&amp;"|Rachat|"&amp;TEXT(M210,"yyyy-mm-dd"),BDD_Calendrier!$I$2:$I$616,0)),""))</f>
        <v/>
      </c>
      <c r="O210">
        <f>IF(M210="","",IFERROR(INDEX(BDD_Calendrier!$H$2:$H$616,MATCH($B210&amp;"|Rachat|"&amp;TEXT(M210,"yyyy-mm-dd"),BDD_Calendrier!$I$2:$I$616,0)),""))</f>
        <v/>
      </c>
      <c r="P210">
        <f>IF(L210=0,"",_xlfn.MAXIFS(BDD_Calendrier!$D$2:$D$616,BDD_Calendrier!$A$2:$A$616,$B210,BDD_Calendrier!$C$2:$C$616,"Rachat"))</f>
        <v/>
      </c>
      <c r="Q210">
        <f>IF($C210="","",IF($C210&gt;TODAY(),"FUTUR",DATEDIF($C210,TODAY(),"m")))</f>
        <v/>
      </c>
      <c r="R210">
        <f>COUNTIF(BDD_Penalites!$A$2:$A$130,$B210)</f>
        <v/>
      </c>
      <c r="S210">
        <f>IF(R210=0,"inconnue",INDEX(BDD_Penalites!$C$2:$C$130,MATCH($B210,BDD_Penalites!$A$2:$A$130,0)))</f>
        <v/>
      </c>
      <c r="T210">
        <f>IF(R210=0,"",INDEX(BDD_Penalites!$M$2:$M$130,MATCH($B210,BDD_Penalites!$A$2:$A$130,0)))</f>
        <v/>
      </c>
      <c r="U210">
        <f>IF(R210=0,0,INDEX(BDD_Penalites!$D$2:$D$130,MATCH($B210,BDD_Penalites!$A$2:$A$130,0)))</f>
        <v/>
      </c>
      <c r="V210">
        <f>IF(R210=0,0,INDEX(BDD_Penalites!$E$2:$E$130,MATCH($B210,BDD_Penalites!$A$2:$A$130,0)))</f>
        <v/>
      </c>
      <c r="W210">
        <f>IF(R210=0,0,INDEX(BDD_Penalites!$F$2:$F$130,MATCH($B210,BDD_Penalites!$A$2:$A$130,0)))</f>
        <v/>
      </c>
      <c r="X210">
        <f>IF(R210=0,0,INDEX(BDD_Penalites!$G$2:$G$130,MATCH($B210,BDD_Penalites!$A$2:$A$130,0)))</f>
        <v/>
      </c>
      <c r="Y210">
        <f>IF(R210=0,0,INDEX(BDD_Penalites!$H$2:$H$130,MATCH($B210,BDD_Penalites!$A$2:$A$130,0)))</f>
        <v/>
      </c>
      <c r="Z210">
        <f>IF(R210=0,0,INDEX(BDD_Penalites!$I$2:$I$130,MATCH($B210,BDD_Penalites!$A$2:$A$130,0)))</f>
        <v/>
      </c>
      <c r="AA210">
        <f>IF(R210=0,0,INDEX(BDD_Penalites!$J$2:$J$130,MATCH($B210,BDD_Penalites!$A$2:$A$130,0)))</f>
        <v/>
      </c>
      <c r="AB210">
        <f>IF(R210=0,0,INDEX(BDD_Penalites!$K$2:$K$130,MATCH($B210,BDD_Penalites!$A$2:$A$130,0)))</f>
        <v/>
      </c>
      <c r="AC210">
        <f>IF(R210=0,0,INDEX(BDD_Penalites!$L$2:$L$130,MATCH($B210,BDD_Penalites!$A$2:$A$130,0)))</f>
        <v/>
      </c>
      <c r="AD210">
        <f>IF(OR($C210="",Q210="FUTUR"),"",_xlfn.IFS(Q210&lt;U210,V210,Q210&lt;W210,X210,Q210&lt;Y210,Z210,Q210&lt;AA210,AB210,TRUE,AC210))</f>
        <v/>
      </c>
    </row>
    <row r="211" ht="13.5" customHeight="1">
      <c r="A211" s="65" t="inlineStr">
        <is>
          <t>Ares European Credit Solutions A</t>
        </is>
      </c>
      <c r="B211" s="66" t="inlineStr">
        <is>
          <t>LU2702161618</t>
        </is>
      </c>
      <c r="C211" s="268" t="n"/>
      <c r="D211" s="269">
        <f>IF(H211=0,"Calendrier non disponible pour ce fonds — contacter la société de gestion.",IF(I211="","Calendrier connu jusqu'au "&amp;TEXT(K211,"dd/mm/yyyy")&amp;" — demander le calendrier à jour.","Cut-off : "&amp;TEXT(I211,"dd/mm/yyyy")&amp;"  |  VL : "&amp;TEXT(J211,"dd/mm/yyyy")))</f>
        <v/>
      </c>
      <c r="E211" s="269">
        <f>IF(L211=0,"Calendrier non disponible pour ce fonds — contacter la société de gestion.",IF(M211="","Calendrier connu jusqu'au "&amp;TEXT(P211,"dd/mm/yyyy")&amp;" — demander le calendrier à jour.","Cut-off : "&amp;TEXT(M211,"dd/mm/yyyy")&amp;"  |  VL : "&amp;TEXT(N211,"dd/mm/yyyy")))</f>
        <v/>
      </c>
      <c r="F211" s="269">
        <f>IF(L211=0,"Calendrier non disponible pour ce fonds.",IF(M211="","Calendrier connu jusqu'au "&amp;TEXT(P211,"dd/mm/yyyy")&amp;".",IF(O211="","Non précisé dans le calendrier pour cette échéance.","Réception : "&amp;TEXT(O211,"dd/mm/yyyy")&amp;"  (suite au rachat du "&amp;TEXT(N211,"dd/mm/yyyy")&amp;")")))</f>
        <v/>
      </c>
      <c r="G211" s="269">
        <f>_xlfn.IFS(S211="aucune","Aucune pénalité de sortie."&amp;IF(T211&lt;&gt;""," ("&amp;T211&amp;")",""),S211="manuel","⚠️ À VÉRIFIER MANUELLEMENT : "&amp;T211,S211="inconnue","Pénalité non renseignée — vérifier la notice / DICI du fonds.",$C211="","Saisir une date d'investissement pour statuer sur la pénalité.",Q211="FUTUR","Date d'investissement postérieure à aujourd'hui — vérifier la saisie.",AD211&gt;0,"⚠️ CONCERNÉ : pénalité de "&amp;AD211&amp;"% (détention "&amp;Q211&amp;" mois). "&amp;T211,TRUE,"Non concerné (détention "&amp;Q211&amp;" mois). "&amp;T211)</f>
        <v/>
      </c>
      <c r="H211">
        <f>COUNTIFS(BDD_Calendrier!$A$2:$A$616,$B211,BDD_Calendrier!$C$2:$C$616,"Souscription")</f>
        <v/>
      </c>
      <c r="I211">
        <f>IF(H211=0,"",IFERROR(_xlfn.MINIFS(BDD_Calendrier!$D$2:$D$616,BDD_Calendrier!$A$2:$A$616,$B211,BDD_Calendrier!$C$2:$C$616,"Souscription",BDD_Calendrier!$D$2:$D$616,"&gt;="&amp;TODAY()),""))</f>
        <v/>
      </c>
      <c r="J211">
        <f>IF(I211="","",IFERROR(INDEX(BDD_Calendrier!$E$2:$E$616,MATCH($B211&amp;"|Souscription|"&amp;TEXT(I211,"yyyy-mm-dd"),BDD_Calendrier!$I$2:$I$616,0)),""))</f>
        <v/>
      </c>
      <c r="K211">
        <f>IF(H211=0,"",_xlfn.MAXIFS(BDD_Calendrier!$D$2:$D$616,BDD_Calendrier!$A$2:$A$616,$B211,BDD_Calendrier!$C$2:$C$616,"Souscription"))</f>
        <v/>
      </c>
      <c r="L211">
        <f>COUNTIFS(BDD_Calendrier!$A$2:$A$616,$B211,BDD_Calendrier!$C$2:$C$616,"Rachat")</f>
        <v/>
      </c>
      <c r="M211">
        <f>IF(L211=0,"",IFERROR(_xlfn.MINIFS(BDD_Calendrier!$D$2:$D$616,BDD_Calendrier!$A$2:$A$616,$B211,BDD_Calendrier!$C$2:$C$616,"Rachat",BDD_Calendrier!$D$2:$D$616,"&gt;="&amp;TODAY()),""))</f>
        <v/>
      </c>
      <c r="N211">
        <f>IF(M211="","",IFERROR(INDEX(BDD_Calendrier!$E$2:$E$616,MATCH($B211&amp;"|Rachat|"&amp;TEXT(M211,"yyyy-mm-dd"),BDD_Calendrier!$I$2:$I$616,0)),""))</f>
        <v/>
      </c>
      <c r="O211">
        <f>IF(M211="","",IFERROR(INDEX(BDD_Calendrier!$H$2:$H$616,MATCH($B211&amp;"|Rachat|"&amp;TEXT(M211,"yyyy-mm-dd"),BDD_Calendrier!$I$2:$I$616,0)),""))</f>
        <v/>
      </c>
      <c r="P211">
        <f>IF(L211=0,"",_xlfn.MAXIFS(BDD_Calendrier!$D$2:$D$616,BDD_Calendrier!$A$2:$A$616,$B211,BDD_Calendrier!$C$2:$C$616,"Rachat"))</f>
        <v/>
      </c>
      <c r="Q211">
        <f>IF($C211="","",IF($C211&gt;TODAY(),"FUTUR",DATEDIF($C211,TODAY(),"m")))</f>
        <v/>
      </c>
      <c r="R211">
        <f>COUNTIF(BDD_Penalites!$A$2:$A$130,$B211)</f>
        <v/>
      </c>
      <c r="S211">
        <f>IF(R211=0,"inconnue",INDEX(BDD_Penalites!$C$2:$C$130,MATCH($B211,BDD_Penalites!$A$2:$A$130,0)))</f>
        <v/>
      </c>
      <c r="T211">
        <f>IF(R211=0,"",INDEX(BDD_Penalites!$M$2:$M$130,MATCH($B211,BDD_Penalites!$A$2:$A$130,0)))</f>
        <v/>
      </c>
      <c r="U211">
        <f>IF(R211=0,0,INDEX(BDD_Penalites!$D$2:$D$130,MATCH($B211,BDD_Penalites!$A$2:$A$130,0)))</f>
        <v/>
      </c>
      <c r="V211">
        <f>IF(R211=0,0,INDEX(BDD_Penalites!$E$2:$E$130,MATCH($B211,BDD_Penalites!$A$2:$A$130,0)))</f>
        <v/>
      </c>
      <c r="W211">
        <f>IF(R211=0,0,INDEX(BDD_Penalites!$F$2:$F$130,MATCH($B211,BDD_Penalites!$A$2:$A$130,0)))</f>
        <v/>
      </c>
      <c r="X211">
        <f>IF(R211=0,0,INDEX(BDD_Penalites!$G$2:$G$130,MATCH($B211,BDD_Penalites!$A$2:$A$130,0)))</f>
        <v/>
      </c>
      <c r="Y211">
        <f>IF(R211=0,0,INDEX(BDD_Penalites!$H$2:$H$130,MATCH($B211,BDD_Penalites!$A$2:$A$130,0)))</f>
        <v/>
      </c>
      <c r="Z211">
        <f>IF(R211=0,0,INDEX(BDD_Penalites!$I$2:$I$130,MATCH($B211,BDD_Penalites!$A$2:$A$130,0)))</f>
        <v/>
      </c>
      <c r="AA211">
        <f>IF(R211=0,0,INDEX(BDD_Penalites!$J$2:$J$130,MATCH($B211,BDD_Penalites!$A$2:$A$130,0)))</f>
        <v/>
      </c>
      <c r="AB211">
        <f>IF(R211=0,0,INDEX(BDD_Penalites!$K$2:$K$130,MATCH($B211,BDD_Penalites!$A$2:$A$130,0)))</f>
        <v/>
      </c>
      <c r="AC211">
        <f>IF(R211=0,0,INDEX(BDD_Penalites!$L$2:$L$130,MATCH($B211,BDD_Penalites!$A$2:$A$130,0)))</f>
        <v/>
      </c>
      <c r="AD211">
        <f>IF(OR($C211="",Q211="FUTUR"),"",_xlfn.IFS(Q211&lt;U211,V211,Q211&lt;W211,X211,Q211&lt;Y211,Z211,Q211&lt;AA211,AB211,TRUE,AC211))</f>
        <v/>
      </c>
    </row>
    <row r="212" ht="13.5" customFormat="1" customHeight="1" s="29">
      <c r="A212" s="101" t="inlineStr">
        <is>
          <t xml:space="preserve">Ares European Credit Solutions I </t>
        </is>
      </c>
      <c r="B212" s="102" t="inlineStr">
        <is>
          <t>LU2702162343</t>
        </is>
      </c>
      <c r="C212" s="268" t="n"/>
      <c r="D212" s="269">
        <f>IF(H212=0,"Calendrier non disponible pour ce fonds — contacter la société de gestion.",IF(I212="","Calendrier connu jusqu'au "&amp;TEXT(K212,"dd/mm/yyyy")&amp;" — demander le calendrier à jour.","Cut-off : "&amp;TEXT(I212,"dd/mm/yyyy")&amp;"  |  VL : "&amp;TEXT(J212,"dd/mm/yyyy")))</f>
        <v/>
      </c>
      <c r="E212" s="269">
        <f>IF(L212=0,"Calendrier non disponible pour ce fonds — contacter la société de gestion.",IF(M212="","Calendrier connu jusqu'au "&amp;TEXT(P212,"dd/mm/yyyy")&amp;" — demander le calendrier à jour.","Cut-off : "&amp;TEXT(M212,"dd/mm/yyyy")&amp;"  |  VL : "&amp;TEXT(N212,"dd/mm/yyyy")))</f>
        <v/>
      </c>
      <c r="F212" s="269">
        <f>IF(L212=0,"Calendrier non disponible pour ce fonds.",IF(M212="","Calendrier connu jusqu'au "&amp;TEXT(P212,"dd/mm/yyyy")&amp;".",IF(O212="","Non précisé dans le calendrier pour cette échéance.","Réception : "&amp;TEXT(O212,"dd/mm/yyyy")&amp;"  (suite au rachat du "&amp;TEXT(N212,"dd/mm/yyyy")&amp;")")))</f>
        <v/>
      </c>
      <c r="G212" s="269">
        <f>_xlfn.IFS(S212="aucune","Aucune pénalité de sortie."&amp;IF(T212&lt;&gt;""," ("&amp;T212&amp;")",""),S212="manuel","⚠️ À VÉRIFIER MANUELLEMENT : "&amp;T212,S212="inconnue","Pénalité non renseignée — vérifier la notice / DICI du fonds.",$C212="","Saisir une date d'investissement pour statuer sur la pénalité.",Q212="FUTUR","Date d'investissement postérieure à aujourd'hui — vérifier la saisie.",AD212&gt;0,"⚠️ CONCERNÉ : pénalité de "&amp;AD212&amp;"% (détention "&amp;Q212&amp;" mois). "&amp;T212,TRUE,"Non concerné (détention "&amp;Q212&amp;" mois). "&amp;T212)</f>
        <v/>
      </c>
      <c r="H212">
        <f>COUNTIFS(BDD_Calendrier!$A$2:$A$616,$B212,BDD_Calendrier!$C$2:$C$616,"Souscription")</f>
        <v/>
      </c>
      <c r="I212">
        <f>IF(H212=0,"",IFERROR(_xlfn.MINIFS(BDD_Calendrier!$D$2:$D$616,BDD_Calendrier!$A$2:$A$616,$B212,BDD_Calendrier!$C$2:$C$616,"Souscription",BDD_Calendrier!$D$2:$D$616,"&gt;="&amp;TODAY()),""))</f>
        <v/>
      </c>
      <c r="J212">
        <f>IF(I212="","",IFERROR(INDEX(BDD_Calendrier!$E$2:$E$616,MATCH($B212&amp;"|Souscription|"&amp;TEXT(I212,"yyyy-mm-dd"),BDD_Calendrier!$I$2:$I$616,0)),""))</f>
        <v/>
      </c>
      <c r="K212">
        <f>IF(H212=0,"",_xlfn.MAXIFS(BDD_Calendrier!$D$2:$D$616,BDD_Calendrier!$A$2:$A$616,$B212,BDD_Calendrier!$C$2:$C$616,"Souscription"))</f>
        <v/>
      </c>
      <c r="L212">
        <f>COUNTIFS(BDD_Calendrier!$A$2:$A$616,$B212,BDD_Calendrier!$C$2:$C$616,"Rachat")</f>
        <v/>
      </c>
      <c r="M212">
        <f>IF(L212=0,"",IFERROR(_xlfn.MINIFS(BDD_Calendrier!$D$2:$D$616,BDD_Calendrier!$A$2:$A$616,$B212,BDD_Calendrier!$C$2:$C$616,"Rachat",BDD_Calendrier!$D$2:$D$616,"&gt;="&amp;TODAY()),""))</f>
        <v/>
      </c>
      <c r="N212">
        <f>IF(M212="","",IFERROR(INDEX(BDD_Calendrier!$E$2:$E$616,MATCH($B212&amp;"|Rachat|"&amp;TEXT(M212,"yyyy-mm-dd"),BDD_Calendrier!$I$2:$I$616,0)),""))</f>
        <v/>
      </c>
      <c r="O212">
        <f>IF(M212="","",IFERROR(INDEX(BDD_Calendrier!$H$2:$H$616,MATCH($B212&amp;"|Rachat|"&amp;TEXT(M212,"yyyy-mm-dd"),BDD_Calendrier!$I$2:$I$616,0)),""))</f>
        <v/>
      </c>
      <c r="P212">
        <f>IF(L212=0,"",_xlfn.MAXIFS(BDD_Calendrier!$D$2:$D$616,BDD_Calendrier!$A$2:$A$616,$B212,BDD_Calendrier!$C$2:$C$616,"Rachat"))</f>
        <v/>
      </c>
      <c r="Q212">
        <f>IF($C212="","",IF($C212&gt;TODAY(),"FUTUR",DATEDIF($C212,TODAY(),"m")))</f>
        <v/>
      </c>
      <c r="R212">
        <f>COUNTIF(BDD_Penalites!$A$2:$A$130,$B212)</f>
        <v/>
      </c>
      <c r="S212">
        <f>IF(R212=0,"inconnue",INDEX(BDD_Penalites!$C$2:$C$130,MATCH($B212,BDD_Penalites!$A$2:$A$130,0)))</f>
        <v/>
      </c>
      <c r="T212">
        <f>IF(R212=0,"",INDEX(BDD_Penalites!$M$2:$M$130,MATCH($B212,BDD_Penalites!$A$2:$A$130,0)))</f>
        <v/>
      </c>
      <c r="U212">
        <f>IF(R212=0,0,INDEX(BDD_Penalites!$D$2:$D$130,MATCH($B212,BDD_Penalites!$A$2:$A$130,0)))</f>
        <v/>
      </c>
      <c r="V212">
        <f>IF(R212=0,0,INDEX(BDD_Penalites!$E$2:$E$130,MATCH($B212,BDD_Penalites!$A$2:$A$130,0)))</f>
        <v/>
      </c>
      <c r="W212">
        <f>IF(R212=0,0,INDEX(BDD_Penalites!$F$2:$F$130,MATCH($B212,BDD_Penalites!$A$2:$A$130,0)))</f>
        <v/>
      </c>
      <c r="X212">
        <f>IF(R212=0,0,INDEX(BDD_Penalites!$G$2:$G$130,MATCH($B212,BDD_Penalites!$A$2:$A$130,0)))</f>
        <v/>
      </c>
      <c r="Y212">
        <f>IF(R212=0,0,INDEX(BDD_Penalites!$H$2:$H$130,MATCH($B212,BDD_Penalites!$A$2:$A$130,0)))</f>
        <v/>
      </c>
      <c r="Z212">
        <f>IF(R212=0,0,INDEX(BDD_Penalites!$I$2:$I$130,MATCH($B212,BDD_Penalites!$A$2:$A$130,0)))</f>
        <v/>
      </c>
      <c r="AA212">
        <f>IF(R212=0,0,INDEX(BDD_Penalites!$J$2:$J$130,MATCH($B212,BDD_Penalites!$A$2:$A$130,0)))</f>
        <v/>
      </c>
      <c r="AB212">
        <f>IF(R212=0,0,INDEX(BDD_Penalites!$K$2:$K$130,MATCH($B212,BDD_Penalites!$A$2:$A$130,0)))</f>
        <v/>
      </c>
      <c r="AC212">
        <f>IF(R212=0,0,INDEX(BDD_Penalites!$L$2:$L$130,MATCH($B212,BDD_Penalites!$A$2:$A$130,0)))</f>
        <v/>
      </c>
      <c r="AD212">
        <f>IF(OR($C212="",Q212="FUTUR"),"",_xlfn.IFS(Q212&lt;U212,V212,Q212&lt;W212,X212,Q212&lt;Y212,Z212,Q212&lt;AA212,AB212,TRUE,AC212))</f>
        <v/>
      </c>
    </row>
    <row r="213" ht="13.5" customHeight="1">
      <c r="A213" s="65" t="inlineStr">
        <is>
          <t>Hamilton Lane SCOPE</t>
        </is>
      </c>
      <c r="B213" s="66" t="inlineStr">
        <is>
          <t>LU2547277330</t>
        </is>
      </c>
      <c r="C213" s="268" t="n"/>
      <c r="D213" s="269">
        <f>IF(H213=0,"Calendrier non disponible pour ce fonds — contacter la société de gestion.",IF(I213="","Calendrier connu jusqu'au "&amp;TEXT(K213,"dd/mm/yyyy")&amp;" — demander le calendrier à jour.","Cut-off : "&amp;TEXT(I213,"dd/mm/yyyy")&amp;"  |  VL : "&amp;TEXT(J213,"dd/mm/yyyy")))</f>
        <v/>
      </c>
      <c r="E213" s="269">
        <f>IF(L213=0,"Calendrier non disponible pour ce fonds — contacter la société de gestion.",IF(M213="","Calendrier connu jusqu'au "&amp;TEXT(P213,"dd/mm/yyyy")&amp;" — demander le calendrier à jour.","Cut-off : "&amp;TEXT(M213,"dd/mm/yyyy")&amp;"  |  VL : "&amp;TEXT(N213,"dd/mm/yyyy")))</f>
        <v/>
      </c>
      <c r="F213" s="269">
        <f>IF(L213=0,"Calendrier non disponible pour ce fonds.",IF(M213="","Calendrier connu jusqu'au "&amp;TEXT(P213,"dd/mm/yyyy")&amp;".",IF(O213="","Non précisé dans le calendrier pour cette échéance.","Réception : "&amp;TEXT(O213,"dd/mm/yyyy")&amp;"  (suite au rachat du "&amp;TEXT(N213,"dd/mm/yyyy")&amp;")")))</f>
        <v/>
      </c>
      <c r="G213" s="269">
        <f>_xlfn.IFS(S213="aucune","Aucune pénalité de sortie."&amp;IF(T213&lt;&gt;""," ("&amp;T213&amp;")",""),S213="manuel","⚠️ À VÉRIFIER MANUELLEMENT : "&amp;T213,S213="inconnue","Pénalité non renseignée — vérifier la notice / DICI du fonds.",$C213="","Saisir une date d'investissement pour statuer sur la pénalité.",Q213="FUTUR","Date d'investissement postérieure à aujourd'hui — vérifier la saisie.",AD213&gt;0,"⚠️ CONCERNÉ : pénalité de "&amp;AD213&amp;"% (détention "&amp;Q213&amp;" mois). "&amp;T213,TRUE,"Non concerné (détention "&amp;Q213&amp;" mois). "&amp;T213)</f>
        <v/>
      </c>
      <c r="H213">
        <f>COUNTIFS(BDD_Calendrier!$A$2:$A$616,$B213,BDD_Calendrier!$C$2:$C$616,"Souscription")</f>
        <v/>
      </c>
      <c r="I213">
        <f>IF(H213=0,"",IFERROR(_xlfn.MINIFS(BDD_Calendrier!$D$2:$D$616,BDD_Calendrier!$A$2:$A$616,$B213,BDD_Calendrier!$C$2:$C$616,"Souscription",BDD_Calendrier!$D$2:$D$616,"&gt;="&amp;TODAY()),""))</f>
        <v/>
      </c>
      <c r="J213">
        <f>IF(I213="","",IFERROR(INDEX(BDD_Calendrier!$E$2:$E$616,MATCH($B213&amp;"|Souscription|"&amp;TEXT(I213,"yyyy-mm-dd"),BDD_Calendrier!$I$2:$I$616,0)),""))</f>
        <v/>
      </c>
      <c r="K213">
        <f>IF(H213=0,"",_xlfn.MAXIFS(BDD_Calendrier!$D$2:$D$616,BDD_Calendrier!$A$2:$A$616,$B213,BDD_Calendrier!$C$2:$C$616,"Souscription"))</f>
        <v/>
      </c>
      <c r="L213">
        <f>COUNTIFS(BDD_Calendrier!$A$2:$A$616,$B213,BDD_Calendrier!$C$2:$C$616,"Rachat")</f>
        <v/>
      </c>
      <c r="M213">
        <f>IF(L213=0,"",IFERROR(_xlfn.MINIFS(BDD_Calendrier!$D$2:$D$616,BDD_Calendrier!$A$2:$A$616,$B213,BDD_Calendrier!$C$2:$C$616,"Rachat",BDD_Calendrier!$D$2:$D$616,"&gt;="&amp;TODAY()),""))</f>
        <v/>
      </c>
      <c r="N213">
        <f>IF(M213="","",IFERROR(INDEX(BDD_Calendrier!$E$2:$E$616,MATCH($B213&amp;"|Rachat|"&amp;TEXT(M213,"yyyy-mm-dd"),BDD_Calendrier!$I$2:$I$616,0)),""))</f>
        <v/>
      </c>
      <c r="O213">
        <f>IF(M213="","",IFERROR(INDEX(BDD_Calendrier!$H$2:$H$616,MATCH($B213&amp;"|Rachat|"&amp;TEXT(M213,"yyyy-mm-dd"),BDD_Calendrier!$I$2:$I$616,0)),""))</f>
        <v/>
      </c>
      <c r="P213">
        <f>IF(L213=0,"",_xlfn.MAXIFS(BDD_Calendrier!$D$2:$D$616,BDD_Calendrier!$A$2:$A$616,$B213,BDD_Calendrier!$C$2:$C$616,"Rachat"))</f>
        <v/>
      </c>
      <c r="Q213">
        <f>IF($C213="","",IF($C213&gt;TODAY(),"FUTUR",DATEDIF($C213,TODAY(),"m")))</f>
        <v/>
      </c>
      <c r="R213">
        <f>COUNTIF(BDD_Penalites!$A$2:$A$130,$B213)</f>
        <v/>
      </c>
      <c r="S213">
        <f>IF(R213=0,"inconnue",INDEX(BDD_Penalites!$C$2:$C$130,MATCH($B213,BDD_Penalites!$A$2:$A$130,0)))</f>
        <v/>
      </c>
      <c r="T213">
        <f>IF(R213=0,"",INDEX(BDD_Penalites!$M$2:$M$130,MATCH($B213,BDD_Penalites!$A$2:$A$130,0)))</f>
        <v/>
      </c>
      <c r="U213">
        <f>IF(R213=0,0,INDEX(BDD_Penalites!$D$2:$D$130,MATCH($B213,BDD_Penalites!$A$2:$A$130,0)))</f>
        <v/>
      </c>
      <c r="V213">
        <f>IF(R213=0,0,INDEX(BDD_Penalites!$E$2:$E$130,MATCH($B213,BDD_Penalites!$A$2:$A$130,0)))</f>
        <v/>
      </c>
      <c r="W213">
        <f>IF(R213=0,0,INDEX(BDD_Penalites!$F$2:$F$130,MATCH($B213,BDD_Penalites!$A$2:$A$130,0)))</f>
        <v/>
      </c>
      <c r="X213">
        <f>IF(R213=0,0,INDEX(BDD_Penalites!$G$2:$G$130,MATCH($B213,BDD_Penalites!$A$2:$A$130,0)))</f>
        <v/>
      </c>
      <c r="Y213">
        <f>IF(R213=0,0,INDEX(BDD_Penalites!$H$2:$H$130,MATCH($B213,BDD_Penalites!$A$2:$A$130,0)))</f>
        <v/>
      </c>
      <c r="Z213">
        <f>IF(R213=0,0,INDEX(BDD_Penalites!$I$2:$I$130,MATCH($B213,BDD_Penalites!$A$2:$A$130,0)))</f>
        <v/>
      </c>
      <c r="AA213">
        <f>IF(R213=0,0,INDEX(BDD_Penalites!$J$2:$J$130,MATCH($B213,BDD_Penalites!$A$2:$A$130,0)))</f>
        <v/>
      </c>
      <c r="AB213">
        <f>IF(R213=0,0,INDEX(BDD_Penalites!$K$2:$K$130,MATCH($B213,BDD_Penalites!$A$2:$A$130,0)))</f>
        <v/>
      </c>
      <c r="AC213">
        <f>IF(R213=0,0,INDEX(BDD_Penalites!$L$2:$L$130,MATCH($B213,BDD_Penalites!$A$2:$A$130,0)))</f>
        <v/>
      </c>
      <c r="AD213">
        <f>IF(OR($C213="",Q213="FUTUR"),"",_xlfn.IFS(Q213&lt;U213,V213,Q213&lt;W213,X213,Q213&lt;Y213,Z213,Q213&lt;AA213,AB213,TRUE,AC213))</f>
        <v/>
      </c>
    </row>
    <row r="214" ht="13.5" customHeight="1">
      <c r="A214" s="65" t="inlineStr">
        <is>
          <t>GF Lumyna Private Debt Fund</t>
        </is>
      </c>
      <c r="B214" s="66" t="inlineStr">
        <is>
          <t>FR001400NQN1</t>
        </is>
      </c>
      <c r="C214" s="268" t="n"/>
      <c r="D214" s="269">
        <f>IF(H214=0,"Calendrier non disponible pour ce fonds — contacter la société de gestion.",IF(I214="","Calendrier connu jusqu'au "&amp;TEXT(K214,"dd/mm/yyyy")&amp;" — demander le calendrier à jour.","Cut-off : "&amp;TEXT(I214,"dd/mm/yyyy")&amp;"  |  VL : "&amp;TEXT(J214,"dd/mm/yyyy")))</f>
        <v/>
      </c>
      <c r="E214" s="269">
        <f>IF(L214=0,"Calendrier non disponible pour ce fonds — contacter la société de gestion.",IF(M214="","Calendrier connu jusqu'au "&amp;TEXT(P214,"dd/mm/yyyy")&amp;" — demander le calendrier à jour.","Cut-off : "&amp;TEXT(M214,"dd/mm/yyyy")&amp;"  |  VL : "&amp;TEXT(N214,"dd/mm/yyyy")))</f>
        <v/>
      </c>
      <c r="F214" s="269">
        <f>IF(L214=0,"Calendrier non disponible pour ce fonds.",IF(M214="","Calendrier connu jusqu'au "&amp;TEXT(P214,"dd/mm/yyyy")&amp;".",IF(O214="","Non précisé dans le calendrier pour cette échéance.","Réception : "&amp;TEXT(O214,"dd/mm/yyyy")&amp;"  (suite au rachat du "&amp;TEXT(N214,"dd/mm/yyyy")&amp;")")))</f>
        <v/>
      </c>
      <c r="G214" s="269">
        <f>_xlfn.IFS(S214="aucune","Aucune pénalité de sortie."&amp;IF(T214&lt;&gt;""," ("&amp;T214&amp;")",""),S214="manuel","⚠️ À VÉRIFIER MANUELLEMENT : "&amp;T214,S214="inconnue","Pénalité non renseignée — vérifier la notice / DICI du fonds.",$C214="","Saisir une date d'investissement pour statuer sur la pénalité.",Q214="FUTUR","Date d'investissement postérieure à aujourd'hui — vérifier la saisie.",AD214&gt;0,"⚠️ CONCERNÉ : pénalité de "&amp;AD214&amp;"% (détention "&amp;Q214&amp;" mois). "&amp;T214,TRUE,"Non concerné (détention "&amp;Q214&amp;" mois). "&amp;T214)</f>
        <v/>
      </c>
      <c r="H214">
        <f>COUNTIFS(BDD_Calendrier!$A$2:$A$616,$B214,BDD_Calendrier!$C$2:$C$616,"Souscription")</f>
        <v/>
      </c>
      <c r="I214">
        <f>IF(H214=0,"",IFERROR(_xlfn.MINIFS(BDD_Calendrier!$D$2:$D$616,BDD_Calendrier!$A$2:$A$616,$B214,BDD_Calendrier!$C$2:$C$616,"Souscription",BDD_Calendrier!$D$2:$D$616,"&gt;="&amp;TODAY()),""))</f>
        <v/>
      </c>
      <c r="J214">
        <f>IF(I214="","",IFERROR(INDEX(BDD_Calendrier!$E$2:$E$616,MATCH($B214&amp;"|Souscription|"&amp;TEXT(I214,"yyyy-mm-dd"),BDD_Calendrier!$I$2:$I$616,0)),""))</f>
        <v/>
      </c>
      <c r="K214">
        <f>IF(H214=0,"",_xlfn.MAXIFS(BDD_Calendrier!$D$2:$D$616,BDD_Calendrier!$A$2:$A$616,$B214,BDD_Calendrier!$C$2:$C$616,"Souscription"))</f>
        <v/>
      </c>
      <c r="L214">
        <f>COUNTIFS(BDD_Calendrier!$A$2:$A$616,$B214,BDD_Calendrier!$C$2:$C$616,"Rachat")</f>
        <v/>
      </c>
      <c r="M214">
        <f>IF(L214=0,"",IFERROR(_xlfn.MINIFS(BDD_Calendrier!$D$2:$D$616,BDD_Calendrier!$A$2:$A$616,$B214,BDD_Calendrier!$C$2:$C$616,"Rachat",BDD_Calendrier!$D$2:$D$616,"&gt;="&amp;TODAY()),""))</f>
        <v/>
      </c>
      <c r="N214">
        <f>IF(M214="","",IFERROR(INDEX(BDD_Calendrier!$E$2:$E$616,MATCH($B214&amp;"|Rachat|"&amp;TEXT(M214,"yyyy-mm-dd"),BDD_Calendrier!$I$2:$I$616,0)),""))</f>
        <v/>
      </c>
      <c r="O214">
        <f>IF(M214="","",IFERROR(INDEX(BDD_Calendrier!$H$2:$H$616,MATCH($B214&amp;"|Rachat|"&amp;TEXT(M214,"yyyy-mm-dd"),BDD_Calendrier!$I$2:$I$616,0)),""))</f>
        <v/>
      </c>
      <c r="P214">
        <f>IF(L214=0,"",_xlfn.MAXIFS(BDD_Calendrier!$D$2:$D$616,BDD_Calendrier!$A$2:$A$616,$B214,BDD_Calendrier!$C$2:$C$616,"Rachat"))</f>
        <v/>
      </c>
      <c r="Q214">
        <f>IF($C214="","",IF($C214&gt;TODAY(),"FUTUR",DATEDIF($C214,TODAY(),"m")))</f>
        <v/>
      </c>
      <c r="R214">
        <f>COUNTIF(BDD_Penalites!$A$2:$A$130,$B214)</f>
        <v/>
      </c>
      <c r="S214">
        <f>IF(R214=0,"inconnue",INDEX(BDD_Penalites!$C$2:$C$130,MATCH($B214,BDD_Penalites!$A$2:$A$130,0)))</f>
        <v/>
      </c>
      <c r="T214">
        <f>IF(R214=0,"",INDEX(BDD_Penalites!$M$2:$M$130,MATCH($B214,BDD_Penalites!$A$2:$A$130,0)))</f>
        <v/>
      </c>
      <c r="U214">
        <f>IF(R214=0,0,INDEX(BDD_Penalites!$D$2:$D$130,MATCH($B214,BDD_Penalites!$A$2:$A$130,0)))</f>
        <v/>
      </c>
      <c r="V214">
        <f>IF(R214=0,0,INDEX(BDD_Penalites!$E$2:$E$130,MATCH($B214,BDD_Penalites!$A$2:$A$130,0)))</f>
        <v/>
      </c>
      <c r="W214">
        <f>IF(R214=0,0,INDEX(BDD_Penalites!$F$2:$F$130,MATCH($B214,BDD_Penalites!$A$2:$A$130,0)))</f>
        <v/>
      </c>
      <c r="X214">
        <f>IF(R214=0,0,INDEX(BDD_Penalites!$G$2:$G$130,MATCH($B214,BDD_Penalites!$A$2:$A$130,0)))</f>
        <v/>
      </c>
      <c r="Y214">
        <f>IF(R214=0,0,INDEX(BDD_Penalites!$H$2:$H$130,MATCH($B214,BDD_Penalites!$A$2:$A$130,0)))</f>
        <v/>
      </c>
      <c r="Z214">
        <f>IF(R214=0,0,INDEX(BDD_Penalites!$I$2:$I$130,MATCH($B214,BDD_Penalites!$A$2:$A$130,0)))</f>
        <v/>
      </c>
      <c r="AA214">
        <f>IF(R214=0,0,INDEX(BDD_Penalites!$J$2:$J$130,MATCH($B214,BDD_Penalites!$A$2:$A$130,0)))</f>
        <v/>
      </c>
      <c r="AB214">
        <f>IF(R214=0,0,INDEX(BDD_Penalites!$K$2:$K$130,MATCH($B214,BDD_Penalites!$A$2:$A$130,0)))</f>
        <v/>
      </c>
      <c r="AC214">
        <f>IF(R214=0,0,INDEX(BDD_Penalites!$L$2:$L$130,MATCH($B214,BDD_Penalites!$A$2:$A$130,0)))</f>
        <v/>
      </c>
      <c r="AD214">
        <f>IF(OR($C214="",Q214="FUTUR"),"",_xlfn.IFS(Q214&lt;U214,V214,Q214&lt;W214,X214,Q214&lt;Y214,Z214,Q214&lt;AA214,AB214,TRUE,AC214))</f>
        <v/>
      </c>
    </row>
    <row r="215" ht="13.5" customHeight="1">
      <c r="A215" s="65" t="inlineStr">
        <is>
          <t>FPS UNIPHARMA II – Parts A</t>
        </is>
      </c>
      <c r="B215" s="66" t="inlineStr">
        <is>
          <t>FR0014001LJ0</t>
        </is>
      </c>
      <c r="C215" s="268" t="n"/>
      <c r="D215" s="269">
        <f>IF(H215=0,"Calendrier non disponible pour ce fonds — contacter la société de gestion.",IF(I215="","Calendrier connu jusqu'au "&amp;TEXT(K215,"dd/mm/yyyy")&amp;" — demander le calendrier à jour.","Cut-off : "&amp;TEXT(I215,"dd/mm/yyyy")&amp;"  |  VL : "&amp;TEXT(J215,"dd/mm/yyyy")))</f>
        <v/>
      </c>
      <c r="E215" s="269">
        <f>IF(L215=0,"Calendrier non disponible pour ce fonds — contacter la société de gestion.",IF(M215="","Calendrier connu jusqu'au "&amp;TEXT(P215,"dd/mm/yyyy")&amp;" — demander le calendrier à jour.","Cut-off : "&amp;TEXT(M215,"dd/mm/yyyy")&amp;"  |  VL : "&amp;TEXT(N215,"dd/mm/yyyy")))</f>
        <v/>
      </c>
      <c r="F215" s="269">
        <f>IF(L215=0,"Calendrier non disponible pour ce fonds.",IF(M215="","Calendrier connu jusqu'au "&amp;TEXT(P215,"dd/mm/yyyy")&amp;".",IF(O215="","Non précisé dans le calendrier pour cette échéance.","Réception : "&amp;TEXT(O215,"dd/mm/yyyy")&amp;"  (suite au rachat du "&amp;TEXT(N215,"dd/mm/yyyy")&amp;")")))</f>
        <v/>
      </c>
      <c r="G215" s="269">
        <f>_xlfn.IFS(S215="aucune","Aucune pénalité de sortie."&amp;IF(T215&lt;&gt;""," ("&amp;T215&amp;")",""),S215="manuel","⚠️ À VÉRIFIER MANUELLEMENT : "&amp;T215,S215="inconnue","Pénalité non renseignée — vérifier la notice / DICI du fonds.",$C215="","Saisir une date d'investissement pour statuer sur la pénalité.",Q215="FUTUR","Date d'investissement postérieure à aujourd'hui — vérifier la saisie.",AD215&gt;0,"⚠️ CONCERNÉ : pénalité de "&amp;AD215&amp;"% (détention "&amp;Q215&amp;" mois). "&amp;T215,TRUE,"Non concerné (détention "&amp;Q215&amp;" mois). "&amp;T215)</f>
        <v/>
      </c>
      <c r="H215">
        <f>COUNTIFS(BDD_Calendrier!$A$2:$A$616,$B215,BDD_Calendrier!$C$2:$C$616,"Souscription")</f>
        <v/>
      </c>
      <c r="I215">
        <f>IF(H215=0,"",IFERROR(_xlfn.MINIFS(BDD_Calendrier!$D$2:$D$616,BDD_Calendrier!$A$2:$A$616,$B215,BDD_Calendrier!$C$2:$C$616,"Souscription",BDD_Calendrier!$D$2:$D$616,"&gt;="&amp;TODAY()),""))</f>
        <v/>
      </c>
      <c r="J215">
        <f>IF(I215="","",IFERROR(INDEX(BDD_Calendrier!$E$2:$E$616,MATCH($B215&amp;"|Souscription|"&amp;TEXT(I215,"yyyy-mm-dd"),BDD_Calendrier!$I$2:$I$616,0)),""))</f>
        <v/>
      </c>
      <c r="K215">
        <f>IF(H215=0,"",_xlfn.MAXIFS(BDD_Calendrier!$D$2:$D$616,BDD_Calendrier!$A$2:$A$616,$B215,BDD_Calendrier!$C$2:$C$616,"Souscription"))</f>
        <v/>
      </c>
      <c r="L215">
        <f>COUNTIFS(BDD_Calendrier!$A$2:$A$616,$B215,BDD_Calendrier!$C$2:$C$616,"Rachat")</f>
        <v/>
      </c>
      <c r="M215">
        <f>IF(L215=0,"",IFERROR(_xlfn.MINIFS(BDD_Calendrier!$D$2:$D$616,BDD_Calendrier!$A$2:$A$616,$B215,BDD_Calendrier!$C$2:$C$616,"Rachat",BDD_Calendrier!$D$2:$D$616,"&gt;="&amp;TODAY()),""))</f>
        <v/>
      </c>
      <c r="N215">
        <f>IF(M215="","",IFERROR(INDEX(BDD_Calendrier!$E$2:$E$616,MATCH($B215&amp;"|Rachat|"&amp;TEXT(M215,"yyyy-mm-dd"),BDD_Calendrier!$I$2:$I$616,0)),""))</f>
        <v/>
      </c>
      <c r="O215">
        <f>IF(M215="","",IFERROR(INDEX(BDD_Calendrier!$H$2:$H$616,MATCH($B215&amp;"|Rachat|"&amp;TEXT(M215,"yyyy-mm-dd"),BDD_Calendrier!$I$2:$I$616,0)),""))</f>
        <v/>
      </c>
      <c r="P215">
        <f>IF(L215=0,"",_xlfn.MAXIFS(BDD_Calendrier!$D$2:$D$616,BDD_Calendrier!$A$2:$A$616,$B215,BDD_Calendrier!$C$2:$C$616,"Rachat"))</f>
        <v/>
      </c>
      <c r="Q215">
        <f>IF($C215="","",IF($C215&gt;TODAY(),"FUTUR",DATEDIF($C215,TODAY(),"m")))</f>
        <v/>
      </c>
      <c r="R215">
        <f>COUNTIF(BDD_Penalites!$A$2:$A$130,$B215)</f>
        <v/>
      </c>
      <c r="S215">
        <f>IF(R215=0,"inconnue",INDEX(BDD_Penalites!$C$2:$C$130,MATCH($B215,BDD_Penalites!$A$2:$A$130,0)))</f>
        <v/>
      </c>
      <c r="T215">
        <f>IF(R215=0,"",INDEX(BDD_Penalites!$M$2:$M$130,MATCH($B215,BDD_Penalites!$A$2:$A$130,0)))</f>
        <v/>
      </c>
      <c r="U215">
        <f>IF(R215=0,0,INDEX(BDD_Penalites!$D$2:$D$130,MATCH($B215,BDD_Penalites!$A$2:$A$130,0)))</f>
        <v/>
      </c>
      <c r="V215">
        <f>IF(R215=0,0,INDEX(BDD_Penalites!$E$2:$E$130,MATCH($B215,BDD_Penalites!$A$2:$A$130,0)))</f>
        <v/>
      </c>
      <c r="W215">
        <f>IF(R215=0,0,INDEX(BDD_Penalites!$F$2:$F$130,MATCH($B215,BDD_Penalites!$A$2:$A$130,0)))</f>
        <v/>
      </c>
      <c r="X215">
        <f>IF(R215=0,0,INDEX(BDD_Penalites!$G$2:$G$130,MATCH($B215,BDD_Penalites!$A$2:$A$130,0)))</f>
        <v/>
      </c>
      <c r="Y215">
        <f>IF(R215=0,0,INDEX(BDD_Penalites!$H$2:$H$130,MATCH($B215,BDD_Penalites!$A$2:$A$130,0)))</f>
        <v/>
      </c>
      <c r="Z215">
        <f>IF(R215=0,0,INDEX(BDD_Penalites!$I$2:$I$130,MATCH($B215,BDD_Penalites!$A$2:$A$130,0)))</f>
        <v/>
      </c>
      <c r="AA215">
        <f>IF(R215=0,0,INDEX(BDD_Penalites!$J$2:$J$130,MATCH($B215,BDD_Penalites!$A$2:$A$130,0)))</f>
        <v/>
      </c>
      <c r="AB215">
        <f>IF(R215=0,0,INDEX(BDD_Penalites!$K$2:$K$130,MATCH($B215,BDD_Penalites!$A$2:$A$130,0)))</f>
        <v/>
      </c>
      <c r="AC215">
        <f>IF(R215=0,0,INDEX(BDD_Penalites!$L$2:$L$130,MATCH($B215,BDD_Penalites!$A$2:$A$130,0)))</f>
        <v/>
      </c>
      <c r="AD215">
        <f>IF(OR($C215="",Q215="FUTUR"),"",_xlfn.IFS(Q215&lt;U215,V215,Q215&lt;W215,X215,Q215&lt;Y215,Z215,Q215&lt;AA215,AB215,TRUE,AC215))</f>
        <v/>
      </c>
    </row>
    <row r="216" ht="13.5" customHeight="1">
      <c r="A216" s="65" t="inlineStr">
        <is>
          <t>FPS UNI III - Parts A2</t>
        </is>
      </c>
      <c r="B216" s="66" t="inlineStr">
        <is>
          <t>FR001400IEE6</t>
        </is>
      </c>
      <c r="C216" s="268" t="n"/>
      <c r="D216" s="269">
        <f>IF(H216=0,"Calendrier non disponible pour ce fonds — contacter la société de gestion.",IF(I216="","Calendrier connu jusqu'au "&amp;TEXT(K216,"dd/mm/yyyy")&amp;" — demander le calendrier à jour.","Cut-off : "&amp;TEXT(I216,"dd/mm/yyyy")&amp;"  |  VL : "&amp;TEXT(J216,"dd/mm/yyyy")))</f>
        <v/>
      </c>
      <c r="E216" s="269">
        <f>IF(L216=0,"Calendrier non disponible pour ce fonds — contacter la société de gestion.",IF(M216="","Calendrier connu jusqu'au "&amp;TEXT(P216,"dd/mm/yyyy")&amp;" — demander le calendrier à jour.","Cut-off : "&amp;TEXT(M216,"dd/mm/yyyy")&amp;"  |  VL : "&amp;TEXT(N216,"dd/mm/yyyy")))</f>
        <v/>
      </c>
      <c r="F216" s="269">
        <f>IF(L216=0,"Calendrier non disponible pour ce fonds.",IF(M216="","Calendrier connu jusqu'au "&amp;TEXT(P216,"dd/mm/yyyy")&amp;".",IF(O216="","Non précisé dans le calendrier pour cette échéance.","Réception : "&amp;TEXT(O216,"dd/mm/yyyy")&amp;"  (suite au rachat du "&amp;TEXT(N216,"dd/mm/yyyy")&amp;")")))</f>
        <v/>
      </c>
      <c r="G216" s="269">
        <f>_xlfn.IFS(S216="aucune","Aucune pénalité de sortie."&amp;IF(T216&lt;&gt;""," ("&amp;T216&amp;")",""),S216="manuel","⚠️ À VÉRIFIER MANUELLEMENT : "&amp;T216,S216="inconnue","Pénalité non renseignée — vérifier la notice / DICI du fonds.",$C216="","Saisir une date d'investissement pour statuer sur la pénalité.",Q216="FUTUR","Date d'investissement postérieure à aujourd'hui — vérifier la saisie.",AD216&gt;0,"⚠️ CONCERNÉ : pénalité de "&amp;AD216&amp;"% (détention "&amp;Q216&amp;" mois). "&amp;T216,TRUE,"Non concerné (détention "&amp;Q216&amp;" mois). "&amp;T216)</f>
        <v/>
      </c>
      <c r="H216">
        <f>COUNTIFS(BDD_Calendrier!$A$2:$A$616,$B216,BDD_Calendrier!$C$2:$C$616,"Souscription")</f>
        <v/>
      </c>
      <c r="I216">
        <f>IF(H216=0,"",IFERROR(_xlfn.MINIFS(BDD_Calendrier!$D$2:$D$616,BDD_Calendrier!$A$2:$A$616,$B216,BDD_Calendrier!$C$2:$C$616,"Souscription",BDD_Calendrier!$D$2:$D$616,"&gt;="&amp;TODAY()),""))</f>
        <v/>
      </c>
      <c r="J216">
        <f>IF(I216="","",IFERROR(INDEX(BDD_Calendrier!$E$2:$E$616,MATCH($B216&amp;"|Souscription|"&amp;TEXT(I216,"yyyy-mm-dd"),BDD_Calendrier!$I$2:$I$616,0)),""))</f>
        <v/>
      </c>
      <c r="K216">
        <f>IF(H216=0,"",_xlfn.MAXIFS(BDD_Calendrier!$D$2:$D$616,BDD_Calendrier!$A$2:$A$616,$B216,BDD_Calendrier!$C$2:$C$616,"Souscription"))</f>
        <v/>
      </c>
      <c r="L216">
        <f>COUNTIFS(BDD_Calendrier!$A$2:$A$616,$B216,BDD_Calendrier!$C$2:$C$616,"Rachat")</f>
        <v/>
      </c>
      <c r="M216">
        <f>IF(L216=0,"",IFERROR(_xlfn.MINIFS(BDD_Calendrier!$D$2:$D$616,BDD_Calendrier!$A$2:$A$616,$B216,BDD_Calendrier!$C$2:$C$616,"Rachat",BDD_Calendrier!$D$2:$D$616,"&gt;="&amp;TODAY()),""))</f>
        <v/>
      </c>
      <c r="N216">
        <f>IF(M216="","",IFERROR(INDEX(BDD_Calendrier!$E$2:$E$616,MATCH($B216&amp;"|Rachat|"&amp;TEXT(M216,"yyyy-mm-dd"),BDD_Calendrier!$I$2:$I$616,0)),""))</f>
        <v/>
      </c>
      <c r="O216">
        <f>IF(M216="","",IFERROR(INDEX(BDD_Calendrier!$H$2:$H$616,MATCH($B216&amp;"|Rachat|"&amp;TEXT(M216,"yyyy-mm-dd"),BDD_Calendrier!$I$2:$I$616,0)),""))</f>
        <v/>
      </c>
      <c r="P216">
        <f>IF(L216=0,"",_xlfn.MAXIFS(BDD_Calendrier!$D$2:$D$616,BDD_Calendrier!$A$2:$A$616,$B216,BDD_Calendrier!$C$2:$C$616,"Rachat"))</f>
        <v/>
      </c>
      <c r="Q216">
        <f>IF($C216="","",IF($C216&gt;TODAY(),"FUTUR",DATEDIF($C216,TODAY(),"m")))</f>
        <v/>
      </c>
      <c r="R216">
        <f>COUNTIF(BDD_Penalites!$A$2:$A$130,$B216)</f>
        <v/>
      </c>
      <c r="S216">
        <f>IF(R216=0,"inconnue",INDEX(BDD_Penalites!$C$2:$C$130,MATCH($B216,BDD_Penalites!$A$2:$A$130,0)))</f>
        <v/>
      </c>
      <c r="T216">
        <f>IF(R216=0,"",INDEX(BDD_Penalites!$M$2:$M$130,MATCH($B216,BDD_Penalites!$A$2:$A$130,0)))</f>
        <v/>
      </c>
      <c r="U216">
        <f>IF(R216=0,0,INDEX(BDD_Penalites!$D$2:$D$130,MATCH($B216,BDD_Penalites!$A$2:$A$130,0)))</f>
        <v/>
      </c>
      <c r="V216">
        <f>IF(R216=0,0,INDEX(BDD_Penalites!$E$2:$E$130,MATCH($B216,BDD_Penalites!$A$2:$A$130,0)))</f>
        <v/>
      </c>
      <c r="W216">
        <f>IF(R216=0,0,INDEX(BDD_Penalites!$F$2:$F$130,MATCH($B216,BDD_Penalites!$A$2:$A$130,0)))</f>
        <v/>
      </c>
      <c r="X216">
        <f>IF(R216=0,0,INDEX(BDD_Penalites!$G$2:$G$130,MATCH($B216,BDD_Penalites!$A$2:$A$130,0)))</f>
        <v/>
      </c>
      <c r="Y216">
        <f>IF(R216=0,0,INDEX(BDD_Penalites!$H$2:$H$130,MATCH($B216,BDD_Penalites!$A$2:$A$130,0)))</f>
        <v/>
      </c>
      <c r="Z216">
        <f>IF(R216=0,0,INDEX(BDD_Penalites!$I$2:$I$130,MATCH($B216,BDD_Penalites!$A$2:$A$130,0)))</f>
        <v/>
      </c>
      <c r="AA216">
        <f>IF(R216=0,0,INDEX(BDD_Penalites!$J$2:$J$130,MATCH($B216,BDD_Penalites!$A$2:$A$130,0)))</f>
        <v/>
      </c>
      <c r="AB216">
        <f>IF(R216=0,0,INDEX(BDD_Penalites!$K$2:$K$130,MATCH($B216,BDD_Penalites!$A$2:$A$130,0)))</f>
        <v/>
      </c>
      <c r="AC216">
        <f>IF(R216=0,0,INDEX(BDD_Penalites!$L$2:$L$130,MATCH($B216,BDD_Penalites!$A$2:$A$130,0)))</f>
        <v/>
      </c>
      <c r="AD216">
        <f>IF(OR($C216="",Q216="FUTUR"),"",_xlfn.IFS(Q216&lt;U216,V216,Q216&lt;W216,X216,Q216&lt;Y216,Z216,Q216&lt;AA216,AB216,TRUE,AC216))</f>
        <v/>
      </c>
    </row>
    <row r="217" ht="13.5" customHeight="1">
      <c r="A217" s="65" t="inlineStr">
        <is>
          <t>FCPR SG Tikehau Dette Privée</t>
        </is>
      </c>
      <c r="B217" s="66" t="inlineStr">
        <is>
          <t>FR001400AZ60</t>
        </is>
      </c>
      <c r="C217" s="268" t="n"/>
      <c r="D217" s="269">
        <f>IF(H217=0,"Calendrier non disponible pour ce fonds — contacter la société de gestion.",IF(I217="","Calendrier connu jusqu'au "&amp;TEXT(K217,"dd/mm/yyyy")&amp;" — demander le calendrier à jour.","Cut-off : "&amp;TEXT(I217,"dd/mm/yyyy")&amp;"  |  VL : "&amp;TEXT(J217,"dd/mm/yyyy")))</f>
        <v/>
      </c>
      <c r="E217" s="269">
        <f>IF(L217=0,"Calendrier non disponible pour ce fonds — contacter la société de gestion.",IF(M217="","Calendrier connu jusqu'au "&amp;TEXT(P217,"dd/mm/yyyy")&amp;" — demander le calendrier à jour.","Cut-off : "&amp;TEXT(M217,"dd/mm/yyyy")&amp;"  |  VL : "&amp;TEXT(N217,"dd/mm/yyyy")))</f>
        <v/>
      </c>
      <c r="F217" s="269">
        <f>IF(L217=0,"Calendrier non disponible pour ce fonds.",IF(M217="","Calendrier connu jusqu'au "&amp;TEXT(P217,"dd/mm/yyyy")&amp;".",IF(O217="","Non précisé dans le calendrier pour cette échéance.","Réception : "&amp;TEXT(O217,"dd/mm/yyyy")&amp;"  (suite au rachat du "&amp;TEXT(N217,"dd/mm/yyyy")&amp;")")))</f>
        <v/>
      </c>
      <c r="G217" s="269">
        <f>_xlfn.IFS(S217="aucune","Aucune pénalité de sortie."&amp;IF(T217&lt;&gt;""," ("&amp;T217&amp;")",""),S217="manuel","⚠️ À VÉRIFIER MANUELLEMENT : "&amp;T217,S217="inconnue","Pénalité non renseignée — vérifier la notice / DICI du fonds.",$C217="","Saisir une date d'investissement pour statuer sur la pénalité.",Q217="FUTUR","Date d'investissement postérieure à aujourd'hui — vérifier la saisie.",AD217&gt;0,"⚠️ CONCERNÉ : pénalité de "&amp;AD217&amp;"% (détention "&amp;Q217&amp;" mois). "&amp;T217,TRUE,"Non concerné (détention "&amp;Q217&amp;" mois). "&amp;T217)</f>
        <v/>
      </c>
      <c r="H217">
        <f>COUNTIFS(BDD_Calendrier!$A$2:$A$616,$B217,BDD_Calendrier!$C$2:$C$616,"Souscription")</f>
        <v/>
      </c>
      <c r="I217">
        <f>IF(H217=0,"",IFERROR(_xlfn.MINIFS(BDD_Calendrier!$D$2:$D$616,BDD_Calendrier!$A$2:$A$616,$B217,BDD_Calendrier!$C$2:$C$616,"Souscription",BDD_Calendrier!$D$2:$D$616,"&gt;="&amp;TODAY()),""))</f>
        <v/>
      </c>
      <c r="J217">
        <f>IF(I217="","",IFERROR(INDEX(BDD_Calendrier!$E$2:$E$616,MATCH($B217&amp;"|Souscription|"&amp;TEXT(I217,"yyyy-mm-dd"),BDD_Calendrier!$I$2:$I$616,0)),""))</f>
        <v/>
      </c>
      <c r="K217">
        <f>IF(H217=0,"",_xlfn.MAXIFS(BDD_Calendrier!$D$2:$D$616,BDD_Calendrier!$A$2:$A$616,$B217,BDD_Calendrier!$C$2:$C$616,"Souscription"))</f>
        <v/>
      </c>
      <c r="L217">
        <f>COUNTIFS(BDD_Calendrier!$A$2:$A$616,$B217,BDD_Calendrier!$C$2:$C$616,"Rachat")</f>
        <v/>
      </c>
      <c r="M217">
        <f>IF(L217=0,"",IFERROR(_xlfn.MINIFS(BDD_Calendrier!$D$2:$D$616,BDD_Calendrier!$A$2:$A$616,$B217,BDD_Calendrier!$C$2:$C$616,"Rachat",BDD_Calendrier!$D$2:$D$616,"&gt;="&amp;TODAY()),""))</f>
        <v/>
      </c>
      <c r="N217">
        <f>IF(M217="","",IFERROR(INDEX(BDD_Calendrier!$E$2:$E$616,MATCH($B217&amp;"|Rachat|"&amp;TEXT(M217,"yyyy-mm-dd"),BDD_Calendrier!$I$2:$I$616,0)),""))</f>
        <v/>
      </c>
      <c r="O217">
        <f>IF(M217="","",IFERROR(INDEX(BDD_Calendrier!$H$2:$H$616,MATCH($B217&amp;"|Rachat|"&amp;TEXT(M217,"yyyy-mm-dd"),BDD_Calendrier!$I$2:$I$616,0)),""))</f>
        <v/>
      </c>
      <c r="P217">
        <f>IF(L217=0,"",_xlfn.MAXIFS(BDD_Calendrier!$D$2:$D$616,BDD_Calendrier!$A$2:$A$616,$B217,BDD_Calendrier!$C$2:$C$616,"Rachat"))</f>
        <v/>
      </c>
      <c r="Q217">
        <f>IF($C217="","",IF($C217&gt;TODAY(),"FUTUR",DATEDIF($C217,TODAY(),"m")))</f>
        <v/>
      </c>
      <c r="R217">
        <f>COUNTIF(BDD_Penalites!$A$2:$A$130,$B217)</f>
        <v/>
      </c>
      <c r="S217">
        <f>IF(R217=0,"inconnue",INDEX(BDD_Penalites!$C$2:$C$130,MATCH($B217,BDD_Penalites!$A$2:$A$130,0)))</f>
        <v/>
      </c>
      <c r="T217">
        <f>IF(R217=0,"",INDEX(BDD_Penalites!$M$2:$M$130,MATCH($B217,BDD_Penalites!$A$2:$A$130,0)))</f>
        <v/>
      </c>
      <c r="U217">
        <f>IF(R217=0,0,INDEX(BDD_Penalites!$D$2:$D$130,MATCH($B217,BDD_Penalites!$A$2:$A$130,0)))</f>
        <v/>
      </c>
      <c r="V217">
        <f>IF(R217=0,0,INDEX(BDD_Penalites!$E$2:$E$130,MATCH($B217,BDD_Penalites!$A$2:$A$130,0)))</f>
        <v/>
      </c>
      <c r="W217">
        <f>IF(R217=0,0,INDEX(BDD_Penalites!$F$2:$F$130,MATCH($B217,BDD_Penalites!$A$2:$A$130,0)))</f>
        <v/>
      </c>
      <c r="X217">
        <f>IF(R217=0,0,INDEX(BDD_Penalites!$G$2:$G$130,MATCH($B217,BDD_Penalites!$A$2:$A$130,0)))</f>
        <v/>
      </c>
      <c r="Y217">
        <f>IF(R217=0,0,INDEX(BDD_Penalites!$H$2:$H$130,MATCH($B217,BDD_Penalites!$A$2:$A$130,0)))</f>
        <v/>
      </c>
      <c r="Z217">
        <f>IF(R217=0,0,INDEX(BDD_Penalites!$I$2:$I$130,MATCH($B217,BDD_Penalites!$A$2:$A$130,0)))</f>
        <v/>
      </c>
      <c r="AA217">
        <f>IF(R217=0,0,INDEX(BDD_Penalites!$J$2:$J$130,MATCH($B217,BDD_Penalites!$A$2:$A$130,0)))</f>
        <v/>
      </c>
      <c r="AB217">
        <f>IF(R217=0,0,INDEX(BDD_Penalites!$K$2:$K$130,MATCH($B217,BDD_Penalites!$A$2:$A$130,0)))</f>
        <v/>
      </c>
      <c r="AC217">
        <f>IF(R217=0,0,INDEX(BDD_Penalites!$L$2:$L$130,MATCH($B217,BDD_Penalites!$A$2:$A$130,0)))</f>
        <v/>
      </c>
      <c r="AD217">
        <f>IF(OR($C217="",Q217="FUTUR"),"",_xlfn.IFS(Q217&lt;U217,V217,Q217&lt;W217,X217,Q217&lt;Y217,Z217,Q217&lt;AA217,AB217,TRUE,AC217))</f>
        <v/>
      </c>
    </row>
    <row r="218" ht="13.5" customHeight="1">
      <c r="A218" s="65" t="n"/>
      <c r="B218" s="75" t="n"/>
    </row>
    <row r="219" ht="13.5" customHeight="1">
      <c r="A219" s="65" t="n"/>
      <c r="B219" s="75" t="n"/>
    </row>
    <row r="220" ht="13.5" customHeight="1">
      <c r="A220" s="65" t="n"/>
      <c r="B220" s="75" t="n"/>
    </row>
    <row r="221" ht="13.5" customHeight="1">
      <c r="A221" s="65" t="n"/>
      <c r="B221" s="75" t="n"/>
    </row>
    <row r="222" ht="13.5" customHeight="1">
      <c r="A222" s="65" t="n"/>
      <c r="B222" s="75" t="n"/>
    </row>
    <row r="223" ht="13.5" customHeight="1">
      <c r="A223" s="65" t="n"/>
      <c r="B223" s="75" t="n"/>
    </row>
    <row r="224" ht="13.5" customHeight="1">
      <c r="A224" s="65" t="n"/>
      <c r="B224" s="75" t="n"/>
    </row>
    <row r="225" ht="13.5" customHeight="1">
      <c r="A225" s="65" t="n"/>
      <c r="B225" s="75" t="n"/>
    </row>
    <row r="226" ht="13.5" customHeight="1">
      <c r="A226" s="65" t="n"/>
      <c r="B226" s="75" t="n"/>
    </row>
    <row r="227" ht="13.5" customHeight="1">
      <c r="A227" s="65" t="n"/>
      <c r="B227" s="75" t="n"/>
    </row>
    <row r="228" ht="13.5" customHeight="1">
      <c r="A228" s="65" t="n"/>
      <c r="B228" s="75" t="n"/>
    </row>
    <row r="229" ht="13.5" customHeight="1">
      <c r="A229" s="65" t="n"/>
      <c r="B229" s="75" t="n"/>
    </row>
    <row r="230" ht="14" customFormat="1" customHeight="1" s="258">
      <c r="A230" s="235" t="inlineStr">
        <is>
          <t>Private Equity</t>
        </is>
      </c>
      <c r="B230" s="236" t="n"/>
      <c r="C230" s="235" t="n"/>
      <c r="D230" s="235" t="n"/>
      <c r="E230" s="235" t="n"/>
      <c r="F230" s="235" t="n"/>
      <c r="G230" s="235" t="n"/>
    </row>
    <row r="231" ht="13.5" customHeight="1">
      <c r="A231" s="65" t="inlineStr">
        <is>
          <t>Althos Private Equity F</t>
        </is>
      </c>
      <c r="B231" s="66" t="inlineStr">
        <is>
          <t>FR001400QZD6</t>
        </is>
      </c>
      <c r="C231" s="268" t="n"/>
      <c r="D231" s="269">
        <f>IF(H231=0,"Calendrier non disponible pour ce fonds — contacter la société de gestion.",IF(I231="","Calendrier connu jusqu'au "&amp;TEXT(K231,"dd/mm/yyyy")&amp;" — demander le calendrier à jour.","Cut-off : "&amp;TEXT(I231,"dd/mm/yyyy")&amp;"  |  VL : "&amp;TEXT(J231,"dd/mm/yyyy")))</f>
        <v/>
      </c>
      <c r="E231" s="269">
        <f>IF(L231=0,"Calendrier non disponible pour ce fonds — contacter la société de gestion.",IF(M231="","Calendrier connu jusqu'au "&amp;TEXT(P231,"dd/mm/yyyy")&amp;" — demander le calendrier à jour.","Cut-off : "&amp;TEXT(M231,"dd/mm/yyyy")&amp;"  |  VL : "&amp;TEXT(N231,"dd/mm/yyyy")))</f>
        <v/>
      </c>
      <c r="F231" s="269">
        <f>IF(L231=0,"Calendrier non disponible pour ce fonds.",IF(M231="","Calendrier connu jusqu'au "&amp;TEXT(P231,"dd/mm/yyyy")&amp;".",IF(O231="","Non précisé dans le calendrier pour cette échéance.","Réception : "&amp;TEXT(O231,"dd/mm/yyyy")&amp;"  (suite au rachat du "&amp;TEXT(N231,"dd/mm/yyyy")&amp;")")))</f>
        <v/>
      </c>
      <c r="G231" s="269">
        <f>_xlfn.IFS(S231="aucune","Aucune pénalité de sortie."&amp;IF(T231&lt;&gt;""," ("&amp;T231&amp;")",""),S231="manuel","⚠️ À VÉRIFIER MANUELLEMENT : "&amp;T231,S231="inconnue","Pénalité non renseignée — vérifier la notice / DICI du fonds.",$C231="","Saisir une date d'investissement pour statuer sur la pénalité.",Q231="FUTUR","Date d'investissement postérieure à aujourd'hui — vérifier la saisie.",AD231&gt;0,"⚠️ CONCERNÉ : pénalité de "&amp;AD231&amp;"% (détention "&amp;Q231&amp;" mois). "&amp;T231,TRUE,"Non concerné (détention "&amp;Q231&amp;" mois). "&amp;T231)</f>
        <v/>
      </c>
      <c r="H231">
        <f>COUNTIFS(BDD_Calendrier!$A$2:$A$616,$B231,BDD_Calendrier!$C$2:$C$616,"Souscription")</f>
        <v/>
      </c>
      <c r="I231">
        <f>IF(H231=0,"",IFERROR(_xlfn.MINIFS(BDD_Calendrier!$D$2:$D$616,BDD_Calendrier!$A$2:$A$616,$B231,BDD_Calendrier!$C$2:$C$616,"Souscription",BDD_Calendrier!$D$2:$D$616,"&gt;="&amp;TODAY()),""))</f>
        <v/>
      </c>
      <c r="J231">
        <f>IF(I231="","",IFERROR(INDEX(BDD_Calendrier!$E$2:$E$616,MATCH($B231&amp;"|Souscription|"&amp;TEXT(I231,"yyyy-mm-dd"),BDD_Calendrier!$I$2:$I$616,0)),""))</f>
        <v/>
      </c>
      <c r="K231">
        <f>IF(H231=0,"",_xlfn.MAXIFS(BDD_Calendrier!$D$2:$D$616,BDD_Calendrier!$A$2:$A$616,$B231,BDD_Calendrier!$C$2:$C$616,"Souscription"))</f>
        <v/>
      </c>
      <c r="L231">
        <f>COUNTIFS(BDD_Calendrier!$A$2:$A$616,$B231,BDD_Calendrier!$C$2:$C$616,"Rachat")</f>
        <v/>
      </c>
      <c r="M231">
        <f>IF(L231=0,"",IFERROR(_xlfn.MINIFS(BDD_Calendrier!$D$2:$D$616,BDD_Calendrier!$A$2:$A$616,$B231,BDD_Calendrier!$C$2:$C$616,"Rachat",BDD_Calendrier!$D$2:$D$616,"&gt;="&amp;TODAY()),""))</f>
        <v/>
      </c>
      <c r="N231">
        <f>IF(M231="","",IFERROR(INDEX(BDD_Calendrier!$E$2:$E$616,MATCH($B231&amp;"|Rachat|"&amp;TEXT(M231,"yyyy-mm-dd"),BDD_Calendrier!$I$2:$I$616,0)),""))</f>
        <v/>
      </c>
      <c r="O231">
        <f>IF(M231="","",IFERROR(INDEX(BDD_Calendrier!$H$2:$H$616,MATCH($B231&amp;"|Rachat|"&amp;TEXT(M231,"yyyy-mm-dd"),BDD_Calendrier!$I$2:$I$616,0)),""))</f>
        <v/>
      </c>
      <c r="P231">
        <f>IF(L231=0,"",_xlfn.MAXIFS(BDD_Calendrier!$D$2:$D$616,BDD_Calendrier!$A$2:$A$616,$B231,BDD_Calendrier!$C$2:$C$616,"Rachat"))</f>
        <v/>
      </c>
      <c r="Q231">
        <f>IF($C231="","",IF($C231&gt;TODAY(),"FUTUR",DATEDIF($C231,TODAY(),"m")))</f>
        <v/>
      </c>
      <c r="R231">
        <f>COUNTIF(BDD_Penalites!$A$2:$A$130,$B231)</f>
        <v/>
      </c>
      <c r="S231">
        <f>IF(R231=0,"inconnue",INDEX(BDD_Penalites!$C$2:$C$130,MATCH($B231,BDD_Penalites!$A$2:$A$130,0)))</f>
        <v/>
      </c>
      <c r="T231">
        <f>IF(R231=0,"",INDEX(BDD_Penalites!$M$2:$M$130,MATCH($B231,BDD_Penalites!$A$2:$A$130,0)))</f>
        <v/>
      </c>
      <c r="U231">
        <f>IF(R231=0,0,INDEX(BDD_Penalites!$D$2:$D$130,MATCH($B231,BDD_Penalites!$A$2:$A$130,0)))</f>
        <v/>
      </c>
      <c r="V231">
        <f>IF(R231=0,0,INDEX(BDD_Penalites!$E$2:$E$130,MATCH($B231,BDD_Penalites!$A$2:$A$130,0)))</f>
        <v/>
      </c>
      <c r="W231">
        <f>IF(R231=0,0,INDEX(BDD_Penalites!$F$2:$F$130,MATCH($B231,BDD_Penalites!$A$2:$A$130,0)))</f>
        <v/>
      </c>
      <c r="X231">
        <f>IF(R231=0,0,INDEX(BDD_Penalites!$G$2:$G$130,MATCH($B231,BDD_Penalites!$A$2:$A$130,0)))</f>
        <v/>
      </c>
      <c r="Y231">
        <f>IF(R231=0,0,INDEX(BDD_Penalites!$H$2:$H$130,MATCH($B231,BDD_Penalites!$A$2:$A$130,0)))</f>
        <v/>
      </c>
      <c r="Z231">
        <f>IF(R231=0,0,INDEX(BDD_Penalites!$I$2:$I$130,MATCH($B231,BDD_Penalites!$A$2:$A$130,0)))</f>
        <v/>
      </c>
      <c r="AA231">
        <f>IF(R231=0,0,INDEX(BDD_Penalites!$J$2:$J$130,MATCH($B231,BDD_Penalites!$A$2:$A$130,0)))</f>
        <v/>
      </c>
      <c r="AB231">
        <f>IF(R231=0,0,INDEX(BDD_Penalites!$K$2:$K$130,MATCH($B231,BDD_Penalites!$A$2:$A$130,0)))</f>
        <v/>
      </c>
      <c r="AC231">
        <f>IF(R231=0,0,INDEX(BDD_Penalites!$L$2:$L$130,MATCH($B231,BDD_Penalites!$A$2:$A$130,0)))</f>
        <v/>
      </c>
      <c r="AD231">
        <f>IF(OR($C231="",Q231="FUTUR"),"",_xlfn.IFS(Q231&lt;U231,V231,Q231&lt;W231,X231,Q231&lt;Y231,Z231,Q231&lt;AA231,AB231,TRUE,AC231))</f>
        <v/>
      </c>
    </row>
    <row r="232" ht="13.5" customHeight="1">
      <c r="A232" s="65" t="inlineStr">
        <is>
          <t>Althos Private Equity part A</t>
        </is>
      </c>
      <c r="B232" s="66" t="inlineStr">
        <is>
          <t>FR001400QZ70</t>
        </is>
      </c>
      <c r="C232" s="268" t="n"/>
      <c r="D232" s="269">
        <f>IF(H232=0,"Calendrier non disponible pour ce fonds — contacter la société de gestion.",IF(I232="","Calendrier connu jusqu'au "&amp;TEXT(K232,"dd/mm/yyyy")&amp;" — demander le calendrier à jour.","Cut-off : "&amp;TEXT(I232,"dd/mm/yyyy")&amp;"  |  VL : "&amp;TEXT(J232,"dd/mm/yyyy")))</f>
        <v/>
      </c>
      <c r="E232" s="269">
        <f>IF(L232=0,"Calendrier non disponible pour ce fonds — contacter la société de gestion.",IF(M232="","Calendrier connu jusqu'au "&amp;TEXT(P232,"dd/mm/yyyy")&amp;" — demander le calendrier à jour.","Cut-off : "&amp;TEXT(M232,"dd/mm/yyyy")&amp;"  |  VL : "&amp;TEXT(N232,"dd/mm/yyyy")))</f>
        <v/>
      </c>
      <c r="F232" s="269">
        <f>IF(L232=0,"Calendrier non disponible pour ce fonds.",IF(M232="","Calendrier connu jusqu'au "&amp;TEXT(P232,"dd/mm/yyyy")&amp;".",IF(O232="","Non précisé dans le calendrier pour cette échéance.","Réception : "&amp;TEXT(O232,"dd/mm/yyyy")&amp;"  (suite au rachat du "&amp;TEXT(N232,"dd/mm/yyyy")&amp;")")))</f>
        <v/>
      </c>
      <c r="G232" s="269">
        <f>_xlfn.IFS(S232="aucune","Aucune pénalité de sortie."&amp;IF(T232&lt;&gt;""," ("&amp;T232&amp;")",""),S232="manuel","⚠️ À VÉRIFIER MANUELLEMENT : "&amp;T232,S232="inconnue","Pénalité non renseignée — vérifier la notice / DICI du fonds.",$C232="","Saisir une date d'investissement pour statuer sur la pénalité.",Q232="FUTUR","Date d'investissement postérieure à aujourd'hui — vérifier la saisie.",AD232&gt;0,"⚠️ CONCERNÉ : pénalité de "&amp;AD232&amp;"% (détention "&amp;Q232&amp;" mois). "&amp;T232,TRUE,"Non concerné (détention "&amp;Q232&amp;" mois). "&amp;T232)</f>
        <v/>
      </c>
      <c r="H232">
        <f>COUNTIFS(BDD_Calendrier!$A$2:$A$616,$B232,BDD_Calendrier!$C$2:$C$616,"Souscription")</f>
        <v/>
      </c>
      <c r="I232">
        <f>IF(H232=0,"",IFERROR(_xlfn.MINIFS(BDD_Calendrier!$D$2:$D$616,BDD_Calendrier!$A$2:$A$616,$B232,BDD_Calendrier!$C$2:$C$616,"Souscription",BDD_Calendrier!$D$2:$D$616,"&gt;="&amp;TODAY()),""))</f>
        <v/>
      </c>
      <c r="J232">
        <f>IF(I232="","",IFERROR(INDEX(BDD_Calendrier!$E$2:$E$616,MATCH($B232&amp;"|Souscription|"&amp;TEXT(I232,"yyyy-mm-dd"),BDD_Calendrier!$I$2:$I$616,0)),""))</f>
        <v/>
      </c>
      <c r="K232">
        <f>IF(H232=0,"",_xlfn.MAXIFS(BDD_Calendrier!$D$2:$D$616,BDD_Calendrier!$A$2:$A$616,$B232,BDD_Calendrier!$C$2:$C$616,"Souscription"))</f>
        <v/>
      </c>
      <c r="L232">
        <f>COUNTIFS(BDD_Calendrier!$A$2:$A$616,$B232,BDD_Calendrier!$C$2:$C$616,"Rachat")</f>
        <v/>
      </c>
      <c r="M232">
        <f>IF(L232=0,"",IFERROR(_xlfn.MINIFS(BDD_Calendrier!$D$2:$D$616,BDD_Calendrier!$A$2:$A$616,$B232,BDD_Calendrier!$C$2:$C$616,"Rachat",BDD_Calendrier!$D$2:$D$616,"&gt;="&amp;TODAY()),""))</f>
        <v/>
      </c>
      <c r="N232">
        <f>IF(M232="","",IFERROR(INDEX(BDD_Calendrier!$E$2:$E$616,MATCH($B232&amp;"|Rachat|"&amp;TEXT(M232,"yyyy-mm-dd"),BDD_Calendrier!$I$2:$I$616,0)),""))</f>
        <v/>
      </c>
      <c r="O232">
        <f>IF(M232="","",IFERROR(INDEX(BDD_Calendrier!$H$2:$H$616,MATCH($B232&amp;"|Rachat|"&amp;TEXT(M232,"yyyy-mm-dd"),BDD_Calendrier!$I$2:$I$616,0)),""))</f>
        <v/>
      </c>
      <c r="P232">
        <f>IF(L232=0,"",_xlfn.MAXIFS(BDD_Calendrier!$D$2:$D$616,BDD_Calendrier!$A$2:$A$616,$B232,BDD_Calendrier!$C$2:$C$616,"Rachat"))</f>
        <v/>
      </c>
      <c r="Q232">
        <f>IF($C232="","",IF($C232&gt;TODAY(),"FUTUR",DATEDIF($C232,TODAY(),"m")))</f>
        <v/>
      </c>
      <c r="R232">
        <f>COUNTIF(BDD_Penalites!$A$2:$A$130,$B232)</f>
        <v/>
      </c>
      <c r="S232">
        <f>IF(R232=0,"inconnue",INDEX(BDD_Penalites!$C$2:$C$130,MATCH($B232,BDD_Penalites!$A$2:$A$130,0)))</f>
        <v/>
      </c>
      <c r="T232">
        <f>IF(R232=0,"",INDEX(BDD_Penalites!$M$2:$M$130,MATCH($B232,BDD_Penalites!$A$2:$A$130,0)))</f>
        <v/>
      </c>
      <c r="U232">
        <f>IF(R232=0,0,INDEX(BDD_Penalites!$D$2:$D$130,MATCH($B232,BDD_Penalites!$A$2:$A$130,0)))</f>
        <v/>
      </c>
      <c r="V232">
        <f>IF(R232=0,0,INDEX(BDD_Penalites!$E$2:$E$130,MATCH($B232,BDD_Penalites!$A$2:$A$130,0)))</f>
        <v/>
      </c>
      <c r="W232">
        <f>IF(R232=0,0,INDEX(BDD_Penalites!$F$2:$F$130,MATCH($B232,BDD_Penalites!$A$2:$A$130,0)))</f>
        <v/>
      </c>
      <c r="X232">
        <f>IF(R232=0,0,INDEX(BDD_Penalites!$G$2:$G$130,MATCH($B232,BDD_Penalites!$A$2:$A$130,0)))</f>
        <v/>
      </c>
      <c r="Y232">
        <f>IF(R232=0,0,INDEX(BDD_Penalites!$H$2:$H$130,MATCH($B232,BDD_Penalites!$A$2:$A$130,0)))</f>
        <v/>
      </c>
      <c r="Z232">
        <f>IF(R232=0,0,INDEX(BDD_Penalites!$I$2:$I$130,MATCH($B232,BDD_Penalites!$A$2:$A$130,0)))</f>
        <v/>
      </c>
      <c r="AA232">
        <f>IF(R232=0,0,INDEX(BDD_Penalites!$J$2:$J$130,MATCH($B232,BDD_Penalites!$A$2:$A$130,0)))</f>
        <v/>
      </c>
      <c r="AB232">
        <f>IF(R232=0,0,INDEX(BDD_Penalites!$K$2:$K$130,MATCH($B232,BDD_Penalites!$A$2:$A$130,0)))</f>
        <v/>
      </c>
      <c r="AC232">
        <f>IF(R232=0,0,INDEX(BDD_Penalites!$L$2:$L$130,MATCH($B232,BDD_Penalites!$A$2:$A$130,0)))</f>
        <v/>
      </c>
      <c r="AD232">
        <f>IF(OR($C232="",Q232="FUTUR"),"",_xlfn.IFS(Q232&lt;U232,V232,Q232&lt;W232,X232,Q232&lt;Y232,Z232,Q232&lt;AA232,AB232,TRUE,AC232))</f>
        <v/>
      </c>
    </row>
    <row r="233" ht="13.5" customHeight="1">
      <c r="A233" s="65" t="inlineStr">
        <is>
          <t>Althos Private Equity part B</t>
        </is>
      </c>
      <c r="B233" s="66" t="inlineStr">
        <is>
          <t>FR001400QZB0</t>
        </is>
      </c>
      <c r="C233" s="268" t="n"/>
      <c r="D233" s="269">
        <f>IF(H233=0,"Calendrier non disponible pour ce fonds — contacter la société de gestion.",IF(I233="","Calendrier connu jusqu'au "&amp;TEXT(K233,"dd/mm/yyyy")&amp;" — demander le calendrier à jour.","Cut-off : "&amp;TEXT(I233,"dd/mm/yyyy")&amp;"  |  VL : "&amp;TEXT(J233,"dd/mm/yyyy")))</f>
        <v/>
      </c>
      <c r="E233" s="269">
        <f>IF(L233=0,"Calendrier non disponible pour ce fonds — contacter la société de gestion.",IF(M233="","Calendrier connu jusqu'au "&amp;TEXT(P233,"dd/mm/yyyy")&amp;" — demander le calendrier à jour.","Cut-off : "&amp;TEXT(M233,"dd/mm/yyyy")&amp;"  |  VL : "&amp;TEXT(N233,"dd/mm/yyyy")))</f>
        <v/>
      </c>
      <c r="F233" s="269">
        <f>IF(L233=0,"Calendrier non disponible pour ce fonds.",IF(M233="","Calendrier connu jusqu'au "&amp;TEXT(P233,"dd/mm/yyyy")&amp;".",IF(O233="","Non précisé dans le calendrier pour cette échéance.","Réception : "&amp;TEXT(O233,"dd/mm/yyyy")&amp;"  (suite au rachat du "&amp;TEXT(N233,"dd/mm/yyyy")&amp;")")))</f>
        <v/>
      </c>
      <c r="G233" s="269">
        <f>_xlfn.IFS(S233="aucune","Aucune pénalité de sortie."&amp;IF(T233&lt;&gt;""," ("&amp;T233&amp;")",""),S233="manuel","⚠️ À VÉRIFIER MANUELLEMENT : "&amp;T233,S233="inconnue","Pénalité non renseignée — vérifier la notice / DICI du fonds.",$C233="","Saisir une date d'investissement pour statuer sur la pénalité.",Q233="FUTUR","Date d'investissement postérieure à aujourd'hui — vérifier la saisie.",AD233&gt;0,"⚠️ CONCERNÉ : pénalité de "&amp;AD233&amp;"% (détention "&amp;Q233&amp;" mois). "&amp;T233,TRUE,"Non concerné (détention "&amp;Q233&amp;" mois). "&amp;T233)</f>
        <v/>
      </c>
      <c r="H233">
        <f>COUNTIFS(BDD_Calendrier!$A$2:$A$616,$B233,BDD_Calendrier!$C$2:$C$616,"Souscription")</f>
        <v/>
      </c>
      <c r="I233">
        <f>IF(H233=0,"",IFERROR(_xlfn.MINIFS(BDD_Calendrier!$D$2:$D$616,BDD_Calendrier!$A$2:$A$616,$B233,BDD_Calendrier!$C$2:$C$616,"Souscription",BDD_Calendrier!$D$2:$D$616,"&gt;="&amp;TODAY()),""))</f>
        <v/>
      </c>
      <c r="J233">
        <f>IF(I233="","",IFERROR(INDEX(BDD_Calendrier!$E$2:$E$616,MATCH($B233&amp;"|Souscription|"&amp;TEXT(I233,"yyyy-mm-dd"),BDD_Calendrier!$I$2:$I$616,0)),""))</f>
        <v/>
      </c>
      <c r="K233">
        <f>IF(H233=0,"",_xlfn.MAXIFS(BDD_Calendrier!$D$2:$D$616,BDD_Calendrier!$A$2:$A$616,$B233,BDD_Calendrier!$C$2:$C$616,"Souscription"))</f>
        <v/>
      </c>
      <c r="L233">
        <f>COUNTIFS(BDD_Calendrier!$A$2:$A$616,$B233,BDD_Calendrier!$C$2:$C$616,"Rachat")</f>
        <v/>
      </c>
      <c r="M233">
        <f>IF(L233=0,"",IFERROR(_xlfn.MINIFS(BDD_Calendrier!$D$2:$D$616,BDD_Calendrier!$A$2:$A$616,$B233,BDD_Calendrier!$C$2:$C$616,"Rachat",BDD_Calendrier!$D$2:$D$616,"&gt;="&amp;TODAY()),""))</f>
        <v/>
      </c>
      <c r="N233">
        <f>IF(M233="","",IFERROR(INDEX(BDD_Calendrier!$E$2:$E$616,MATCH($B233&amp;"|Rachat|"&amp;TEXT(M233,"yyyy-mm-dd"),BDD_Calendrier!$I$2:$I$616,0)),""))</f>
        <v/>
      </c>
      <c r="O233">
        <f>IF(M233="","",IFERROR(INDEX(BDD_Calendrier!$H$2:$H$616,MATCH($B233&amp;"|Rachat|"&amp;TEXT(M233,"yyyy-mm-dd"),BDD_Calendrier!$I$2:$I$616,0)),""))</f>
        <v/>
      </c>
      <c r="P233">
        <f>IF(L233=0,"",_xlfn.MAXIFS(BDD_Calendrier!$D$2:$D$616,BDD_Calendrier!$A$2:$A$616,$B233,BDD_Calendrier!$C$2:$C$616,"Rachat"))</f>
        <v/>
      </c>
      <c r="Q233">
        <f>IF($C233="","",IF($C233&gt;TODAY(),"FUTUR",DATEDIF($C233,TODAY(),"m")))</f>
        <v/>
      </c>
      <c r="R233">
        <f>COUNTIF(BDD_Penalites!$A$2:$A$130,$B233)</f>
        <v/>
      </c>
      <c r="S233">
        <f>IF(R233=0,"inconnue",INDEX(BDD_Penalites!$C$2:$C$130,MATCH($B233,BDD_Penalites!$A$2:$A$130,0)))</f>
        <v/>
      </c>
      <c r="T233">
        <f>IF(R233=0,"",INDEX(BDD_Penalites!$M$2:$M$130,MATCH($B233,BDD_Penalites!$A$2:$A$130,0)))</f>
        <v/>
      </c>
      <c r="U233">
        <f>IF(R233=0,0,INDEX(BDD_Penalites!$D$2:$D$130,MATCH($B233,BDD_Penalites!$A$2:$A$130,0)))</f>
        <v/>
      </c>
      <c r="V233">
        <f>IF(R233=0,0,INDEX(BDD_Penalites!$E$2:$E$130,MATCH($B233,BDD_Penalites!$A$2:$A$130,0)))</f>
        <v/>
      </c>
      <c r="W233">
        <f>IF(R233=0,0,INDEX(BDD_Penalites!$F$2:$F$130,MATCH($B233,BDD_Penalites!$A$2:$A$130,0)))</f>
        <v/>
      </c>
      <c r="X233">
        <f>IF(R233=0,0,INDEX(BDD_Penalites!$G$2:$G$130,MATCH($B233,BDD_Penalites!$A$2:$A$130,0)))</f>
        <v/>
      </c>
      <c r="Y233">
        <f>IF(R233=0,0,INDEX(BDD_Penalites!$H$2:$H$130,MATCH($B233,BDD_Penalites!$A$2:$A$130,0)))</f>
        <v/>
      </c>
      <c r="Z233">
        <f>IF(R233=0,0,INDEX(BDD_Penalites!$I$2:$I$130,MATCH($B233,BDD_Penalites!$A$2:$A$130,0)))</f>
        <v/>
      </c>
      <c r="AA233">
        <f>IF(R233=0,0,INDEX(BDD_Penalites!$J$2:$J$130,MATCH($B233,BDD_Penalites!$A$2:$A$130,0)))</f>
        <v/>
      </c>
      <c r="AB233">
        <f>IF(R233=0,0,INDEX(BDD_Penalites!$K$2:$K$130,MATCH($B233,BDD_Penalites!$A$2:$A$130,0)))</f>
        <v/>
      </c>
      <c r="AC233">
        <f>IF(R233=0,0,INDEX(BDD_Penalites!$L$2:$L$130,MATCH($B233,BDD_Penalites!$A$2:$A$130,0)))</f>
        <v/>
      </c>
      <c r="AD233">
        <f>IF(OR($C233="",Q233="FUTUR"),"",_xlfn.IFS(Q233&lt;U233,V233,Q233&lt;W233,X233,Q233&lt;Y233,Z233,Q233&lt;AA233,AB233,TRUE,AC233))</f>
        <v/>
      </c>
    </row>
    <row r="234" ht="13.5" customHeight="1">
      <c r="A234" s="65" t="inlineStr">
        <is>
          <t>Althos Private Equity part C</t>
        </is>
      </c>
      <c r="B234" s="66" t="inlineStr">
        <is>
          <t>FR001400QZ88</t>
        </is>
      </c>
      <c r="C234" s="268" t="n"/>
      <c r="D234" s="269">
        <f>IF(H234=0,"Calendrier non disponible pour ce fonds — contacter la société de gestion.",IF(I234="","Calendrier connu jusqu'au "&amp;TEXT(K234,"dd/mm/yyyy")&amp;" — demander le calendrier à jour.","Cut-off : "&amp;TEXT(I234,"dd/mm/yyyy")&amp;"  |  VL : "&amp;TEXT(J234,"dd/mm/yyyy")))</f>
        <v/>
      </c>
      <c r="E234" s="269">
        <f>IF(L234=0,"Calendrier non disponible pour ce fonds — contacter la société de gestion.",IF(M234="","Calendrier connu jusqu'au "&amp;TEXT(P234,"dd/mm/yyyy")&amp;" — demander le calendrier à jour.","Cut-off : "&amp;TEXT(M234,"dd/mm/yyyy")&amp;"  |  VL : "&amp;TEXT(N234,"dd/mm/yyyy")))</f>
        <v/>
      </c>
      <c r="F234" s="269">
        <f>IF(L234=0,"Calendrier non disponible pour ce fonds.",IF(M234="","Calendrier connu jusqu'au "&amp;TEXT(P234,"dd/mm/yyyy")&amp;".",IF(O234="","Non précisé dans le calendrier pour cette échéance.","Réception : "&amp;TEXT(O234,"dd/mm/yyyy")&amp;"  (suite au rachat du "&amp;TEXT(N234,"dd/mm/yyyy")&amp;")")))</f>
        <v/>
      </c>
      <c r="G234" s="269">
        <f>_xlfn.IFS(S234="aucune","Aucune pénalité de sortie."&amp;IF(T234&lt;&gt;""," ("&amp;T234&amp;")",""),S234="manuel","⚠️ À VÉRIFIER MANUELLEMENT : "&amp;T234,S234="inconnue","Pénalité non renseignée — vérifier la notice / DICI du fonds.",$C234="","Saisir une date d'investissement pour statuer sur la pénalité.",Q234="FUTUR","Date d'investissement postérieure à aujourd'hui — vérifier la saisie.",AD234&gt;0,"⚠️ CONCERNÉ : pénalité de "&amp;AD234&amp;"% (détention "&amp;Q234&amp;" mois). "&amp;T234,TRUE,"Non concerné (détention "&amp;Q234&amp;" mois). "&amp;T234)</f>
        <v/>
      </c>
      <c r="H234">
        <f>COUNTIFS(BDD_Calendrier!$A$2:$A$616,$B234,BDD_Calendrier!$C$2:$C$616,"Souscription")</f>
        <v/>
      </c>
      <c r="I234">
        <f>IF(H234=0,"",IFERROR(_xlfn.MINIFS(BDD_Calendrier!$D$2:$D$616,BDD_Calendrier!$A$2:$A$616,$B234,BDD_Calendrier!$C$2:$C$616,"Souscription",BDD_Calendrier!$D$2:$D$616,"&gt;="&amp;TODAY()),""))</f>
        <v/>
      </c>
      <c r="J234">
        <f>IF(I234="","",IFERROR(INDEX(BDD_Calendrier!$E$2:$E$616,MATCH($B234&amp;"|Souscription|"&amp;TEXT(I234,"yyyy-mm-dd"),BDD_Calendrier!$I$2:$I$616,0)),""))</f>
        <v/>
      </c>
      <c r="K234">
        <f>IF(H234=0,"",_xlfn.MAXIFS(BDD_Calendrier!$D$2:$D$616,BDD_Calendrier!$A$2:$A$616,$B234,BDD_Calendrier!$C$2:$C$616,"Souscription"))</f>
        <v/>
      </c>
      <c r="L234">
        <f>COUNTIFS(BDD_Calendrier!$A$2:$A$616,$B234,BDD_Calendrier!$C$2:$C$616,"Rachat")</f>
        <v/>
      </c>
      <c r="M234">
        <f>IF(L234=0,"",IFERROR(_xlfn.MINIFS(BDD_Calendrier!$D$2:$D$616,BDD_Calendrier!$A$2:$A$616,$B234,BDD_Calendrier!$C$2:$C$616,"Rachat",BDD_Calendrier!$D$2:$D$616,"&gt;="&amp;TODAY()),""))</f>
        <v/>
      </c>
      <c r="N234">
        <f>IF(M234="","",IFERROR(INDEX(BDD_Calendrier!$E$2:$E$616,MATCH($B234&amp;"|Rachat|"&amp;TEXT(M234,"yyyy-mm-dd"),BDD_Calendrier!$I$2:$I$616,0)),""))</f>
        <v/>
      </c>
      <c r="O234">
        <f>IF(M234="","",IFERROR(INDEX(BDD_Calendrier!$H$2:$H$616,MATCH($B234&amp;"|Rachat|"&amp;TEXT(M234,"yyyy-mm-dd"),BDD_Calendrier!$I$2:$I$616,0)),""))</f>
        <v/>
      </c>
      <c r="P234">
        <f>IF(L234=0,"",_xlfn.MAXIFS(BDD_Calendrier!$D$2:$D$616,BDD_Calendrier!$A$2:$A$616,$B234,BDD_Calendrier!$C$2:$C$616,"Rachat"))</f>
        <v/>
      </c>
      <c r="Q234">
        <f>IF($C234="","",IF($C234&gt;TODAY(),"FUTUR",DATEDIF($C234,TODAY(),"m")))</f>
        <v/>
      </c>
      <c r="R234">
        <f>COUNTIF(BDD_Penalites!$A$2:$A$130,$B234)</f>
        <v/>
      </c>
      <c r="S234">
        <f>IF(R234=0,"inconnue",INDEX(BDD_Penalites!$C$2:$C$130,MATCH($B234,BDD_Penalites!$A$2:$A$130,0)))</f>
        <v/>
      </c>
      <c r="T234">
        <f>IF(R234=0,"",INDEX(BDD_Penalites!$M$2:$M$130,MATCH($B234,BDD_Penalites!$A$2:$A$130,0)))</f>
        <v/>
      </c>
      <c r="U234">
        <f>IF(R234=0,0,INDEX(BDD_Penalites!$D$2:$D$130,MATCH($B234,BDD_Penalites!$A$2:$A$130,0)))</f>
        <v/>
      </c>
      <c r="V234">
        <f>IF(R234=0,0,INDEX(BDD_Penalites!$E$2:$E$130,MATCH($B234,BDD_Penalites!$A$2:$A$130,0)))</f>
        <v/>
      </c>
      <c r="W234">
        <f>IF(R234=0,0,INDEX(BDD_Penalites!$F$2:$F$130,MATCH($B234,BDD_Penalites!$A$2:$A$130,0)))</f>
        <v/>
      </c>
      <c r="X234">
        <f>IF(R234=0,0,INDEX(BDD_Penalites!$G$2:$G$130,MATCH($B234,BDD_Penalites!$A$2:$A$130,0)))</f>
        <v/>
      </c>
      <c r="Y234">
        <f>IF(R234=0,0,INDEX(BDD_Penalites!$H$2:$H$130,MATCH($B234,BDD_Penalites!$A$2:$A$130,0)))</f>
        <v/>
      </c>
      <c r="Z234">
        <f>IF(R234=0,0,INDEX(BDD_Penalites!$I$2:$I$130,MATCH($B234,BDD_Penalites!$A$2:$A$130,0)))</f>
        <v/>
      </c>
      <c r="AA234">
        <f>IF(R234=0,0,INDEX(BDD_Penalites!$J$2:$J$130,MATCH($B234,BDD_Penalites!$A$2:$A$130,0)))</f>
        <v/>
      </c>
      <c r="AB234">
        <f>IF(R234=0,0,INDEX(BDD_Penalites!$K$2:$K$130,MATCH($B234,BDD_Penalites!$A$2:$A$130,0)))</f>
        <v/>
      </c>
      <c r="AC234">
        <f>IF(R234=0,0,INDEX(BDD_Penalites!$L$2:$L$130,MATCH($B234,BDD_Penalites!$A$2:$A$130,0)))</f>
        <v/>
      </c>
      <c r="AD234">
        <f>IF(OR($C234="",Q234="FUTUR"),"",_xlfn.IFS(Q234&lt;U234,V234,Q234&lt;W234,X234,Q234&lt;Y234,Z234,Q234&lt;AA234,AB234,TRUE,AC234))</f>
        <v/>
      </c>
    </row>
    <row r="235" ht="13.5" customHeight="1">
      <c r="A235" s="65" t="inlineStr">
        <is>
          <t>Althos Private Equity part D</t>
        </is>
      </c>
      <c r="B235" s="66" t="inlineStr">
        <is>
          <t>FR001400QZA2</t>
        </is>
      </c>
      <c r="C235" s="268" t="n"/>
      <c r="D235" s="269">
        <f>IF(H235=0,"Calendrier non disponible pour ce fonds — contacter la société de gestion.",IF(I235="","Calendrier connu jusqu'au "&amp;TEXT(K235,"dd/mm/yyyy")&amp;" — demander le calendrier à jour.","Cut-off : "&amp;TEXT(I235,"dd/mm/yyyy")&amp;"  |  VL : "&amp;TEXT(J235,"dd/mm/yyyy")))</f>
        <v/>
      </c>
      <c r="E235" s="269">
        <f>IF(L235=0,"Calendrier non disponible pour ce fonds — contacter la société de gestion.",IF(M235="","Calendrier connu jusqu'au "&amp;TEXT(P235,"dd/mm/yyyy")&amp;" — demander le calendrier à jour.","Cut-off : "&amp;TEXT(M235,"dd/mm/yyyy")&amp;"  |  VL : "&amp;TEXT(N235,"dd/mm/yyyy")))</f>
        <v/>
      </c>
      <c r="F235" s="269">
        <f>IF(L235=0,"Calendrier non disponible pour ce fonds.",IF(M235="","Calendrier connu jusqu'au "&amp;TEXT(P235,"dd/mm/yyyy")&amp;".",IF(O235="","Non précisé dans le calendrier pour cette échéance.","Réception : "&amp;TEXT(O235,"dd/mm/yyyy")&amp;"  (suite au rachat du "&amp;TEXT(N235,"dd/mm/yyyy")&amp;")")))</f>
        <v/>
      </c>
      <c r="G235" s="269">
        <f>_xlfn.IFS(S235="aucune","Aucune pénalité de sortie."&amp;IF(T235&lt;&gt;""," ("&amp;T235&amp;")",""),S235="manuel","⚠️ À VÉRIFIER MANUELLEMENT : "&amp;T235,S235="inconnue","Pénalité non renseignée — vérifier la notice / DICI du fonds.",$C235="","Saisir une date d'investissement pour statuer sur la pénalité.",Q235="FUTUR","Date d'investissement postérieure à aujourd'hui — vérifier la saisie.",AD235&gt;0,"⚠️ CONCERNÉ : pénalité de "&amp;AD235&amp;"% (détention "&amp;Q235&amp;" mois). "&amp;T235,TRUE,"Non concerné (détention "&amp;Q235&amp;" mois). "&amp;T235)</f>
        <v/>
      </c>
      <c r="H235">
        <f>COUNTIFS(BDD_Calendrier!$A$2:$A$616,$B235,BDD_Calendrier!$C$2:$C$616,"Souscription")</f>
        <v/>
      </c>
      <c r="I235">
        <f>IF(H235=0,"",IFERROR(_xlfn.MINIFS(BDD_Calendrier!$D$2:$D$616,BDD_Calendrier!$A$2:$A$616,$B235,BDD_Calendrier!$C$2:$C$616,"Souscription",BDD_Calendrier!$D$2:$D$616,"&gt;="&amp;TODAY()),""))</f>
        <v/>
      </c>
      <c r="J235">
        <f>IF(I235="","",IFERROR(INDEX(BDD_Calendrier!$E$2:$E$616,MATCH($B235&amp;"|Souscription|"&amp;TEXT(I235,"yyyy-mm-dd"),BDD_Calendrier!$I$2:$I$616,0)),""))</f>
        <v/>
      </c>
      <c r="K235">
        <f>IF(H235=0,"",_xlfn.MAXIFS(BDD_Calendrier!$D$2:$D$616,BDD_Calendrier!$A$2:$A$616,$B235,BDD_Calendrier!$C$2:$C$616,"Souscription"))</f>
        <v/>
      </c>
      <c r="L235">
        <f>COUNTIFS(BDD_Calendrier!$A$2:$A$616,$B235,BDD_Calendrier!$C$2:$C$616,"Rachat")</f>
        <v/>
      </c>
      <c r="M235">
        <f>IF(L235=0,"",IFERROR(_xlfn.MINIFS(BDD_Calendrier!$D$2:$D$616,BDD_Calendrier!$A$2:$A$616,$B235,BDD_Calendrier!$C$2:$C$616,"Rachat",BDD_Calendrier!$D$2:$D$616,"&gt;="&amp;TODAY()),""))</f>
        <v/>
      </c>
      <c r="N235">
        <f>IF(M235="","",IFERROR(INDEX(BDD_Calendrier!$E$2:$E$616,MATCH($B235&amp;"|Rachat|"&amp;TEXT(M235,"yyyy-mm-dd"),BDD_Calendrier!$I$2:$I$616,0)),""))</f>
        <v/>
      </c>
      <c r="O235">
        <f>IF(M235="","",IFERROR(INDEX(BDD_Calendrier!$H$2:$H$616,MATCH($B235&amp;"|Rachat|"&amp;TEXT(M235,"yyyy-mm-dd"),BDD_Calendrier!$I$2:$I$616,0)),""))</f>
        <v/>
      </c>
      <c r="P235">
        <f>IF(L235=0,"",_xlfn.MAXIFS(BDD_Calendrier!$D$2:$D$616,BDD_Calendrier!$A$2:$A$616,$B235,BDD_Calendrier!$C$2:$C$616,"Rachat"))</f>
        <v/>
      </c>
      <c r="Q235">
        <f>IF($C235="","",IF($C235&gt;TODAY(),"FUTUR",DATEDIF($C235,TODAY(),"m")))</f>
        <v/>
      </c>
      <c r="R235">
        <f>COUNTIF(BDD_Penalites!$A$2:$A$130,$B235)</f>
        <v/>
      </c>
      <c r="S235">
        <f>IF(R235=0,"inconnue",INDEX(BDD_Penalites!$C$2:$C$130,MATCH($B235,BDD_Penalites!$A$2:$A$130,0)))</f>
        <v/>
      </c>
      <c r="T235">
        <f>IF(R235=0,"",INDEX(BDD_Penalites!$M$2:$M$130,MATCH($B235,BDD_Penalites!$A$2:$A$130,0)))</f>
        <v/>
      </c>
      <c r="U235">
        <f>IF(R235=0,0,INDEX(BDD_Penalites!$D$2:$D$130,MATCH($B235,BDD_Penalites!$A$2:$A$130,0)))</f>
        <v/>
      </c>
      <c r="V235">
        <f>IF(R235=0,0,INDEX(BDD_Penalites!$E$2:$E$130,MATCH($B235,BDD_Penalites!$A$2:$A$130,0)))</f>
        <v/>
      </c>
      <c r="W235">
        <f>IF(R235=0,0,INDEX(BDD_Penalites!$F$2:$F$130,MATCH($B235,BDD_Penalites!$A$2:$A$130,0)))</f>
        <v/>
      </c>
      <c r="X235">
        <f>IF(R235=0,0,INDEX(BDD_Penalites!$G$2:$G$130,MATCH($B235,BDD_Penalites!$A$2:$A$130,0)))</f>
        <v/>
      </c>
      <c r="Y235">
        <f>IF(R235=0,0,INDEX(BDD_Penalites!$H$2:$H$130,MATCH($B235,BDD_Penalites!$A$2:$A$130,0)))</f>
        <v/>
      </c>
      <c r="Z235">
        <f>IF(R235=0,0,INDEX(BDD_Penalites!$I$2:$I$130,MATCH($B235,BDD_Penalites!$A$2:$A$130,0)))</f>
        <v/>
      </c>
      <c r="AA235">
        <f>IF(R235=0,0,INDEX(BDD_Penalites!$J$2:$J$130,MATCH($B235,BDD_Penalites!$A$2:$A$130,0)))</f>
        <v/>
      </c>
      <c r="AB235">
        <f>IF(R235=0,0,INDEX(BDD_Penalites!$K$2:$K$130,MATCH($B235,BDD_Penalites!$A$2:$A$130,0)))</f>
        <v/>
      </c>
      <c r="AC235">
        <f>IF(R235=0,0,INDEX(BDD_Penalites!$L$2:$L$130,MATCH($B235,BDD_Penalites!$A$2:$A$130,0)))</f>
        <v/>
      </c>
      <c r="AD235">
        <f>IF(OR($C235="",Q235="FUTUR"),"",_xlfn.IFS(Q235&lt;U235,V235,Q235&lt;W235,X235,Q235&lt;Y235,Z235,Q235&lt;AA235,AB235,TRUE,AC235))</f>
        <v/>
      </c>
    </row>
    <row r="236" ht="13.5" customHeight="1">
      <c r="A236" s="65" t="inlineStr">
        <is>
          <t>Althos Private Equity part E</t>
        </is>
      </c>
      <c r="B236" s="66" t="inlineStr">
        <is>
          <t>FR001400QZC8</t>
        </is>
      </c>
      <c r="C236" s="268" t="n"/>
      <c r="D236" s="269">
        <f>IF(H236=0,"Calendrier non disponible pour ce fonds — contacter la société de gestion.",IF(I236="","Calendrier connu jusqu'au "&amp;TEXT(K236,"dd/mm/yyyy")&amp;" — demander le calendrier à jour.","Cut-off : "&amp;TEXT(I236,"dd/mm/yyyy")&amp;"  |  VL : "&amp;TEXT(J236,"dd/mm/yyyy")))</f>
        <v/>
      </c>
      <c r="E236" s="269">
        <f>IF(L236=0,"Calendrier non disponible pour ce fonds — contacter la société de gestion.",IF(M236="","Calendrier connu jusqu'au "&amp;TEXT(P236,"dd/mm/yyyy")&amp;" — demander le calendrier à jour.","Cut-off : "&amp;TEXT(M236,"dd/mm/yyyy")&amp;"  |  VL : "&amp;TEXT(N236,"dd/mm/yyyy")))</f>
        <v/>
      </c>
      <c r="F236" s="269">
        <f>IF(L236=0,"Calendrier non disponible pour ce fonds.",IF(M236="","Calendrier connu jusqu'au "&amp;TEXT(P236,"dd/mm/yyyy")&amp;".",IF(O236="","Non précisé dans le calendrier pour cette échéance.","Réception : "&amp;TEXT(O236,"dd/mm/yyyy")&amp;"  (suite au rachat du "&amp;TEXT(N236,"dd/mm/yyyy")&amp;")")))</f>
        <v/>
      </c>
      <c r="G236" s="269">
        <f>_xlfn.IFS(S236="aucune","Aucune pénalité de sortie."&amp;IF(T236&lt;&gt;""," ("&amp;T236&amp;")",""),S236="manuel","⚠️ À VÉRIFIER MANUELLEMENT : "&amp;T236,S236="inconnue","Pénalité non renseignée — vérifier la notice / DICI du fonds.",$C236="","Saisir une date d'investissement pour statuer sur la pénalité.",Q236="FUTUR","Date d'investissement postérieure à aujourd'hui — vérifier la saisie.",AD236&gt;0,"⚠️ CONCERNÉ : pénalité de "&amp;AD236&amp;"% (détention "&amp;Q236&amp;" mois). "&amp;T236,TRUE,"Non concerné (détention "&amp;Q236&amp;" mois). "&amp;T236)</f>
        <v/>
      </c>
      <c r="H236">
        <f>COUNTIFS(BDD_Calendrier!$A$2:$A$616,$B236,BDD_Calendrier!$C$2:$C$616,"Souscription")</f>
        <v/>
      </c>
      <c r="I236">
        <f>IF(H236=0,"",IFERROR(_xlfn.MINIFS(BDD_Calendrier!$D$2:$D$616,BDD_Calendrier!$A$2:$A$616,$B236,BDD_Calendrier!$C$2:$C$616,"Souscription",BDD_Calendrier!$D$2:$D$616,"&gt;="&amp;TODAY()),""))</f>
        <v/>
      </c>
      <c r="J236">
        <f>IF(I236="","",IFERROR(INDEX(BDD_Calendrier!$E$2:$E$616,MATCH($B236&amp;"|Souscription|"&amp;TEXT(I236,"yyyy-mm-dd"),BDD_Calendrier!$I$2:$I$616,0)),""))</f>
        <v/>
      </c>
      <c r="K236">
        <f>IF(H236=0,"",_xlfn.MAXIFS(BDD_Calendrier!$D$2:$D$616,BDD_Calendrier!$A$2:$A$616,$B236,BDD_Calendrier!$C$2:$C$616,"Souscription"))</f>
        <v/>
      </c>
      <c r="L236">
        <f>COUNTIFS(BDD_Calendrier!$A$2:$A$616,$B236,BDD_Calendrier!$C$2:$C$616,"Rachat")</f>
        <v/>
      </c>
      <c r="M236">
        <f>IF(L236=0,"",IFERROR(_xlfn.MINIFS(BDD_Calendrier!$D$2:$D$616,BDD_Calendrier!$A$2:$A$616,$B236,BDD_Calendrier!$C$2:$C$616,"Rachat",BDD_Calendrier!$D$2:$D$616,"&gt;="&amp;TODAY()),""))</f>
        <v/>
      </c>
      <c r="N236">
        <f>IF(M236="","",IFERROR(INDEX(BDD_Calendrier!$E$2:$E$616,MATCH($B236&amp;"|Rachat|"&amp;TEXT(M236,"yyyy-mm-dd"),BDD_Calendrier!$I$2:$I$616,0)),""))</f>
        <v/>
      </c>
      <c r="O236">
        <f>IF(M236="","",IFERROR(INDEX(BDD_Calendrier!$H$2:$H$616,MATCH($B236&amp;"|Rachat|"&amp;TEXT(M236,"yyyy-mm-dd"),BDD_Calendrier!$I$2:$I$616,0)),""))</f>
        <v/>
      </c>
      <c r="P236">
        <f>IF(L236=0,"",_xlfn.MAXIFS(BDD_Calendrier!$D$2:$D$616,BDD_Calendrier!$A$2:$A$616,$B236,BDD_Calendrier!$C$2:$C$616,"Rachat"))</f>
        <v/>
      </c>
      <c r="Q236">
        <f>IF($C236="","",IF($C236&gt;TODAY(),"FUTUR",DATEDIF($C236,TODAY(),"m")))</f>
        <v/>
      </c>
      <c r="R236">
        <f>COUNTIF(BDD_Penalites!$A$2:$A$130,$B236)</f>
        <v/>
      </c>
      <c r="S236">
        <f>IF(R236=0,"inconnue",INDEX(BDD_Penalites!$C$2:$C$130,MATCH($B236,BDD_Penalites!$A$2:$A$130,0)))</f>
        <v/>
      </c>
      <c r="T236">
        <f>IF(R236=0,"",INDEX(BDD_Penalites!$M$2:$M$130,MATCH($B236,BDD_Penalites!$A$2:$A$130,0)))</f>
        <v/>
      </c>
      <c r="U236">
        <f>IF(R236=0,0,INDEX(BDD_Penalites!$D$2:$D$130,MATCH($B236,BDD_Penalites!$A$2:$A$130,0)))</f>
        <v/>
      </c>
      <c r="V236">
        <f>IF(R236=0,0,INDEX(BDD_Penalites!$E$2:$E$130,MATCH($B236,BDD_Penalites!$A$2:$A$130,0)))</f>
        <v/>
      </c>
      <c r="W236">
        <f>IF(R236=0,0,INDEX(BDD_Penalites!$F$2:$F$130,MATCH($B236,BDD_Penalites!$A$2:$A$130,0)))</f>
        <v/>
      </c>
      <c r="X236">
        <f>IF(R236=0,0,INDEX(BDD_Penalites!$G$2:$G$130,MATCH($B236,BDD_Penalites!$A$2:$A$130,0)))</f>
        <v/>
      </c>
      <c r="Y236">
        <f>IF(R236=0,0,INDEX(BDD_Penalites!$H$2:$H$130,MATCH($B236,BDD_Penalites!$A$2:$A$130,0)))</f>
        <v/>
      </c>
      <c r="Z236">
        <f>IF(R236=0,0,INDEX(BDD_Penalites!$I$2:$I$130,MATCH($B236,BDD_Penalites!$A$2:$A$130,0)))</f>
        <v/>
      </c>
      <c r="AA236">
        <f>IF(R236=0,0,INDEX(BDD_Penalites!$J$2:$J$130,MATCH($B236,BDD_Penalites!$A$2:$A$130,0)))</f>
        <v/>
      </c>
      <c r="AB236">
        <f>IF(R236=0,0,INDEX(BDD_Penalites!$K$2:$K$130,MATCH($B236,BDD_Penalites!$A$2:$A$130,0)))</f>
        <v/>
      </c>
      <c r="AC236">
        <f>IF(R236=0,0,INDEX(BDD_Penalites!$L$2:$L$130,MATCH($B236,BDD_Penalites!$A$2:$A$130,0)))</f>
        <v/>
      </c>
      <c r="AD236">
        <f>IF(OR($C236="",Q236="FUTUR"),"",_xlfn.IFS(Q236&lt;U236,V236,Q236&lt;W236,X236,Q236&lt;Y236,Z236,Q236&lt;AA236,AB236,TRUE,AC236))</f>
        <v/>
      </c>
    </row>
    <row r="237" ht="13.5" customHeight="1">
      <c r="A237" s="65" t="inlineStr">
        <is>
          <t>Pantheon Global Private Equity S EUR</t>
        </is>
      </c>
      <c r="B237" s="66" t="inlineStr">
        <is>
          <t>LU2756307729</t>
        </is>
      </c>
      <c r="C237" s="268" t="n"/>
      <c r="D237" s="269">
        <f>IF(H237=0,"Calendrier non disponible pour ce fonds — contacter la société de gestion.",IF(I237="","Calendrier connu jusqu'au "&amp;TEXT(K237,"dd/mm/yyyy")&amp;" — demander le calendrier à jour.","Cut-off : "&amp;TEXT(I237,"dd/mm/yyyy")&amp;"  |  VL : "&amp;TEXT(J237,"dd/mm/yyyy")))</f>
        <v/>
      </c>
      <c r="E237" s="269">
        <f>IF(L237=0,"Calendrier non disponible pour ce fonds — contacter la société de gestion.",IF(M237="","Calendrier connu jusqu'au "&amp;TEXT(P237,"dd/mm/yyyy")&amp;" — demander le calendrier à jour.","Cut-off : "&amp;TEXT(M237,"dd/mm/yyyy")&amp;"  |  VL : "&amp;TEXT(N237,"dd/mm/yyyy")))</f>
        <v/>
      </c>
      <c r="F237" s="269">
        <f>IF(L237=0,"Calendrier non disponible pour ce fonds.",IF(M237="","Calendrier connu jusqu'au "&amp;TEXT(P237,"dd/mm/yyyy")&amp;".",IF(O237="","Non précisé dans le calendrier pour cette échéance.","Réception : "&amp;TEXT(O237,"dd/mm/yyyy")&amp;"  (suite au rachat du "&amp;TEXT(N237,"dd/mm/yyyy")&amp;")")))</f>
        <v/>
      </c>
      <c r="G237" s="269">
        <f>_xlfn.IFS(S237="aucune","Aucune pénalité de sortie."&amp;IF(T237&lt;&gt;""," ("&amp;T237&amp;")",""),S237="manuel","⚠️ À VÉRIFIER MANUELLEMENT : "&amp;T237,S237="inconnue","Pénalité non renseignée — vérifier la notice / DICI du fonds.",$C237="","Saisir une date d'investissement pour statuer sur la pénalité.",Q237="FUTUR","Date d'investissement postérieure à aujourd'hui — vérifier la saisie.",AD237&gt;0,"⚠️ CONCERNÉ : pénalité de "&amp;AD237&amp;"% (détention "&amp;Q237&amp;" mois). "&amp;T237,TRUE,"Non concerné (détention "&amp;Q237&amp;" mois). "&amp;T237)</f>
        <v/>
      </c>
      <c r="H237">
        <f>COUNTIFS(BDD_Calendrier!$A$2:$A$616,$B237,BDD_Calendrier!$C$2:$C$616,"Souscription")</f>
        <v/>
      </c>
      <c r="I237">
        <f>IF(H237=0,"",IFERROR(_xlfn.MINIFS(BDD_Calendrier!$D$2:$D$616,BDD_Calendrier!$A$2:$A$616,$B237,BDD_Calendrier!$C$2:$C$616,"Souscription",BDD_Calendrier!$D$2:$D$616,"&gt;="&amp;TODAY()),""))</f>
        <v/>
      </c>
      <c r="J237">
        <f>IF(I237="","",IFERROR(INDEX(BDD_Calendrier!$E$2:$E$616,MATCH($B237&amp;"|Souscription|"&amp;TEXT(I237,"yyyy-mm-dd"),BDD_Calendrier!$I$2:$I$616,0)),""))</f>
        <v/>
      </c>
      <c r="K237">
        <f>IF(H237=0,"",_xlfn.MAXIFS(BDD_Calendrier!$D$2:$D$616,BDD_Calendrier!$A$2:$A$616,$B237,BDD_Calendrier!$C$2:$C$616,"Souscription"))</f>
        <v/>
      </c>
      <c r="L237">
        <f>COUNTIFS(BDD_Calendrier!$A$2:$A$616,$B237,BDD_Calendrier!$C$2:$C$616,"Rachat")</f>
        <v/>
      </c>
      <c r="M237">
        <f>IF(L237=0,"",IFERROR(_xlfn.MINIFS(BDD_Calendrier!$D$2:$D$616,BDD_Calendrier!$A$2:$A$616,$B237,BDD_Calendrier!$C$2:$C$616,"Rachat",BDD_Calendrier!$D$2:$D$616,"&gt;="&amp;TODAY()),""))</f>
        <v/>
      </c>
      <c r="N237">
        <f>IF(M237="","",IFERROR(INDEX(BDD_Calendrier!$E$2:$E$616,MATCH($B237&amp;"|Rachat|"&amp;TEXT(M237,"yyyy-mm-dd"),BDD_Calendrier!$I$2:$I$616,0)),""))</f>
        <v/>
      </c>
      <c r="O237">
        <f>IF(M237="","",IFERROR(INDEX(BDD_Calendrier!$H$2:$H$616,MATCH($B237&amp;"|Rachat|"&amp;TEXT(M237,"yyyy-mm-dd"),BDD_Calendrier!$I$2:$I$616,0)),""))</f>
        <v/>
      </c>
      <c r="P237">
        <f>IF(L237=0,"",_xlfn.MAXIFS(BDD_Calendrier!$D$2:$D$616,BDD_Calendrier!$A$2:$A$616,$B237,BDD_Calendrier!$C$2:$C$616,"Rachat"))</f>
        <v/>
      </c>
      <c r="Q237">
        <f>IF($C237="","",IF($C237&gt;TODAY(),"FUTUR",DATEDIF($C237,TODAY(),"m")))</f>
        <v/>
      </c>
      <c r="R237">
        <f>COUNTIF(BDD_Penalites!$A$2:$A$130,$B237)</f>
        <v/>
      </c>
      <c r="S237">
        <f>IF(R237=0,"inconnue",INDEX(BDD_Penalites!$C$2:$C$130,MATCH($B237,BDD_Penalites!$A$2:$A$130,0)))</f>
        <v/>
      </c>
      <c r="T237">
        <f>IF(R237=0,"",INDEX(BDD_Penalites!$M$2:$M$130,MATCH($B237,BDD_Penalites!$A$2:$A$130,0)))</f>
        <v/>
      </c>
      <c r="U237">
        <f>IF(R237=0,0,INDEX(BDD_Penalites!$D$2:$D$130,MATCH($B237,BDD_Penalites!$A$2:$A$130,0)))</f>
        <v/>
      </c>
      <c r="V237">
        <f>IF(R237=0,0,INDEX(BDD_Penalites!$E$2:$E$130,MATCH($B237,BDD_Penalites!$A$2:$A$130,0)))</f>
        <v/>
      </c>
      <c r="W237">
        <f>IF(R237=0,0,INDEX(BDD_Penalites!$F$2:$F$130,MATCH($B237,BDD_Penalites!$A$2:$A$130,0)))</f>
        <v/>
      </c>
      <c r="X237">
        <f>IF(R237=0,0,INDEX(BDD_Penalites!$G$2:$G$130,MATCH($B237,BDD_Penalites!$A$2:$A$130,0)))</f>
        <v/>
      </c>
      <c r="Y237">
        <f>IF(R237=0,0,INDEX(BDD_Penalites!$H$2:$H$130,MATCH($B237,BDD_Penalites!$A$2:$A$130,0)))</f>
        <v/>
      </c>
      <c r="Z237">
        <f>IF(R237=0,0,INDEX(BDD_Penalites!$I$2:$I$130,MATCH($B237,BDD_Penalites!$A$2:$A$130,0)))</f>
        <v/>
      </c>
      <c r="AA237">
        <f>IF(R237=0,0,INDEX(BDD_Penalites!$J$2:$J$130,MATCH($B237,BDD_Penalites!$A$2:$A$130,0)))</f>
        <v/>
      </c>
      <c r="AB237">
        <f>IF(R237=0,0,INDEX(BDD_Penalites!$K$2:$K$130,MATCH($B237,BDD_Penalites!$A$2:$A$130,0)))</f>
        <v/>
      </c>
      <c r="AC237">
        <f>IF(R237=0,0,INDEX(BDD_Penalites!$L$2:$L$130,MATCH($B237,BDD_Penalites!$A$2:$A$130,0)))</f>
        <v/>
      </c>
      <c r="AD237">
        <f>IF(OR($C237="",Q237="FUTUR"),"",_xlfn.IFS(Q237&lt;U237,V237,Q237&lt;W237,X237,Q237&lt;Y237,Z237,Q237&lt;AA237,AB237,TRUE,AC237))</f>
        <v/>
      </c>
    </row>
    <row r="238" ht="13.5" customFormat="1" customHeight="1" s="29">
      <c r="A238" s="65" t="inlineStr">
        <is>
          <t>Hg Fusion</t>
        </is>
      </c>
      <c r="B238" s="66" t="inlineStr">
        <is>
          <t>LU2862929846</t>
        </is>
      </c>
      <c r="C238" s="268" t="n"/>
      <c r="D238" s="269">
        <f>IF(H238=0,"Calendrier non disponible pour ce fonds — contacter la société de gestion.",IF(I238="","Calendrier connu jusqu'au "&amp;TEXT(K238,"dd/mm/yyyy")&amp;" — demander le calendrier à jour.","Cut-off : "&amp;TEXT(I238,"dd/mm/yyyy")&amp;"  |  VL : "&amp;TEXT(J238,"dd/mm/yyyy")))</f>
        <v/>
      </c>
      <c r="E238" s="269">
        <f>IF(L238=0,"Calendrier non disponible pour ce fonds — contacter la société de gestion.",IF(M238="","Calendrier connu jusqu'au "&amp;TEXT(P238,"dd/mm/yyyy")&amp;" — demander le calendrier à jour.","Cut-off : "&amp;TEXT(M238,"dd/mm/yyyy")&amp;"  |  VL : "&amp;TEXT(N238,"dd/mm/yyyy")))</f>
        <v/>
      </c>
      <c r="F238" s="269">
        <f>IF(L238=0,"Calendrier non disponible pour ce fonds.",IF(M238="","Calendrier connu jusqu'au "&amp;TEXT(P238,"dd/mm/yyyy")&amp;".",IF(O238="","Non précisé dans le calendrier pour cette échéance.","Réception : "&amp;TEXT(O238,"dd/mm/yyyy")&amp;"  (suite au rachat du "&amp;TEXT(N238,"dd/mm/yyyy")&amp;")")))</f>
        <v/>
      </c>
      <c r="G238" s="269">
        <f>_xlfn.IFS(S238="aucune","Aucune pénalité de sortie."&amp;IF(T238&lt;&gt;""," ("&amp;T238&amp;")",""),S238="manuel","⚠️ À VÉRIFIER MANUELLEMENT : "&amp;T238,S238="inconnue","Pénalité non renseignée — vérifier la notice / DICI du fonds.",$C238="","Saisir une date d'investissement pour statuer sur la pénalité.",Q238="FUTUR","Date d'investissement postérieure à aujourd'hui — vérifier la saisie.",AD238&gt;0,"⚠️ CONCERNÉ : pénalité de "&amp;AD238&amp;"% (détention "&amp;Q238&amp;" mois). "&amp;T238,TRUE,"Non concerné (détention "&amp;Q238&amp;" mois). "&amp;T238)</f>
        <v/>
      </c>
      <c r="H238">
        <f>COUNTIFS(BDD_Calendrier!$A$2:$A$616,$B238,BDD_Calendrier!$C$2:$C$616,"Souscription")</f>
        <v/>
      </c>
      <c r="I238">
        <f>IF(H238=0,"",IFERROR(_xlfn.MINIFS(BDD_Calendrier!$D$2:$D$616,BDD_Calendrier!$A$2:$A$616,$B238,BDD_Calendrier!$C$2:$C$616,"Souscription",BDD_Calendrier!$D$2:$D$616,"&gt;="&amp;TODAY()),""))</f>
        <v/>
      </c>
      <c r="J238">
        <f>IF(I238="","",IFERROR(INDEX(BDD_Calendrier!$E$2:$E$616,MATCH($B238&amp;"|Souscription|"&amp;TEXT(I238,"yyyy-mm-dd"),BDD_Calendrier!$I$2:$I$616,0)),""))</f>
        <v/>
      </c>
      <c r="K238">
        <f>IF(H238=0,"",_xlfn.MAXIFS(BDD_Calendrier!$D$2:$D$616,BDD_Calendrier!$A$2:$A$616,$B238,BDD_Calendrier!$C$2:$C$616,"Souscription"))</f>
        <v/>
      </c>
      <c r="L238">
        <f>COUNTIFS(BDD_Calendrier!$A$2:$A$616,$B238,BDD_Calendrier!$C$2:$C$616,"Rachat")</f>
        <v/>
      </c>
      <c r="M238">
        <f>IF(L238=0,"",IFERROR(_xlfn.MINIFS(BDD_Calendrier!$D$2:$D$616,BDD_Calendrier!$A$2:$A$616,$B238,BDD_Calendrier!$C$2:$C$616,"Rachat",BDD_Calendrier!$D$2:$D$616,"&gt;="&amp;TODAY()),""))</f>
        <v/>
      </c>
      <c r="N238">
        <f>IF(M238="","",IFERROR(INDEX(BDD_Calendrier!$E$2:$E$616,MATCH($B238&amp;"|Rachat|"&amp;TEXT(M238,"yyyy-mm-dd"),BDD_Calendrier!$I$2:$I$616,0)),""))</f>
        <v/>
      </c>
      <c r="O238">
        <f>IF(M238="","",IFERROR(INDEX(BDD_Calendrier!$H$2:$H$616,MATCH($B238&amp;"|Rachat|"&amp;TEXT(M238,"yyyy-mm-dd"),BDD_Calendrier!$I$2:$I$616,0)),""))</f>
        <v/>
      </c>
      <c r="P238">
        <f>IF(L238=0,"",_xlfn.MAXIFS(BDD_Calendrier!$D$2:$D$616,BDD_Calendrier!$A$2:$A$616,$B238,BDD_Calendrier!$C$2:$C$616,"Rachat"))</f>
        <v/>
      </c>
      <c r="Q238">
        <f>IF($C238="","",IF($C238&gt;TODAY(),"FUTUR",DATEDIF($C238,TODAY(),"m")))</f>
        <v/>
      </c>
      <c r="R238">
        <f>COUNTIF(BDD_Penalites!$A$2:$A$130,$B238)</f>
        <v/>
      </c>
      <c r="S238">
        <f>IF(R238=0,"inconnue",INDEX(BDD_Penalites!$C$2:$C$130,MATCH($B238,BDD_Penalites!$A$2:$A$130,0)))</f>
        <v/>
      </c>
      <c r="T238">
        <f>IF(R238=0,"",INDEX(BDD_Penalites!$M$2:$M$130,MATCH($B238,BDD_Penalites!$A$2:$A$130,0)))</f>
        <v/>
      </c>
      <c r="U238">
        <f>IF(R238=0,0,INDEX(BDD_Penalites!$D$2:$D$130,MATCH($B238,BDD_Penalites!$A$2:$A$130,0)))</f>
        <v/>
      </c>
      <c r="V238">
        <f>IF(R238=0,0,INDEX(BDD_Penalites!$E$2:$E$130,MATCH($B238,BDD_Penalites!$A$2:$A$130,0)))</f>
        <v/>
      </c>
      <c r="W238">
        <f>IF(R238=0,0,INDEX(BDD_Penalites!$F$2:$F$130,MATCH($B238,BDD_Penalites!$A$2:$A$130,0)))</f>
        <v/>
      </c>
      <c r="X238">
        <f>IF(R238=0,0,INDEX(BDD_Penalites!$G$2:$G$130,MATCH($B238,BDD_Penalites!$A$2:$A$130,0)))</f>
        <v/>
      </c>
      <c r="Y238">
        <f>IF(R238=0,0,INDEX(BDD_Penalites!$H$2:$H$130,MATCH($B238,BDD_Penalites!$A$2:$A$130,0)))</f>
        <v/>
      </c>
      <c r="Z238">
        <f>IF(R238=0,0,INDEX(BDD_Penalites!$I$2:$I$130,MATCH($B238,BDD_Penalites!$A$2:$A$130,0)))</f>
        <v/>
      </c>
      <c r="AA238">
        <f>IF(R238=0,0,INDEX(BDD_Penalites!$J$2:$J$130,MATCH($B238,BDD_Penalites!$A$2:$A$130,0)))</f>
        <v/>
      </c>
      <c r="AB238">
        <f>IF(R238=0,0,INDEX(BDD_Penalites!$K$2:$K$130,MATCH($B238,BDD_Penalites!$A$2:$A$130,0)))</f>
        <v/>
      </c>
      <c r="AC238">
        <f>IF(R238=0,0,INDEX(BDD_Penalites!$L$2:$L$130,MATCH($B238,BDD_Penalites!$A$2:$A$130,0)))</f>
        <v/>
      </c>
      <c r="AD238">
        <f>IF(OR($C238="",Q238="FUTUR"),"",_xlfn.IFS(Q238&lt;U238,V238,Q238&lt;W238,X238,Q238&lt;Y238,Z238,Q238&lt;AA238,AB238,TRUE,AC238))</f>
        <v/>
      </c>
    </row>
    <row r="239" ht="13.5" customFormat="1" customHeight="1" s="29">
      <c r="A239" s="65" t="inlineStr">
        <is>
          <t>StepStone SPRIM - Private Market</t>
        </is>
      </c>
      <c r="B239" s="66" t="inlineStr">
        <is>
          <t>LU2485281419</t>
        </is>
      </c>
      <c r="C239" s="268" t="n"/>
      <c r="D239" s="269">
        <f>IF(H239=0,"Calendrier non disponible pour ce fonds — contacter la société de gestion.",IF(I239="","Calendrier connu jusqu'au "&amp;TEXT(K239,"dd/mm/yyyy")&amp;" — demander le calendrier à jour.","Cut-off : "&amp;TEXT(I239,"dd/mm/yyyy")&amp;"  |  VL : "&amp;TEXT(J239,"dd/mm/yyyy")))</f>
        <v/>
      </c>
      <c r="E239" s="269">
        <f>IF(L239=0,"Calendrier non disponible pour ce fonds — contacter la société de gestion.",IF(M239="","Calendrier connu jusqu'au "&amp;TEXT(P239,"dd/mm/yyyy")&amp;" — demander le calendrier à jour.","Cut-off : "&amp;TEXT(M239,"dd/mm/yyyy")&amp;"  |  VL : "&amp;TEXT(N239,"dd/mm/yyyy")))</f>
        <v/>
      </c>
      <c r="F239" s="269">
        <f>IF(L239=0,"Calendrier non disponible pour ce fonds.",IF(M239="","Calendrier connu jusqu'au "&amp;TEXT(P239,"dd/mm/yyyy")&amp;".",IF(O239="","Non précisé dans le calendrier pour cette échéance.","Réception : "&amp;TEXT(O239,"dd/mm/yyyy")&amp;"  (suite au rachat du "&amp;TEXT(N239,"dd/mm/yyyy")&amp;")")))</f>
        <v/>
      </c>
      <c r="G239" s="269">
        <f>_xlfn.IFS(S239="aucune","Aucune pénalité de sortie."&amp;IF(T239&lt;&gt;""," ("&amp;T239&amp;")",""),S239="manuel","⚠️ À VÉRIFIER MANUELLEMENT : "&amp;T239,S239="inconnue","Pénalité non renseignée — vérifier la notice / DICI du fonds.",$C239="","Saisir une date d'investissement pour statuer sur la pénalité.",Q239="FUTUR","Date d'investissement postérieure à aujourd'hui — vérifier la saisie.",AD239&gt;0,"⚠️ CONCERNÉ : pénalité de "&amp;AD239&amp;"% (détention "&amp;Q239&amp;" mois). "&amp;T239,TRUE,"Non concerné (détention "&amp;Q239&amp;" mois). "&amp;T239)</f>
        <v/>
      </c>
      <c r="H239">
        <f>COUNTIFS(BDD_Calendrier!$A$2:$A$616,$B239,BDD_Calendrier!$C$2:$C$616,"Souscription")</f>
        <v/>
      </c>
      <c r="I239">
        <f>IF(H239=0,"",IFERROR(_xlfn.MINIFS(BDD_Calendrier!$D$2:$D$616,BDD_Calendrier!$A$2:$A$616,$B239,BDD_Calendrier!$C$2:$C$616,"Souscription",BDD_Calendrier!$D$2:$D$616,"&gt;="&amp;TODAY()),""))</f>
        <v/>
      </c>
      <c r="J239">
        <f>IF(I239="","",IFERROR(INDEX(BDD_Calendrier!$E$2:$E$616,MATCH($B239&amp;"|Souscription|"&amp;TEXT(I239,"yyyy-mm-dd"),BDD_Calendrier!$I$2:$I$616,0)),""))</f>
        <v/>
      </c>
      <c r="K239">
        <f>IF(H239=0,"",_xlfn.MAXIFS(BDD_Calendrier!$D$2:$D$616,BDD_Calendrier!$A$2:$A$616,$B239,BDD_Calendrier!$C$2:$C$616,"Souscription"))</f>
        <v/>
      </c>
      <c r="L239">
        <f>COUNTIFS(BDD_Calendrier!$A$2:$A$616,$B239,BDD_Calendrier!$C$2:$C$616,"Rachat")</f>
        <v/>
      </c>
      <c r="M239">
        <f>IF(L239=0,"",IFERROR(_xlfn.MINIFS(BDD_Calendrier!$D$2:$D$616,BDD_Calendrier!$A$2:$A$616,$B239,BDD_Calendrier!$C$2:$C$616,"Rachat",BDD_Calendrier!$D$2:$D$616,"&gt;="&amp;TODAY()),""))</f>
        <v/>
      </c>
      <c r="N239">
        <f>IF(M239="","",IFERROR(INDEX(BDD_Calendrier!$E$2:$E$616,MATCH($B239&amp;"|Rachat|"&amp;TEXT(M239,"yyyy-mm-dd"),BDD_Calendrier!$I$2:$I$616,0)),""))</f>
        <v/>
      </c>
      <c r="O239">
        <f>IF(M239="","",IFERROR(INDEX(BDD_Calendrier!$H$2:$H$616,MATCH($B239&amp;"|Rachat|"&amp;TEXT(M239,"yyyy-mm-dd"),BDD_Calendrier!$I$2:$I$616,0)),""))</f>
        <v/>
      </c>
      <c r="P239">
        <f>IF(L239=0,"",_xlfn.MAXIFS(BDD_Calendrier!$D$2:$D$616,BDD_Calendrier!$A$2:$A$616,$B239,BDD_Calendrier!$C$2:$C$616,"Rachat"))</f>
        <v/>
      </c>
      <c r="Q239">
        <f>IF($C239="","",IF($C239&gt;TODAY(),"FUTUR",DATEDIF($C239,TODAY(),"m")))</f>
        <v/>
      </c>
      <c r="R239">
        <f>COUNTIF(BDD_Penalites!$A$2:$A$130,$B239)</f>
        <v/>
      </c>
      <c r="S239">
        <f>IF(R239=0,"inconnue",INDEX(BDD_Penalites!$C$2:$C$130,MATCH($B239,BDD_Penalites!$A$2:$A$130,0)))</f>
        <v/>
      </c>
      <c r="T239">
        <f>IF(R239=0,"",INDEX(BDD_Penalites!$M$2:$M$130,MATCH($B239,BDD_Penalites!$A$2:$A$130,0)))</f>
        <v/>
      </c>
      <c r="U239">
        <f>IF(R239=0,0,INDEX(BDD_Penalites!$D$2:$D$130,MATCH($B239,BDD_Penalites!$A$2:$A$130,0)))</f>
        <v/>
      </c>
      <c r="V239">
        <f>IF(R239=0,0,INDEX(BDD_Penalites!$E$2:$E$130,MATCH($B239,BDD_Penalites!$A$2:$A$130,0)))</f>
        <v/>
      </c>
      <c r="W239">
        <f>IF(R239=0,0,INDEX(BDD_Penalites!$F$2:$F$130,MATCH($B239,BDD_Penalites!$A$2:$A$130,0)))</f>
        <v/>
      </c>
      <c r="X239">
        <f>IF(R239=0,0,INDEX(BDD_Penalites!$G$2:$G$130,MATCH($B239,BDD_Penalites!$A$2:$A$130,0)))</f>
        <v/>
      </c>
      <c r="Y239">
        <f>IF(R239=0,0,INDEX(BDD_Penalites!$H$2:$H$130,MATCH($B239,BDD_Penalites!$A$2:$A$130,0)))</f>
        <v/>
      </c>
      <c r="Z239">
        <f>IF(R239=0,0,INDEX(BDD_Penalites!$I$2:$I$130,MATCH($B239,BDD_Penalites!$A$2:$A$130,0)))</f>
        <v/>
      </c>
      <c r="AA239">
        <f>IF(R239=0,0,INDEX(BDD_Penalites!$J$2:$J$130,MATCH($B239,BDD_Penalites!$A$2:$A$130,0)))</f>
        <v/>
      </c>
      <c r="AB239">
        <f>IF(R239=0,0,INDEX(BDD_Penalites!$K$2:$K$130,MATCH($B239,BDD_Penalites!$A$2:$A$130,0)))</f>
        <v/>
      </c>
      <c r="AC239">
        <f>IF(R239=0,0,INDEX(BDD_Penalites!$L$2:$L$130,MATCH($B239,BDD_Penalites!$A$2:$A$130,0)))</f>
        <v/>
      </c>
      <c r="AD239">
        <f>IF(OR($C239="",Q239="FUTUR"),"",_xlfn.IFS(Q239&lt;U239,V239,Q239&lt;W239,X239,Q239&lt;Y239,Z239,Q239&lt;AA239,AB239,TRUE,AC239))</f>
        <v/>
      </c>
    </row>
    <row r="240" ht="13.5" customFormat="1" customHeight="1" s="29">
      <c r="A240" s="65" t="inlineStr">
        <is>
          <t>StepStone SPRING</t>
        </is>
      </c>
      <c r="B240" s="66" t="inlineStr">
        <is>
          <t>LU2528864353</t>
        </is>
      </c>
      <c r="C240" s="268" t="n"/>
      <c r="D240" s="269">
        <f>IF(H240=0,"Calendrier non disponible pour ce fonds — contacter la société de gestion.",IF(I240="","Calendrier connu jusqu'au "&amp;TEXT(K240,"dd/mm/yyyy")&amp;" — demander le calendrier à jour.","Cut-off : "&amp;TEXT(I240,"dd/mm/yyyy")&amp;"  |  VL : "&amp;TEXT(J240,"dd/mm/yyyy")))</f>
        <v/>
      </c>
      <c r="E240" s="269">
        <f>IF(L240=0,"Calendrier non disponible pour ce fonds — contacter la société de gestion.",IF(M240="","Calendrier connu jusqu'au "&amp;TEXT(P240,"dd/mm/yyyy")&amp;" — demander le calendrier à jour.","Cut-off : "&amp;TEXT(M240,"dd/mm/yyyy")&amp;"  |  VL : "&amp;TEXT(N240,"dd/mm/yyyy")))</f>
        <v/>
      </c>
      <c r="F240" s="269">
        <f>IF(L240=0,"Calendrier non disponible pour ce fonds.",IF(M240="","Calendrier connu jusqu'au "&amp;TEXT(P240,"dd/mm/yyyy")&amp;".",IF(O240="","Non précisé dans le calendrier pour cette échéance.","Réception : "&amp;TEXT(O240,"dd/mm/yyyy")&amp;"  (suite au rachat du "&amp;TEXT(N240,"dd/mm/yyyy")&amp;")")))</f>
        <v/>
      </c>
      <c r="G240" s="269">
        <f>_xlfn.IFS(S240="aucune","Aucune pénalité de sortie."&amp;IF(T240&lt;&gt;""," ("&amp;T240&amp;")",""),S240="manuel","⚠️ À VÉRIFIER MANUELLEMENT : "&amp;T240,S240="inconnue","Pénalité non renseignée — vérifier la notice / DICI du fonds.",$C240="","Saisir une date d'investissement pour statuer sur la pénalité.",Q240="FUTUR","Date d'investissement postérieure à aujourd'hui — vérifier la saisie.",AD240&gt;0,"⚠️ CONCERNÉ : pénalité de "&amp;AD240&amp;"% (détention "&amp;Q240&amp;" mois). "&amp;T240,TRUE,"Non concerné (détention "&amp;Q240&amp;" mois). "&amp;T240)</f>
        <v/>
      </c>
      <c r="H240">
        <f>COUNTIFS(BDD_Calendrier!$A$2:$A$616,$B240,BDD_Calendrier!$C$2:$C$616,"Souscription")</f>
        <v/>
      </c>
      <c r="I240">
        <f>IF(H240=0,"",IFERROR(_xlfn.MINIFS(BDD_Calendrier!$D$2:$D$616,BDD_Calendrier!$A$2:$A$616,$B240,BDD_Calendrier!$C$2:$C$616,"Souscription",BDD_Calendrier!$D$2:$D$616,"&gt;="&amp;TODAY()),""))</f>
        <v/>
      </c>
      <c r="J240">
        <f>IF(I240="","",IFERROR(INDEX(BDD_Calendrier!$E$2:$E$616,MATCH($B240&amp;"|Souscription|"&amp;TEXT(I240,"yyyy-mm-dd"),BDD_Calendrier!$I$2:$I$616,0)),""))</f>
        <v/>
      </c>
      <c r="K240">
        <f>IF(H240=0,"",_xlfn.MAXIFS(BDD_Calendrier!$D$2:$D$616,BDD_Calendrier!$A$2:$A$616,$B240,BDD_Calendrier!$C$2:$C$616,"Souscription"))</f>
        <v/>
      </c>
      <c r="L240">
        <f>COUNTIFS(BDD_Calendrier!$A$2:$A$616,$B240,BDD_Calendrier!$C$2:$C$616,"Rachat")</f>
        <v/>
      </c>
      <c r="M240">
        <f>IF(L240=0,"",IFERROR(_xlfn.MINIFS(BDD_Calendrier!$D$2:$D$616,BDD_Calendrier!$A$2:$A$616,$B240,BDD_Calendrier!$C$2:$C$616,"Rachat",BDD_Calendrier!$D$2:$D$616,"&gt;="&amp;TODAY()),""))</f>
        <v/>
      </c>
      <c r="N240">
        <f>IF(M240="","",IFERROR(INDEX(BDD_Calendrier!$E$2:$E$616,MATCH($B240&amp;"|Rachat|"&amp;TEXT(M240,"yyyy-mm-dd"),BDD_Calendrier!$I$2:$I$616,0)),""))</f>
        <v/>
      </c>
      <c r="O240">
        <f>IF(M240="","",IFERROR(INDEX(BDD_Calendrier!$H$2:$H$616,MATCH($B240&amp;"|Rachat|"&amp;TEXT(M240,"yyyy-mm-dd"),BDD_Calendrier!$I$2:$I$616,0)),""))</f>
        <v/>
      </c>
      <c r="P240">
        <f>IF(L240=0,"",_xlfn.MAXIFS(BDD_Calendrier!$D$2:$D$616,BDD_Calendrier!$A$2:$A$616,$B240,BDD_Calendrier!$C$2:$C$616,"Rachat"))</f>
        <v/>
      </c>
      <c r="Q240">
        <f>IF($C240="","",IF($C240&gt;TODAY(),"FUTUR",DATEDIF($C240,TODAY(),"m")))</f>
        <v/>
      </c>
      <c r="R240">
        <f>COUNTIF(BDD_Penalites!$A$2:$A$130,$B240)</f>
        <v/>
      </c>
      <c r="S240">
        <f>IF(R240=0,"inconnue",INDEX(BDD_Penalites!$C$2:$C$130,MATCH($B240,BDD_Penalites!$A$2:$A$130,0)))</f>
        <v/>
      </c>
      <c r="T240">
        <f>IF(R240=0,"",INDEX(BDD_Penalites!$M$2:$M$130,MATCH($B240,BDD_Penalites!$A$2:$A$130,0)))</f>
        <v/>
      </c>
      <c r="U240">
        <f>IF(R240=0,0,INDEX(BDD_Penalites!$D$2:$D$130,MATCH($B240,BDD_Penalites!$A$2:$A$130,0)))</f>
        <v/>
      </c>
      <c r="V240">
        <f>IF(R240=0,0,INDEX(BDD_Penalites!$E$2:$E$130,MATCH($B240,BDD_Penalites!$A$2:$A$130,0)))</f>
        <v/>
      </c>
      <c r="W240">
        <f>IF(R240=0,0,INDEX(BDD_Penalites!$F$2:$F$130,MATCH($B240,BDD_Penalites!$A$2:$A$130,0)))</f>
        <v/>
      </c>
      <c r="X240">
        <f>IF(R240=0,0,INDEX(BDD_Penalites!$G$2:$G$130,MATCH($B240,BDD_Penalites!$A$2:$A$130,0)))</f>
        <v/>
      </c>
      <c r="Y240">
        <f>IF(R240=0,0,INDEX(BDD_Penalites!$H$2:$H$130,MATCH($B240,BDD_Penalites!$A$2:$A$130,0)))</f>
        <v/>
      </c>
      <c r="Z240">
        <f>IF(R240=0,0,INDEX(BDD_Penalites!$I$2:$I$130,MATCH($B240,BDD_Penalites!$A$2:$A$130,0)))</f>
        <v/>
      </c>
      <c r="AA240">
        <f>IF(R240=0,0,INDEX(BDD_Penalites!$J$2:$J$130,MATCH($B240,BDD_Penalites!$A$2:$A$130,0)))</f>
        <v/>
      </c>
      <c r="AB240">
        <f>IF(R240=0,0,INDEX(BDD_Penalites!$K$2:$K$130,MATCH($B240,BDD_Penalites!$A$2:$A$130,0)))</f>
        <v/>
      </c>
      <c r="AC240">
        <f>IF(R240=0,0,INDEX(BDD_Penalites!$L$2:$L$130,MATCH($B240,BDD_Penalites!$A$2:$A$130,0)))</f>
        <v/>
      </c>
      <c r="AD240">
        <f>IF(OR($C240="",Q240="FUTUR"),"",_xlfn.IFS(Q240&lt;U240,V240,Q240&lt;W240,X240,Q240&lt;Y240,Z240,Q240&lt;AA240,AB240,TRUE,AC240))</f>
        <v/>
      </c>
    </row>
    <row r="241" ht="13.5" customFormat="1" customHeight="1" s="29">
      <c r="A241" s="65" t="inlineStr">
        <is>
          <t>CollerEquity</t>
        </is>
      </c>
      <c r="B241" s="66" t="inlineStr">
        <is>
          <t>LU2884017059</t>
        </is>
      </c>
      <c r="C241" s="268" t="n"/>
      <c r="D241" s="269">
        <f>IF(H241=0,"Calendrier non disponible pour ce fonds — contacter la société de gestion.",IF(I241="","Calendrier connu jusqu'au "&amp;TEXT(K241,"dd/mm/yyyy")&amp;" — demander le calendrier à jour.","Cut-off : "&amp;TEXT(I241,"dd/mm/yyyy")&amp;"  |  VL : "&amp;TEXT(J241,"dd/mm/yyyy")))</f>
        <v/>
      </c>
      <c r="E241" s="269">
        <f>IF(L241=0,"Calendrier non disponible pour ce fonds — contacter la société de gestion.",IF(M241="","Calendrier connu jusqu'au "&amp;TEXT(P241,"dd/mm/yyyy")&amp;" — demander le calendrier à jour.","Cut-off : "&amp;TEXT(M241,"dd/mm/yyyy")&amp;"  |  VL : "&amp;TEXT(N241,"dd/mm/yyyy")))</f>
        <v/>
      </c>
      <c r="F241" s="269">
        <f>IF(L241=0,"Calendrier non disponible pour ce fonds.",IF(M241="","Calendrier connu jusqu'au "&amp;TEXT(P241,"dd/mm/yyyy")&amp;".",IF(O241="","Non précisé dans le calendrier pour cette échéance.","Réception : "&amp;TEXT(O241,"dd/mm/yyyy")&amp;"  (suite au rachat du "&amp;TEXT(N241,"dd/mm/yyyy")&amp;")")))</f>
        <v/>
      </c>
      <c r="G241" s="269">
        <f>_xlfn.IFS(S241="aucune","Aucune pénalité de sortie."&amp;IF(T241&lt;&gt;""," ("&amp;T241&amp;")",""),S241="manuel","⚠️ À VÉRIFIER MANUELLEMENT : "&amp;T241,S241="inconnue","Pénalité non renseignée — vérifier la notice / DICI du fonds.",$C241="","Saisir une date d'investissement pour statuer sur la pénalité.",Q241="FUTUR","Date d'investissement postérieure à aujourd'hui — vérifier la saisie.",AD241&gt;0,"⚠️ CONCERNÉ : pénalité de "&amp;AD241&amp;"% (détention "&amp;Q241&amp;" mois). "&amp;T241,TRUE,"Non concerné (détention "&amp;Q241&amp;" mois). "&amp;T241)</f>
        <v/>
      </c>
      <c r="H241">
        <f>COUNTIFS(BDD_Calendrier!$A$2:$A$616,$B241,BDD_Calendrier!$C$2:$C$616,"Souscription")</f>
        <v/>
      </c>
      <c r="I241">
        <f>IF(H241=0,"",IFERROR(_xlfn.MINIFS(BDD_Calendrier!$D$2:$D$616,BDD_Calendrier!$A$2:$A$616,$B241,BDD_Calendrier!$C$2:$C$616,"Souscription",BDD_Calendrier!$D$2:$D$616,"&gt;="&amp;TODAY()),""))</f>
        <v/>
      </c>
      <c r="J241">
        <f>IF(I241="","",IFERROR(INDEX(BDD_Calendrier!$E$2:$E$616,MATCH($B241&amp;"|Souscription|"&amp;TEXT(I241,"yyyy-mm-dd"),BDD_Calendrier!$I$2:$I$616,0)),""))</f>
        <v/>
      </c>
      <c r="K241">
        <f>IF(H241=0,"",_xlfn.MAXIFS(BDD_Calendrier!$D$2:$D$616,BDD_Calendrier!$A$2:$A$616,$B241,BDD_Calendrier!$C$2:$C$616,"Souscription"))</f>
        <v/>
      </c>
      <c r="L241">
        <f>COUNTIFS(BDD_Calendrier!$A$2:$A$616,$B241,BDD_Calendrier!$C$2:$C$616,"Rachat")</f>
        <v/>
      </c>
      <c r="M241">
        <f>IF(L241=0,"",IFERROR(_xlfn.MINIFS(BDD_Calendrier!$D$2:$D$616,BDD_Calendrier!$A$2:$A$616,$B241,BDD_Calendrier!$C$2:$C$616,"Rachat",BDD_Calendrier!$D$2:$D$616,"&gt;="&amp;TODAY()),""))</f>
        <v/>
      </c>
      <c r="N241">
        <f>IF(M241="","",IFERROR(INDEX(BDD_Calendrier!$E$2:$E$616,MATCH($B241&amp;"|Rachat|"&amp;TEXT(M241,"yyyy-mm-dd"),BDD_Calendrier!$I$2:$I$616,0)),""))</f>
        <v/>
      </c>
      <c r="O241">
        <f>IF(M241="","",IFERROR(INDEX(BDD_Calendrier!$H$2:$H$616,MATCH($B241&amp;"|Rachat|"&amp;TEXT(M241,"yyyy-mm-dd"),BDD_Calendrier!$I$2:$I$616,0)),""))</f>
        <v/>
      </c>
      <c r="P241">
        <f>IF(L241=0,"",_xlfn.MAXIFS(BDD_Calendrier!$D$2:$D$616,BDD_Calendrier!$A$2:$A$616,$B241,BDD_Calendrier!$C$2:$C$616,"Rachat"))</f>
        <v/>
      </c>
      <c r="Q241">
        <f>IF($C241="","",IF($C241&gt;TODAY(),"FUTUR",DATEDIF($C241,TODAY(),"m")))</f>
        <v/>
      </c>
      <c r="R241">
        <f>COUNTIF(BDD_Penalites!$A$2:$A$130,$B241)</f>
        <v/>
      </c>
      <c r="S241">
        <f>IF(R241=0,"inconnue",INDEX(BDD_Penalites!$C$2:$C$130,MATCH($B241,BDD_Penalites!$A$2:$A$130,0)))</f>
        <v/>
      </c>
      <c r="T241">
        <f>IF(R241=0,"",INDEX(BDD_Penalites!$M$2:$M$130,MATCH($B241,BDD_Penalites!$A$2:$A$130,0)))</f>
        <v/>
      </c>
      <c r="U241">
        <f>IF(R241=0,0,INDEX(BDD_Penalites!$D$2:$D$130,MATCH($B241,BDD_Penalites!$A$2:$A$130,0)))</f>
        <v/>
      </c>
      <c r="V241">
        <f>IF(R241=0,0,INDEX(BDD_Penalites!$E$2:$E$130,MATCH($B241,BDD_Penalites!$A$2:$A$130,0)))</f>
        <v/>
      </c>
      <c r="W241">
        <f>IF(R241=0,0,INDEX(BDD_Penalites!$F$2:$F$130,MATCH($B241,BDD_Penalites!$A$2:$A$130,0)))</f>
        <v/>
      </c>
      <c r="X241">
        <f>IF(R241=0,0,INDEX(BDD_Penalites!$G$2:$G$130,MATCH($B241,BDD_Penalites!$A$2:$A$130,0)))</f>
        <v/>
      </c>
      <c r="Y241">
        <f>IF(R241=0,0,INDEX(BDD_Penalites!$H$2:$H$130,MATCH($B241,BDD_Penalites!$A$2:$A$130,0)))</f>
        <v/>
      </c>
      <c r="Z241">
        <f>IF(R241=0,0,INDEX(BDD_Penalites!$I$2:$I$130,MATCH($B241,BDD_Penalites!$A$2:$A$130,0)))</f>
        <v/>
      </c>
      <c r="AA241">
        <f>IF(R241=0,0,INDEX(BDD_Penalites!$J$2:$J$130,MATCH($B241,BDD_Penalites!$A$2:$A$130,0)))</f>
        <v/>
      </c>
      <c r="AB241">
        <f>IF(R241=0,0,INDEX(BDD_Penalites!$K$2:$K$130,MATCH($B241,BDD_Penalites!$A$2:$A$130,0)))</f>
        <v/>
      </c>
      <c r="AC241">
        <f>IF(R241=0,0,INDEX(BDD_Penalites!$L$2:$L$130,MATCH($B241,BDD_Penalites!$A$2:$A$130,0)))</f>
        <v/>
      </c>
      <c r="AD241">
        <f>IF(OR($C241="",Q241="FUTUR"),"",_xlfn.IFS(Q241&lt;U241,V241,Q241&lt;W241,X241,Q241&lt;Y241,Z241,Q241&lt;AA241,AB241,TRUE,AC241))</f>
        <v/>
      </c>
    </row>
    <row r="242" ht="13.5" customFormat="1" customHeight="1" s="29">
      <c r="A242" s="65" t="inlineStr">
        <is>
          <t>CVC PE Global Private Equity</t>
        </is>
      </c>
      <c r="B242" s="66" t="inlineStr">
        <is>
          <t>LU2926063467</t>
        </is>
      </c>
      <c r="C242" s="268" t="n"/>
      <c r="D242" s="269">
        <f>IF(H242=0,"Calendrier non disponible pour ce fonds — contacter la société de gestion.",IF(I242="","Calendrier connu jusqu'au "&amp;TEXT(K242,"dd/mm/yyyy")&amp;" — demander le calendrier à jour.","Cut-off : "&amp;TEXT(I242,"dd/mm/yyyy")&amp;"  |  VL : "&amp;TEXT(J242,"dd/mm/yyyy")))</f>
        <v/>
      </c>
      <c r="E242" s="269">
        <f>IF(L242=0,"Calendrier non disponible pour ce fonds — contacter la société de gestion.",IF(M242="","Calendrier connu jusqu'au "&amp;TEXT(P242,"dd/mm/yyyy")&amp;" — demander le calendrier à jour.","Cut-off : "&amp;TEXT(M242,"dd/mm/yyyy")&amp;"  |  VL : "&amp;TEXT(N242,"dd/mm/yyyy")))</f>
        <v/>
      </c>
      <c r="F242" s="269">
        <f>IF(L242=0,"Calendrier non disponible pour ce fonds.",IF(M242="","Calendrier connu jusqu'au "&amp;TEXT(P242,"dd/mm/yyyy")&amp;".",IF(O242="","Non précisé dans le calendrier pour cette échéance.","Réception : "&amp;TEXT(O242,"dd/mm/yyyy")&amp;"  (suite au rachat du "&amp;TEXT(N242,"dd/mm/yyyy")&amp;")")))</f>
        <v/>
      </c>
      <c r="G242" s="269">
        <f>_xlfn.IFS(S242="aucune","Aucune pénalité de sortie."&amp;IF(T242&lt;&gt;""," ("&amp;T242&amp;")",""),S242="manuel","⚠️ À VÉRIFIER MANUELLEMENT : "&amp;T242,S242="inconnue","Pénalité non renseignée — vérifier la notice / DICI du fonds.",$C242="","Saisir une date d'investissement pour statuer sur la pénalité.",Q242="FUTUR","Date d'investissement postérieure à aujourd'hui — vérifier la saisie.",AD242&gt;0,"⚠️ CONCERNÉ : pénalité de "&amp;AD242&amp;"% (détention "&amp;Q242&amp;" mois). "&amp;T242,TRUE,"Non concerné (détention "&amp;Q242&amp;" mois). "&amp;T242)</f>
        <v/>
      </c>
      <c r="H242">
        <f>COUNTIFS(BDD_Calendrier!$A$2:$A$616,$B242,BDD_Calendrier!$C$2:$C$616,"Souscription")</f>
        <v/>
      </c>
      <c r="I242">
        <f>IF(H242=0,"",IFERROR(_xlfn.MINIFS(BDD_Calendrier!$D$2:$D$616,BDD_Calendrier!$A$2:$A$616,$B242,BDD_Calendrier!$C$2:$C$616,"Souscription",BDD_Calendrier!$D$2:$D$616,"&gt;="&amp;TODAY()),""))</f>
        <v/>
      </c>
      <c r="J242">
        <f>IF(I242="","",IFERROR(INDEX(BDD_Calendrier!$E$2:$E$616,MATCH($B242&amp;"|Souscription|"&amp;TEXT(I242,"yyyy-mm-dd"),BDD_Calendrier!$I$2:$I$616,0)),""))</f>
        <v/>
      </c>
      <c r="K242">
        <f>IF(H242=0,"",_xlfn.MAXIFS(BDD_Calendrier!$D$2:$D$616,BDD_Calendrier!$A$2:$A$616,$B242,BDD_Calendrier!$C$2:$C$616,"Souscription"))</f>
        <v/>
      </c>
      <c r="L242">
        <f>COUNTIFS(BDD_Calendrier!$A$2:$A$616,$B242,BDD_Calendrier!$C$2:$C$616,"Rachat")</f>
        <v/>
      </c>
      <c r="M242">
        <f>IF(L242=0,"",IFERROR(_xlfn.MINIFS(BDD_Calendrier!$D$2:$D$616,BDD_Calendrier!$A$2:$A$616,$B242,BDD_Calendrier!$C$2:$C$616,"Rachat",BDD_Calendrier!$D$2:$D$616,"&gt;="&amp;TODAY()),""))</f>
        <v/>
      </c>
      <c r="N242">
        <f>IF(M242="","",IFERROR(INDEX(BDD_Calendrier!$E$2:$E$616,MATCH($B242&amp;"|Rachat|"&amp;TEXT(M242,"yyyy-mm-dd"),BDD_Calendrier!$I$2:$I$616,0)),""))</f>
        <v/>
      </c>
      <c r="O242">
        <f>IF(M242="","",IFERROR(INDEX(BDD_Calendrier!$H$2:$H$616,MATCH($B242&amp;"|Rachat|"&amp;TEXT(M242,"yyyy-mm-dd"),BDD_Calendrier!$I$2:$I$616,0)),""))</f>
        <v/>
      </c>
      <c r="P242">
        <f>IF(L242=0,"",_xlfn.MAXIFS(BDD_Calendrier!$D$2:$D$616,BDD_Calendrier!$A$2:$A$616,$B242,BDD_Calendrier!$C$2:$C$616,"Rachat"))</f>
        <v/>
      </c>
      <c r="Q242">
        <f>IF($C242="","",IF($C242&gt;TODAY(),"FUTUR",DATEDIF($C242,TODAY(),"m")))</f>
        <v/>
      </c>
      <c r="R242">
        <f>COUNTIF(BDD_Penalites!$A$2:$A$130,$B242)</f>
        <v/>
      </c>
      <c r="S242">
        <f>IF(R242=0,"inconnue",INDEX(BDD_Penalites!$C$2:$C$130,MATCH($B242,BDD_Penalites!$A$2:$A$130,0)))</f>
        <v/>
      </c>
      <c r="T242">
        <f>IF(R242=0,"",INDEX(BDD_Penalites!$M$2:$M$130,MATCH($B242,BDD_Penalites!$A$2:$A$130,0)))</f>
        <v/>
      </c>
      <c r="U242">
        <f>IF(R242=0,0,INDEX(BDD_Penalites!$D$2:$D$130,MATCH($B242,BDD_Penalites!$A$2:$A$130,0)))</f>
        <v/>
      </c>
      <c r="V242">
        <f>IF(R242=0,0,INDEX(BDD_Penalites!$E$2:$E$130,MATCH($B242,BDD_Penalites!$A$2:$A$130,0)))</f>
        <v/>
      </c>
      <c r="W242">
        <f>IF(R242=0,0,INDEX(BDD_Penalites!$F$2:$F$130,MATCH($B242,BDD_Penalites!$A$2:$A$130,0)))</f>
        <v/>
      </c>
      <c r="X242">
        <f>IF(R242=0,0,INDEX(BDD_Penalites!$G$2:$G$130,MATCH($B242,BDD_Penalites!$A$2:$A$130,0)))</f>
        <v/>
      </c>
      <c r="Y242">
        <f>IF(R242=0,0,INDEX(BDD_Penalites!$H$2:$H$130,MATCH($B242,BDD_Penalites!$A$2:$A$130,0)))</f>
        <v/>
      </c>
      <c r="Z242">
        <f>IF(R242=0,0,INDEX(BDD_Penalites!$I$2:$I$130,MATCH($B242,BDD_Penalites!$A$2:$A$130,0)))</f>
        <v/>
      </c>
      <c r="AA242">
        <f>IF(R242=0,0,INDEX(BDD_Penalites!$J$2:$J$130,MATCH($B242,BDD_Penalites!$A$2:$A$130,0)))</f>
        <v/>
      </c>
      <c r="AB242">
        <f>IF(R242=0,0,INDEX(BDD_Penalites!$K$2:$K$130,MATCH($B242,BDD_Penalites!$A$2:$A$130,0)))</f>
        <v/>
      </c>
      <c r="AC242">
        <f>IF(R242=0,0,INDEX(BDD_Penalites!$L$2:$L$130,MATCH($B242,BDD_Penalites!$A$2:$A$130,0)))</f>
        <v/>
      </c>
      <c r="AD242">
        <f>IF(OR($C242="",Q242="FUTUR"),"",_xlfn.IFS(Q242&lt;U242,V242,Q242&lt;W242,X242,Q242&lt;Y242,Z242,Q242&lt;AA242,AB242,TRUE,AC242))</f>
        <v/>
      </c>
    </row>
    <row r="243" ht="13.5" customFormat="1" customHeight="1" s="29">
      <c r="A243" s="65" t="inlineStr">
        <is>
          <t>BridgePoint Generations</t>
        </is>
      </c>
      <c r="B243" s="66" t="inlineStr">
        <is>
          <t>LU3192960857</t>
        </is>
      </c>
      <c r="C243" s="268" t="n"/>
      <c r="D243" s="269">
        <f>IF(H243=0,"Calendrier non disponible pour ce fonds — contacter la société de gestion.",IF(I243="","Calendrier connu jusqu'au "&amp;TEXT(K243,"dd/mm/yyyy")&amp;" — demander le calendrier à jour.","Cut-off : "&amp;TEXT(I243,"dd/mm/yyyy")&amp;"  |  VL : "&amp;TEXT(J243,"dd/mm/yyyy")))</f>
        <v/>
      </c>
      <c r="E243" s="269">
        <f>IF(L243=0,"Calendrier non disponible pour ce fonds — contacter la société de gestion.",IF(M243="","Calendrier connu jusqu'au "&amp;TEXT(P243,"dd/mm/yyyy")&amp;" — demander le calendrier à jour.","Cut-off : "&amp;TEXT(M243,"dd/mm/yyyy")&amp;"  |  VL : "&amp;TEXT(N243,"dd/mm/yyyy")))</f>
        <v/>
      </c>
      <c r="F243" s="269">
        <f>IF(L243=0,"Calendrier non disponible pour ce fonds.",IF(M243="","Calendrier connu jusqu'au "&amp;TEXT(P243,"dd/mm/yyyy")&amp;".",IF(O243="","Non précisé dans le calendrier pour cette échéance.","Réception : "&amp;TEXT(O243,"dd/mm/yyyy")&amp;"  (suite au rachat du "&amp;TEXT(N243,"dd/mm/yyyy")&amp;")")))</f>
        <v/>
      </c>
      <c r="G243" s="269">
        <f>_xlfn.IFS(S243="aucune","Aucune pénalité de sortie."&amp;IF(T243&lt;&gt;""," ("&amp;T243&amp;")",""),S243="manuel","⚠️ À VÉRIFIER MANUELLEMENT : "&amp;T243,S243="inconnue","Pénalité non renseignée — vérifier la notice / DICI du fonds.",$C243="","Saisir une date d'investissement pour statuer sur la pénalité.",Q243="FUTUR","Date d'investissement postérieure à aujourd'hui — vérifier la saisie.",AD243&gt;0,"⚠️ CONCERNÉ : pénalité de "&amp;AD243&amp;"% (détention "&amp;Q243&amp;" mois). "&amp;T243,TRUE,"Non concerné (détention "&amp;Q243&amp;" mois). "&amp;T243)</f>
        <v/>
      </c>
      <c r="H243">
        <f>COUNTIFS(BDD_Calendrier!$A$2:$A$616,$B243,BDD_Calendrier!$C$2:$C$616,"Souscription")</f>
        <v/>
      </c>
      <c r="I243">
        <f>IF(H243=0,"",IFERROR(_xlfn.MINIFS(BDD_Calendrier!$D$2:$D$616,BDD_Calendrier!$A$2:$A$616,$B243,BDD_Calendrier!$C$2:$C$616,"Souscription",BDD_Calendrier!$D$2:$D$616,"&gt;="&amp;TODAY()),""))</f>
        <v/>
      </c>
      <c r="J243">
        <f>IF(I243="","",IFERROR(INDEX(BDD_Calendrier!$E$2:$E$616,MATCH($B243&amp;"|Souscription|"&amp;TEXT(I243,"yyyy-mm-dd"),BDD_Calendrier!$I$2:$I$616,0)),""))</f>
        <v/>
      </c>
      <c r="K243">
        <f>IF(H243=0,"",_xlfn.MAXIFS(BDD_Calendrier!$D$2:$D$616,BDD_Calendrier!$A$2:$A$616,$B243,BDD_Calendrier!$C$2:$C$616,"Souscription"))</f>
        <v/>
      </c>
      <c r="L243">
        <f>COUNTIFS(BDD_Calendrier!$A$2:$A$616,$B243,BDD_Calendrier!$C$2:$C$616,"Rachat")</f>
        <v/>
      </c>
      <c r="M243">
        <f>IF(L243=0,"",IFERROR(_xlfn.MINIFS(BDD_Calendrier!$D$2:$D$616,BDD_Calendrier!$A$2:$A$616,$B243,BDD_Calendrier!$C$2:$C$616,"Rachat",BDD_Calendrier!$D$2:$D$616,"&gt;="&amp;TODAY()),""))</f>
        <v/>
      </c>
      <c r="N243">
        <f>IF(M243="","",IFERROR(INDEX(BDD_Calendrier!$E$2:$E$616,MATCH($B243&amp;"|Rachat|"&amp;TEXT(M243,"yyyy-mm-dd"),BDD_Calendrier!$I$2:$I$616,0)),""))</f>
        <v/>
      </c>
      <c r="O243">
        <f>IF(M243="","",IFERROR(INDEX(BDD_Calendrier!$H$2:$H$616,MATCH($B243&amp;"|Rachat|"&amp;TEXT(M243,"yyyy-mm-dd"),BDD_Calendrier!$I$2:$I$616,0)),""))</f>
        <v/>
      </c>
      <c r="P243">
        <f>IF(L243=0,"",_xlfn.MAXIFS(BDD_Calendrier!$D$2:$D$616,BDD_Calendrier!$A$2:$A$616,$B243,BDD_Calendrier!$C$2:$C$616,"Rachat"))</f>
        <v/>
      </c>
      <c r="Q243">
        <f>IF($C243="","",IF($C243&gt;TODAY(),"FUTUR",DATEDIF($C243,TODAY(),"m")))</f>
        <v/>
      </c>
      <c r="R243">
        <f>COUNTIF(BDD_Penalites!$A$2:$A$130,$B243)</f>
        <v/>
      </c>
      <c r="S243">
        <f>IF(R243=0,"inconnue",INDEX(BDD_Penalites!$C$2:$C$130,MATCH($B243,BDD_Penalites!$A$2:$A$130,0)))</f>
        <v/>
      </c>
      <c r="T243">
        <f>IF(R243=0,"",INDEX(BDD_Penalites!$M$2:$M$130,MATCH($B243,BDD_Penalites!$A$2:$A$130,0)))</f>
        <v/>
      </c>
      <c r="U243">
        <f>IF(R243=0,0,INDEX(BDD_Penalites!$D$2:$D$130,MATCH($B243,BDD_Penalites!$A$2:$A$130,0)))</f>
        <v/>
      </c>
      <c r="V243">
        <f>IF(R243=0,0,INDEX(BDD_Penalites!$E$2:$E$130,MATCH($B243,BDD_Penalites!$A$2:$A$130,0)))</f>
        <v/>
      </c>
      <c r="W243">
        <f>IF(R243=0,0,INDEX(BDD_Penalites!$F$2:$F$130,MATCH($B243,BDD_Penalites!$A$2:$A$130,0)))</f>
        <v/>
      </c>
      <c r="X243">
        <f>IF(R243=0,0,INDEX(BDD_Penalites!$G$2:$G$130,MATCH($B243,BDD_Penalites!$A$2:$A$130,0)))</f>
        <v/>
      </c>
      <c r="Y243">
        <f>IF(R243=0,0,INDEX(BDD_Penalites!$H$2:$H$130,MATCH($B243,BDD_Penalites!$A$2:$A$130,0)))</f>
        <v/>
      </c>
      <c r="Z243">
        <f>IF(R243=0,0,INDEX(BDD_Penalites!$I$2:$I$130,MATCH($B243,BDD_Penalites!$A$2:$A$130,0)))</f>
        <v/>
      </c>
      <c r="AA243">
        <f>IF(R243=0,0,INDEX(BDD_Penalites!$J$2:$J$130,MATCH($B243,BDD_Penalites!$A$2:$A$130,0)))</f>
        <v/>
      </c>
      <c r="AB243">
        <f>IF(R243=0,0,INDEX(BDD_Penalites!$K$2:$K$130,MATCH($B243,BDD_Penalites!$A$2:$A$130,0)))</f>
        <v/>
      </c>
      <c r="AC243">
        <f>IF(R243=0,0,INDEX(BDD_Penalites!$L$2:$L$130,MATCH($B243,BDD_Penalites!$A$2:$A$130,0)))</f>
        <v/>
      </c>
      <c r="AD243">
        <f>IF(OR($C243="",Q243="FUTUR"),"",_xlfn.IFS(Q243&lt;U243,V243,Q243&lt;W243,X243,Q243&lt;Y243,Z243,Q243&lt;AA243,AB243,TRUE,AC243))</f>
        <v/>
      </c>
    </row>
    <row r="244" ht="13.5" customFormat="1" customHeight="1" s="29">
      <c r="A244" s="65" t="inlineStr">
        <is>
          <t>EQT Nexus Fund SICAV I</t>
        </is>
      </c>
      <c r="B244" s="66" t="inlineStr">
        <is>
          <t>LU2617117614</t>
        </is>
      </c>
      <c r="C244" s="268" t="n"/>
      <c r="D244" s="269">
        <f>IF(H244=0,"Calendrier non disponible pour ce fonds — contacter la société de gestion.",IF(I244="","Calendrier connu jusqu'au "&amp;TEXT(K244,"dd/mm/yyyy")&amp;" — demander le calendrier à jour.","Cut-off : "&amp;TEXT(I244,"dd/mm/yyyy")&amp;"  |  VL : "&amp;TEXT(J244,"dd/mm/yyyy")))</f>
        <v/>
      </c>
      <c r="E244" s="269">
        <f>IF(L244=0,"Calendrier non disponible pour ce fonds — contacter la société de gestion.",IF(M244="","Calendrier connu jusqu'au "&amp;TEXT(P244,"dd/mm/yyyy")&amp;" — demander le calendrier à jour.","Cut-off : "&amp;TEXT(M244,"dd/mm/yyyy")&amp;"  |  VL : "&amp;TEXT(N244,"dd/mm/yyyy")))</f>
        <v/>
      </c>
      <c r="F244" s="269">
        <f>IF(L244=0,"Calendrier non disponible pour ce fonds.",IF(M244="","Calendrier connu jusqu'au "&amp;TEXT(P244,"dd/mm/yyyy")&amp;".",IF(O244="","Non précisé dans le calendrier pour cette échéance.","Réception : "&amp;TEXT(O244,"dd/mm/yyyy")&amp;"  (suite au rachat du "&amp;TEXT(N244,"dd/mm/yyyy")&amp;")")))</f>
        <v/>
      </c>
      <c r="G244" s="269">
        <f>_xlfn.IFS(S244="aucune","Aucune pénalité de sortie."&amp;IF(T244&lt;&gt;""," ("&amp;T244&amp;")",""),S244="manuel","⚠️ À VÉRIFIER MANUELLEMENT : "&amp;T244,S244="inconnue","Pénalité non renseignée — vérifier la notice / DICI du fonds.",$C244="","Saisir une date d'investissement pour statuer sur la pénalité.",Q244="FUTUR","Date d'investissement postérieure à aujourd'hui — vérifier la saisie.",AD244&gt;0,"⚠️ CONCERNÉ : pénalité de "&amp;AD244&amp;"% (détention "&amp;Q244&amp;" mois). "&amp;T244,TRUE,"Non concerné (détention "&amp;Q244&amp;" mois). "&amp;T244)</f>
        <v/>
      </c>
      <c r="H244">
        <f>COUNTIFS(BDD_Calendrier!$A$2:$A$616,$B244,BDD_Calendrier!$C$2:$C$616,"Souscription")</f>
        <v/>
      </c>
      <c r="I244">
        <f>IF(H244=0,"",IFERROR(_xlfn.MINIFS(BDD_Calendrier!$D$2:$D$616,BDD_Calendrier!$A$2:$A$616,$B244,BDD_Calendrier!$C$2:$C$616,"Souscription",BDD_Calendrier!$D$2:$D$616,"&gt;="&amp;TODAY()),""))</f>
        <v/>
      </c>
      <c r="J244">
        <f>IF(I244="","",IFERROR(INDEX(BDD_Calendrier!$E$2:$E$616,MATCH($B244&amp;"|Souscription|"&amp;TEXT(I244,"yyyy-mm-dd"),BDD_Calendrier!$I$2:$I$616,0)),""))</f>
        <v/>
      </c>
      <c r="K244">
        <f>IF(H244=0,"",_xlfn.MAXIFS(BDD_Calendrier!$D$2:$D$616,BDD_Calendrier!$A$2:$A$616,$B244,BDD_Calendrier!$C$2:$C$616,"Souscription"))</f>
        <v/>
      </c>
      <c r="L244">
        <f>COUNTIFS(BDD_Calendrier!$A$2:$A$616,$B244,BDD_Calendrier!$C$2:$C$616,"Rachat")</f>
        <v/>
      </c>
      <c r="M244">
        <f>IF(L244=0,"",IFERROR(_xlfn.MINIFS(BDD_Calendrier!$D$2:$D$616,BDD_Calendrier!$A$2:$A$616,$B244,BDD_Calendrier!$C$2:$C$616,"Rachat",BDD_Calendrier!$D$2:$D$616,"&gt;="&amp;TODAY()),""))</f>
        <v/>
      </c>
      <c r="N244">
        <f>IF(M244="","",IFERROR(INDEX(BDD_Calendrier!$E$2:$E$616,MATCH($B244&amp;"|Rachat|"&amp;TEXT(M244,"yyyy-mm-dd"),BDD_Calendrier!$I$2:$I$616,0)),""))</f>
        <v/>
      </c>
      <c r="O244">
        <f>IF(M244="","",IFERROR(INDEX(BDD_Calendrier!$H$2:$H$616,MATCH($B244&amp;"|Rachat|"&amp;TEXT(M244,"yyyy-mm-dd"),BDD_Calendrier!$I$2:$I$616,0)),""))</f>
        <v/>
      </c>
      <c r="P244">
        <f>IF(L244=0,"",_xlfn.MAXIFS(BDD_Calendrier!$D$2:$D$616,BDD_Calendrier!$A$2:$A$616,$B244,BDD_Calendrier!$C$2:$C$616,"Rachat"))</f>
        <v/>
      </c>
      <c r="Q244">
        <f>IF($C244="","",IF($C244&gt;TODAY(),"FUTUR",DATEDIF($C244,TODAY(),"m")))</f>
        <v/>
      </c>
      <c r="R244">
        <f>COUNTIF(BDD_Penalites!$A$2:$A$130,$B244)</f>
        <v/>
      </c>
      <c r="S244">
        <f>IF(R244=0,"inconnue",INDEX(BDD_Penalites!$C$2:$C$130,MATCH($B244,BDD_Penalites!$A$2:$A$130,0)))</f>
        <v/>
      </c>
      <c r="T244">
        <f>IF(R244=0,"",INDEX(BDD_Penalites!$M$2:$M$130,MATCH($B244,BDD_Penalites!$A$2:$A$130,0)))</f>
        <v/>
      </c>
      <c r="U244">
        <f>IF(R244=0,0,INDEX(BDD_Penalites!$D$2:$D$130,MATCH($B244,BDD_Penalites!$A$2:$A$130,0)))</f>
        <v/>
      </c>
      <c r="V244">
        <f>IF(R244=0,0,INDEX(BDD_Penalites!$E$2:$E$130,MATCH($B244,BDD_Penalites!$A$2:$A$130,0)))</f>
        <v/>
      </c>
      <c r="W244">
        <f>IF(R244=0,0,INDEX(BDD_Penalites!$F$2:$F$130,MATCH($B244,BDD_Penalites!$A$2:$A$130,0)))</f>
        <v/>
      </c>
      <c r="X244">
        <f>IF(R244=0,0,INDEX(BDD_Penalites!$G$2:$G$130,MATCH($B244,BDD_Penalites!$A$2:$A$130,0)))</f>
        <v/>
      </c>
      <c r="Y244">
        <f>IF(R244=0,0,INDEX(BDD_Penalites!$H$2:$H$130,MATCH($B244,BDD_Penalites!$A$2:$A$130,0)))</f>
        <v/>
      </c>
      <c r="Z244">
        <f>IF(R244=0,0,INDEX(BDD_Penalites!$I$2:$I$130,MATCH($B244,BDD_Penalites!$A$2:$A$130,0)))</f>
        <v/>
      </c>
      <c r="AA244">
        <f>IF(R244=0,0,INDEX(BDD_Penalites!$J$2:$J$130,MATCH($B244,BDD_Penalites!$A$2:$A$130,0)))</f>
        <v/>
      </c>
      <c r="AB244">
        <f>IF(R244=0,0,INDEX(BDD_Penalites!$K$2:$K$130,MATCH($B244,BDD_Penalites!$A$2:$A$130,0)))</f>
        <v/>
      </c>
      <c r="AC244">
        <f>IF(R244=0,0,INDEX(BDD_Penalites!$L$2:$L$130,MATCH($B244,BDD_Penalites!$A$2:$A$130,0)))</f>
        <v/>
      </c>
      <c r="AD244">
        <f>IF(OR($C244="",Q244="FUTUR"),"",_xlfn.IFS(Q244&lt;U244,V244,Q244&lt;W244,X244,Q244&lt;Y244,Z244,Q244&lt;AA244,AB244,TRUE,AC244))</f>
        <v/>
      </c>
    </row>
    <row r="245" ht="13.5" customFormat="1" customHeight="1" s="29">
      <c r="A245" s="65" t="inlineStr">
        <is>
          <t>Archimed Med Access</t>
        </is>
      </c>
      <c r="B245" s="66" t="inlineStr">
        <is>
          <t>FR001400K4L0</t>
        </is>
      </c>
      <c r="C245" s="268" t="n"/>
      <c r="D245" s="269">
        <f>IF(H245=0,"Calendrier non disponible pour ce fonds — contacter la société de gestion.",IF(I245="","Calendrier connu jusqu'au "&amp;TEXT(K245,"dd/mm/yyyy")&amp;" — demander le calendrier à jour.","Cut-off : "&amp;TEXT(I245,"dd/mm/yyyy")&amp;"  |  VL : "&amp;TEXT(J245,"dd/mm/yyyy")))</f>
        <v/>
      </c>
      <c r="E245" s="269">
        <f>IF(L245=0,"Calendrier non disponible pour ce fonds — contacter la société de gestion.",IF(M245="","Calendrier connu jusqu'au "&amp;TEXT(P245,"dd/mm/yyyy")&amp;" — demander le calendrier à jour.","Cut-off : "&amp;TEXT(M245,"dd/mm/yyyy")&amp;"  |  VL : "&amp;TEXT(N245,"dd/mm/yyyy")))</f>
        <v/>
      </c>
      <c r="F245" s="269">
        <f>IF(L245=0,"Calendrier non disponible pour ce fonds.",IF(M245="","Calendrier connu jusqu'au "&amp;TEXT(P245,"dd/mm/yyyy")&amp;".",IF(O245="","Non précisé dans le calendrier pour cette échéance.","Réception : "&amp;TEXT(O245,"dd/mm/yyyy")&amp;"  (suite au rachat du "&amp;TEXT(N245,"dd/mm/yyyy")&amp;")")))</f>
        <v/>
      </c>
      <c r="G245" s="269">
        <f>_xlfn.IFS(S245="aucune","Aucune pénalité de sortie."&amp;IF(T245&lt;&gt;""," ("&amp;T245&amp;")",""),S245="manuel","⚠️ À VÉRIFIER MANUELLEMENT : "&amp;T245,S245="inconnue","Pénalité non renseignée — vérifier la notice / DICI du fonds.",$C245="","Saisir une date d'investissement pour statuer sur la pénalité.",Q245="FUTUR","Date d'investissement postérieure à aujourd'hui — vérifier la saisie.",AD245&gt;0,"⚠️ CONCERNÉ : pénalité de "&amp;AD245&amp;"% (détention "&amp;Q245&amp;" mois). "&amp;T245,TRUE,"Non concerné (détention "&amp;Q245&amp;" mois). "&amp;T245)</f>
        <v/>
      </c>
      <c r="H245">
        <f>COUNTIFS(BDD_Calendrier!$A$2:$A$616,$B245,BDD_Calendrier!$C$2:$C$616,"Souscription")</f>
        <v/>
      </c>
      <c r="I245">
        <f>IF(H245=0,"",IFERROR(_xlfn.MINIFS(BDD_Calendrier!$D$2:$D$616,BDD_Calendrier!$A$2:$A$616,$B245,BDD_Calendrier!$C$2:$C$616,"Souscription",BDD_Calendrier!$D$2:$D$616,"&gt;="&amp;TODAY()),""))</f>
        <v/>
      </c>
      <c r="J245">
        <f>IF(I245="","",IFERROR(INDEX(BDD_Calendrier!$E$2:$E$616,MATCH($B245&amp;"|Souscription|"&amp;TEXT(I245,"yyyy-mm-dd"),BDD_Calendrier!$I$2:$I$616,0)),""))</f>
        <v/>
      </c>
      <c r="K245">
        <f>IF(H245=0,"",_xlfn.MAXIFS(BDD_Calendrier!$D$2:$D$616,BDD_Calendrier!$A$2:$A$616,$B245,BDD_Calendrier!$C$2:$C$616,"Souscription"))</f>
        <v/>
      </c>
      <c r="L245">
        <f>COUNTIFS(BDD_Calendrier!$A$2:$A$616,$B245,BDD_Calendrier!$C$2:$C$616,"Rachat")</f>
        <v/>
      </c>
      <c r="M245">
        <f>IF(L245=0,"",IFERROR(_xlfn.MINIFS(BDD_Calendrier!$D$2:$D$616,BDD_Calendrier!$A$2:$A$616,$B245,BDD_Calendrier!$C$2:$C$616,"Rachat",BDD_Calendrier!$D$2:$D$616,"&gt;="&amp;TODAY()),""))</f>
        <v/>
      </c>
      <c r="N245">
        <f>IF(M245="","",IFERROR(INDEX(BDD_Calendrier!$E$2:$E$616,MATCH($B245&amp;"|Rachat|"&amp;TEXT(M245,"yyyy-mm-dd"),BDD_Calendrier!$I$2:$I$616,0)),""))</f>
        <v/>
      </c>
      <c r="O245">
        <f>IF(M245="","",IFERROR(INDEX(BDD_Calendrier!$H$2:$H$616,MATCH($B245&amp;"|Rachat|"&amp;TEXT(M245,"yyyy-mm-dd"),BDD_Calendrier!$I$2:$I$616,0)),""))</f>
        <v/>
      </c>
      <c r="P245">
        <f>IF(L245=0,"",_xlfn.MAXIFS(BDD_Calendrier!$D$2:$D$616,BDD_Calendrier!$A$2:$A$616,$B245,BDD_Calendrier!$C$2:$C$616,"Rachat"))</f>
        <v/>
      </c>
      <c r="Q245">
        <f>IF($C245="","",IF($C245&gt;TODAY(),"FUTUR",DATEDIF($C245,TODAY(),"m")))</f>
        <v/>
      </c>
      <c r="R245">
        <f>COUNTIF(BDD_Penalites!$A$2:$A$130,$B245)</f>
        <v/>
      </c>
      <c r="S245">
        <f>IF(R245=0,"inconnue",INDEX(BDD_Penalites!$C$2:$C$130,MATCH($B245,BDD_Penalites!$A$2:$A$130,0)))</f>
        <v/>
      </c>
      <c r="T245">
        <f>IF(R245=0,"",INDEX(BDD_Penalites!$M$2:$M$130,MATCH($B245,BDD_Penalites!$A$2:$A$130,0)))</f>
        <v/>
      </c>
      <c r="U245">
        <f>IF(R245=0,0,INDEX(BDD_Penalites!$D$2:$D$130,MATCH($B245,BDD_Penalites!$A$2:$A$130,0)))</f>
        <v/>
      </c>
      <c r="V245">
        <f>IF(R245=0,0,INDEX(BDD_Penalites!$E$2:$E$130,MATCH($B245,BDD_Penalites!$A$2:$A$130,0)))</f>
        <v/>
      </c>
      <c r="W245">
        <f>IF(R245=0,0,INDEX(BDD_Penalites!$F$2:$F$130,MATCH($B245,BDD_Penalites!$A$2:$A$130,0)))</f>
        <v/>
      </c>
      <c r="X245">
        <f>IF(R245=0,0,INDEX(BDD_Penalites!$G$2:$G$130,MATCH($B245,BDD_Penalites!$A$2:$A$130,0)))</f>
        <v/>
      </c>
      <c r="Y245">
        <f>IF(R245=0,0,INDEX(BDD_Penalites!$H$2:$H$130,MATCH($B245,BDD_Penalites!$A$2:$A$130,0)))</f>
        <v/>
      </c>
      <c r="Z245">
        <f>IF(R245=0,0,INDEX(BDD_Penalites!$I$2:$I$130,MATCH($B245,BDD_Penalites!$A$2:$A$130,0)))</f>
        <v/>
      </c>
      <c r="AA245">
        <f>IF(R245=0,0,INDEX(BDD_Penalites!$J$2:$J$130,MATCH($B245,BDD_Penalites!$A$2:$A$130,0)))</f>
        <v/>
      </c>
      <c r="AB245">
        <f>IF(R245=0,0,INDEX(BDD_Penalites!$K$2:$K$130,MATCH($B245,BDD_Penalites!$A$2:$A$130,0)))</f>
        <v/>
      </c>
      <c r="AC245">
        <f>IF(R245=0,0,INDEX(BDD_Penalites!$L$2:$L$130,MATCH($B245,BDD_Penalites!$A$2:$A$130,0)))</f>
        <v/>
      </c>
      <c r="AD245">
        <f>IF(OR($C245="",Q245="FUTUR"),"",_xlfn.IFS(Q245&lt;U245,V245,Q245&lt;W245,X245,Q245&lt;Y245,Z245,Q245&lt;AA245,AB245,TRUE,AC245))</f>
        <v/>
      </c>
    </row>
    <row r="246" ht="13.5" customFormat="1" customHeight="1" s="29">
      <c r="A246" s="65" t="inlineStr">
        <is>
          <t>Eurazeo ISF III</t>
        </is>
      </c>
      <c r="B246" s="66" t="inlineStr">
        <is>
          <t>/</t>
        </is>
      </c>
      <c r="C246" s="268" t="n"/>
      <c r="D246" s="269">
        <f>IF(H246=0,"Calendrier non disponible pour ce fonds — contacter la société de gestion.",IF(I246="","Calendrier connu jusqu'au "&amp;TEXT(K246,"dd/mm/yyyy")&amp;" — demander le calendrier à jour.","Cut-off : "&amp;TEXT(I246,"dd/mm/yyyy")&amp;"  |  VL : "&amp;TEXT(J246,"dd/mm/yyyy")))</f>
        <v/>
      </c>
      <c r="E246" s="269">
        <f>IF(L246=0,"Calendrier non disponible pour ce fonds — contacter la société de gestion.",IF(M246="","Calendrier connu jusqu'au "&amp;TEXT(P246,"dd/mm/yyyy")&amp;" — demander le calendrier à jour.","Cut-off : "&amp;TEXT(M246,"dd/mm/yyyy")&amp;"  |  VL : "&amp;TEXT(N246,"dd/mm/yyyy")))</f>
        <v/>
      </c>
      <c r="F246" s="269">
        <f>IF(L246=0,"Calendrier non disponible pour ce fonds.",IF(M246="","Calendrier connu jusqu'au "&amp;TEXT(P246,"dd/mm/yyyy")&amp;".",IF(O246="","Non précisé dans le calendrier pour cette échéance.","Réception : "&amp;TEXT(O246,"dd/mm/yyyy")&amp;"  (suite au rachat du "&amp;TEXT(N246,"dd/mm/yyyy")&amp;")")))</f>
        <v/>
      </c>
      <c r="G246" s="269">
        <f>_xlfn.IFS(S246="aucune","Aucune pénalité de sortie."&amp;IF(T246&lt;&gt;""," ("&amp;T246&amp;")",""),S246="manuel","⚠️ À VÉRIFIER MANUELLEMENT : "&amp;T246,S246="inconnue","Pénalité non renseignée — vérifier la notice / DICI du fonds.",$C246="","Saisir une date d'investissement pour statuer sur la pénalité.",Q246="FUTUR","Date d'investissement postérieure à aujourd'hui — vérifier la saisie.",AD246&gt;0,"⚠️ CONCERNÉ : pénalité de "&amp;AD246&amp;"% (détention "&amp;Q246&amp;" mois). "&amp;T246,TRUE,"Non concerné (détention "&amp;Q246&amp;" mois). "&amp;T246)</f>
        <v/>
      </c>
      <c r="H246">
        <f>COUNTIFS(BDD_Calendrier!$A$2:$A$616,$B246,BDD_Calendrier!$C$2:$C$616,"Souscription")</f>
        <v/>
      </c>
      <c r="I246">
        <f>IF(H246=0,"",IFERROR(_xlfn.MINIFS(BDD_Calendrier!$D$2:$D$616,BDD_Calendrier!$A$2:$A$616,$B246,BDD_Calendrier!$C$2:$C$616,"Souscription",BDD_Calendrier!$D$2:$D$616,"&gt;="&amp;TODAY()),""))</f>
        <v/>
      </c>
      <c r="J246">
        <f>IF(I246="","",IFERROR(INDEX(BDD_Calendrier!$E$2:$E$616,MATCH($B246&amp;"|Souscription|"&amp;TEXT(I246,"yyyy-mm-dd"),BDD_Calendrier!$I$2:$I$616,0)),""))</f>
        <v/>
      </c>
      <c r="K246">
        <f>IF(H246=0,"",_xlfn.MAXIFS(BDD_Calendrier!$D$2:$D$616,BDD_Calendrier!$A$2:$A$616,$B246,BDD_Calendrier!$C$2:$C$616,"Souscription"))</f>
        <v/>
      </c>
      <c r="L246">
        <f>COUNTIFS(BDD_Calendrier!$A$2:$A$616,$B246,BDD_Calendrier!$C$2:$C$616,"Rachat")</f>
        <v/>
      </c>
      <c r="M246">
        <f>IF(L246=0,"",IFERROR(_xlfn.MINIFS(BDD_Calendrier!$D$2:$D$616,BDD_Calendrier!$A$2:$A$616,$B246,BDD_Calendrier!$C$2:$C$616,"Rachat",BDD_Calendrier!$D$2:$D$616,"&gt;="&amp;TODAY()),""))</f>
        <v/>
      </c>
      <c r="N246">
        <f>IF(M246="","",IFERROR(INDEX(BDD_Calendrier!$E$2:$E$616,MATCH($B246&amp;"|Rachat|"&amp;TEXT(M246,"yyyy-mm-dd"),BDD_Calendrier!$I$2:$I$616,0)),""))</f>
        <v/>
      </c>
      <c r="O246">
        <f>IF(M246="","",IFERROR(INDEX(BDD_Calendrier!$H$2:$H$616,MATCH($B246&amp;"|Rachat|"&amp;TEXT(M246,"yyyy-mm-dd"),BDD_Calendrier!$I$2:$I$616,0)),""))</f>
        <v/>
      </c>
      <c r="P246">
        <f>IF(L246=0,"",_xlfn.MAXIFS(BDD_Calendrier!$D$2:$D$616,BDD_Calendrier!$A$2:$A$616,$B246,BDD_Calendrier!$C$2:$C$616,"Rachat"))</f>
        <v/>
      </c>
      <c r="Q246">
        <f>IF($C246="","",IF($C246&gt;TODAY(),"FUTUR",DATEDIF($C246,TODAY(),"m")))</f>
        <v/>
      </c>
      <c r="R246">
        <f>COUNTIF(BDD_Penalites!$A$2:$A$130,$B246)</f>
        <v/>
      </c>
      <c r="S246">
        <f>IF(R246=0,"inconnue",INDEX(BDD_Penalites!$C$2:$C$130,MATCH($B246,BDD_Penalites!$A$2:$A$130,0)))</f>
        <v/>
      </c>
      <c r="T246">
        <f>IF(R246=0,"",INDEX(BDD_Penalites!$M$2:$M$130,MATCH($B246,BDD_Penalites!$A$2:$A$130,0)))</f>
        <v/>
      </c>
      <c r="U246">
        <f>IF(R246=0,0,INDEX(BDD_Penalites!$D$2:$D$130,MATCH($B246,BDD_Penalites!$A$2:$A$130,0)))</f>
        <v/>
      </c>
      <c r="V246">
        <f>IF(R246=0,0,INDEX(BDD_Penalites!$E$2:$E$130,MATCH($B246,BDD_Penalites!$A$2:$A$130,0)))</f>
        <v/>
      </c>
      <c r="W246">
        <f>IF(R246=0,0,INDEX(BDD_Penalites!$F$2:$F$130,MATCH($B246,BDD_Penalites!$A$2:$A$130,0)))</f>
        <v/>
      </c>
      <c r="X246">
        <f>IF(R246=0,0,INDEX(BDD_Penalites!$G$2:$G$130,MATCH($B246,BDD_Penalites!$A$2:$A$130,0)))</f>
        <v/>
      </c>
      <c r="Y246">
        <f>IF(R246=0,0,INDEX(BDD_Penalites!$H$2:$H$130,MATCH($B246,BDD_Penalites!$A$2:$A$130,0)))</f>
        <v/>
      </c>
      <c r="Z246">
        <f>IF(R246=0,0,INDEX(BDD_Penalites!$I$2:$I$130,MATCH($B246,BDD_Penalites!$A$2:$A$130,0)))</f>
        <v/>
      </c>
      <c r="AA246">
        <f>IF(R246=0,0,INDEX(BDD_Penalites!$J$2:$J$130,MATCH($B246,BDD_Penalites!$A$2:$A$130,0)))</f>
        <v/>
      </c>
      <c r="AB246">
        <f>IF(R246=0,0,INDEX(BDD_Penalites!$K$2:$K$130,MATCH($B246,BDD_Penalites!$A$2:$A$130,0)))</f>
        <v/>
      </c>
      <c r="AC246">
        <f>IF(R246=0,0,INDEX(BDD_Penalites!$L$2:$L$130,MATCH($B246,BDD_Penalites!$A$2:$A$130,0)))</f>
        <v/>
      </c>
      <c r="AD246">
        <f>IF(OR($C246="",Q246="FUTUR"),"",_xlfn.IFS(Q246&lt;U246,V246,Q246&lt;W246,X246,Q246&lt;Y246,Z246,Q246&lt;AA246,AB246,TRUE,AC246))</f>
        <v/>
      </c>
    </row>
    <row r="247" ht="13.5" customFormat="1" customHeight="1" s="29">
      <c r="A247" s="65" t="inlineStr">
        <is>
          <t>Carlyle CPEP</t>
        </is>
      </c>
      <c r="B247" s="66" t="inlineStr">
        <is>
          <t>LU3212532884</t>
        </is>
      </c>
      <c r="C247" s="268" t="n"/>
      <c r="D247" s="269">
        <f>IF(H247=0,"Calendrier non disponible pour ce fonds — contacter la société de gestion.",IF(I247="","Calendrier connu jusqu'au "&amp;TEXT(K247,"dd/mm/yyyy")&amp;" — demander le calendrier à jour.","Cut-off : "&amp;TEXT(I247,"dd/mm/yyyy")&amp;"  |  VL : "&amp;TEXT(J247,"dd/mm/yyyy")))</f>
        <v/>
      </c>
      <c r="E247" s="269">
        <f>IF(L247=0,"Calendrier non disponible pour ce fonds — contacter la société de gestion.",IF(M247="","Calendrier connu jusqu'au "&amp;TEXT(P247,"dd/mm/yyyy")&amp;" — demander le calendrier à jour.","Cut-off : "&amp;TEXT(M247,"dd/mm/yyyy")&amp;"  |  VL : "&amp;TEXT(N247,"dd/mm/yyyy")))</f>
        <v/>
      </c>
      <c r="F247" s="269">
        <f>IF(L247=0,"Calendrier non disponible pour ce fonds.",IF(M247="","Calendrier connu jusqu'au "&amp;TEXT(P247,"dd/mm/yyyy")&amp;".",IF(O247="","Non précisé dans le calendrier pour cette échéance.","Réception : "&amp;TEXT(O247,"dd/mm/yyyy")&amp;"  (suite au rachat du "&amp;TEXT(N247,"dd/mm/yyyy")&amp;")")))</f>
        <v/>
      </c>
      <c r="G247" s="269">
        <f>_xlfn.IFS(S247="aucune","Aucune pénalité de sortie."&amp;IF(T247&lt;&gt;""," ("&amp;T247&amp;")",""),S247="manuel","⚠️ À VÉRIFIER MANUELLEMENT : "&amp;T247,S247="inconnue","Pénalité non renseignée — vérifier la notice / DICI du fonds.",$C247="","Saisir une date d'investissement pour statuer sur la pénalité.",Q247="FUTUR","Date d'investissement postérieure à aujourd'hui — vérifier la saisie.",AD247&gt;0,"⚠️ CONCERNÉ : pénalité de "&amp;AD247&amp;"% (détention "&amp;Q247&amp;" mois). "&amp;T247,TRUE,"Non concerné (détention "&amp;Q247&amp;" mois). "&amp;T247)</f>
        <v/>
      </c>
      <c r="H247">
        <f>COUNTIFS(BDD_Calendrier!$A$2:$A$616,$B247,BDD_Calendrier!$C$2:$C$616,"Souscription")</f>
        <v/>
      </c>
      <c r="I247">
        <f>IF(H247=0,"",IFERROR(_xlfn.MINIFS(BDD_Calendrier!$D$2:$D$616,BDD_Calendrier!$A$2:$A$616,$B247,BDD_Calendrier!$C$2:$C$616,"Souscription",BDD_Calendrier!$D$2:$D$616,"&gt;="&amp;TODAY()),""))</f>
        <v/>
      </c>
      <c r="J247">
        <f>IF(I247="","",IFERROR(INDEX(BDD_Calendrier!$E$2:$E$616,MATCH($B247&amp;"|Souscription|"&amp;TEXT(I247,"yyyy-mm-dd"),BDD_Calendrier!$I$2:$I$616,0)),""))</f>
        <v/>
      </c>
      <c r="K247">
        <f>IF(H247=0,"",_xlfn.MAXIFS(BDD_Calendrier!$D$2:$D$616,BDD_Calendrier!$A$2:$A$616,$B247,BDD_Calendrier!$C$2:$C$616,"Souscription"))</f>
        <v/>
      </c>
      <c r="L247">
        <f>COUNTIFS(BDD_Calendrier!$A$2:$A$616,$B247,BDD_Calendrier!$C$2:$C$616,"Rachat")</f>
        <v/>
      </c>
      <c r="M247">
        <f>IF(L247=0,"",IFERROR(_xlfn.MINIFS(BDD_Calendrier!$D$2:$D$616,BDD_Calendrier!$A$2:$A$616,$B247,BDD_Calendrier!$C$2:$C$616,"Rachat",BDD_Calendrier!$D$2:$D$616,"&gt;="&amp;TODAY()),""))</f>
        <v/>
      </c>
      <c r="N247">
        <f>IF(M247="","",IFERROR(INDEX(BDD_Calendrier!$E$2:$E$616,MATCH($B247&amp;"|Rachat|"&amp;TEXT(M247,"yyyy-mm-dd"),BDD_Calendrier!$I$2:$I$616,0)),""))</f>
        <v/>
      </c>
      <c r="O247">
        <f>IF(M247="","",IFERROR(INDEX(BDD_Calendrier!$H$2:$H$616,MATCH($B247&amp;"|Rachat|"&amp;TEXT(M247,"yyyy-mm-dd"),BDD_Calendrier!$I$2:$I$616,0)),""))</f>
        <v/>
      </c>
      <c r="P247">
        <f>IF(L247=0,"",_xlfn.MAXIFS(BDD_Calendrier!$D$2:$D$616,BDD_Calendrier!$A$2:$A$616,$B247,BDD_Calendrier!$C$2:$C$616,"Rachat"))</f>
        <v/>
      </c>
      <c r="Q247">
        <f>IF($C247="","",IF($C247&gt;TODAY(),"FUTUR",DATEDIF($C247,TODAY(),"m")))</f>
        <v/>
      </c>
      <c r="R247">
        <f>COUNTIF(BDD_Penalites!$A$2:$A$130,$B247)</f>
        <v/>
      </c>
      <c r="S247">
        <f>IF(R247=0,"inconnue",INDEX(BDD_Penalites!$C$2:$C$130,MATCH($B247,BDD_Penalites!$A$2:$A$130,0)))</f>
        <v/>
      </c>
      <c r="T247">
        <f>IF(R247=0,"",INDEX(BDD_Penalites!$M$2:$M$130,MATCH($B247,BDD_Penalites!$A$2:$A$130,0)))</f>
        <v/>
      </c>
      <c r="U247">
        <f>IF(R247=0,0,INDEX(BDD_Penalites!$D$2:$D$130,MATCH($B247,BDD_Penalites!$A$2:$A$130,0)))</f>
        <v/>
      </c>
      <c r="V247">
        <f>IF(R247=0,0,INDEX(BDD_Penalites!$E$2:$E$130,MATCH($B247,BDD_Penalites!$A$2:$A$130,0)))</f>
        <v/>
      </c>
      <c r="W247">
        <f>IF(R247=0,0,INDEX(BDD_Penalites!$F$2:$F$130,MATCH($B247,BDD_Penalites!$A$2:$A$130,0)))</f>
        <v/>
      </c>
      <c r="X247">
        <f>IF(R247=0,0,INDEX(BDD_Penalites!$G$2:$G$130,MATCH($B247,BDD_Penalites!$A$2:$A$130,0)))</f>
        <v/>
      </c>
      <c r="Y247">
        <f>IF(R247=0,0,INDEX(BDD_Penalites!$H$2:$H$130,MATCH($B247,BDD_Penalites!$A$2:$A$130,0)))</f>
        <v/>
      </c>
      <c r="Z247">
        <f>IF(R247=0,0,INDEX(BDD_Penalites!$I$2:$I$130,MATCH($B247,BDD_Penalites!$A$2:$A$130,0)))</f>
        <v/>
      </c>
      <c r="AA247">
        <f>IF(R247=0,0,INDEX(BDD_Penalites!$J$2:$J$130,MATCH($B247,BDD_Penalites!$A$2:$A$130,0)))</f>
        <v/>
      </c>
      <c r="AB247">
        <f>IF(R247=0,0,INDEX(BDD_Penalites!$K$2:$K$130,MATCH($B247,BDD_Penalites!$A$2:$A$130,0)))</f>
        <v/>
      </c>
      <c r="AC247">
        <f>IF(R247=0,0,INDEX(BDD_Penalites!$L$2:$L$130,MATCH($B247,BDD_Penalites!$A$2:$A$130,0)))</f>
        <v/>
      </c>
      <c r="AD247">
        <f>IF(OR($C247="",Q247="FUTUR"),"",_xlfn.IFS(Q247&lt;U247,V247,Q247&lt;W247,X247,Q247&lt;Y247,Z247,Q247&lt;AA247,AB247,TRUE,AC247))</f>
        <v/>
      </c>
    </row>
    <row r="248" ht="13.5" customFormat="1" customHeight="1" s="29">
      <c r="A248" s="65" t="inlineStr">
        <is>
          <t>Feeder RAISE Investissement S.L.P. A1</t>
        </is>
      </c>
      <c r="B248" s="66" t="inlineStr">
        <is>
          <t>FR001400IL92</t>
        </is>
      </c>
      <c r="C248" s="268" t="n"/>
      <c r="D248" s="269">
        <f>IF(H248=0,"Calendrier non disponible pour ce fonds — contacter la société de gestion.",IF(I248="","Calendrier connu jusqu'au "&amp;TEXT(K248,"dd/mm/yyyy")&amp;" — demander le calendrier à jour.","Cut-off : "&amp;TEXT(I248,"dd/mm/yyyy")&amp;"  |  VL : "&amp;TEXT(J248,"dd/mm/yyyy")))</f>
        <v/>
      </c>
      <c r="E248" s="269">
        <f>IF(L248=0,"Calendrier non disponible pour ce fonds — contacter la société de gestion.",IF(M248="","Calendrier connu jusqu'au "&amp;TEXT(P248,"dd/mm/yyyy")&amp;" — demander le calendrier à jour.","Cut-off : "&amp;TEXT(M248,"dd/mm/yyyy")&amp;"  |  VL : "&amp;TEXT(N248,"dd/mm/yyyy")))</f>
        <v/>
      </c>
      <c r="F248" s="269">
        <f>IF(L248=0,"Calendrier non disponible pour ce fonds.",IF(M248="","Calendrier connu jusqu'au "&amp;TEXT(P248,"dd/mm/yyyy")&amp;".",IF(O248="","Non précisé dans le calendrier pour cette échéance.","Réception : "&amp;TEXT(O248,"dd/mm/yyyy")&amp;"  (suite au rachat du "&amp;TEXT(N248,"dd/mm/yyyy")&amp;")")))</f>
        <v/>
      </c>
      <c r="G248" s="269">
        <f>_xlfn.IFS(S248="aucune","Aucune pénalité de sortie."&amp;IF(T248&lt;&gt;""," ("&amp;T248&amp;")",""),S248="manuel","⚠️ À VÉRIFIER MANUELLEMENT : "&amp;T248,S248="inconnue","Pénalité non renseignée — vérifier la notice / DICI du fonds.",$C248="","Saisir une date d'investissement pour statuer sur la pénalité.",Q248="FUTUR","Date d'investissement postérieure à aujourd'hui — vérifier la saisie.",AD248&gt;0,"⚠️ CONCERNÉ : pénalité de "&amp;AD248&amp;"% (détention "&amp;Q248&amp;" mois). "&amp;T248,TRUE,"Non concerné (détention "&amp;Q248&amp;" mois). "&amp;T248)</f>
        <v/>
      </c>
      <c r="H248">
        <f>COUNTIFS(BDD_Calendrier!$A$2:$A$616,$B248,BDD_Calendrier!$C$2:$C$616,"Souscription")</f>
        <v/>
      </c>
      <c r="I248">
        <f>IF(H248=0,"",IFERROR(_xlfn.MINIFS(BDD_Calendrier!$D$2:$D$616,BDD_Calendrier!$A$2:$A$616,$B248,BDD_Calendrier!$C$2:$C$616,"Souscription",BDD_Calendrier!$D$2:$D$616,"&gt;="&amp;TODAY()),""))</f>
        <v/>
      </c>
      <c r="J248">
        <f>IF(I248="","",IFERROR(INDEX(BDD_Calendrier!$E$2:$E$616,MATCH($B248&amp;"|Souscription|"&amp;TEXT(I248,"yyyy-mm-dd"),BDD_Calendrier!$I$2:$I$616,0)),""))</f>
        <v/>
      </c>
      <c r="K248">
        <f>IF(H248=0,"",_xlfn.MAXIFS(BDD_Calendrier!$D$2:$D$616,BDD_Calendrier!$A$2:$A$616,$B248,BDD_Calendrier!$C$2:$C$616,"Souscription"))</f>
        <v/>
      </c>
      <c r="L248">
        <f>COUNTIFS(BDD_Calendrier!$A$2:$A$616,$B248,BDD_Calendrier!$C$2:$C$616,"Rachat")</f>
        <v/>
      </c>
      <c r="M248">
        <f>IF(L248=0,"",IFERROR(_xlfn.MINIFS(BDD_Calendrier!$D$2:$D$616,BDD_Calendrier!$A$2:$A$616,$B248,BDD_Calendrier!$C$2:$C$616,"Rachat",BDD_Calendrier!$D$2:$D$616,"&gt;="&amp;TODAY()),""))</f>
        <v/>
      </c>
      <c r="N248">
        <f>IF(M248="","",IFERROR(INDEX(BDD_Calendrier!$E$2:$E$616,MATCH($B248&amp;"|Rachat|"&amp;TEXT(M248,"yyyy-mm-dd"),BDD_Calendrier!$I$2:$I$616,0)),""))</f>
        <v/>
      </c>
      <c r="O248">
        <f>IF(M248="","",IFERROR(INDEX(BDD_Calendrier!$H$2:$H$616,MATCH($B248&amp;"|Rachat|"&amp;TEXT(M248,"yyyy-mm-dd"),BDD_Calendrier!$I$2:$I$616,0)),""))</f>
        <v/>
      </c>
      <c r="P248">
        <f>IF(L248=0,"",_xlfn.MAXIFS(BDD_Calendrier!$D$2:$D$616,BDD_Calendrier!$A$2:$A$616,$B248,BDD_Calendrier!$C$2:$C$616,"Rachat"))</f>
        <v/>
      </c>
      <c r="Q248">
        <f>IF($C248="","",IF($C248&gt;TODAY(),"FUTUR",DATEDIF($C248,TODAY(),"m")))</f>
        <v/>
      </c>
      <c r="R248">
        <f>COUNTIF(BDD_Penalites!$A$2:$A$130,$B248)</f>
        <v/>
      </c>
      <c r="S248">
        <f>IF(R248=0,"inconnue",INDEX(BDD_Penalites!$C$2:$C$130,MATCH($B248,BDD_Penalites!$A$2:$A$130,0)))</f>
        <v/>
      </c>
      <c r="T248">
        <f>IF(R248=0,"",INDEX(BDD_Penalites!$M$2:$M$130,MATCH($B248,BDD_Penalites!$A$2:$A$130,0)))</f>
        <v/>
      </c>
      <c r="U248">
        <f>IF(R248=0,0,INDEX(BDD_Penalites!$D$2:$D$130,MATCH($B248,BDD_Penalites!$A$2:$A$130,0)))</f>
        <v/>
      </c>
      <c r="V248">
        <f>IF(R248=0,0,INDEX(BDD_Penalites!$E$2:$E$130,MATCH($B248,BDD_Penalites!$A$2:$A$130,0)))</f>
        <v/>
      </c>
      <c r="W248">
        <f>IF(R248=0,0,INDEX(BDD_Penalites!$F$2:$F$130,MATCH($B248,BDD_Penalites!$A$2:$A$130,0)))</f>
        <v/>
      </c>
      <c r="X248">
        <f>IF(R248=0,0,INDEX(BDD_Penalites!$G$2:$G$130,MATCH($B248,BDD_Penalites!$A$2:$A$130,0)))</f>
        <v/>
      </c>
      <c r="Y248">
        <f>IF(R248=0,0,INDEX(BDD_Penalites!$H$2:$H$130,MATCH($B248,BDD_Penalites!$A$2:$A$130,0)))</f>
        <v/>
      </c>
      <c r="Z248">
        <f>IF(R248=0,0,INDEX(BDD_Penalites!$I$2:$I$130,MATCH($B248,BDD_Penalites!$A$2:$A$130,0)))</f>
        <v/>
      </c>
      <c r="AA248">
        <f>IF(R248=0,0,INDEX(BDD_Penalites!$J$2:$J$130,MATCH($B248,BDD_Penalites!$A$2:$A$130,0)))</f>
        <v/>
      </c>
      <c r="AB248">
        <f>IF(R248=0,0,INDEX(BDD_Penalites!$K$2:$K$130,MATCH($B248,BDD_Penalites!$A$2:$A$130,0)))</f>
        <v/>
      </c>
      <c r="AC248">
        <f>IF(R248=0,0,INDEX(BDD_Penalites!$L$2:$L$130,MATCH($B248,BDD_Penalites!$A$2:$A$130,0)))</f>
        <v/>
      </c>
      <c r="AD248">
        <f>IF(OR($C248="",Q248="FUTUR"),"",_xlfn.IFS(Q248&lt;U248,V248,Q248&lt;W248,X248,Q248&lt;Y248,Z248,Q248&lt;AA248,AB248,TRUE,AC248))</f>
        <v/>
      </c>
    </row>
    <row r="249" ht="13.5" customHeight="1">
      <c r="A249" s="65" t="inlineStr">
        <is>
          <t>Co-Investissement Arlane - Santé</t>
        </is>
      </c>
      <c r="B249" s="75" t="inlineStr">
        <is>
          <t>/</t>
        </is>
      </c>
      <c r="C249" s="268" t="n"/>
      <c r="D249" s="269">
        <f>IF(H249=0,"Calendrier non disponible pour ce fonds — contacter la société de gestion.",IF(I249="","Calendrier connu jusqu'au "&amp;TEXT(K249,"dd/mm/yyyy")&amp;" — demander le calendrier à jour.","Cut-off : "&amp;TEXT(I249,"dd/mm/yyyy")&amp;"  |  VL : "&amp;TEXT(J249,"dd/mm/yyyy")))</f>
        <v/>
      </c>
      <c r="E249" s="269">
        <f>IF(L249=0,"Calendrier non disponible pour ce fonds — contacter la société de gestion.",IF(M249="","Calendrier connu jusqu'au "&amp;TEXT(P249,"dd/mm/yyyy")&amp;" — demander le calendrier à jour.","Cut-off : "&amp;TEXT(M249,"dd/mm/yyyy")&amp;"  |  VL : "&amp;TEXT(N249,"dd/mm/yyyy")))</f>
        <v/>
      </c>
      <c r="F249" s="269">
        <f>IF(L249=0,"Calendrier non disponible pour ce fonds.",IF(M249="","Calendrier connu jusqu'au "&amp;TEXT(P249,"dd/mm/yyyy")&amp;".",IF(O249="","Non précisé dans le calendrier pour cette échéance.","Réception : "&amp;TEXT(O249,"dd/mm/yyyy")&amp;"  (suite au rachat du "&amp;TEXT(N249,"dd/mm/yyyy")&amp;")")))</f>
        <v/>
      </c>
      <c r="G249" s="269">
        <f>_xlfn.IFS(S249="aucune","Aucune pénalité de sortie."&amp;IF(T249&lt;&gt;""," ("&amp;T249&amp;")",""),S249="manuel","⚠️ À VÉRIFIER MANUELLEMENT : "&amp;T249,S249="inconnue","Pénalité non renseignée — vérifier la notice / DICI du fonds.",$C249="","Saisir une date d'investissement pour statuer sur la pénalité.",Q249="FUTUR","Date d'investissement postérieure à aujourd'hui — vérifier la saisie.",AD249&gt;0,"⚠️ CONCERNÉ : pénalité de "&amp;AD249&amp;"% (détention "&amp;Q249&amp;" mois). "&amp;T249,TRUE,"Non concerné (détention "&amp;Q249&amp;" mois). "&amp;T249)</f>
        <v/>
      </c>
      <c r="H249">
        <f>COUNTIFS(BDD_Calendrier!$A$2:$A$616,$B249,BDD_Calendrier!$C$2:$C$616,"Souscription")</f>
        <v/>
      </c>
      <c r="I249">
        <f>IF(H249=0,"",IFERROR(_xlfn.MINIFS(BDD_Calendrier!$D$2:$D$616,BDD_Calendrier!$A$2:$A$616,$B249,BDD_Calendrier!$C$2:$C$616,"Souscription",BDD_Calendrier!$D$2:$D$616,"&gt;="&amp;TODAY()),""))</f>
        <v/>
      </c>
      <c r="J249">
        <f>IF(I249="","",IFERROR(INDEX(BDD_Calendrier!$E$2:$E$616,MATCH($B249&amp;"|Souscription|"&amp;TEXT(I249,"yyyy-mm-dd"),BDD_Calendrier!$I$2:$I$616,0)),""))</f>
        <v/>
      </c>
      <c r="K249">
        <f>IF(H249=0,"",_xlfn.MAXIFS(BDD_Calendrier!$D$2:$D$616,BDD_Calendrier!$A$2:$A$616,$B249,BDD_Calendrier!$C$2:$C$616,"Souscription"))</f>
        <v/>
      </c>
      <c r="L249">
        <f>COUNTIFS(BDD_Calendrier!$A$2:$A$616,$B249,BDD_Calendrier!$C$2:$C$616,"Rachat")</f>
        <v/>
      </c>
      <c r="M249">
        <f>IF(L249=0,"",IFERROR(_xlfn.MINIFS(BDD_Calendrier!$D$2:$D$616,BDD_Calendrier!$A$2:$A$616,$B249,BDD_Calendrier!$C$2:$C$616,"Rachat",BDD_Calendrier!$D$2:$D$616,"&gt;="&amp;TODAY()),""))</f>
        <v/>
      </c>
      <c r="N249">
        <f>IF(M249="","",IFERROR(INDEX(BDD_Calendrier!$E$2:$E$616,MATCH($B249&amp;"|Rachat|"&amp;TEXT(M249,"yyyy-mm-dd"),BDD_Calendrier!$I$2:$I$616,0)),""))</f>
        <v/>
      </c>
      <c r="O249">
        <f>IF(M249="","",IFERROR(INDEX(BDD_Calendrier!$H$2:$H$616,MATCH($B249&amp;"|Rachat|"&amp;TEXT(M249,"yyyy-mm-dd"),BDD_Calendrier!$I$2:$I$616,0)),""))</f>
        <v/>
      </c>
      <c r="P249">
        <f>IF(L249=0,"",_xlfn.MAXIFS(BDD_Calendrier!$D$2:$D$616,BDD_Calendrier!$A$2:$A$616,$B249,BDD_Calendrier!$C$2:$C$616,"Rachat"))</f>
        <v/>
      </c>
      <c r="Q249">
        <f>IF($C249="","",IF($C249&gt;TODAY(),"FUTUR",DATEDIF($C249,TODAY(),"m")))</f>
        <v/>
      </c>
      <c r="R249">
        <f>COUNTIF(BDD_Penalites!$A$2:$A$130,$B249)</f>
        <v/>
      </c>
      <c r="S249">
        <f>IF(R249=0,"inconnue",INDEX(BDD_Penalites!$C$2:$C$130,MATCH($B249,BDD_Penalites!$A$2:$A$130,0)))</f>
        <v/>
      </c>
      <c r="T249">
        <f>IF(R249=0,"",INDEX(BDD_Penalites!$M$2:$M$130,MATCH($B249,BDD_Penalites!$A$2:$A$130,0)))</f>
        <v/>
      </c>
      <c r="U249">
        <f>IF(R249=0,0,INDEX(BDD_Penalites!$D$2:$D$130,MATCH($B249,BDD_Penalites!$A$2:$A$130,0)))</f>
        <v/>
      </c>
      <c r="V249">
        <f>IF(R249=0,0,INDEX(BDD_Penalites!$E$2:$E$130,MATCH($B249,BDD_Penalites!$A$2:$A$130,0)))</f>
        <v/>
      </c>
      <c r="W249">
        <f>IF(R249=0,0,INDEX(BDD_Penalites!$F$2:$F$130,MATCH($B249,BDD_Penalites!$A$2:$A$130,0)))</f>
        <v/>
      </c>
      <c r="X249">
        <f>IF(R249=0,0,INDEX(BDD_Penalites!$G$2:$G$130,MATCH($B249,BDD_Penalites!$A$2:$A$130,0)))</f>
        <v/>
      </c>
      <c r="Y249">
        <f>IF(R249=0,0,INDEX(BDD_Penalites!$H$2:$H$130,MATCH($B249,BDD_Penalites!$A$2:$A$130,0)))</f>
        <v/>
      </c>
      <c r="Z249">
        <f>IF(R249=0,0,INDEX(BDD_Penalites!$I$2:$I$130,MATCH($B249,BDD_Penalites!$A$2:$A$130,0)))</f>
        <v/>
      </c>
      <c r="AA249">
        <f>IF(R249=0,0,INDEX(BDD_Penalites!$J$2:$J$130,MATCH($B249,BDD_Penalites!$A$2:$A$130,0)))</f>
        <v/>
      </c>
      <c r="AB249">
        <f>IF(R249=0,0,INDEX(BDD_Penalites!$K$2:$K$130,MATCH($B249,BDD_Penalites!$A$2:$A$130,0)))</f>
        <v/>
      </c>
      <c r="AC249">
        <f>IF(R249=0,0,INDEX(BDD_Penalites!$L$2:$L$130,MATCH($B249,BDD_Penalites!$A$2:$A$130,0)))</f>
        <v/>
      </c>
      <c r="AD249">
        <f>IF(OR($C249="",Q249="FUTUR"),"",_xlfn.IFS(Q249&lt;U249,V249,Q249&lt;W249,X249,Q249&lt;Y249,Z249,Q249&lt;AA249,AB249,TRUE,AC249))</f>
        <v/>
      </c>
    </row>
    <row r="250" ht="13.5" customHeight="1">
      <c r="A250" s="65" t="inlineStr">
        <is>
          <t>Adams Street</t>
        </is>
      </c>
      <c r="B250" s="75" t="inlineStr">
        <is>
          <t>/</t>
        </is>
      </c>
      <c r="C250" s="268" t="n"/>
      <c r="D250" s="269">
        <f>IF(H250=0,"Calendrier non disponible pour ce fonds — contacter la société de gestion.",IF(I250="","Calendrier connu jusqu'au "&amp;TEXT(K250,"dd/mm/yyyy")&amp;" — demander le calendrier à jour.","Cut-off : "&amp;TEXT(I250,"dd/mm/yyyy")&amp;"  |  VL : "&amp;TEXT(J250,"dd/mm/yyyy")))</f>
        <v/>
      </c>
      <c r="E250" s="269">
        <f>IF(L250=0,"Calendrier non disponible pour ce fonds — contacter la société de gestion.",IF(M250="","Calendrier connu jusqu'au "&amp;TEXT(P250,"dd/mm/yyyy")&amp;" — demander le calendrier à jour.","Cut-off : "&amp;TEXT(M250,"dd/mm/yyyy")&amp;"  |  VL : "&amp;TEXT(N250,"dd/mm/yyyy")))</f>
        <v/>
      </c>
      <c r="F250" s="269">
        <f>IF(L250=0,"Calendrier non disponible pour ce fonds.",IF(M250="","Calendrier connu jusqu'au "&amp;TEXT(P250,"dd/mm/yyyy")&amp;".",IF(O250="","Non précisé dans le calendrier pour cette échéance.","Réception : "&amp;TEXT(O250,"dd/mm/yyyy")&amp;"  (suite au rachat du "&amp;TEXT(N250,"dd/mm/yyyy")&amp;")")))</f>
        <v/>
      </c>
      <c r="G250" s="269">
        <f>_xlfn.IFS(S250="aucune","Aucune pénalité de sortie."&amp;IF(T250&lt;&gt;""," ("&amp;T250&amp;")",""),S250="manuel","⚠️ À VÉRIFIER MANUELLEMENT : "&amp;T250,S250="inconnue","Pénalité non renseignée — vérifier la notice / DICI du fonds.",$C250="","Saisir une date d'investissement pour statuer sur la pénalité.",Q250="FUTUR","Date d'investissement postérieure à aujourd'hui — vérifier la saisie.",AD250&gt;0,"⚠️ CONCERNÉ : pénalité de "&amp;AD250&amp;"% (détention "&amp;Q250&amp;" mois). "&amp;T250,TRUE,"Non concerné (détention "&amp;Q250&amp;" mois). "&amp;T250)</f>
        <v/>
      </c>
      <c r="H250">
        <f>COUNTIFS(BDD_Calendrier!$A$2:$A$616,$B250,BDD_Calendrier!$C$2:$C$616,"Souscription")</f>
        <v/>
      </c>
      <c r="I250">
        <f>IF(H250=0,"",IFERROR(_xlfn.MINIFS(BDD_Calendrier!$D$2:$D$616,BDD_Calendrier!$A$2:$A$616,$B250,BDD_Calendrier!$C$2:$C$616,"Souscription",BDD_Calendrier!$D$2:$D$616,"&gt;="&amp;TODAY()),""))</f>
        <v/>
      </c>
      <c r="J250">
        <f>IF(I250="","",IFERROR(INDEX(BDD_Calendrier!$E$2:$E$616,MATCH($B250&amp;"|Souscription|"&amp;TEXT(I250,"yyyy-mm-dd"),BDD_Calendrier!$I$2:$I$616,0)),""))</f>
        <v/>
      </c>
      <c r="K250">
        <f>IF(H250=0,"",_xlfn.MAXIFS(BDD_Calendrier!$D$2:$D$616,BDD_Calendrier!$A$2:$A$616,$B250,BDD_Calendrier!$C$2:$C$616,"Souscription"))</f>
        <v/>
      </c>
      <c r="L250">
        <f>COUNTIFS(BDD_Calendrier!$A$2:$A$616,$B250,BDD_Calendrier!$C$2:$C$616,"Rachat")</f>
        <v/>
      </c>
      <c r="M250">
        <f>IF(L250=0,"",IFERROR(_xlfn.MINIFS(BDD_Calendrier!$D$2:$D$616,BDD_Calendrier!$A$2:$A$616,$B250,BDD_Calendrier!$C$2:$C$616,"Rachat",BDD_Calendrier!$D$2:$D$616,"&gt;="&amp;TODAY()),""))</f>
        <v/>
      </c>
      <c r="N250">
        <f>IF(M250="","",IFERROR(INDEX(BDD_Calendrier!$E$2:$E$616,MATCH($B250&amp;"|Rachat|"&amp;TEXT(M250,"yyyy-mm-dd"),BDD_Calendrier!$I$2:$I$616,0)),""))</f>
        <v/>
      </c>
      <c r="O250">
        <f>IF(M250="","",IFERROR(INDEX(BDD_Calendrier!$H$2:$H$616,MATCH($B250&amp;"|Rachat|"&amp;TEXT(M250,"yyyy-mm-dd"),BDD_Calendrier!$I$2:$I$616,0)),""))</f>
        <v/>
      </c>
      <c r="P250">
        <f>IF(L250=0,"",_xlfn.MAXIFS(BDD_Calendrier!$D$2:$D$616,BDD_Calendrier!$A$2:$A$616,$B250,BDD_Calendrier!$C$2:$C$616,"Rachat"))</f>
        <v/>
      </c>
      <c r="Q250">
        <f>IF($C250="","",IF($C250&gt;TODAY(),"FUTUR",DATEDIF($C250,TODAY(),"m")))</f>
        <v/>
      </c>
      <c r="R250">
        <f>COUNTIF(BDD_Penalites!$A$2:$A$130,$B250)</f>
        <v/>
      </c>
      <c r="S250">
        <f>IF(R250=0,"inconnue",INDEX(BDD_Penalites!$C$2:$C$130,MATCH($B250,BDD_Penalites!$A$2:$A$130,0)))</f>
        <v/>
      </c>
      <c r="T250">
        <f>IF(R250=0,"",INDEX(BDD_Penalites!$M$2:$M$130,MATCH($B250,BDD_Penalites!$A$2:$A$130,0)))</f>
        <v/>
      </c>
      <c r="U250">
        <f>IF(R250=0,0,INDEX(BDD_Penalites!$D$2:$D$130,MATCH($B250,BDD_Penalites!$A$2:$A$130,0)))</f>
        <v/>
      </c>
      <c r="V250">
        <f>IF(R250=0,0,INDEX(BDD_Penalites!$E$2:$E$130,MATCH($B250,BDD_Penalites!$A$2:$A$130,0)))</f>
        <v/>
      </c>
      <c r="W250">
        <f>IF(R250=0,0,INDEX(BDD_Penalites!$F$2:$F$130,MATCH($B250,BDD_Penalites!$A$2:$A$130,0)))</f>
        <v/>
      </c>
      <c r="X250">
        <f>IF(R250=0,0,INDEX(BDD_Penalites!$G$2:$G$130,MATCH($B250,BDD_Penalites!$A$2:$A$130,0)))</f>
        <v/>
      </c>
      <c r="Y250">
        <f>IF(R250=0,0,INDEX(BDD_Penalites!$H$2:$H$130,MATCH($B250,BDD_Penalites!$A$2:$A$130,0)))</f>
        <v/>
      </c>
      <c r="Z250">
        <f>IF(R250=0,0,INDEX(BDD_Penalites!$I$2:$I$130,MATCH($B250,BDD_Penalites!$A$2:$A$130,0)))</f>
        <v/>
      </c>
      <c r="AA250">
        <f>IF(R250=0,0,INDEX(BDD_Penalites!$J$2:$J$130,MATCH($B250,BDD_Penalites!$A$2:$A$130,0)))</f>
        <v/>
      </c>
      <c r="AB250">
        <f>IF(R250=0,0,INDEX(BDD_Penalites!$K$2:$K$130,MATCH($B250,BDD_Penalites!$A$2:$A$130,0)))</f>
        <v/>
      </c>
      <c r="AC250">
        <f>IF(R250=0,0,INDEX(BDD_Penalites!$L$2:$L$130,MATCH($B250,BDD_Penalites!$A$2:$A$130,0)))</f>
        <v/>
      </c>
      <c r="AD250">
        <f>IF(OR($C250="",Q250="FUTUR"),"",_xlfn.IFS(Q250&lt;U250,V250,Q250&lt;W250,X250,Q250&lt;Y250,Z250,Q250&lt;AA250,AB250,TRUE,AC250))</f>
        <v/>
      </c>
    </row>
    <row r="251" ht="13.5" customHeight="1">
      <c r="A251" s="65" t="inlineStr">
        <is>
          <t>KeenSight</t>
        </is>
      </c>
      <c r="B251" s="75" t="inlineStr">
        <is>
          <t>/</t>
        </is>
      </c>
      <c r="C251" s="268" t="n"/>
      <c r="D251" s="269">
        <f>IF(H251=0,"Calendrier non disponible pour ce fonds — contacter la société de gestion.",IF(I251="","Calendrier connu jusqu'au "&amp;TEXT(K251,"dd/mm/yyyy")&amp;" — demander le calendrier à jour.","Cut-off : "&amp;TEXT(I251,"dd/mm/yyyy")&amp;"  |  VL : "&amp;TEXT(J251,"dd/mm/yyyy")))</f>
        <v/>
      </c>
      <c r="E251" s="269">
        <f>IF(L251=0,"Calendrier non disponible pour ce fonds — contacter la société de gestion.",IF(M251="","Calendrier connu jusqu'au "&amp;TEXT(P251,"dd/mm/yyyy")&amp;" — demander le calendrier à jour.","Cut-off : "&amp;TEXT(M251,"dd/mm/yyyy")&amp;"  |  VL : "&amp;TEXT(N251,"dd/mm/yyyy")))</f>
        <v/>
      </c>
      <c r="F251" s="269">
        <f>IF(L251=0,"Calendrier non disponible pour ce fonds.",IF(M251="","Calendrier connu jusqu'au "&amp;TEXT(P251,"dd/mm/yyyy")&amp;".",IF(O251="","Non précisé dans le calendrier pour cette échéance.","Réception : "&amp;TEXT(O251,"dd/mm/yyyy")&amp;"  (suite au rachat du "&amp;TEXT(N251,"dd/mm/yyyy")&amp;")")))</f>
        <v/>
      </c>
      <c r="G251" s="269">
        <f>_xlfn.IFS(S251="aucune","Aucune pénalité de sortie."&amp;IF(T251&lt;&gt;""," ("&amp;T251&amp;")",""),S251="manuel","⚠️ À VÉRIFIER MANUELLEMENT : "&amp;T251,S251="inconnue","Pénalité non renseignée — vérifier la notice / DICI du fonds.",$C251="","Saisir une date d'investissement pour statuer sur la pénalité.",Q251="FUTUR","Date d'investissement postérieure à aujourd'hui — vérifier la saisie.",AD251&gt;0,"⚠️ CONCERNÉ : pénalité de "&amp;AD251&amp;"% (détention "&amp;Q251&amp;" mois). "&amp;T251,TRUE,"Non concerné (détention "&amp;Q251&amp;" mois). "&amp;T251)</f>
        <v/>
      </c>
      <c r="H251">
        <f>COUNTIFS(BDD_Calendrier!$A$2:$A$616,$B251,BDD_Calendrier!$C$2:$C$616,"Souscription")</f>
        <v/>
      </c>
      <c r="I251">
        <f>IF(H251=0,"",IFERROR(_xlfn.MINIFS(BDD_Calendrier!$D$2:$D$616,BDD_Calendrier!$A$2:$A$616,$B251,BDD_Calendrier!$C$2:$C$616,"Souscription",BDD_Calendrier!$D$2:$D$616,"&gt;="&amp;TODAY()),""))</f>
        <v/>
      </c>
      <c r="J251">
        <f>IF(I251="","",IFERROR(INDEX(BDD_Calendrier!$E$2:$E$616,MATCH($B251&amp;"|Souscription|"&amp;TEXT(I251,"yyyy-mm-dd"),BDD_Calendrier!$I$2:$I$616,0)),""))</f>
        <v/>
      </c>
      <c r="K251">
        <f>IF(H251=0,"",_xlfn.MAXIFS(BDD_Calendrier!$D$2:$D$616,BDD_Calendrier!$A$2:$A$616,$B251,BDD_Calendrier!$C$2:$C$616,"Souscription"))</f>
        <v/>
      </c>
      <c r="L251">
        <f>COUNTIFS(BDD_Calendrier!$A$2:$A$616,$B251,BDD_Calendrier!$C$2:$C$616,"Rachat")</f>
        <v/>
      </c>
      <c r="M251">
        <f>IF(L251=0,"",IFERROR(_xlfn.MINIFS(BDD_Calendrier!$D$2:$D$616,BDD_Calendrier!$A$2:$A$616,$B251,BDD_Calendrier!$C$2:$C$616,"Rachat",BDD_Calendrier!$D$2:$D$616,"&gt;="&amp;TODAY()),""))</f>
        <v/>
      </c>
      <c r="N251">
        <f>IF(M251="","",IFERROR(INDEX(BDD_Calendrier!$E$2:$E$616,MATCH($B251&amp;"|Rachat|"&amp;TEXT(M251,"yyyy-mm-dd"),BDD_Calendrier!$I$2:$I$616,0)),""))</f>
        <v/>
      </c>
      <c r="O251">
        <f>IF(M251="","",IFERROR(INDEX(BDD_Calendrier!$H$2:$H$616,MATCH($B251&amp;"|Rachat|"&amp;TEXT(M251,"yyyy-mm-dd"),BDD_Calendrier!$I$2:$I$616,0)),""))</f>
        <v/>
      </c>
      <c r="P251">
        <f>IF(L251=0,"",_xlfn.MAXIFS(BDD_Calendrier!$D$2:$D$616,BDD_Calendrier!$A$2:$A$616,$B251,BDD_Calendrier!$C$2:$C$616,"Rachat"))</f>
        <v/>
      </c>
      <c r="Q251">
        <f>IF($C251="","",IF($C251&gt;TODAY(),"FUTUR",DATEDIF($C251,TODAY(),"m")))</f>
        <v/>
      </c>
      <c r="R251">
        <f>COUNTIF(BDD_Penalites!$A$2:$A$130,$B251)</f>
        <v/>
      </c>
      <c r="S251">
        <f>IF(R251=0,"inconnue",INDEX(BDD_Penalites!$C$2:$C$130,MATCH($B251,BDD_Penalites!$A$2:$A$130,0)))</f>
        <v/>
      </c>
      <c r="T251">
        <f>IF(R251=0,"",INDEX(BDD_Penalites!$M$2:$M$130,MATCH($B251,BDD_Penalites!$A$2:$A$130,0)))</f>
        <v/>
      </c>
      <c r="U251">
        <f>IF(R251=0,0,INDEX(BDD_Penalites!$D$2:$D$130,MATCH($B251,BDD_Penalites!$A$2:$A$130,0)))</f>
        <v/>
      </c>
      <c r="V251">
        <f>IF(R251=0,0,INDEX(BDD_Penalites!$E$2:$E$130,MATCH($B251,BDD_Penalites!$A$2:$A$130,0)))</f>
        <v/>
      </c>
      <c r="W251">
        <f>IF(R251=0,0,INDEX(BDD_Penalites!$F$2:$F$130,MATCH($B251,BDD_Penalites!$A$2:$A$130,0)))</f>
        <v/>
      </c>
      <c r="X251">
        <f>IF(R251=0,0,INDEX(BDD_Penalites!$G$2:$G$130,MATCH($B251,BDD_Penalites!$A$2:$A$130,0)))</f>
        <v/>
      </c>
      <c r="Y251">
        <f>IF(R251=0,0,INDEX(BDD_Penalites!$H$2:$H$130,MATCH($B251,BDD_Penalites!$A$2:$A$130,0)))</f>
        <v/>
      </c>
      <c r="Z251">
        <f>IF(R251=0,0,INDEX(BDD_Penalites!$I$2:$I$130,MATCH($B251,BDD_Penalites!$A$2:$A$130,0)))</f>
        <v/>
      </c>
      <c r="AA251">
        <f>IF(R251=0,0,INDEX(BDD_Penalites!$J$2:$J$130,MATCH($B251,BDD_Penalites!$A$2:$A$130,0)))</f>
        <v/>
      </c>
      <c r="AB251">
        <f>IF(R251=0,0,INDEX(BDD_Penalites!$K$2:$K$130,MATCH($B251,BDD_Penalites!$A$2:$A$130,0)))</f>
        <v/>
      </c>
      <c r="AC251">
        <f>IF(R251=0,0,INDEX(BDD_Penalites!$L$2:$L$130,MATCH($B251,BDD_Penalites!$A$2:$A$130,0)))</f>
        <v/>
      </c>
      <c r="AD251">
        <f>IF(OR($C251="",Q251="FUTUR"),"",_xlfn.IFS(Q251&lt;U251,V251,Q251&lt;W251,X251,Q251&lt;Y251,Z251,Q251&lt;AA251,AB251,TRUE,AC251))</f>
        <v/>
      </c>
    </row>
    <row r="252" ht="13.5" customHeight="1">
      <c r="A252" s="65" t="inlineStr">
        <is>
          <t>Partners Group Global Value SICAV Class R-N</t>
        </is>
      </c>
      <c r="B252" s="66" t="inlineStr">
        <is>
          <t>LU1911739370</t>
        </is>
      </c>
      <c r="C252" s="268" t="n"/>
      <c r="D252" s="269">
        <f>IF(H252=0,"Calendrier non disponible pour ce fonds — contacter la société de gestion.",IF(I252="","Calendrier connu jusqu'au "&amp;TEXT(K252,"dd/mm/yyyy")&amp;" — demander le calendrier à jour.","Cut-off : "&amp;TEXT(I252,"dd/mm/yyyy")&amp;"  |  VL : "&amp;TEXT(J252,"dd/mm/yyyy")))</f>
        <v/>
      </c>
      <c r="E252" s="269">
        <f>IF(L252=0,"Calendrier non disponible pour ce fonds — contacter la société de gestion.",IF(M252="","Calendrier connu jusqu'au "&amp;TEXT(P252,"dd/mm/yyyy")&amp;" — demander le calendrier à jour.","Cut-off : "&amp;TEXT(M252,"dd/mm/yyyy")&amp;"  |  VL : "&amp;TEXT(N252,"dd/mm/yyyy")))</f>
        <v/>
      </c>
      <c r="F252" s="269">
        <f>IF(L252=0,"Calendrier non disponible pour ce fonds.",IF(M252="","Calendrier connu jusqu'au "&amp;TEXT(P252,"dd/mm/yyyy")&amp;".",IF(O252="","Non précisé dans le calendrier pour cette échéance.","Réception : "&amp;TEXT(O252,"dd/mm/yyyy")&amp;"  (suite au rachat du "&amp;TEXT(N252,"dd/mm/yyyy")&amp;")")))</f>
        <v/>
      </c>
      <c r="G252" s="269">
        <f>_xlfn.IFS(S252="aucune","Aucune pénalité de sortie."&amp;IF(T252&lt;&gt;""," ("&amp;T252&amp;")",""),S252="manuel","⚠️ À VÉRIFIER MANUELLEMENT : "&amp;T252,S252="inconnue","Pénalité non renseignée — vérifier la notice / DICI du fonds.",$C252="","Saisir une date d'investissement pour statuer sur la pénalité.",Q252="FUTUR","Date d'investissement postérieure à aujourd'hui — vérifier la saisie.",AD252&gt;0,"⚠️ CONCERNÉ : pénalité de "&amp;AD252&amp;"% (détention "&amp;Q252&amp;" mois). "&amp;T252,TRUE,"Non concerné (détention "&amp;Q252&amp;" mois). "&amp;T252)</f>
        <v/>
      </c>
      <c r="H252">
        <f>COUNTIFS(BDD_Calendrier!$A$2:$A$616,$B252,BDD_Calendrier!$C$2:$C$616,"Souscription")</f>
        <v/>
      </c>
      <c r="I252">
        <f>IF(H252=0,"",IFERROR(_xlfn.MINIFS(BDD_Calendrier!$D$2:$D$616,BDD_Calendrier!$A$2:$A$616,$B252,BDD_Calendrier!$C$2:$C$616,"Souscription",BDD_Calendrier!$D$2:$D$616,"&gt;="&amp;TODAY()),""))</f>
        <v/>
      </c>
      <c r="J252">
        <f>IF(I252="","",IFERROR(INDEX(BDD_Calendrier!$E$2:$E$616,MATCH($B252&amp;"|Souscription|"&amp;TEXT(I252,"yyyy-mm-dd"),BDD_Calendrier!$I$2:$I$616,0)),""))</f>
        <v/>
      </c>
      <c r="K252">
        <f>IF(H252=0,"",_xlfn.MAXIFS(BDD_Calendrier!$D$2:$D$616,BDD_Calendrier!$A$2:$A$616,$B252,BDD_Calendrier!$C$2:$C$616,"Souscription"))</f>
        <v/>
      </c>
      <c r="L252">
        <f>COUNTIFS(BDD_Calendrier!$A$2:$A$616,$B252,BDD_Calendrier!$C$2:$C$616,"Rachat")</f>
        <v/>
      </c>
      <c r="M252">
        <f>IF(L252=0,"",IFERROR(_xlfn.MINIFS(BDD_Calendrier!$D$2:$D$616,BDD_Calendrier!$A$2:$A$616,$B252,BDD_Calendrier!$C$2:$C$616,"Rachat",BDD_Calendrier!$D$2:$D$616,"&gt;="&amp;TODAY()),""))</f>
        <v/>
      </c>
      <c r="N252">
        <f>IF(M252="","",IFERROR(INDEX(BDD_Calendrier!$E$2:$E$616,MATCH($B252&amp;"|Rachat|"&amp;TEXT(M252,"yyyy-mm-dd"),BDD_Calendrier!$I$2:$I$616,0)),""))</f>
        <v/>
      </c>
      <c r="O252">
        <f>IF(M252="","",IFERROR(INDEX(BDD_Calendrier!$H$2:$H$616,MATCH($B252&amp;"|Rachat|"&amp;TEXT(M252,"yyyy-mm-dd"),BDD_Calendrier!$I$2:$I$616,0)),""))</f>
        <v/>
      </c>
      <c r="P252">
        <f>IF(L252=0,"",_xlfn.MAXIFS(BDD_Calendrier!$D$2:$D$616,BDD_Calendrier!$A$2:$A$616,$B252,BDD_Calendrier!$C$2:$C$616,"Rachat"))</f>
        <v/>
      </c>
      <c r="Q252">
        <f>IF($C252="","",IF($C252&gt;TODAY(),"FUTUR",DATEDIF($C252,TODAY(),"m")))</f>
        <v/>
      </c>
      <c r="R252">
        <f>COUNTIF(BDD_Penalites!$A$2:$A$130,$B252)</f>
        <v/>
      </c>
      <c r="S252">
        <f>IF(R252=0,"inconnue",INDEX(BDD_Penalites!$C$2:$C$130,MATCH($B252,BDD_Penalites!$A$2:$A$130,0)))</f>
        <v/>
      </c>
      <c r="T252">
        <f>IF(R252=0,"",INDEX(BDD_Penalites!$M$2:$M$130,MATCH($B252,BDD_Penalites!$A$2:$A$130,0)))</f>
        <v/>
      </c>
      <c r="U252">
        <f>IF(R252=0,0,INDEX(BDD_Penalites!$D$2:$D$130,MATCH($B252,BDD_Penalites!$A$2:$A$130,0)))</f>
        <v/>
      </c>
      <c r="V252">
        <f>IF(R252=0,0,INDEX(BDD_Penalites!$E$2:$E$130,MATCH($B252,BDD_Penalites!$A$2:$A$130,0)))</f>
        <v/>
      </c>
      <c r="W252">
        <f>IF(R252=0,0,INDEX(BDD_Penalites!$F$2:$F$130,MATCH($B252,BDD_Penalites!$A$2:$A$130,0)))</f>
        <v/>
      </c>
      <c r="X252">
        <f>IF(R252=0,0,INDEX(BDD_Penalites!$G$2:$G$130,MATCH($B252,BDD_Penalites!$A$2:$A$130,0)))</f>
        <v/>
      </c>
      <c r="Y252">
        <f>IF(R252=0,0,INDEX(BDD_Penalites!$H$2:$H$130,MATCH($B252,BDD_Penalites!$A$2:$A$130,0)))</f>
        <v/>
      </c>
      <c r="Z252">
        <f>IF(R252=0,0,INDEX(BDD_Penalites!$I$2:$I$130,MATCH($B252,BDD_Penalites!$A$2:$A$130,0)))</f>
        <v/>
      </c>
      <c r="AA252">
        <f>IF(R252=0,0,INDEX(BDD_Penalites!$J$2:$J$130,MATCH($B252,BDD_Penalites!$A$2:$A$130,0)))</f>
        <v/>
      </c>
      <c r="AB252">
        <f>IF(R252=0,0,INDEX(BDD_Penalites!$K$2:$K$130,MATCH($B252,BDD_Penalites!$A$2:$A$130,0)))</f>
        <v/>
      </c>
      <c r="AC252">
        <f>IF(R252=0,0,INDEX(BDD_Penalites!$L$2:$L$130,MATCH($B252,BDD_Penalites!$A$2:$A$130,0)))</f>
        <v/>
      </c>
      <c r="AD252">
        <f>IF(OR($C252="",Q252="FUTUR"),"",_xlfn.IFS(Q252&lt;U252,V252,Q252&lt;W252,X252,Q252&lt;Y252,Z252,Q252&lt;AA252,AB252,TRUE,AC252))</f>
        <v/>
      </c>
    </row>
    <row r="253" ht="13.5" customFormat="1" customHeight="1" s="29">
      <c r="A253" s="65" t="inlineStr">
        <is>
          <t>Partners Group Global Value SICAV E-N</t>
        </is>
      </c>
      <c r="B253" s="66" t="inlineStr">
        <is>
          <t>LU1911739297</t>
        </is>
      </c>
      <c r="C253" s="268" t="n"/>
      <c r="D253" s="269">
        <f>IF(H253=0,"Calendrier non disponible pour ce fonds — contacter la société de gestion.",IF(I253="","Calendrier connu jusqu'au "&amp;TEXT(K253,"dd/mm/yyyy")&amp;" — demander le calendrier à jour.","Cut-off : "&amp;TEXT(I253,"dd/mm/yyyy")&amp;"  |  VL : "&amp;TEXT(J253,"dd/mm/yyyy")))</f>
        <v/>
      </c>
      <c r="E253" s="269">
        <f>IF(L253=0,"Calendrier non disponible pour ce fonds — contacter la société de gestion.",IF(M253="","Calendrier connu jusqu'au "&amp;TEXT(P253,"dd/mm/yyyy")&amp;" — demander le calendrier à jour.","Cut-off : "&amp;TEXT(M253,"dd/mm/yyyy")&amp;"  |  VL : "&amp;TEXT(N253,"dd/mm/yyyy")))</f>
        <v/>
      </c>
      <c r="F253" s="269">
        <f>IF(L253=0,"Calendrier non disponible pour ce fonds.",IF(M253="","Calendrier connu jusqu'au "&amp;TEXT(P253,"dd/mm/yyyy")&amp;".",IF(O253="","Non précisé dans le calendrier pour cette échéance.","Réception : "&amp;TEXT(O253,"dd/mm/yyyy")&amp;"  (suite au rachat du "&amp;TEXT(N253,"dd/mm/yyyy")&amp;")")))</f>
        <v/>
      </c>
      <c r="G253" s="269">
        <f>_xlfn.IFS(S253="aucune","Aucune pénalité de sortie."&amp;IF(T253&lt;&gt;""," ("&amp;T253&amp;")",""),S253="manuel","⚠️ À VÉRIFIER MANUELLEMENT : "&amp;T253,S253="inconnue","Pénalité non renseignée — vérifier la notice / DICI du fonds.",$C253="","Saisir une date d'investissement pour statuer sur la pénalité.",Q253="FUTUR","Date d'investissement postérieure à aujourd'hui — vérifier la saisie.",AD253&gt;0,"⚠️ CONCERNÉ : pénalité de "&amp;AD253&amp;"% (détention "&amp;Q253&amp;" mois). "&amp;T253,TRUE,"Non concerné (détention "&amp;Q253&amp;" mois). "&amp;T253)</f>
        <v/>
      </c>
      <c r="H253">
        <f>COUNTIFS(BDD_Calendrier!$A$2:$A$616,$B253,BDD_Calendrier!$C$2:$C$616,"Souscription")</f>
        <v/>
      </c>
      <c r="I253">
        <f>IF(H253=0,"",IFERROR(_xlfn.MINIFS(BDD_Calendrier!$D$2:$D$616,BDD_Calendrier!$A$2:$A$616,$B253,BDD_Calendrier!$C$2:$C$616,"Souscription",BDD_Calendrier!$D$2:$D$616,"&gt;="&amp;TODAY()),""))</f>
        <v/>
      </c>
      <c r="J253">
        <f>IF(I253="","",IFERROR(INDEX(BDD_Calendrier!$E$2:$E$616,MATCH($B253&amp;"|Souscription|"&amp;TEXT(I253,"yyyy-mm-dd"),BDD_Calendrier!$I$2:$I$616,0)),""))</f>
        <v/>
      </c>
      <c r="K253">
        <f>IF(H253=0,"",_xlfn.MAXIFS(BDD_Calendrier!$D$2:$D$616,BDD_Calendrier!$A$2:$A$616,$B253,BDD_Calendrier!$C$2:$C$616,"Souscription"))</f>
        <v/>
      </c>
      <c r="L253">
        <f>COUNTIFS(BDD_Calendrier!$A$2:$A$616,$B253,BDD_Calendrier!$C$2:$C$616,"Rachat")</f>
        <v/>
      </c>
      <c r="M253">
        <f>IF(L253=0,"",IFERROR(_xlfn.MINIFS(BDD_Calendrier!$D$2:$D$616,BDD_Calendrier!$A$2:$A$616,$B253,BDD_Calendrier!$C$2:$C$616,"Rachat",BDD_Calendrier!$D$2:$D$616,"&gt;="&amp;TODAY()),""))</f>
        <v/>
      </c>
      <c r="N253">
        <f>IF(M253="","",IFERROR(INDEX(BDD_Calendrier!$E$2:$E$616,MATCH($B253&amp;"|Rachat|"&amp;TEXT(M253,"yyyy-mm-dd"),BDD_Calendrier!$I$2:$I$616,0)),""))</f>
        <v/>
      </c>
      <c r="O253">
        <f>IF(M253="","",IFERROR(INDEX(BDD_Calendrier!$H$2:$H$616,MATCH($B253&amp;"|Rachat|"&amp;TEXT(M253,"yyyy-mm-dd"),BDD_Calendrier!$I$2:$I$616,0)),""))</f>
        <v/>
      </c>
      <c r="P253">
        <f>IF(L253=0,"",_xlfn.MAXIFS(BDD_Calendrier!$D$2:$D$616,BDD_Calendrier!$A$2:$A$616,$B253,BDD_Calendrier!$C$2:$C$616,"Rachat"))</f>
        <v/>
      </c>
      <c r="Q253">
        <f>IF($C253="","",IF($C253&gt;TODAY(),"FUTUR",DATEDIF($C253,TODAY(),"m")))</f>
        <v/>
      </c>
      <c r="R253">
        <f>COUNTIF(BDD_Penalites!$A$2:$A$130,$B253)</f>
        <v/>
      </c>
      <c r="S253">
        <f>IF(R253=0,"inconnue",INDEX(BDD_Penalites!$C$2:$C$130,MATCH($B253,BDD_Penalites!$A$2:$A$130,0)))</f>
        <v/>
      </c>
      <c r="T253">
        <f>IF(R253=0,"",INDEX(BDD_Penalites!$M$2:$M$130,MATCH($B253,BDD_Penalites!$A$2:$A$130,0)))</f>
        <v/>
      </c>
      <c r="U253">
        <f>IF(R253=0,0,INDEX(BDD_Penalites!$D$2:$D$130,MATCH($B253,BDD_Penalites!$A$2:$A$130,0)))</f>
        <v/>
      </c>
      <c r="V253">
        <f>IF(R253=0,0,INDEX(BDD_Penalites!$E$2:$E$130,MATCH($B253,BDD_Penalites!$A$2:$A$130,0)))</f>
        <v/>
      </c>
      <c r="W253">
        <f>IF(R253=0,0,INDEX(BDD_Penalites!$F$2:$F$130,MATCH($B253,BDD_Penalites!$A$2:$A$130,0)))</f>
        <v/>
      </c>
      <c r="X253">
        <f>IF(R253=0,0,INDEX(BDD_Penalites!$G$2:$G$130,MATCH($B253,BDD_Penalites!$A$2:$A$130,0)))</f>
        <v/>
      </c>
      <c r="Y253">
        <f>IF(R253=0,0,INDEX(BDD_Penalites!$H$2:$H$130,MATCH($B253,BDD_Penalites!$A$2:$A$130,0)))</f>
        <v/>
      </c>
      <c r="Z253">
        <f>IF(R253=0,0,INDEX(BDD_Penalites!$I$2:$I$130,MATCH($B253,BDD_Penalites!$A$2:$A$130,0)))</f>
        <v/>
      </c>
      <c r="AA253">
        <f>IF(R253=0,0,INDEX(BDD_Penalites!$J$2:$J$130,MATCH($B253,BDD_Penalites!$A$2:$A$130,0)))</f>
        <v/>
      </c>
      <c r="AB253">
        <f>IF(R253=0,0,INDEX(BDD_Penalites!$K$2:$K$130,MATCH($B253,BDD_Penalites!$A$2:$A$130,0)))</f>
        <v/>
      </c>
      <c r="AC253">
        <f>IF(R253=0,0,INDEX(BDD_Penalites!$L$2:$L$130,MATCH($B253,BDD_Penalites!$A$2:$A$130,0)))</f>
        <v/>
      </c>
      <c r="AD253">
        <f>IF(OR($C253="",Q253="FUTUR"),"",_xlfn.IFS(Q253&lt;U253,V253,Q253&lt;W253,X253,Q253&lt;Y253,Z253,Q253&lt;AA253,AB253,TRUE,AC253))</f>
        <v/>
      </c>
    </row>
    <row r="254" ht="13.5" customFormat="1" customHeight="1" s="29">
      <c r="A254" s="65" t="inlineStr">
        <is>
          <t>Pantheon Global Private Equity B EUR</t>
        </is>
      </c>
      <c r="B254" s="66" t="inlineStr">
        <is>
          <t>LU2996228198</t>
        </is>
      </c>
      <c r="C254" s="268" t="n"/>
      <c r="D254" s="269">
        <f>IF(H254=0,"Calendrier non disponible pour ce fonds — contacter la société de gestion.",IF(I254="","Calendrier connu jusqu'au "&amp;TEXT(K254,"dd/mm/yyyy")&amp;" — demander le calendrier à jour.","Cut-off : "&amp;TEXT(I254,"dd/mm/yyyy")&amp;"  |  VL : "&amp;TEXT(J254,"dd/mm/yyyy")))</f>
        <v/>
      </c>
      <c r="E254" s="269">
        <f>IF(L254=0,"Calendrier non disponible pour ce fonds — contacter la société de gestion.",IF(M254="","Calendrier connu jusqu'au "&amp;TEXT(P254,"dd/mm/yyyy")&amp;" — demander le calendrier à jour.","Cut-off : "&amp;TEXT(M254,"dd/mm/yyyy")&amp;"  |  VL : "&amp;TEXT(N254,"dd/mm/yyyy")))</f>
        <v/>
      </c>
      <c r="F254" s="269">
        <f>IF(L254=0,"Calendrier non disponible pour ce fonds.",IF(M254="","Calendrier connu jusqu'au "&amp;TEXT(P254,"dd/mm/yyyy")&amp;".",IF(O254="","Non précisé dans le calendrier pour cette échéance.","Réception : "&amp;TEXT(O254,"dd/mm/yyyy")&amp;"  (suite au rachat du "&amp;TEXT(N254,"dd/mm/yyyy")&amp;")")))</f>
        <v/>
      </c>
      <c r="G254" s="269">
        <f>_xlfn.IFS(S254="aucune","Aucune pénalité de sortie."&amp;IF(T254&lt;&gt;""," ("&amp;T254&amp;")",""),S254="manuel","⚠️ À VÉRIFIER MANUELLEMENT : "&amp;T254,S254="inconnue","Pénalité non renseignée — vérifier la notice / DICI du fonds.",$C254="","Saisir une date d'investissement pour statuer sur la pénalité.",Q254="FUTUR","Date d'investissement postérieure à aujourd'hui — vérifier la saisie.",AD254&gt;0,"⚠️ CONCERNÉ : pénalité de "&amp;AD254&amp;"% (détention "&amp;Q254&amp;" mois). "&amp;T254,TRUE,"Non concerné (détention "&amp;Q254&amp;" mois). "&amp;T254)</f>
        <v/>
      </c>
      <c r="H254">
        <f>COUNTIFS(BDD_Calendrier!$A$2:$A$616,$B254,BDD_Calendrier!$C$2:$C$616,"Souscription")</f>
        <v/>
      </c>
      <c r="I254">
        <f>IF(H254=0,"",IFERROR(_xlfn.MINIFS(BDD_Calendrier!$D$2:$D$616,BDD_Calendrier!$A$2:$A$616,$B254,BDD_Calendrier!$C$2:$C$616,"Souscription",BDD_Calendrier!$D$2:$D$616,"&gt;="&amp;TODAY()),""))</f>
        <v/>
      </c>
      <c r="J254">
        <f>IF(I254="","",IFERROR(INDEX(BDD_Calendrier!$E$2:$E$616,MATCH($B254&amp;"|Souscription|"&amp;TEXT(I254,"yyyy-mm-dd"),BDD_Calendrier!$I$2:$I$616,0)),""))</f>
        <v/>
      </c>
      <c r="K254">
        <f>IF(H254=0,"",_xlfn.MAXIFS(BDD_Calendrier!$D$2:$D$616,BDD_Calendrier!$A$2:$A$616,$B254,BDD_Calendrier!$C$2:$C$616,"Souscription"))</f>
        <v/>
      </c>
      <c r="L254">
        <f>COUNTIFS(BDD_Calendrier!$A$2:$A$616,$B254,BDD_Calendrier!$C$2:$C$616,"Rachat")</f>
        <v/>
      </c>
      <c r="M254">
        <f>IF(L254=0,"",IFERROR(_xlfn.MINIFS(BDD_Calendrier!$D$2:$D$616,BDD_Calendrier!$A$2:$A$616,$B254,BDD_Calendrier!$C$2:$C$616,"Rachat",BDD_Calendrier!$D$2:$D$616,"&gt;="&amp;TODAY()),""))</f>
        <v/>
      </c>
      <c r="N254">
        <f>IF(M254="","",IFERROR(INDEX(BDD_Calendrier!$E$2:$E$616,MATCH($B254&amp;"|Rachat|"&amp;TEXT(M254,"yyyy-mm-dd"),BDD_Calendrier!$I$2:$I$616,0)),""))</f>
        <v/>
      </c>
      <c r="O254">
        <f>IF(M254="","",IFERROR(INDEX(BDD_Calendrier!$H$2:$H$616,MATCH($B254&amp;"|Rachat|"&amp;TEXT(M254,"yyyy-mm-dd"),BDD_Calendrier!$I$2:$I$616,0)),""))</f>
        <v/>
      </c>
      <c r="P254">
        <f>IF(L254=0,"",_xlfn.MAXIFS(BDD_Calendrier!$D$2:$D$616,BDD_Calendrier!$A$2:$A$616,$B254,BDD_Calendrier!$C$2:$C$616,"Rachat"))</f>
        <v/>
      </c>
      <c r="Q254">
        <f>IF($C254="","",IF($C254&gt;TODAY(),"FUTUR",DATEDIF($C254,TODAY(),"m")))</f>
        <v/>
      </c>
      <c r="R254">
        <f>COUNTIF(BDD_Penalites!$A$2:$A$130,$B254)</f>
        <v/>
      </c>
      <c r="S254">
        <f>IF(R254=0,"inconnue",INDEX(BDD_Penalites!$C$2:$C$130,MATCH($B254,BDD_Penalites!$A$2:$A$130,0)))</f>
        <v/>
      </c>
      <c r="T254">
        <f>IF(R254=0,"",INDEX(BDD_Penalites!$M$2:$M$130,MATCH($B254,BDD_Penalites!$A$2:$A$130,0)))</f>
        <v/>
      </c>
      <c r="U254">
        <f>IF(R254=0,0,INDEX(BDD_Penalites!$D$2:$D$130,MATCH($B254,BDD_Penalites!$A$2:$A$130,0)))</f>
        <v/>
      </c>
      <c r="V254">
        <f>IF(R254=0,0,INDEX(BDD_Penalites!$E$2:$E$130,MATCH($B254,BDD_Penalites!$A$2:$A$130,0)))</f>
        <v/>
      </c>
      <c r="W254">
        <f>IF(R254=0,0,INDEX(BDD_Penalites!$F$2:$F$130,MATCH($B254,BDD_Penalites!$A$2:$A$130,0)))</f>
        <v/>
      </c>
      <c r="X254">
        <f>IF(R254=0,0,INDEX(BDD_Penalites!$G$2:$G$130,MATCH($B254,BDD_Penalites!$A$2:$A$130,0)))</f>
        <v/>
      </c>
      <c r="Y254">
        <f>IF(R254=0,0,INDEX(BDD_Penalites!$H$2:$H$130,MATCH($B254,BDD_Penalites!$A$2:$A$130,0)))</f>
        <v/>
      </c>
      <c r="Z254">
        <f>IF(R254=0,0,INDEX(BDD_Penalites!$I$2:$I$130,MATCH($B254,BDD_Penalites!$A$2:$A$130,0)))</f>
        <v/>
      </c>
      <c r="AA254">
        <f>IF(R254=0,0,INDEX(BDD_Penalites!$J$2:$J$130,MATCH($B254,BDD_Penalites!$A$2:$A$130,0)))</f>
        <v/>
      </c>
      <c r="AB254">
        <f>IF(R254=0,0,INDEX(BDD_Penalites!$K$2:$K$130,MATCH($B254,BDD_Penalites!$A$2:$A$130,0)))</f>
        <v/>
      </c>
      <c r="AC254">
        <f>IF(R254=0,0,INDEX(BDD_Penalites!$L$2:$L$130,MATCH($B254,BDD_Penalites!$A$2:$A$130,0)))</f>
        <v/>
      </c>
      <c r="AD254">
        <f>IF(OR($C254="",Q254="FUTUR"),"",_xlfn.IFS(Q254&lt;U254,V254,Q254&lt;W254,X254,Q254&lt;Y254,Z254,Q254&lt;AA254,AB254,TRUE,AC254))</f>
        <v/>
      </c>
    </row>
    <row r="255" ht="13.5" customFormat="1" customHeight="1" s="29">
      <c r="A255" s="65" t="inlineStr">
        <is>
          <t>S64 VI PM Altoflex F00724</t>
        </is>
      </c>
      <c r="B255" s="66" t="inlineStr">
        <is>
          <t>LU2824051721</t>
        </is>
      </c>
      <c r="C255" s="268" t="n"/>
      <c r="D255" s="269">
        <f>IF(H255=0,"Calendrier non disponible pour ce fonds — contacter la société de gestion.",IF(I255="","Calendrier connu jusqu'au "&amp;TEXT(K255,"dd/mm/yyyy")&amp;" — demander le calendrier à jour.","Cut-off : "&amp;TEXT(I255,"dd/mm/yyyy")&amp;"  |  VL : "&amp;TEXT(J255,"dd/mm/yyyy")))</f>
        <v/>
      </c>
      <c r="E255" s="269">
        <f>IF(L255=0,"Calendrier non disponible pour ce fonds — contacter la société de gestion.",IF(M255="","Calendrier connu jusqu'au "&amp;TEXT(P255,"dd/mm/yyyy")&amp;" — demander le calendrier à jour.","Cut-off : "&amp;TEXT(M255,"dd/mm/yyyy")&amp;"  |  VL : "&amp;TEXT(N255,"dd/mm/yyyy")))</f>
        <v/>
      </c>
      <c r="F255" s="269">
        <f>IF(L255=0,"Calendrier non disponible pour ce fonds.",IF(M255="","Calendrier connu jusqu'au "&amp;TEXT(P255,"dd/mm/yyyy")&amp;".",IF(O255="","Non précisé dans le calendrier pour cette échéance.","Réception : "&amp;TEXT(O255,"dd/mm/yyyy")&amp;"  (suite au rachat du "&amp;TEXT(N255,"dd/mm/yyyy")&amp;")")))</f>
        <v/>
      </c>
      <c r="G255" s="269">
        <f>_xlfn.IFS(S255="aucune","Aucune pénalité de sortie."&amp;IF(T255&lt;&gt;""," ("&amp;T255&amp;")",""),S255="manuel","⚠️ À VÉRIFIER MANUELLEMENT : "&amp;T255,S255="inconnue","Pénalité non renseignée — vérifier la notice / DICI du fonds.",$C255="","Saisir une date d'investissement pour statuer sur la pénalité.",Q255="FUTUR","Date d'investissement postérieure à aujourd'hui — vérifier la saisie.",AD255&gt;0,"⚠️ CONCERNÉ : pénalité de "&amp;AD255&amp;"% (détention "&amp;Q255&amp;" mois). "&amp;T255,TRUE,"Non concerné (détention "&amp;Q255&amp;" mois). "&amp;T255)</f>
        <v/>
      </c>
      <c r="H255">
        <f>COUNTIFS(BDD_Calendrier!$A$2:$A$616,$B255,BDD_Calendrier!$C$2:$C$616,"Souscription")</f>
        <v/>
      </c>
      <c r="I255">
        <f>IF(H255=0,"",IFERROR(_xlfn.MINIFS(BDD_Calendrier!$D$2:$D$616,BDD_Calendrier!$A$2:$A$616,$B255,BDD_Calendrier!$C$2:$C$616,"Souscription",BDD_Calendrier!$D$2:$D$616,"&gt;="&amp;TODAY()),""))</f>
        <v/>
      </c>
      <c r="J255">
        <f>IF(I255="","",IFERROR(INDEX(BDD_Calendrier!$E$2:$E$616,MATCH($B255&amp;"|Souscription|"&amp;TEXT(I255,"yyyy-mm-dd"),BDD_Calendrier!$I$2:$I$616,0)),""))</f>
        <v/>
      </c>
      <c r="K255">
        <f>IF(H255=0,"",_xlfn.MAXIFS(BDD_Calendrier!$D$2:$D$616,BDD_Calendrier!$A$2:$A$616,$B255,BDD_Calendrier!$C$2:$C$616,"Souscription"))</f>
        <v/>
      </c>
      <c r="L255">
        <f>COUNTIFS(BDD_Calendrier!$A$2:$A$616,$B255,BDD_Calendrier!$C$2:$C$616,"Rachat")</f>
        <v/>
      </c>
      <c r="M255">
        <f>IF(L255=0,"",IFERROR(_xlfn.MINIFS(BDD_Calendrier!$D$2:$D$616,BDD_Calendrier!$A$2:$A$616,$B255,BDD_Calendrier!$C$2:$C$616,"Rachat",BDD_Calendrier!$D$2:$D$616,"&gt;="&amp;TODAY()),""))</f>
        <v/>
      </c>
      <c r="N255">
        <f>IF(M255="","",IFERROR(INDEX(BDD_Calendrier!$E$2:$E$616,MATCH($B255&amp;"|Rachat|"&amp;TEXT(M255,"yyyy-mm-dd"),BDD_Calendrier!$I$2:$I$616,0)),""))</f>
        <v/>
      </c>
      <c r="O255">
        <f>IF(M255="","",IFERROR(INDEX(BDD_Calendrier!$H$2:$H$616,MATCH($B255&amp;"|Rachat|"&amp;TEXT(M255,"yyyy-mm-dd"),BDD_Calendrier!$I$2:$I$616,0)),""))</f>
        <v/>
      </c>
      <c r="P255">
        <f>IF(L255=0,"",_xlfn.MAXIFS(BDD_Calendrier!$D$2:$D$616,BDD_Calendrier!$A$2:$A$616,$B255,BDD_Calendrier!$C$2:$C$616,"Rachat"))</f>
        <v/>
      </c>
      <c r="Q255">
        <f>IF($C255="","",IF($C255&gt;TODAY(),"FUTUR",DATEDIF($C255,TODAY(),"m")))</f>
        <v/>
      </c>
      <c r="R255">
        <f>COUNTIF(BDD_Penalites!$A$2:$A$130,$B255)</f>
        <v/>
      </c>
      <c r="S255">
        <f>IF(R255=0,"inconnue",INDEX(BDD_Penalites!$C$2:$C$130,MATCH($B255,BDD_Penalites!$A$2:$A$130,0)))</f>
        <v/>
      </c>
      <c r="T255">
        <f>IF(R255=0,"",INDEX(BDD_Penalites!$M$2:$M$130,MATCH($B255,BDD_Penalites!$A$2:$A$130,0)))</f>
        <v/>
      </c>
      <c r="U255">
        <f>IF(R255=0,0,INDEX(BDD_Penalites!$D$2:$D$130,MATCH($B255,BDD_Penalites!$A$2:$A$130,0)))</f>
        <v/>
      </c>
      <c r="V255">
        <f>IF(R255=0,0,INDEX(BDD_Penalites!$E$2:$E$130,MATCH($B255,BDD_Penalites!$A$2:$A$130,0)))</f>
        <v/>
      </c>
      <c r="W255">
        <f>IF(R255=0,0,INDEX(BDD_Penalites!$F$2:$F$130,MATCH($B255,BDD_Penalites!$A$2:$A$130,0)))</f>
        <v/>
      </c>
      <c r="X255">
        <f>IF(R255=0,0,INDEX(BDD_Penalites!$G$2:$G$130,MATCH($B255,BDD_Penalites!$A$2:$A$130,0)))</f>
        <v/>
      </c>
      <c r="Y255">
        <f>IF(R255=0,0,INDEX(BDD_Penalites!$H$2:$H$130,MATCH($B255,BDD_Penalites!$A$2:$A$130,0)))</f>
        <v/>
      </c>
      <c r="Z255">
        <f>IF(R255=0,0,INDEX(BDD_Penalites!$I$2:$I$130,MATCH($B255,BDD_Penalites!$A$2:$A$130,0)))</f>
        <v/>
      </c>
      <c r="AA255">
        <f>IF(R255=0,0,INDEX(BDD_Penalites!$J$2:$J$130,MATCH($B255,BDD_Penalites!$A$2:$A$130,0)))</f>
        <v/>
      </c>
      <c r="AB255">
        <f>IF(R255=0,0,INDEX(BDD_Penalites!$K$2:$K$130,MATCH($B255,BDD_Penalites!$A$2:$A$130,0)))</f>
        <v/>
      </c>
      <c r="AC255">
        <f>IF(R255=0,0,INDEX(BDD_Penalites!$L$2:$L$130,MATCH($B255,BDD_Penalites!$A$2:$A$130,0)))</f>
        <v/>
      </c>
      <c r="AD255">
        <f>IF(OR($C255="",Q255="FUTUR"),"",_xlfn.IFS(Q255&lt;U255,V255,Q255&lt;W255,X255,Q255&lt;Y255,Z255,Q255&lt;AA255,AB255,TRUE,AC255))</f>
        <v/>
      </c>
    </row>
    <row r="256" ht="13.5" customFormat="1" customHeight="1" s="29">
      <c r="A256" s="65" t="inlineStr">
        <is>
          <t>S64 VI PM Altoflex FPC F2</t>
        </is>
      </c>
      <c r="B256" s="66" t="inlineStr">
        <is>
          <t>LU2871047580</t>
        </is>
      </c>
      <c r="C256" s="268" t="n"/>
      <c r="D256" s="269">
        <f>IF(H256=0,"Calendrier non disponible pour ce fonds — contacter la société de gestion.",IF(I256="","Calendrier connu jusqu'au "&amp;TEXT(K256,"dd/mm/yyyy")&amp;" — demander le calendrier à jour.","Cut-off : "&amp;TEXT(I256,"dd/mm/yyyy")&amp;"  |  VL : "&amp;TEXT(J256,"dd/mm/yyyy")))</f>
        <v/>
      </c>
      <c r="E256" s="269">
        <f>IF(L256=0,"Calendrier non disponible pour ce fonds — contacter la société de gestion.",IF(M256="","Calendrier connu jusqu'au "&amp;TEXT(P256,"dd/mm/yyyy")&amp;" — demander le calendrier à jour.","Cut-off : "&amp;TEXT(M256,"dd/mm/yyyy")&amp;"  |  VL : "&amp;TEXT(N256,"dd/mm/yyyy")))</f>
        <v/>
      </c>
      <c r="F256" s="269">
        <f>IF(L256=0,"Calendrier non disponible pour ce fonds.",IF(M256="","Calendrier connu jusqu'au "&amp;TEXT(P256,"dd/mm/yyyy")&amp;".",IF(O256="","Non précisé dans le calendrier pour cette échéance.","Réception : "&amp;TEXT(O256,"dd/mm/yyyy")&amp;"  (suite au rachat du "&amp;TEXT(N256,"dd/mm/yyyy")&amp;")")))</f>
        <v/>
      </c>
      <c r="G256" s="269">
        <f>_xlfn.IFS(S256="aucune","Aucune pénalité de sortie."&amp;IF(T256&lt;&gt;""," ("&amp;T256&amp;")",""),S256="manuel","⚠️ À VÉRIFIER MANUELLEMENT : "&amp;T256,S256="inconnue","Pénalité non renseignée — vérifier la notice / DICI du fonds.",$C256="","Saisir une date d'investissement pour statuer sur la pénalité.",Q256="FUTUR","Date d'investissement postérieure à aujourd'hui — vérifier la saisie.",AD256&gt;0,"⚠️ CONCERNÉ : pénalité de "&amp;AD256&amp;"% (détention "&amp;Q256&amp;" mois). "&amp;T256,TRUE,"Non concerné (détention "&amp;Q256&amp;" mois). "&amp;T256)</f>
        <v/>
      </c>
      <c r="H256">
        <f>COUNTIFS(BDD_Calendrier!$A$2:$A$616,$B256,BDD_Calendrier!$C$2:$C$616,"Souscription")</f>
        <v/>
      </c>
      <c r="I256">
        <f>IF(H256=0,"",IFERROR(_xlfn.MINIFS(BDD_Calendrier!$D$2:$D$616,BDD_Calendrier!$A$2:$A$616,$B256,BDD_Calendrier!$C$2:$C$616,"Souscription",BDD_Calendrier!$D$2:$D$616,"&gt;="&amp;TODAY()),""))</f>
        <v/>
      </c>
      <c r="J256">
        <f>IF(I256="","",IFERROR(INDEX(BDD_Calendrier!$E$2:$E$616,MATCH($B256&amp;"|Souscription|"&amp;TEXT(I256,"yyyy-mm-dd"),BDD_Calendrier!$I$2:$I$616,0)),""))</f>
        <v/>
      </c>
      <c r="K256">
        <f>IF(H256=0,"",_xlfn.MAXIFS(BDD_Calendrier!$D$2:$D$616,BDD_Calendrier!$A$2:$A$616,$B256,BDD_Calendrier!$C$2:$C$616,"Souscription"))</f>
        <v/>
      </c>
      <c r="L256">
        <f>COUNTIFS(BDD_Calendrier!$A$2:$A$616,$B256,BDD_Calendrier!$C$2:$C$616,"Rachat")</f>
        <v/>
      </c>
      <c r="M256">
        <f>IF(L256=0,"",IFERROR(_xlfn.MINIFS(BDD_Calendrier!$D$2:$D$616,BDD_Calendrier!$A$2:$A$616,$B256,BDD_Calendrier!$C$2:$C$616,"Rachat",BDD_Calendrier!$D$2:$D$616,"&gt;="&amp;TODAY()),""))</f>
        <v/>
      </c>
      <c r="N256">
        <f>IF(M256="","",IFERROR(INDEX(BDD_Calendrier!$E$2:$E$616,MATCH($B256&amp;"|Rachat|"&amp;TEXT(M256,"yyyy-mm-dd"),BDD_Calendrier!$I$2:$I$616,0)),""))</f>
        <v/>
      </c>
      <c r="O256">
        <f>IF(M256="","",IFERROR(INDEX(BDD_Calendrier!$H$2:$H$616,MATCH($B256&amp;"|Rachat|"&amp;TEXT(M256,"yyyy-mm-dd"),BDD_Calendrier!$I$2:$I$616,0)),""))</f>
        <v/>
      </c>
      <c r="P256">
        <f>IF(L256=0,"",_xlfn.MAXIFS(BDD_Calendrier!$D$2:$D$616,BDD_Calendrier!$A$2:$A$616,$B256,BDD_Calendrier!$C$2:$C$616,"Rachat"))</f>
        <v/>
      </c>
      <c r="Q256">
        <f>IF($C256="","",IF($C256&gt;TODAY(),"FUTUR",DATEDIF($C256,TODAY(),"m")))</f>
        <v/>
      </c>
      <c r="R256">
        <f>COUNTIF(BDD_Penalites!$A$2:$A$130,$B256)</f>
        <v/>
      </c>
      <c r="S256">
        <f>IF(R256=0,"inconnue",INDEX(BDD_Penalites!$C$2:$C$130,MATCH($B256,BDD_Penalites!$A$2:$A$130,0)))</f>
        <v/>
      </c>
      <c r="T256">
        <f>IF(R256=0,"",INDEX(BDD_Penalites!$M$2:$M$130,MATCH($B256,BDD_Penalites!$A$2:$A$130,0)))</f>
        <v/>
      </c>
      <c r="U256">
        <f>IF(R256=0,0,INDEX(BDD_Penalites!$D$2:$D$130,MATCH($B256,BDD_Penalites!$A$2:$A$130,0)))</f>
        <v/>
      </c>
      <c r="V256">
        <f>IF(R256=0,0,INDEX(BDD_Penalites!$E$2:$E$130,MATCH($B256,BDD_Penalites!$A$2:$A$130,0)))</f>
        <v/>
      </c>
      <c r="W256">
        <f>IF(R256=0,0,INDEX(BDD_Penalites!$F$2:$F$130,MATCH($B256,BDD_Penalites!$A$2:$A$130,0)))</f>
        <v/>
      </c>
      <c r="X256">
        <f>IF(R256=0,0,INDEX(BDD_Penalites!$G$2:$G$130,MATCH($B256,BDD_Penalites!$A$2:$A$130,0)))</f>
        <v/>
      </c>
      <c r="Y256">
        <f>IF(R256=0,0,INDEX(BDD_Penalites!$H$2:$H$130,MATCH($B256,BDD_Penalites!$A$2:$A$130,0)))</f>
        <v/>
      </c>
      <c r="Z256">
        <f>IF(R256=0,0,INDEX(BDD_Penalites!$I$2:$I$130,MATCH($B256,BDD_Penalites!$A$2:$A$130,0)))</f>
        <v/>
      </c>
      <c r="AA256">
        <f>IF(R256=0,0,INDEX(BDD_Penalites!$J$2:$J$130,MATCH($B256,BDD_Penalites!$A$2:$A$130,0)))</f>
        <v/>
      </c>
      <c r="AB256">
        <f>IF(R256=0,0,INDEX(BDD_Penalites!$K$2:$K$130,MATCH($B256,BDD_Penalites!$A$2:$A$130,0)))</f>
        <v/>
      </c>
      <c r="AC256">
        <f>IF(R256=0,0,INDEX(BDD_Penalites!$L$2:$L$130,MATCH($B256,BDD_Penalites!$A$2:$A$130,0)))</f>
        <v/>
      </c>
      <c r="AD256">
        <f>IF(OR($C256="",Q256="FUTUR"),"",_xlfn.IFS(Q256&lt;U256,V256,Q256&lt;W256,X256,Q256&lt;Y256,Z256,Q256&lt;AA256,AB256,TRUE,AC256))</f>
        <v/>
      </c>
    </row>
    <row r="257" ht="13.5" customFormat="1" customHeight="1" s="29">
      <c r="A257" s="65" t="inlineStr">
        <is>
          <t>Clos Aquitaine 2017</t>
        </is>
      </c>
      <c r="B257" s="66" t="inlineStr">
        <is>
          <t>CLOSAQUI2017</t>
        </is>
      </c>
      <c r="C257" s="268" t="n"/>
      <c r="D257" s="269">
        <f>IF(H257=0,"Calendrier non disponible pour ce fonds — contacter la société de gestion.",IF(I257="","Calendrier connu jusqu'au "&amp;TEXT(K257,"dd/mm/yyyy")&amp;" — demander le calendrier à jour.","Cut-off : "&amp;TEXT(I257,"dd/mm/yyyy")&amp;"  |  VL : "&amp;TEXT(J257,"dd/mm/yyyy")))</f>
        <v/>
      </c>
      <c r="E257" s="269">
        <f>IF(L257=0,"Calendrier non disponible pour ce fonds — contacter la société de gestion.",IF(M257="","Calendrier connu jusqu'au "&amp;TEXT(P257,"dd/mm/yyyy")&amp;" — demander le calendrier à jour.","Cut-off : "&amp;TEXT(M257,"dd/mm/yyyy")&amp;"  |  VL : "&amp;TEXT(N257,"dd/mm/yyyy")))</f>
        <v/>
      </c>
      <c r="F257" s="269">
        <f>IF(L257=0,"Calendrier non disponible pour ce fonds.",IF(M257="","Calendrier connu jusqu'au "&amp;TEXT(P257,"dd/mm/yyyy")&amp;".",IF(O257="","Non précisé dans le calendrier pour cette échéance.","Réception : "&amp;TEXT(O257,"dd/mm/yyyy")&amp;"  (suite au rachat du "&amp;TEXT(N257,"dd/mm/yyyy")&amp;")")))</f>
        <v/>
      </c>
      <c r="G257" s="269">
        <f>_xlfn.IFS(S257="aucune","Aucune pénalité de sortie."&amp;IF(T257&lt;&gt;""," ("&amp;T257&amp;")",""),S257="manuel","⚠️ À VÉRIFIER MANUELLEMENT : "&amp;T257,S257="inconnue","Pénalité non renseignée — vérifier la notice / DICI du fonds.",$C257="","Saisir une date d'investissement pour statuer sur la pénalité.",Q257="FUTUR","Date d'investissement postérieure à aujourd'hui — vérifier la saisie.",AD257&gt;0,"⚠️ CONCERNÉ : pénalité de "&amp;AD257&amp;"% (détention "&amp;Q257&amp;" mois). "&amp;T257,TRUE,"Non concerné (détention "&amp;Q257&amp;" mois). "&amp;T257)</f>
        <v/>
      </c>
      <c r="H257">
        <f>COUNTIFS(BDD_Calendrier!$A$2:$A$616,$B257,BDD_Calendrier!$C$2:$C$616,"Souscription")</f>
        <v/>
      </c>
      <c r="I257">
        <f>IF(H257=0,"",IFERROR(_xlfn.MINIFS(BDD_Calendrier!$D$2:$D$616,BDD_Calendrier!$A$2:$A$616,$B257,BDD_Calendrier!$C$2:$C$616,"Souscription",BDD_Calendrier!$D$2:$D$616,"&gt;="&amp;TODAY()),""))</f>
        <v/>
      </c>
      <c r="J257">
        <f>IF(I257="","",IFERROR(INDEX(BDD_Calendrier!$E$2:$E$616,MATCH($B257&amp;"|Souscription|"&amp;TEXT(I257,"yyyy-mm-dd"),BDD_Calendrier!$I$2:$I$616,0)),""))</f>
        <v/>
      </c>
      <c r="K257">
        <f>IF(H257=0,"",_xlfn.MAXIFS(BDD_Calendrier!$D$2:$D$616,BDD_Calendrier!$A$2:$A$616,$B257,BDD_Calendrier!$C$2:$C$616,"Souscription"))</f>
        <v/>
      </c>
      <c r="L257">
        <f>COUNTIFS(BDD_Calendrier!$A$2:$A$616,$B257,BDD_Calendrier!$C$2:$C$616,"Rachat")</f>
        <v/>
      </c>
      <c r="M257">
        <f>IF(L257=0,"",IFERROR(_xlfn.MINIFS(BDD_Calendrier!$D$2:$D$616,BDD_Calendrier!$A$2:$A$616,$B257,BDD_Calendrier!$C$2:$C$616,"Rachat",BDD_Calendrier!$D$2:$D$616,"&gt;="&amp;TODAY()),""))</f>
        <v/>
      </c>
      <c r="N257">
        <f>IF(M257="","",IFERROR(INDEX(BDD_Calendrier!$E$2:$E$616,MATCH($B257&amp;"|Rachat|"&amp;TEXT(M257,"yyyy-mm-dd"),BDD_Calendrier!$I$2:$I$616,0)),""))</f>
        <v/>
      </c>
      <c r="O257">
        <f>IF(M257="","",IFERROR(INDEX(BDD_Calendrier!$H$2:$H$616,MATCH($B257&amp;"|Rachat|"&amp;TEXT(M257,"yyyy-mm-dd"),BDD_Calendrier!$I$2:$I$616,0)),""))</f>
        <v/>
      </c>
      <c r="P257">
        <f>IF(L257=0,"",_xlfn.MAXIFS(BDD_Calendrier!$D$2:$D$616,BDD_Calendrier!$A$2:$A$616,$B257,BDD_Calendrier!$C$2:$C$616,"Rachat"))</f>
        <v/>
      </c>
      <c r="Q257">
        <f>IF($C257="","",IF($C257&gt;TODAY(),"FUTUR",DATEDIF($C257,TODAY(),"m")))</f>
        <v/>
      </c>
      <c r="R257">
        <f>COUNTIF(BDD_Penalites!$A$2:$A$130,$B257)</f>
        <v/>
      </c>
      <c r="S257">
        <f>IF(R257=0,"inconnue",INDEX(BDD_Penalites!$C$2:$C$130,MATCH($B257,BDD_Penalites!$A$2:$A$130,0)))</f>
        <v/>
      </c>
      <c r="T257">
        <f>IF(R257=0,"",INDEX(BDD_Penalites!$M$2:$M$130,MATCH($B257,BDD_Penalites!$A$2:$A$130,0)))</f>
        <v/>
      </c>
      <c r="U257">
        <f>IF(R257=0,0,INDEX(BDD_Penalites!$D$2:$D$130,MATCH($B257,BDD_Penalites!$A$2:$A$130,0)))</f>
        <v/>
      </c>
      <c r="V257">
        <f>IF(R257=0,0,INDEX(BDD_Penalites!$E$2:$E$130,MATCH($B257,BDD_Penalites!$A$2:$A$130,0)))</f>
        <v/>
      </c>
      <c r="W257">
        <f>IF(R257=0,0,INDEX(BDD_Penalites!$F$2:$F$130,MATCH($B257,BDD_Penalites!$A$2:$A$130,0)))</f>
        <v/>
      </c>
      <c r="X257">
        <f>IF(R257=0,0,INDEX(BDD_Penalites!$G$2:$G$130,MATCH($B257,BDD_Penalites!$A$2:$A$130,0)))</f>
        <v/>
      </c>
      <c r="Y257">
        <f>IF(R257=0,0,INDEX(BDD_Penalites!$H$2:$H$130,MATCH($B257,BDD_Penalites!$A$2:$A$130,0)))</f>
        <v/>
      </c>
      <c r="Z257">
        <f>IF(R257=0,0,INDEX(BDD_Penalites!$I$2:$I$130,MATCH($B257,BDD_Penalites!$A$2:$A$130,0)))</f>
        <v/>
      </c>
      <c r="AA257">
        <f>IF(R257=0,0,INDEX(BDD_Penalites!$J$2:$J$130,MATCH($B257,BDD_Penalites!$A$2:$A$130,0)))</f>
        <v/>
      </c>
      <c r="AB257">
        <f>IF(R257=0,0,INDEX(BDD_Penalites!$K$2:$K$130,MATCH($B257,BDD_Penalites!$A$2:$A$130,0)))</f>
        <v/>
      </c>
      <c r="AC257">
        <f>IF(R257=0,0,INDEX(BDD_Penalites!$L$2:$L$130,MATCH($B257,BDD_Penalites!$A$2:$A$130,0)))</f>
        <v/>
      </c>
      <c r="AD257">
        <f>IF(OR($C257="",Q257="FUTUR"),"",_xlfn.IFS(Q257&lt;U257,V257,Q257&lt;W257,X257,Q257&lt;Y257,Z257,Q257&lt;AA257,AB257,TRUE,AC257))</f>
        <v/>
      </c>
    </row>
    <row r="258" ht="13.5" customFormat="1" customHeight="1" s="29">
      <c r="A258" s="65" t="inlineStr">
        <is>
          <t>FCPI Idinvest Patrimoine N°7</t>
        </is>
      </c>
      <c r="B258" s="66" t="inlineStr">
        <is>
          <t>FR0013224375</t>
        </is>
      </c>
      <c r="C258" s="268" t="n"/>
      <c r="D258" s="269">
        <f>IF(H258=0,"Calendrier non disponible pour ce fonds — contacter la société de gestion.",IF(I258="","Calendrier connu jusqu'au "&amp;TEXT(K258,"dd/mm/yyyy")&amp;" — demander le calendrier à jour.","Cut-off : "&amp;TEXT(I258,"dd/mm/yyyy")&amp;"  |  VL : "&amp;TEXT(J258,"dd/mm/yyyy")))</f>
        <v/>
      </c>
      <c r="E258" s="269">
        <f>IF(L258=0,"Calendrier non disponible pour ce fonds — contacter la société de gestion.",IF(M258="","Calendrier connu jusqu'au "&amp;TEXT(P258,"dd/mm/yyyy")&amp;" — demander le calendrier à jour.","Cut-off : "&amp;TEXT(M258,"dd/mm/yyyy")&amp;"  |  VL : "&amp;TEXT(N258,"dd/mm/yyyy")))</f>
        <v/>
      </c>
      <c r="F258" s="269">
        <f>IF(L258=0,"Calendrier non disponible pour ce fonds.",IF(M258="","Calendrier connu jusqu'au "&amp;TEXT(P258,"dd/mm/yyyy")&amp;".",IF(O258="","Non précisé dans le calendrier pour cette échéance.","Réception : "&amp;TEXT(O258,"dd/mm/yyyy")&amp;"  (suite au rachat du "&amp;TEXT(N258,"dd/mm/yyyy")&amp;")")))</f>
        <v/>
      </c>
      <c r="G258" s="269">
        <f>_xlfn.IFS(S258="aucune","Aucune pénalité de sortie."&amp;IF(T258&lt;&gt;""," ("&amp;T258&amp;")",""),S258="manuel","⚠️ À VÉRIFIER MANUELLEMENT : "&amp;T258,S258="inconnue","Pénalité non renseignée — vérifier la notice / DICI du fonds.",$C258="","Saisir une date d'investissement pour statuer sur la pénalité.",Q258="FUTUR","Date d'investissement postérieure à aujourd'hui — vérifier la saisie.",AD258&gt;0,"⚠️ CONCERNÉ : pénalité de "&amp;AD258&amp;"% (détention "&amp;Q258&amp;" mois). "&amp;T258,TRUE,"Non concerné (détention "&amp;Q258&amp;" mois). "&amp;T258)</f>
        <v/>
      </c>
      <c r="H258">
        <f>COUNTIFS(BDD_Calendrier!$A$2:$A$616,$B258,BDD_Calendrier!$C$2:$C$616,"Souscription")</f>
        <v/>
      </c>
      <c r="I258">
        <f>IF(H258=0,"",IFERROR(_xlfn.MINIFS(BDD_Calendrier!$D$2:$D$616,BDD_Calendrier!$A$2:$A$616,$B258,BDD_Calendrier!$C$2:$C$616,"Souscription",BDD_Calendrier!$D$2:$D$616,"&gt;="&amp;TODAY()),""))</f>
        <v/>
      </c>
      <c r="J258">
        <f>IF(I258="","",IFERROR(INDEX(BDD_Calendrier!$E$2:$E$616,MATCH($B258&amp;"|Souscription|"&amp;TEXT(I258,"yyyy-mm-dd"),BDD_Calendrier!$I$2:$I$616,0)),""))</f>
        <v/>
      </c>
      <c r="K258">
        <f>IF(H258=0,"",_xlfn.MAXIFS(BDD_Calendrier!$D$2:$D$616,BDD_Calendrier!$A$2:$A$616,$B258,BDD_Calendrier!$C$2:$C$616,"Souscription"))</f>
        <v/>
      </c>
      <c r="L258">
        <f>COUNTIFS(BDD_Calendrier!$A$2:$A$616,$B258,BDD_Calendrier!$C$2:$C$616,"Rachat")</f>
        <v/>
      </c>
      <c r="M258">
        <f>IF(L258=0,"",IFERROR(_xlfn.MINIFS(BDD_Calendrier!$D$2:$D$616,BDD_Calendrier!$A$2:$A$616,$B258,BDD_Calendrier!$C$2:$C$616,"Rachat",BDD_Calendrier!$D$2:$D$616,"&gt;="&amp;TODAY()),""))</f>
        <v/>
      </c>
      <c r="N258">
        <f>IF(M258="","",IFERROR(INDEX(BDD_Calendrier!$E$2:$E$616,MATCH($B258&amp;"|Rachat|"&amp;TEXT(M258,"yyyy-mm-dd"),BDD_Calendrier!$I$2:$I$616,0)),""))</f>
        <v/>
      </c>
      <c r="O258">
        <f>IF(M258="","",IFERROR(INDEX(BDD_Calendrier!$H$2:$H$616,MATCH($B258&amp;"|Rachat|"&amp;TEXT(M258,"yyyy-mm-dd"),BDD_Calendrier!$I$2:$I$616,0)),""))</f>
        <v/>
      </c>
      <c r="P258">
        <f>IF(L258=0,"",_xlfn.MAXIFS(BDD_Calendrier!$D$2:$D$616,BDD_Calendrier!$A$2:$A$616,$B258,BDD_Calendrier!$C$2:$C$616,"Rachat"))</f>
        <v/>
      </c>
      <c r="Q258">
        <f>IF($C258="","",IF($C258&gt;TODAY(),"FUTUR",DATEDIF($C258,TODAY(),"m")))</f>
        <v/>
      </c>
      <c r="R258">
        <f>COUNTIF(BDD_Penalites!$A$2:$A$130,$B258)</f>
        <v/>
      </c>
      <c r="S258">
        <f>IF(R258=0,"inconnue",INDEX(BDD_Penalites!$C$2:$C$130,MATCH($B258,BDD_Penalites!$A$2:$A$130,0)))</f>
        <v/>
      </c>
      <c r="T258">
        <f>IF(R258=0,"",INDEX(BDD_Penalites!$M$2:$M$130,MATCH($B258,BDD_Penalites!$A$2:$A$130,0)))</f>
        <v/>
      </c>
      <c r="U258">
        <f>IF(R258=0,0,INDEX(BDD_Penalites!$D$2:$D$130,MATCH($B258,BDD_Penalites!$A$2:$A$130,0)))</f>
        <v/>
      </c>
      <c r="V258">
        <f>IF(R258=0,0,INDEX(BDD_Penalites!$E$2:$E$130,MATCH($B258,BDD_Penalites!$A$2:$A$130,0)))</f>
        <v/>
      </c>
      <c r="W258">
        <f>IF(R258=0,0,INDEX(BDD_Penalites!$F$2:$F$130,MATCH($B258,BDD_Penalites!$A$2:$A$130,0)))</f>
        <v/>
      </c>
      <c r="X258">
        <f>IF(R258=0,0,INDEX(BDD_Penalites!$G$2:$G$130,MATCH($B258,BDD_Penalites!$A$2:$A$130,0)))</f>
        <v/>
      </c>
      <c r="Y258">
        <f>IF(R258=0,0,INDEX(BDD_Penalites!$H$2:$H$130,MATCH($B258,BDD_Penalites!$A$2:$A$130,0)))</f>
        <v/>
      </c>
      <c r="Z258">
        <f>IF(R258=0,0,INDEX(BDD_Penalites!$I$2:$I$130,MATCH($B258,BDD_Penalites!$A$2:$A$130,0)))</f>
        <v/>
      </c>
      <c r="AA258">
        <f>IF(R258=0,0,INDEX(BDD_Penalites!$J$2:$J$130,MATCH($B258,BDD_Penalites!$A$2:$A$130,0)))</f>
        <v/>
      </c>
      <c r="AB258">
        <f>IF(R258=0,0,INDEX(BDD_Penalites!$K$2:$K$130,MATCH($B258,BDD_Penalites!$A$2:$A$130,0)))</f>
        <v/>
      </c>
      <c r="AC258">
        <f>IF(R258=0,0,INDEX(BDD_Penalites!$L$2:$L$130,MATCH($B258,BDD_Penalites!$A$2:$A$130,0)))</f>
        <v/>
      </c>
      <c r="AD258">
        <f>IF(OR($C258="",Q258="FUTUR"),"",_xlfn.IFS(Q258&lt;U258,V258,Q258&lt;W258,X258,Q258&lt;Y258,Z258,Q258&lt;AA258,AB258,TRUE,AC258))</f>
        <v/>
      </c>
    </row>
    <row r="259" ht="13.5" customFormat="1" customHeight="1" s="29">
      <c r="A259" s="65" t="inlineStr">
        <is>
          <t>FCPR Idinvest Entrepreneur Club - Parts A</t>
        </is>
      </c>
      <c r="B259" s="66" t="inlineStr">
        <is>
          <t>FR0013415056</t>
        </is>
      </c>
      <c r="C259" s="268" t="n"/>
      <c r="D259" s="269">
        <f>IF(H259=0,"Calendrier non disponible pour ce fonds — contacter la société de gestion.",IF(I259="","Calendrier connu jusqu'au "&amp;TEXT(K259,"dd/mm/yyyy")&amp;" — demander le calendrier à jour.","Cut-off : "&amp;TEXT(I259,"dd/mm/yyyy")&amp;"  |  VL : "&amp;TEXT(J259,"dd/mm/yyyy")))</f>
        <v/>
      </c>
      <c r="E259" s="269">
        <f>IF(L259=0,"Calendrier non disponible pour ce fonds — contacter la société de gestion.",IF(M259="","Calendrier connu jusqu'au "&amp;TEXT(P259,"dd/mm/yyyy")&amp;" — demander le calendrier à jour.","Cut-off : "&amp;TEXT(M259,"dd/mm/yyyy")&amp;"  |  VL : "&amp;TEXT(N259,"dd/mm/yyyy")))</f>
        <v/>
      </c>
      <c r="F259" s="269">
        <f>IF(L259=0,"Calendrier non disponible pour ce fonds.",IF(M259="","Calendrier connu jusqu'au "&amp;TEXT(P259,"dd/mm/yyyy")&amp;".",IF(O259="","Non précisé dans le calendrier pour cette échéance.","Réception : "&amp;TEXT(O259,"dd/mm/yyyy")&amp;"  (suite au rachat du "&amp;TEXT(N259,"dd/mm/yyyy")&amp;")")))</f>
        <v/>
      </c>
      <c r="G259" s="269">
        <f>_xlfn.IFS(S259="aucune","Aucune pénalité de sortie."&amp;IF(T259&lt;&gt;""," ("&amp;T259&amp;")",""),S259="manuel","⚠️ À VÉRIFIER MANUELLEMENT : "&amp;T259,S259="inconnue","Pénalité non renseignée — vérifier la notice / DICI du fonds.",$C259="","Saisir une date d'investissement pour statuer sur la pénalité.",Q259="FUTUR","Date d'investissement postérieure à aujourd'hui — vérifier la saisie.",AD259&gt;0,"⚠️ CONCERNÉ : pénalité de "&amp;AD259&amp;"% (détention "&amp;Q259&amp;" mois). "&amp;T259,TRUE,"Non concerné (détention "&amp;Q259&amp;" mois). "&amp;T259)</f>
        <v/>
      </c>
      <c r="H259">
        <f>COUNTIFS(BDD_Calendrier!$A$2:$A$616,$B259,BDD_Calendrier!$C$2:$C$616,"Souscription")</f>
        <v/>
      </c>
      <c r="I259">
        <f>IF(H259=0,"",IFERROR(_xlfn.MINIFS(BDD_Calendrier!$D$2:$D$616,BDD_Calendrier!$A$2:$A$616,$B259,BDD_Calendrier!$C$2:$C$616,"Souscription",BDD_Calendrier!$D$2:$D$616,"&gt;="&amp;TODAY()),""))</f>
        <v/>
      </c>
      <c r="J259">
        <f>IF(I259="","",IFERROR(INDEX(BDD_Calendrier!$E$2:$E$616,MATCH($B259&amp;"|Souscription|"&amp;TEXT(I259,"yyyy-mm-dd"),BDD_Calendrier!$I$2:$I$616,0)),""))</f>
        <v/>
      </c>
      <c r="K259">
        <f>IF(H259=0,"",_xlfn.MAXIFS(BDD_Calendrier!$D$2:$D$616,BDD_Calendrier!$A$2:$A$616,$B259,BDD_Calendrier!$C$2:$C$616,"Souscription"))</f>
        <v/>
      </c>
      <c r="L259">
        <f>COUNTIFS(BDD_Calendrier!$A$2:$A$616,$B259,BDD_Calendrier!$C$2:$C$616,"Rachat")</f>
        <v/>
      </c>
      <c r="M259">
        <f>IF(L259=0,"",IFERROR(_xlfn.MINIFS(BDD_Calendrier!$D$2:$D$616,BDD_Calendrier!$A$2:$A$616,$B259,BDD_Calendrier!$C$2:$C$616,"Rachat",BDD_Calendrier!$D$2:$D$616,"&gt;="&amp;TODAY()),""))</f>
        <v/>
      </c>
      <c r="N259">
        <f>IF(M259="","",IFERROR(INDEX(BDD_Calendrier!$E$2:$E$616,MATCH($B259&amp;"|Rachat|"&amp;TEXT(M259,"yyyy-mm-dd"),BDD_Calendrier!$I$2:$I$616,0)),""))</f>
        <v/>
      </c>
      <c r="O259">
        <f>IF(M259="","",IFERROR(INDEX(BDD_Calendrier!$H$2:$H$616,MATCH($B259&amp;"|Rachat|"&amp;TEXT(M259,"yyyy-mm-dd"),BDD_Calendrier!$I$2:$I$616,0)),""))</f>
        <v/>
      </c>
      <c r="P259">
        <f>IF(L259=0,"",_xlfn.MAXIFS(BDD_Calendrier!$D$2:$D$616,BDD_Calendrier!$A$2:$A$616,$B259,BDD_Calendrier!$C$2:$C$616,"Rachat"))</f>
        <v/>
      </c>
      <c r="Q259">
        <f>IF($C259="","",IF($C259&gt;TODAY(),"FUTUR",DATEDIF($C259,TODAY(),"m")))</f>
        <v/>
      </c>
      <c r="R259">
        <f>COUNTIF(BDD_Penalites!$A$2:$A$130,$B259)</f>
        <v/>
      </c>
      <c r="S259">
        <f>IF(R259=0,"inconnue",INDEX(BDD_Penalites!$C$2:$C$130,MATCH($B259,BDD_Penalites!$A$2:$A$130,0)))</f>
        <v/>
      </c>
      <c r="T259">
        <f>IF(R259=0,"",INDEX(BDD_Penalites!$M$2:$M$130,MATCH($B259,BDD_Penalites!$A$2:$A$130,0)))</f>
        <v/>
      </c>
      <c r="U259">
        <f>IF(R259=0,0,INDEX(BDD_Penalites!$D$2:$D$130,MATCH($B259,BDD_Penalites!$A$2:$A$130,0)))</f>
        <v/>
      </c>
      <c r="V259">
        <f>IF(R259=0,0,INDEX(BDD_Penalites!$E$2:$E$130,MATCH($B259,BDD_Penalites!$A$2:$A$130,0)))</f>
        <v/>
      </c>
      <c r="W259">
        <f>IF(R259=0,0,INDEX(BDD_Penalites!$F$2:$F$130,MATCH($B259,BDD_Penalites!$A$2:$A$130,0)))</f>
        <v/>
      </c>
      <c r="X259">
        <f>IF(R259=0,0,INDEX(BDD_Penalites!$G$2:$G$130,MATCH($B259,BDD_Penalites!$A$2:$A$130,0)))</f>
        <v/>
      </c>
      <c r="Y259">
        <f>IF(R259=0,0,INDEX(BDD_Penalites!$H$2:$H$130,MATCH($B259,BDD_Penalites!$A$2:$A$130,0)))</f>
        <v/>
      </c>
      <c r="Z259">
        <f>IF(R259=0,0,INDEX(BDD_Penalites!$I$2:$I$130,MATCH($B259,BDD_Penalites!$A$2:$A$130,0)))</f>
        <v/>
      </c>
      <c r="AA259">
        <f>IF(R259=0,0,INDEX(BDD_Penalites!$J$2:$J$130,MATCH($B259,BDD_Penalites!$A$2:$A$130,0)))</f>
        <v/>
      </c>
      <c r="AB259">
        <f>IF(R259=0,0,INDEX(BDD_Penalites!$K$2:$K$130,MATCH($B259,BDD_Penalites!$A$2:$A$130,0)))</f>
        <v/>
      </c>
      <c r="AC259">
        <f>IF(R259=0,0,INDEX(BDD_Penalites!$L$2:$L$130,MATCH($B259,BDD_Penalites!$A$2:$A$130,0)))</f>
        <v/>
      </c>
      <c r="AD259">
        <f>IF(OR($C259="",Q259="FUTUR"),"",_xlfn.IFS(Q259&lt;U259,V259,Q259&lt;W259,X259,Q259&lt;Y259,Z259,Q259&lt;AA259,AB259,TRUE,AC259))</f>
        <v/>
      </c>
    </row>
    <row r="260" ht="13.5" customHeight="1">
      <c r="A260" s="65" t="inlineStr">
        <is>
          <t>FCPR Idinvest Strategic Opportunities 2 A</t>
        </is>
      </c>
      <c r="B260" s="66" t="inlineStr">
        <is>
          <t>FR0013411451</t>
        </is>
      </c>
      <c r="C260" s="268" t="n"/>
      <c r="D260" s="269">
        <f>IF(H260=0,"Calendrier non disponible pour ce fonds — contacter la société de gestion.",IF(I260="","Calendrier connu jusqu'au "&amp;TEXT(K260,"dd/mm/yyyy")&amp;" — demander le calendrier à jour.","Cut-off : "&amp;TEXT(I260,"dd/mm/yyyy")&amp;"  |  VL : "&amp;TEXT(J260,"dd/mm/yyyy")))</f>
        <v/>
      </c>
      <c r="E260" s="269">
        <f>IF(L260=0,"Calendrier non disponible pour ce fonds — contacter la société de gestion.",IF(M260="","Calendrier connu jusqu'au "&amp;TEXT(P260,"dd/mm/yyyy")&amp;" — demander le calendrier à jour.","Cut-off : "&amp;TEXT(M260,"dd/mm/yyyy")&amp;"  |  VL : "&amp;TEXT(N260,"dd/mm/yyyy")))</f>
        <v/>
      </c>
      <c r="F260" s="269">
        <f>IF(L260=0,"Calendrier non disponible pour ce fonds.",IF(M260="","Calendrier connu jusqu'au "&amp;TEXT(P260,"dd/mm/yyyy")&amp;".",IF(O260="","Non précisé dans le calendrier pour cette échéance.","Réception : "&amp;TEXT(O260,"dd/mm/yyyy")&amp;"  (suite au rachat du "&amp;TEXT(N260,"dd/mm/yyyy")&amp;")")))</f>
        <v/>
      </c>
      <c r="G260" s="269">
        <f>_xlfn.IFS(S260="aucune","Aucune pénalité de sortie."&amp;IF(T260&lt;&gt;""," ("&amp;T260&amp;")",""),S260="manuel","⚠️ À VÉRIFIER MANUELLEMENT : "&amp;T260,S260="inconnue","Pénalité non renseignée — vérifier la notice / DICI du fonds.",$C260="","Saisir une date d'investissement pour statuer sur la pénalité.",Q260="FUTUR","Date d'investissement postérieure à aujourd'hui — vérifier la saisie.",AD260&gt;0,"⚠️ CONCERNÉ : pénalité de "&amp;AD260&amp;"% (détention "&amp;Q260&amp;" mois). "&amp;T260,TRUE,"Non concerné (détention "&amp;Q260&amp;" mois). "&amp;T260)</f>
        <v/>
      </c>
      <c r="H260">
        <f>COUNTIFS(BDD_Calendrier!$A$2:$A$616,$B260,BDD_Calendrier!$C$2:$C$616,"Souscription")</f>
        <v/>
      </c>
      <c r="I260">
        <f>IF(H260=0,"",IFERROR(_xlfn.MINIFS(BDD_Calendrier!$D$2:$D$616,BDD_Calendrier!$A$2:$A$616,$B260,BDD_Calendrier!$C$2:$C$616,"Souscription",BDD_Calendrier!$D$2:$D$616,"&gt;="&amp;TODAY()),""))</f>
        <v/>
      </c>
      <c r="J260">
        <f>IF(I260="","",IFERROR(INDEX(BDD_Calendrier!$E$2:$E$616,MATCH($B260&amp;"|Souscription|"&amp;TEXT(I260,"yyyy-mm-dd"),BDD_Calendrier!$I$2:$I$616,0)),""))</f>
        <v/>
      </c>
      <c r="K260">
        <f>IF(H260=0,"",_xlfn.MAXIFS(BDD_Calendrier!$D$2:$D$616,BDD_Calendrier!$A$2:$A$616,$B260,BDD_Calendrier!$C$2:$C$616,"Souscription"))</f>
        <v/>
      </c>
      <c r="L260">
        <f>COUNTIFS(BDD_Calendrier!$A$2:$A$616,$B260,BDD_Calendrier!$C$2:$C$616,"Rachat")</f>
        <v/>
      </c>
      <c r="M260">
        <f>IF(L260=0,"",IFERROR(_xlfn.MINIFS(BDD_Calendrier!$D$2:$D$616,BDD_Calendrier!$A$2:$A$616,$B260,BDD_Calendrier!$C$2:$C$616,"Rachat",BDD_Calendrier!$D$2:$D$616,"&gt;="&amp;TODAY()),""))</f>
        <v/>
      </c>
      <c r="N260">
        <f>IF(M260="","",IFERROR(INDEX(BDD_Calendrier!$E$2:$E$616,MATCH($B260&amp;"|Rachat|"&amp;TEXT(M260,"yyyy-mm-dd"),BDD_Calendrier!$I$2:$I$616,0)),""))</f>
        <v/>
      </c>
      <c r="O260">
        <f>IF(M260="","",IFERROR(INDEX(BDD_Calendrier!$H$2:$H$616,MATCH($B260&amp;"|Rachat|"&amp;TEXT(M260,"yyyy-mm-dd"),BDD_Calendrier!$I$2:$I$616,0)),""))</f>
        <v/>
      </c>
      <c r="P260">
        <f>IF(L260=0,"",_xlfn.MAXIFS(BDD_Calendrier!$D$2:$D$616,BDD_Calendrier!$A$2:$A$616,$B260,BDD_Calendrier!$C$2:$C$616,"Rachat"))</f>
        <v/>
      </c>
      <c r="Q260">
        <f>IF($C260="","",IF($C260&gt;TODAY(),"FUTUR",DATEDIF($C260,TODAY(),"m")))</f>
        <v/>
      </c>
      <c r="R260">
        <f>COUNTIF(BDD_Penalites!$A$2:$A$130,$B260)</f>
        <v/>
      </c>
      <c r="S260">
        <f>IF(R260=0,"inconnue",INDEX(BDD_Penalites!$C$2:$C$130,MATCH($B260,BDD_Penalites!$A$2:$A$130,0)))</f>
        <v/>
      </c>
      <c r="T260">
        <f>IF(R260=0,"",INDEX(BDD_Penalites!$M$2:$M$130,MATCH($B260,BDD_Penalites!$A$2:$A$130,0)))</f>
        <v/>
      </c>
      <c r="U260">
        <f>IF(R260=0,0,INDEX(BDD_Penalites!$D$2:$D$130,MATCH($B260,BDD_Penalites!$A$2:$A$130,0)))</f>
        <v/>
      </c>
      <c r="V260">
        <f>IF(R260=0,0,INDEX(BDD_Penalites!$E$2:$E$130,MATCH($B260,BDD_Penalites!$A$2:$A$130,0)))</f>
        <v/>
      </c>
      <c r="W260">
        <f>IF(R260=0,0,INDEX(BDD_Penalites!$F$2:$F$130,MATCH($B260,BDD_Penalites!$A$2:$A$130,0)))</f>
        <v/>
      </c>
      <c r="X260">
        <f>IF(R260=0,0,INDEX(BDD_Penalites!$G$2:$G$130,MATCH($B260,BDD_Penalites!$A$2:$A$130,0)))</f>
        <v/>
      </c>
      <c r="Y260">
        <f>IF(R260=0,0,INDEX(BDD_Penalites!$H$2:$H$130,MATCH($B260,BDD_Penalites!$A$2:$A$130,0)))</f>
        <v/>
      </c>
      <c r="Z260">
        <f>IF(R260=0,0,INDEX(BDD_Penalites!$I$2:$I$130,MATCH($B260,BDD_Penalites!$A$2:$A$130,0)))</f>
        <v/>
      </c>
      <c r="AA260">
        <f>IF(R260=0,0,INDEX(BDD_Penalites!$J$2:$J$130,MATCH($B260,BDD_Penalites!$A$2:$A$130,0)))</f>
        <v/>
      </c>
      <c r="AB260">
        <f>IF(R260=0,0,INDEX(BDD_Penalites!$K$2:$K$130,MATCH($B260,BDD_Penalites!$A$2:$A$130,0)))</f>
        <v/>
      </c>
      <c r="AC260">
        <f>IF(R260=0,0,INDEX(BDD_Penalites!$L$2:$L$130,MATCH($B260,BDD_Penalites!$A$2:$A$130,0)))</f>
        <v/>
      </c>
      <c r="AD260">
        <f>IF(OR($C260="",Q260="FUTUR"),"",_xlfn.IFS(Q260&lt;U260,V260,Q260&lt;W260,X260,Q260&lt;Y260,Z260,Q260&lt;AA260,AB260,TRUE,AC260))</f>
        <v/>
      </c>
    </row>
    <row r="261" ht="13.5" customHeight="1">
      <c r="A261" s="65" t="inlineStr">
        <is>
          <t>FCPR Idinvest Strategic Opportunities Part A</t>
        </is>
      </c>
      <c r="B261" s="66" t="inlineStr">
        <is>
          <t>FR0013144128</t>
        </is>
      </c>
      <c r="C261" s="268" t="n"/>
      <c r="D261" s="269">
        <f>IF(H261=0,"Calendrier non disponible pour ce fonds — contacter la société de gestion.",IF(I261="","Calendrier connu jusqu'au "&amp;TEXT(K261,"dd/mm/yyyy")&amp;" — demander le calendrier à jour.","Cut-off : "&amp;TEXT(I261,"dd/mm/yyyy")&amp;"  |  VL : "&amp;TEXT(J261,"dd/mm/yyyy")))</f>
        <v/>
      </c>
      <c r="E261" s="269">
        <f>IF(L261=0,"Calendrier non disponible pour ce fonds — contacter la société de gestion.",IF(M261="","Calendrier connu jusqu'au "&amp;TEXT(P261,"dd/mm/yyyy")&amp;" — demander le calendrier à jour.","Cut-off : "&amp;TEXT(M261,"dd/mm/yyyy")&amp;"  |  VL : "&amp;TEXT(N261,"dd/mm/yyyy")))</f>
        <v/>
      </c>
      <c r="F261" s="269">
        <f>IF(L261=0,"Calendrier non disponible pour ce fonds.",IF(M261="","Calendrier connu jusqu'au "&amp;TEXT(P261,"dd/mm/yyyy")&amp;".",IF(O261="","Non précisé dans le calendrier pour cette échéance.","Réception : "&amp;TEXT(O261,"dd/mm/yyyy")&amp;"  (suite au rachat du "&amp;TEXT(N261,"dd/mm/yyyy")&amp;")")))</f>
        <v/>
      </c>
      <c r="G261" s="269">
        <f>_xlfn.IFS(S261="aucune","Aucune pénalité de sortie."&amp;IF(T261&lt;&gt;""," ("&amp;T261&amp;")",""),S261="manuel","⚠️ À VÉRIFIER MANUELLEMENT : "&amp;T261,S261="inconnue","Pénalité non renseignée — vérifier la notice / DICI du fonds.",$C261="","Saisir une date d'investissement pour statuer sur la pénalité.",Q261="FUTUR","Date d'investissement postérieure à aujourd'hui — vérifier la saisie.",AD261&gt;0,"⚠️ CONCERNÉ : pénalité de "&amp;AD261&amp;"% (détention "&amp;Q261&amp;" mois). "&amp;T261,TRUE,"Non concerné (détention "&amp;Q261&amp;" mois). "&amp;T261)</f>
        <v/>
      </c>
      <c r="H261">
        <f>COUNTIFS(BDD_Calendrier!$A$2:$A$616,$B261,BDD_Calendrier!$C$2:$C$616,"Souscription")</f>
        <v/>
      </c>
      <c r="I261">
        <f>IF(H261=0,"",IFERROR(_xlfn.MINIFS(BDD_Calendrier!$D$2:$D$616,BDD_Calendrier!$A$2:$A$616,$B261,BDD_Calendrier!$C$2:$C$616,"Souscription",BDD_Calendrier!$D$2:$D$616,"&gt;="&amp;TODAY()),""))</f>
        <v/>
      </c>
      <c r="J261">
        <f>IF(I261="","",IFERROR(INDEX(BDD_Calendrier!$E$2:$E$616,MATCH($B261&amp;"|Souscription|"&amp;TEXT(I261,"yyyy-mm-dd"),BDD_Calendrier!$I$2:$I$616,0)),""))</f>
        <v/>
      </c>
      <c r="K261">
        <f>IF(H261=0,"",_xlfn.MAXIFS(BDD_Calendrier!$D$2:$D$616,BDD_Calendrier!$A$2:$A$616,$B261,BDD_Calendrier!$C$2:$C$616,"Souscription"))</f>
        <v/>
      </c>
      <c r="L261">
        <f>COUNTIFS(BDD_Calendrier!$A$2:$A$616,$B261,BDD_Calendrier!$C$2:$C$616,"Rachat")</f>
        <v/>
      </c>
      <c r="M261">
        <f>IF(L261=0,"",IFERROR(_xlfn.MINIFS(BDD_Calendrier!$D$2:$D$616,BDD_Calendrier!$A$2:$A$616,$B261,BDD_Calendrier!$C$2:$C$616,"Rachat",BDD_Calendrier!$D$2:$D$616,"&gt;="&amp;TODAY()),""))</f>
        <v/>
      </c>
      <c r="N261">
        <f>IF(M261="","",IFERROR(INDEX(BDD_Calendrier!$E$2:$E$616,MATCH($B261&amp;"|Rachat|"&amp;TEXT(M261,"yyyy-mm-dd"),BDD_Calendrier!$I$2:$I$616,0)),""))</f>
        <v/>
      </c>
      <c r="O261">
        <f>IF(M261="","",IFERROR(INDEX(BDD_Calendrier!$H$2:$H$616,MATCH($B261&amp;"|Rachat|"&amp;TEXT(M261,"yyyy-mm-dd"),BDD_Calendrier!$I$2:$I$616,0)),""))</f>
        <v/>
      </c>
      <c r="P261">
        <f>IF(L261=0,"",_xlfn.MAXIFS(BDD_Calendrier!$D$2:$D$616,BDD_Calendrier!$A$2:$A$616,$B261,BDD_Calendrier!$C$2:$C$616,"Rachat"))</f>
        <v/>
      </c>
      <c r="Q261">
        <f>IF($C261="","",IF($C261&gt;TODAY(),"FUTUR",DATEDIF($C261,TODAY(),"m")))</f>
        <v/>
      </c>
      <c r="R261">
        <f>COUNTIF(BDD_Penalites!$A$2:$A$130,$B261)</f>
        <v/>
      </c>
      <c r="S261">
        <f>IF(R261=0,"inconnue",INDEX(BDD_Penalites!$C$2:$C$130,MATCH($B261,BDD_Penalites!$A$2:$A$130,0)))</f>
        <v/>
      </c>
      <c r="T261">
        <f>IF(R261=0,"",INDEX(BDD_Penalites!$M$2:$M$130,MATCH($B261,BDD_Penalites!$A$2:$A$130,0)))</f>
        <v/>
      </c>
      <c r="U261">
        <f>IF(R261=0,0,INDEX(BDD_Penalites!$D$2:$D$130,MATCH($B261,BDD_Penalites!$A$2:$A$130,0)))</f>
        <v/>
      </c>
      <c r="V261">
        <f>IF(R261=0,0,INDEX(BDD_Penalites!$E$2:$E$130,MATCH($B261,BDD_Penalites!$A$2:$A$130,0)))</f>
        <v/>
      </c>
      <c r="W261">
        <f>IF(R261=0,0,INDEX(BDD_Penalites!$F$2:$F$130,MATCH($B261,BDD_Penalites!$A$2:$A$130,0)))</f>
        <v/>
      </c>
      <c r="X261">
        <f>IF(R261=0,0,INDEX(BDD_Penalites!$G$2:$G$130,MATCH($B261,BDD_Penalites!$A$2:$A$130,0)))</f>
        <v/>
      </c>
      <c r="Y261">
        <f>IF(R261=0,0,INDEX(BDD_Penalites!$H$2:$H$130,MATCH($B261,BDD_Penalites!$A$2:$A$130,0)))</f>
        <v/>
      </c>
      <c r="Z261">
        <f>IF(R261=0,0,INDEX(BDD_Penalites!$I$2:$I$130,MATCH($B261,BDD_Penalites!$A$2:$A$130,0)))</f>
        <v/>
      </c>
      <c r="AA261">
        <f>IF(R261=0,0,INDEX(BDD_Penalites!$J$2:$J$130,MATCH($B261,BDD_Penalites!$A$2:$A$130,0)))</f>
        <v/>
      </c>
      <c r="AB261">
        <f>IF(R261=0,0,INDEX(BDD_Penalites!$K$2:$K$130,MATCH($B261,BDD_Penalites!$A$2:$A$130,0)))</f>
        <v/>
      </c>
      <c r="AC261">
        <f>IF(R261=0,0,INDEX(BDD_Penalites!$L$2:$L$130,MATCH($B261,BDD_Penalites!$A$2:$A$130,0)))</f>
        <v/>
      </c>
      <c r="AD261">
        <f>IF(OR($C261="",Q261="FUTUR"),"",_xlfn.IFS(Q261&lt;U261,V261,Q261&lt;W261,X261,Q261&lt;Y261,Z261,Q261&lt;AA261,AB261,TRUE,AC261))</f>
        <v/>
      </c>
    </row>
    <row r="262" ht="13.5" customFormat="1" customHeight="1" s="29">
      <c r="A262" s="65" t="inlineStr">
        <is>
          <t>Schroder Semi Liquid GPE</t>
        </is>
      </c>
      <c r="B262" s="66" t="inlineStr">
        <is>
          <t>LU2098888824</t>
        </is>
      </c>
      <c r="C262" s="268" t="n"/>
      <c r="D262" s="269">
        <f>IF(H262=0,"Calendrier non disponible pour ce fonds — contacter la société de gestion.",IF(I262="","Calendrier connu jusqu'au "&amp;TEXT(K262,"dd/mm/yyyy")&amp;" — demander le calendrier à jour.","Cut-off : "&amp;TEXT(I262,"dd/mm/yyyy")&amp;"  |  VL : "&amp;TEXT(J262,"dd/mm/yyyy")))</f>
        <v/>
      </c>
      <c r="E262" s="269">
        <f>IF(L262=0,"Calendrier non disponible pour ce fonds — contacter la société de gestion.",IF(M262="","Calendrier connu jusqu'au "&amp;TEXT(P262,"dd/mm/yyyy")&amp;" — demander le calendrier à jour.","Cut-off : "&amp;TEXT(M262,"dd/mm/yyyy")&amp;"  |  VL : "&amp;TEXT(N262,"dd/mm/yyyy")))</f>
        <v/>
      </c>
      <c r="F262" s="269">
        <f>IF(L262=0,"Calendrier non disponible pour ce fonds.",IF(M262="","Calendrier connu jusqu'au "&amp;TEXT(P262,"dd/mm/yyyy")&amp;".",IF(O262="","Non précisé dans le calendrier pour cette échéance.","Réception : "&amp;TEXT(O262,"dd/mm/yyyy")&amp;"  (suite au rachat du "&amp;TEXT(N262,"dd/mm/yyyy")&amp;")")))</f>
        <v/>
      </c>
      <c r="G262" s="269">
        <f>_xlfn.IFS(S262="aucune","Aucune pénalité de sortie."&amp;IF(T262&lt;&gt;""," ("&amp;T262&amp;")",""),S262="manuel","⚠️ À VÉRIFIER MANUELLEMENT : "&amp;T262,S262="inconnue","Pénalité non renseignée — vérifier la notice / DICI du fonds.",$C262="","Saisir une date d'investissement pour statuer sur la pénalité.",Q262="FUTUR","Date d'investissement postérieure à aujourd'hui — vérifier la saisie.",AD262&gt;0,"⚠️ CONCERNÉ : pénalité de "&amp;AD262&amp;"% (détention "&amp;Q262&amp;" mois). "&amp;T262,TRUE,"Non concerné (détention "&amp;Q262&amp;" mois). "&amp;T262)</f>
        <v/>
      </c>
      <c r="H262">
        <f>COUNTIFS(BDD_Calendrier!$A$2:$A$616,$B262,BDD_Calendrier!$C$2:$C$616,"Souscription")</f>
        <v/>
      </c>
      <c r="I262">
        <f>IF(H262=0,"",IFERROR(_xlfn.MINIFS(BDD_Calendrier!$D$2:$D$616,BDD_Calendrier!$A$2:$A$616,$B262,BDD_Calendrier!$C$2:$C$616,"Souscription",BDD_Calendrier!$D$2:$D$616,"&gt;="&amp;TODAY()),""))</f>
        <v/>
      </c>
      <c r="J262">
        <f>IF(I262="","",IFERROR(INDEX(BDD_Calendrier!$E$2:$E$616,MATCH($B262&amp;"|Souscription|"&amp;TEXT(I262,"yyyy-mm-dd"),BDD_Calendrier!$I$2:$I$616,0)),""))</f>
        <v/>
      </c>
      <c r="K262">
        <f>IF(H262=0,"",_xlfn.MAXIFS(BDD_Calendrier!$D$2:$D$616,BDD_Calendrier!$A$2:$A$616,$B262,BDD_Calendrier!$C$2:$C$616,"Souscription"))</f>
        <v/>
      </c>
      <c r="L262">
        <f>COUNTIFS(BDD_Calendrier!$A$2:$A$616,$B262,BDD_Calendrier!$C$2:$C$616,"Rachat")</f>
        <v/>
      </c>
      <c r="M262">
        <f>IF(L262=0,"",IFERROR(_xlfn.MINIFS(BDD_Calendrier!$D$2:$D$616,BDD_Calendrier!$A$2:$A$616,$B262,BDD_Calendrier!$C$2:$C$616,"Rachat",BDD_Calendrier!$D$2:$D$616,"&gt;="&amp;TODAY()),""))</f>
        <v/>
      </c>
      <c r="N262">
        <f>IF(M262="","",IFERROR(INDEX(BDD_Calendrier!$E$2:$E$616,MATCH($B262&amp;"|Rachat|"&amp;TEXT(M262,"yyyy-mm-dd"),BDD_Calendrier!$I$2:$I$616,0)),""))</f>
        <v/>
      </c>
      <c r="O262">
        <f>IF(M262="","",IFERROR(INDEX(BDD_Calendrier!$H$2:$H$616,MATCH($B262&amp;"|Rachat|"&amp;TEXT(M262,"yyyy-mm-dd"),BDD_Calendrier!$I$2:$I$616,0)),""))</f>
        <v/>
      </c>
      <c r="P262">
        <f>IF(L262=0,"",_xlfn.MAXIFS(BDD_Calendrier!$D$2:$D$616,BDD_Calendrier!$A$2:$A$616,$B262,BDD_Calendrier!$C$2:$C$616,"Rachat"))</f>
        <v/>
      </c>
      <c r="Q262">
        <f>IF($C262="","",IF($C262&gt;TODAY(),"FUTUR",DATEDIF($C262,TODAY(),"m")))</f>
        <v/>
      </c>
      <c r="R262">
        <f>COUNTIF(BDD_Penalites!$A$2:$A$130,$B262)</f>
        <v/>
      </c>
      <c r="S262">
        <f>IF(R262=0,"inconnue",INDEX(BDD_Penalites!$C$2:$C$130,MATCH($B262,BDD_Penalites!$A$2:$A$130,0)))</f>
        <v/>
      </c>
      <c r="T262">
        <f>IF(R262=0,"",INDEX(BDD_Penalites!$M$2:$M$130,MATCH($B262,BDD_Penalites!$A$2:$A$130,0)))</f>
        <v/>
      </c>
      <c r="U262">
        <f>IF(R262=0,0,INDEX(BDD_Penalites!$D$2:$D$130,MATCH($B262,BDD_Penalites!$A$2:$A$130,0)))</f>
        <v/>
      </c>
      <c r="V262">
        <f>IF(R262=0,0,INDEX(BDD_Penalites!$E$2:$E$130,MATCH($B262,BDD_Penalites!$A$2:$A$130,0)))</f>
        <v/>
      </c>
      <c r="W262">
        <f>IF(R262=0,0,INDEX(BDD_Penalites!$F$2:$F$130,MATCH($B262,BDD_Penalites!$A$2:$A$130,0)))</f>
        <v/>
      </c>
      <c r="X262">
        <f>IF(R262=0,0,INDEX(BDD_Penalites!$G$2:$G$130,MATCH($B262,BDD_Penalites!$A$2:$A$130,0)))</f>
        <v/>
      </c>
      <c r="Y262">
        <f>IF(R262=0,0,INDEX(BDD_Penalites!$H$2:$H$130,MATCH($B262,BDD_Penalites!$A$2:$A$130,0)))</f>
        <v/>
      </c>
      <c r="Z262">
        <f>IF(R262=0,0,INDEX(BDD_Penalites!$I$2:$I$130,MATCH($B262,BDD_Penalites!$A$2:$A$130,0)))</f>
        <v/>
      </c>
      <c r="AA262">
        <f>IF(R262=0,0,INDEX(BDD_Penalites!$J$2:$J$130,MATCH($B262,BDD_Penalites!$A$2:$A$130,0)))</f>
        <v/>
      </c>
      <c r="AB262">
        <f>IF(R262=0,0,INDEX(BDD_Penalites!$K$2:$K$130,MATCH($B262,BDD_Penalites!$A$2:$A$130,0)))</f>
        <v/>
      </c>
      <c r="AC262">
        <f>IF(R262=0,0,INDEX(BDD_Penalites!$L$2:$L$130,MATCH($B262,BDD_Penalites!$A$2:$A$130,0)))</f>
        <v/>
      </c>
      <c r="AD262">
        <f>IF(OR($C262="",Q262="FUTUR"),"",_xlfn.IFS(Q262&lt;U262,V262,Q262&lt;W262,X262,Q262&lt;Y262,Z262,Q262&lt;AA262,AB262,TRUE,AC262))</f>
        <v/>
      </c>
    </row>
    <row r="263" ht="13.5" customFormat="1" customHeight="1" s="29">
      <c r="A263" s="65" t="inlineStr">
        <is>
          <t xml:space="preserve">GF Lumyna Private Equity World </t>
        </is>
      </c>
      <c r="B263" s="66" t="inlineStr">
        <is>
          <t>FR0013504479</t>
        </is>
      </c>
      <c r="C263" s="268" t="n"/>
      <c r="D263" s="269">
        <f>IF(H263=0,"Calendrier non disponible pour ce fonds — contacter la société de gestion.",IF(I263="","Calendrier connu jusqu'au "&amp;TEXT(K263,"dd/mm/yyyy")&amp;" — demander le calendrier à jour.","Cut-off : "&amp;TEXT(I263,"dd/mm/yyyy")&amp;"  |  VL : "&amp;TEXT(J263,"dd/mm/yyyy")))</f>
        <v/>
      </c>
      <c r="E263" s="269">
        <f>IF(L263=0,"Calendrier non disponible pour ce fonds — contacter la société de gestion.",IF(M263="","Calendrier connu jusqu'au "&amp;TEXT(P263,"dd/mm/yyyy")&amp;" — demander le calendrier à jour.","Cut-off : "&amp;TEXT(M263,"dd/mm/yyyy")&amp;"  |  VL : "&amp;TEXT(N263,"dd/mm/yyyy")))</f>
        <v/>
      </c>
      <c r="F263" s="269">
        <f>IF(L263=0,"Calendrier non disponible pour ce fonds.",IF(M263="","Calendrier connu jusqu'au "&amp;TEXT(P263,"dd/mm/yyyy")&amp;".",IF(O263="","Non précisé dans le calendrier pour cette échéance.","Réception : "&amp;TEXT(O263,"dd/mm/yyyy")&amp;"  (suite au rachat du "&amp;TEXT(N263,"dd/mm/yyyy")&amp;")")))</f>
        <v/>
      </c>
      <c r="G263" s="269">
        <f>_xlfn.IFS(S263="aucune","Aucune pénalité de sortie."&amp;IF(T263&lt;&gt;""," ("&amp;T263&amp;")",""),S263="manuel","⚠️ À VÉRIFIER MANUELLEMENT : "&amp;T263,S263="inconnue","Pénalité non renseignée — vérifier la notice / DICI du fonds.",$C263="","Saisir une date d'investissement pour statuer sur la pénalité.",Q263="FUTUR","Date d'investissement postérieure à aujourd'hui — vérifier la saisie.",AD263&gt;0,"⚠️ CONCERNÉ : pénalité de "&amp;AD263&amp;"% (détention "&amp;Q263&amp;" mois). "&amp;T263,TRUE,"Non concerné (détention "&amp;Q263&amp;" mois). "&amp;T263)</f>
        <v/>
      </c>
      <c r="H263">
        <f>COUNTIFS(BDD_Calendrier!$A$2:$A$616,$B263,BDD_Calendrier!$C$2:$C$616,"Souscription")</f>
        <v/>
      </c>
      <c r="I263">
        <f>IF(H263=0,"",IFERROR(_xlfn.MINIFS(BDD_Calendrier!$D$2:$D$616,BDD_Calendrier!$A$2:$A$616,$B263,BDD_Calendrier!$C$2:$C$616,"Souscription",BDD_Calendrier!$D$2:$D$616,"&gt;="&amp;TODAY()),""))</f>
        <v/>
      </c>
      <c r="J263">
        <f>IF(I263="","",IFERROR(INDEX(BDD_Calendrier!$E$2:$E$616,MATCH($B263&amp;"|Souscription|"&amp;TEXT(I263,"yyyy-mm-dd"),BDD_Calendrier!$I$2:$I$616,0)),""))</f>
        <v/>
      </c>
      <c r="K263">
        <f>IF(H263=0,"",_xlfn.MAXIFS(BDD_Calendrier!$D$2:$D$616,BDD_Calendrier!$A$2:$A$616,$B263,BDD_Calendrier!$C$2:$C$616,"Souscription"))</f>
        <v/>
      </c>
      <c r="L263">
        <f>COUNTIFS(BDD_Calendrier!$A$2:$A$616,$B263,BDD_Calendrier!$C$2:$C$616,"Rachat")</f>
        <v/>
      </c>
      <c r="M263">
        <f>IF(L263=0,"",IFERROR(_xlfn.MINIFS(BDD_Calendrier!$D$2:$D$616,BDD_Calendrier!$A$2:$A$616,$B263,BDD_Calendrier!$C$2:$C$616,"Rachat",BDD_Calendrier!$D$2:$D$616,"&gt;="&amp;TODAY()),""))</f>
        <v/>
      </c>
      <c r="N263">
        <f>IF(M263="","",IFERROR(INDEX(BDD_Calendrier!$E$2:$E$616,MATCH($B263&amp;"|Rachat|"&amp;TEXT(M263,"yyyy-mm-dd"),BDD_Calendrier!$I$2:$I$616,0)),""))</f>
        <v/>
      </c>
      <c r="O263">
        <f>IF(M263="","",IFERROR(INDEX(BDD_Calendrier!$H$2:$H$616,MATCH($B263&amp;"|Rachat|"&amp;TEXT(M263,"yyyy-mm-dd"),BDD_Calendrier!$I$2:$I$616,0)),""))</f>
        <v/>
      </c>
      <c r="P263">
        <f>IF(L263=0,"",_xlfn.MAXIFS(BDD_Calendrier!$D$2:$D$616,BDD_Calendrier!$A$2:$A$616,$B263,BDD_Calendrier!$C$2:$C$616,"Rachat"))</f>
        <v/>
      </c>
      <c r="Q263">
        <f>IF($C263="","",IF($C263&gt;TODAY(),"FUTUR",DATEDIF($C263,TODAY(),"m")))</f>
        <v/>
      </c>
      <c r="R263">
        <f>COUNTIF(BDD_Penalites!$A$2:$A$130,$B263)</f>
        <v/>
      </c>
      <c r="S263">
        <f>IF(R263=0,"inconnue",INDEX(BDD_Penalites!$C$2:$C$130,MATCH($B263,BDD_Penalites!$A$2:$A$130,0)))</f>
        <v/>
      </c>
      <c r="T263">
        <f>IF(R263=0,"",INDEX(BDD_Penalites!$M$2:$M$130,MATCH($B263,BDD_Penalites!$A$2:$A$130,0)))</f>
        <v/>
      </c>
      <c r="U263">
        <f>IF(R263=0,0,INDEX(BDD_Penalites!$D$2:$D$130,MATCH($B263,BDD_Penalites!$A$2:$A$130,0)))</f>
        <v/>
      </c>
      <c r="V263">
        <f>IF(R263=0,0,INDEX(BDD_Penalites!$E$2:$E$130,MATCH($B263,BDD_Penalites!$A$2:$A$130,0)))</f>
        <v/>
      </c>
      <c r="W263">
        <f>IF(R263=0,0,INDEX(BDD_Penalites!$F$2:$F$130,MATCH($B263,BDD_Penalites!$A$2:$A$130,0)))</f>
        <v/>
      </c>
      <c r="X263">
        <f>IF(R263=0,0,INDEX(BDD_Penalites!$G$2:$G$130,MATCH($B263,BDD_Penalites!$A$2:$A$130,0)))</f>
        <v/>
      </c>
      <c r="Y263">
        <f>IF(R263=0,0,INDEX(BDD_Penalites!$H$2:$H$130,MATCH($B263,BDD_Penalites!$A$2:$A$130,0)))</f>
        <v/>
      </c>
      <c r="Z263">
        <f>IF(R263=0,0,INDEX(BDD_Penalites!$I$2:$I$130,MATCH($B263,BDD_Penalites!$A$2:$A$130,0)))</f>
        <v/>
      </c>
      <c r="AA263">
        <f>IF(R263=0,0,INDEX(BDD_Penalites!$J$2:$J$130,MATCH($B263,BDD_Penalites!$A$2:$A$130,0)))</f>
        <v/>
      </c>
      <c r="AB263">
        <f>IF(R263=0,0,INDEX(BDD_Penalites!$K$2:$K$130,MATCH($B263,BDD_Penalites!$A$2:$A$130,0)))</f>
        <v/>
      </c>
      <c r="AC263">
        <f>IF(R263=0,0,INDEX(BDD_Penalites!$L$2:$L$130,MATCH($B263,BDD_Penalites!$A$2:$A$130,0)))</f>
        <v/>
      </c>
      <c r="AD263">
        <f>IF(OR($C263="",Q263="FUTUR"),"",_xlfn.IFS(Q263&lt;U263,V263,Q263&lt;W263,X263,Q263&lt;Y263,Z263,Q263&lt;AA263,AB263,TRUE,AC263))</f>
        <v/>
      </c>
    </row>
    <row r="264" ht="13.5" customHeight="1">
      <c r="A264" s="65" t="inlineStr">
        <is>
          <t>NB Global Private Equity Access Fund I</t>
        </is>
      </c>
      <c r="B264" s="66" t="inlineStr">
        <is>
          <t>LU2496022059</t>
        </is>
      </c>
      <c r="C264" s="268" t="n"/>
      <c r="D264" s="269">
        <f>IF(H264=0,"Calendrier non disponible pour ce fonds — contacter la société de gestion.",IF(I264="","Calendrier connu jusqu'au "&amp;TEXT(K264,"dd/mm/yyyy")&amp;" — demander le calendrier à jour.","Cut-off : "&amp;TEXT(I264,"dd/mm/yyyy")&amp;"  |  VL : "&amp;TEXT(J264,"dd/mm/yyyy")))</f>
        <v/>
      </c>
      <c r="E264" s="269">
        <f>IF(L264=0,"Calendrier non disponible pour ce fonds — contacter la société de gestion.",IF(M264="","Calendrier connu jusqu'au "&amp;TEXT(P264,"dd/mm/yyyy")&amp;" — demander le calendrier à jour.","Cut-off : "&amp;TEXT(M264,"dd/mm/yyyy")&amp;"  |  VL : "&amp;TEXT(N264,"dd/mm/yyyy")))</f>
        <v/>
      </c>
      <c r="F264" s="269">
        <f>IF(L264=0,"Calendrier non disponible pour ce fonds.",IF(M264="","Calendrier connu jusqu'au "&amp;TEXT(P264,"dd/mm/yyyy")&amp;".",IF(O264="","Non précisé dans le calendrier pour cette échéance.","Réception : "&amp;TEXT(O264,"dd/mm/yyyy")&amp;"  (suite au rachat du "&amp;TEXT(N264,"dd/mm/yyyy")&amp;")")))</f>
        <v/>
      </c>
      <c r="G264" s="269">
        <f>_xlfn.IFS(S264="aucune","Aucune pénalité de sortie."&amp;IF(T264&lt;&gt;""," ("&amp;T264&amp;")",""),S264="manuel","⚠️ À VÉRIFIER MANUELLEMENT : "&amp;T264,S264="inconnue","Pénalité non renseignée — vérifier la notice / DICI du fonds.",$C264="","Saisir une date d'investissement pour statuer sur la pénalité.",Q264="FUTUR","Date d'investissement postérieure à aujourd'hui — vérifier la saisie.",AD264&gt;0,"⚠️ CONCERNÉ : pénalité de "&amp;AD264&amp;"% (détention "&amp;Q264&amp;" mois). "&amp;T264,TRUE,"Non concerné (détention "&amp;Q264&amp;" mois). "&amp;T264)</f>
        <v/>
      </c>
      <c r="H264">
        <f>COUNTIFS(BDD_Calendrier!$A$2:$A$616,$B264,BDD_Calendrier!$C$2:$C$616,"Souscription")</f>
        <v/>
      </c>
      <c r="I264">
        <f>IF(H264=0,"",IFERROR(_xlfn.MINIFS(BDD_Calendrier!$D$2:$D$616,BDD_Calendrier!$A$2:$A$616,$B264,BDD_Calendrier!$C$2:$C$616,"Souscription",BDD_Calendrier!$D$2:$D$616,"&gt;="&amp;TODAY()),""))</f>
        <v/>
      </c>
      <c r="J264">
        <f>IF(I264="","",IFERROR(INDEX(BDD_Calendrier!$E$2:$E$616,MATCH($B264&amp;"|Souscription|"&amp;TEXT(I264,"yyyy-mm-dd"),BDD_Calendrier!$I$2:$I$616,0)),""))</f>
        <v/>
      </c>
      <c r="K264">
        <f>IF(H264=0,"",_xlfn.MAXIFS(BDD_Calendrier!$D$2:$D$616,BDD_Calendrier!$A$2:$A$616,$B264,BDD_Calendrier!$C$2:$C$616,"Souscription"))</f>
        <v/>
      </c>
      <c r="L264">
        <f>COUNTIFS(BDD_Calendrier!$A$2:$A$616,$B264,BDD_Calendrier!$C$2:$C$616,"Rachat")</f>
        <v/>
      </c>
      <c r="M264">
        <f>IF(L264=0,"",IFERROR(_xlfn.MINIFS(BDD_Calendrier!$D$2:$D$616,BDD_Calendrier!$A$2:$A$616,$B264,BDD_Calendrier!$C$2:$C$616,"Rachat",BDD_Calendrier!$D$2:$D$616,"&gt;="&amp;TODAY()),""))</f>
        <v/>
      </c>
      <c r="N264">
        <f>IF(M264="","",IFERROR(INDEX(BDD_Calendrier!$E$2:$E$616,MATCH($B264&amp;"|Rachat|"&amp;TEXT(M264,"yyyy-mm-dd"),BDD_Calendrier!$I$2:$I$616,0)),""))</f>
        <v/>
      </c>
      <c r="O264">
        <f>IF(M264="","",IFERROR(INDEX(BDD_Calendrier!$H$2:$H$616,MATCH($B264&amp;"|Rachat|"&amp;TEXT(M264,"yyyy-mm-dd"),BDD_Calendrier!$I$2:$I$616,0)),""))</f>
        <v/>
      </c>
      <c r="P264">
        <f>IF(L264=0,"",_xlfn.MAXIFS(BDD_Calendrier!$D$2:$D$616,BDD_Calendrier!$A$2:$A$616,$B264,BDD_Calendrier!$C$2:$C$616,"Rachat"))</f>
        <v/>
      </c>
      <c r="Q264">
        <f>IF($C264="","",IF($C264&gt;TODAY(),"FUTUR",DATEDIF($C264,TODAY(),"m")))</f>
        <v/>
      </c>
      <c r="R264">
        <f>COUNTIF(BDD_Penalites!$A$2:$A$130,$B264)</f>
        <v/>
      </c>
      <c r="S264">
        <f>IF(R264=0,"inconnue",INDEX(BDD_Penalites!$C$2:$C$130,MATCH($B264,BDD_Penalites!$A$2:$A$130,0)))</f>
        <v/>
      </c>
      <c r="T264">
        <f>IF(R264=0,"",INDEX(BDD_Penalites!$M$2:$M$130,MATCH($B264,BDD_Penalites!$A$2:$A$130,0)))</f>
        <v/>
      </c>
      <c r="U264">
        <f>IF(R264=0,0,INDEX(BDD_Penalites!$D$2:$D$130,MATCH($B264,BDD_Penalites!$A$2:$A$130,0)))</f>
        <v/>
      </c>
      <c r="V264">
        <f>IF(R264=0,0,INDEX(BDD_Penalites!$E$2:$E$130,MATCH($B264,BDD_Penalites!$A$2:$A$130,0)))</f>
        <v/>
      </c>
      <c r="W264">
        <f>IF(R264=0,0,INDEX(BDD_Penalites!$F$2:$F$130,MATCH($B264,BDD_Penalites!$A$2:$A$130,0)))</f>
        <v/>
      </c>
      <c r="X264">
        <f>IF(R264=0,0,INDEX(BDD_Penalites!$G$2:$G$130,MATCH($B264,BDD_Penalites!$A$2:$A$130,0)))</f>
        <v/>
      </c>
      <c r="Y264">
        <f>IF(R264=0,0,INDEX(BDD_Penalites!$H$2:$H$130,MATCH($B264,BDD_Penalites!$A$2:$A$130,0)))</f>
        <v/>
      </c>
      <c r="Z264">
        <f>IF(R264=0,0,INDEX(BDD_Penalites!$I$2:$I$130,MATCH($B264,BDD_Penalites!$A$2:$A$130,0)))</f>
        <v/>
      </c>
      <c r="AA264">
        <f>IF(R264=0,0,INDEX(BDD_Penalites!$J$2:$J$130,MATCH($B264,BDD_Penalites!$A$2:$A$130,0)))</f>
        <v/>
      </c>
      <c r="AB264">
        <f>IF(R264=0,0,INDEX(BDD_Penalites!$K$2:$K$130,MATCH($B264,BDD_Penalites!$A$2:$A$130,0)))</f>
        <v/>
      </c>
      <c r="AC264">
        <f>IF(R264=0,0,INDEX(BDD_Penalites!$L$2:$L$130,MATCH($B264,BDD_Penalites!$A$2:$A$130,0)))</f>
        <v/>
      </c>
      <c r="AD264">
        <f>IF(OR($C264="",Q264="FUTUR"),"",_xlfn.IFS(Q264&lt;U264,V264,Q264&lt;W264,X264,Q264&lt;Y264,Z264,Q264&lt;AA264,AB264,TRUE,AC264))</f>
        <v/>
      </c>
    </row>
    <row r="265" ht="13.5" customFormat="1" customHeight="1" s="29">
      <c r="A265" s="65" t="inlineStr">
        <is>
          <t>Idinvest Secondary Fund III</t>
        </is>
      </c>
      <c r="B265" s="66" t="inlineStr">
        <is>
          <t>FR0013080140</t>
        </is>
      </c>
      <c r="C265" s="268" t="n"/>
      <c r="D265" s="269">
        <f>IF(H265=0,"Calendrier non disponible pour ce fonds — contacter la société de gestion.",IF(I265="","Calendrier connu jusqu'au "&amp;TEXT(K265,"dd/mm/yyyy")&amp;" — demander le calendrier à jour.","Cut-off : "&amp;TEXT(I265,"dd/mm/yyyy")&amp;"  |  VL : "&amp;TEXT(J265,"dd/mm/yyyy")))</f>
        <v/>
      </c>
      <c r="E265" s="269">
        <f>IF(L265=0,"Calendrier non disponible pour ce fonds — contacter la société de gestion.",IF(M265="","Calendrier connu jusqu'au "&amp;TEXT(P265,"dd/mm/yyyy")&amp;" — demander le calendrier à jour.","Cut-off : "&amp;TEXT(M265,"dd/mm/yyyy")&amp;"  |  VL : "&amp;TEXT(N265,"dd/mm/yyyy")))</f>
        <v/>
      </c>
      <c r="F265" s="269">
        <f>IF(L265=0,"Calendrier non disponible pour ce fonds.",IF(M265="","Calendrier connu jusqu'au "&amp;TEXT(P265,"dd/mm/yyyy")&amp;".",IF(O265="","Non précisé dans le calendrier pour cette échéance.","Réception : "&amp;TEXT(O265,"dd/mm/yyyy")&amp;"  (suite au rachat du "&amp;TEXT(N265,"dd/mm/yyyy")&amp;")")))</f>
        <v/>
      </c>
      <c r="G265" s="269">
        <f>_xlfn.IFS(S265="aucune","Aucune pénalité de sortie."&amp;IF(T265&lt;&gt;""," ("&amp;T265&amp;")",""),S265="manuel","⚠️ À VÉRIFIER MANUELLEMENT : "&amp;T265,S265="inconnue","Pénalité non renseignée — vérifier la notice / DICI du fonds.",$C265="","Saisir une date d'investissement pour statuer sur la pénalité.",Q265="FUTUR","Date d'investissement postérieure à aujourd'hui — vérifier la saisie.",AD265&gt;0,"⚠️ CONCERNÉ : pénalité de "&amp;AD265&amp;"% (détention "&amp;Q265&amp;" mois). "&amp;T265,TRUE,"Non concerné (détention "&amp;Q265&amp;" mois). "&amp;T265)</f>
        <v/>
      </c>
      <c r="H265">
        <f>COUNTIFS(BDD_Calendrier!$A$2:$A$616,$B265,BDD_Calendrier!$C$2:$C$616,"Souscription")</f>
        <v/>
      </c>
      <c r="I265">
        <f>IF(H265=0,"",IFERROR(_xlfn.MINIFS(BDD_Calendrier!$D$2:$D$616,BDD_Calendrier!$A$2:$A$616,$B265,BDD_Calendrier!$C$2:$C$616,"Souscription",BDD_Calendrier!$D$2:$D$616,"&gt;="&amp;TODAY()),""))</f>
        <v/>
      </c>
      <c r="J265">
        <f>IF(I265="","",IFERROR(INDEX(BDD_Calendrier!$E$2:$E$616,MATCH($B265&amp;"|Souscription|"&amp;TEXT(I265,"yyyy-mm-dd"),BDD_Calendrier!$I$2:$I$616,0)),""))</f>
        <v/>
      </c>
      <c r="K265">
        <f>IF(H265=0,"",_xlfn.MAXIFS(BDD_Calendrier!$D$2:$D$616,BDD_Calendrier!$A$2:$A$616,$B265,BDD_Calendrier!$C$2:$C$616,"Souscription"))</f>
        <v/>
      </c>
      <c r="L265">
        <f>COUNTIFS(BDD_Calendrier!$A$2:$A$616,$B265,BDD_Calendrier!$C$2:$C$616,"Rachat")</f>
        <v/>
      </c>
      <c r="M265">
        <f>IF(L265=0,"",IFERROR(_xlfn.MINIFS(BDD_Calendrier!$D$2:$D$616,BDD_Calendrier!$A$2:$A$616,$B265,BDD_Calendrier!$C$2:$C$616,"Rachat",BDD_Calendrier!$D$2:$D$616,"&gt;="&amp;TODAY()),""))</f>
        <v/>
      </c>
      <c r="N265">
        <f>IF(M265="","",IFERROR(INDEX(BDD_Calendrier!$E$2:$E$616,MATCH($B265&amp;"|Rachat|"&amp;TEXT(M265,"yyyy-mm-dd"),BDD_Calendrier!$I$2:$I$616,0)),""))</f>
        <v/>
      </c>
      <c r="O265">
        <f>IF(M265="","",IFERROR(INDEX(BDD_Calendrier!$H$2:$H$616,MATCH($B265&amp;"|Rachat|"&amp;TEXT(M265,"yyyy-mm-dd"),BDD_Calendrier!$I$2:$I$616,0)),""))</f>
        <v/>
      </c>
      <c r="P265">
        <f>IF(L265=0,"",_xlfn.MAXIFS(BDD_Calendrier!$D$2:$D$616,BDD_Calendrier!$A$2:$A$616,$B265,BDD_Calendrier!$C$2:$C$616,"Rachat"))</f>
        <v/>
      </c>
      <c r="Q265">
        <f>IF($C265="","",IF($C265&gt;TODAY(),"FUTUR",DATEDIF($C265,TODAY(),"m")))</f>
        <v/>
      </c>
      <c r="R265">
        <f>COUNTIF(BDD_Penalites!$A$2:$A$130,$B265)</f>
        <v/>
      </c>
      <c r="S265">
        <f>IF(R265=0,"inconnue",INDEX(BDD_Penalites!$C$2:$C$130,MATCH($B265,BDD_Penalites!$A$2:$A$130,0)))</f>
        <v/>
      </c>
      <c r="T265">
        <f>IF(R265=0,"",INDEX(BDD_Penalites!$M$2:$M$130,MATCH($B265,BDD_Penalites!$A$2:$A$130,0)))</f>
        <v/>
      </c>
      <c r="U265">
        <f>IF(R265=0,0,INDEX(BDD_Penalites!$D$2:$D$130,MATCH($B265,BDD_Penalites!$A$2:$A$130,0)))</f>
        <v/>
      </c>
      <c r="V265">
        <f>IF(R265=0,0,INDEX(BDD_Penalites!$E$2:$E$130,MATCH($B265,BDD_Penalites!$A$2:$A$130,0)))</f>
        <v/>
      </c>
      <c r="W265">
        <f>IF(R265=0,0,INDEX(BDD_Penalites!$F$2:$F$130,MATCH($B265,BDD_Penalites!$A$2:$A$130,0)))</f>
        <v/>
      </c>
      <c r="X265">
        <f>IF(R265=0,0,INDEX(BDD_Penalites!$G$2:$G$130,MATCH($B265,BDD_Penalites!$A$2:$A$130,0)))</f>
        <v/>
      </c>
      <c r="Y265">
        <f>IF(R265=0,0,INDEX(BDD_Penalites!$H$2:$H$130,MATCH($B265,BDD_Penalites!$A$2:$A$130,0)))</f>
        <v/>
      </c>
      <c r="Z265">
        <f>IF(R265=0,0,INDEX(BDD_Penalites!$I$2:$I$130,MATCH($B265,BDD_Penalites!$A$2:$A$130,0)))</f>
        <v/>
      </c>
      <c r="AA265">
        <f>IF(R265=0,0,INDEX(BDD_Penalites!$J$2:$J$130,MATCH($B265,BDD_Penalites!$A$2:$A$130,0)))</f>
        <v/>
      </c>
      <c r="AB265">
        <f>IF(R265=0,0,INDEX(BDD_Penalites!$K$2:$K$130,MATCH($B265,BDD_Penalites!$A$2:$A$130,0)))</f>
        <v/>
      </c>
      <c r="AC265">
        <f>IF(R265=0,0,INDEX(BDD_Penalites!$L$2:$L$130,MATCH($B265,BDD_Penalites!$A$2:$A$130,0)))</f>
        <v/>
      </c>
      <c r="AD265">
        <f>IF(OR($C265="",Q265="FUTUR"),"",_xlfn.IFS(Q265&lt;U265,V265,Q265&lt;W265,X265,Q265&lt;Y265,Z265,Q265&lt;AA265,AB265,TRUE,AC265))</f>
        <v/>
      </c>
    </row>
    <row r="266" ht="13.5" customFormat="1" customHeight="1" s="29">
      <c r="A266" s="65" t="inlineStr">
        <is>
          <t>Partners Fund SICAV Class I-N</t>
        </is>
      </c>
      <c r="B266" s="66" t="inlineStr">
        <is>
          <t>LU1912496582</t>
        </is>
      </c>
      <c r="C266" s="268" t="n"/>
      <c r="D266" s="269">
        <f>IF(H266=0,"Calendrier non disponible pour ce fonds — contacter la société de gestion.",IF(I266="","Calendrier connu jusqu'au "&amp;TEXT(K266,"dd/mm/yyyy")&amp;" — demander le calendrier à jour.","Cut-off : "&amp;TEXT(I266,"dd/mm/yyyy")&amp;"  |  VL : "&amp;TEXT(J266,"dd/mm/yyyy")))</f>
        <v/>
      </c>
      <c r="E266" s="269">
        <f>IF(L266=0,"Calendrier non disponible pour ce fonds — contacter la société de gestion.",IF(M266="","Calendrier connu jusqu'au "&amp;TEXT(P266,"dd/mm/yyyy")&amp;" — demander le calendrier à jour.","Cut-off : "&amp;TEXT(M266,"dd/mm/yyyy")&amp;"  |  VL : "&amp;TEXT(N266,"dd/mm/yyyy")))</f>
        <v/>
      </c>
      <c r="F266" s="269">
        <f>IF(L266=0,"Calendrier non disponible pour ce fonds.",IF(M266="","Calendrier connu jusqu'au "&amp;TEXT(P266,"dd/mm/yyyy")&amp;".",IF(O266="","Non précisé dans le calendrier pour cette échéance.","Réception : "&amp;TEXT(O266,"dd/mm/yyyy")&amp;"  (suite au rachat du "&amp;TEXT(N266,"dd/mm/yyyy")&amp;")")))</f>
        <v/>
      </c>
      <c r="G266" s="269">
        <f>_xlfn.IFS(S266="aucune","Aucune pénalité de sortie."&amp;IF(T266&lt;&gt;""," ("&amp;T266&amp;")",""),S266="manuel","⚠️ À VÉRIFIER MANUELLEMENT : "&amp;T266,S266="inconnue","Pénalité non renseignée — vérifier la notice / DICI du fonds.",$C266="","Saisir une date d'investissement pour statuer sur la pénalité.",Q266="FUTUR","Date d'investissement postérieure à aujourd'hui — vérifier la saisie.",AD266&gt;0,"⚠️ CONCERNÉ : pénalité de "&amp;AD266&amp;"% (détention "&amp;Q266&amp;" mois). "&amp;T266,TRUE,"Non concerné (détention "&amp;Q266&amp;" mois). "&amp;T266)</f>
        <v/>
      </c>
      <c r="H266">
        <f>COUNTIFS(BDD_Calendrier!$A$2:$A$616,$B266,BDD_Calendrier!$C$2:$C$616,"Souscription")</f>
        <v/>
      </c>
      <c r="I266">
        <f>IF(H266=0,"",IFERROR(_xlfn.MINIFS(BDD_Calendrier!$D$2:$D$616,BDD_Calendrier!$A$2:$A$616,$B266,BDD_Calendrier!$C$2:$C$616,"Souscription",BDD_Calendrier!$D$2:$D$616,"&gt;="&amp;TODAY()),""))</f>
        <v/>
      </c>
      <c r="J266">
        <f>IF(I266="","",IFERROR(INDEX(BDD_Calendrier!$E$2:$E$616,MATCH($B266&amp;"|Souscription|"&amp;TEXT(I266,"yyyy-mm-dd"),BDD_Calendrier!$I$2:$I$616,0)),""))</f>
        <v/>
      </c>
      <c r="K266">
        <f>IF(H266=0,"",_xlfn.MAXIFS(BDD_Calendrier!$D$2:$D$616,BDD_Calendrier!$A$2:$A$616,$B266,BDD_Calendrier!$C$2:$C$616,"Souscription"))</f>
        <v/>
      </c>
      <c r="L266">
        <f>COUNTIFS(BDD_Calendrier!$A$2:$A$616,$B266,BDD_Calendrier!$C$2:$C$616,"Rachat")</f>
        <v/>
      </c>
      <c r="M266">
        <f>IF(L266=0,"",IFERROR(_xlfn.MINIFS(BDD_Calendrier!$D$2:$D$616,BDD_Calendrier!$A$2:$A$616,$B266,BDD_Calendrier!$C$2:$C$616,"Rachat",BDD_Calendrier!$D$2:$D$616,"&gt;="&amp;TODAY()),""))</f>
        <v/>
      </c>
      <c r="N266">
        <f>IF(M266="","",IFERROR(INDEX(BDD_Calendrier!$E$2:$E$616,MATCH($B266&amp;"|Rachat|"&amp;TEXT(M266,"yyyy-mm-dd"),BDD_Calendrier!$I$2:$I$616,0)),""))</f>
        <v/>
      </c>
      <c r="O266">
        <f>IF(M266="","",IFERROR(INDEX(BDD_Calendrier!$H$2:$H$616,MATCH($B266&amp;"|Rachat|"&amp;TEXT(M266,"yyyy-mm-dd"),BDD_Calendrier!$I$2:$I$616,0)),""))</f>
        <v/>
      </c>
      <c r="P266">
        <f>IF(L266=0,"",_xlfn.MAXIFS(BDD_Calendrier!$D$2:$D$616,BDD_Calendrier!$A$2:$A$616,$B266,BDD_Calendrier!$C$2:$C$616,"Rachat"))</f>
        <v/>
      </c>
      <c r="Q266">
        <f>IF($C266="","",IF($C266&gt;TODAY(),"FUTUR",DATEDIF($C266,TODAY(),"m")))</f>
        <v/>
      </c>
      <c r="R266">
        <f>COUNTIF(BDD_Penalites!$A$2:$A$130,$B266)</f>
        <v/>
      </c>
      <c r="S266">
        <f>IF(R266=0,"inconnue",INDEX(BDD_Penalites!$C$2:$C$130,MATCH($B266,BDD_Penalites!$A$2:$A$130,0)))</f>
        <v/>
      </c>
      <c r="T266">
        <f>IF(R266=0,"",INDEX(BDD_Penalites!$M$2:$M$130,MATCH($B266,BDD_Penalites!$A$2:$A$130,0)))</f>
        <v/>
      </c>
      <c r="U266">
        <f>IF(R266=0,0,INDEX(BDD_Penalites!$D$2:$D$130,MATCH($B266,BDD_Penalites!$A$2:$A$130,0)))</f>
        <v/>
      </c>
      <c r="V266">
        <f>IF(R266=0,0,INDEX(BDD_Penalites!$E$2:$E$130,MATCH($B266,BDD_Penalites!$A$2:$A$130,0)))</f>
        <v/>
      </c>
      <c r="W266">
        <f>IF(R266=0,0,INDEX(BDD_Penalites!$F$2:$F$130,MATCH($B266,BDD_Penalites!$A$2:$A$130,0)))</f>
        <v/>
      </c>
      <c r="X266">
        <f>IF(R266=0,0,INDEX(BDD_Penalites!$G$2:$G$130,MATCH($B266,BDD_Penalites!$A$2:$A$130,0)))</f>
        <v/>
      </c>
      <c r="Y266">
        <f>IF(R266=0,0,INDEX(BDD_Penalites!$H$2:$H$130,MATCH($B266,BDD_Penalites!$A$2:$A$130,0)))</f>
        <v/>
      </c>
      <c r="Z266">
        <f>IF(R266=0,0,INDEX(BDD_Penalites!$I$2:$I$130,MATCH($B266,BDD_Penalites!$A$2:$A$130,0)))</f>
        <v/>
      </c>
      <c r="AA266">
        <f>IF(R266=0,0,INDEX(BDD_Penalites!$J$2:$J$130,MATCH($B266,BDD_Penalites!$A$2:$A$130,0)))</f>
        <v/>
      </c>
      <c r="AB266">
        <f>IF(R266=0,0,INDEX(BDD_Penalites!$K$2:$K$130,MATCH($B266,BDD_Penalites!$A$2:$A$130,0)))</f>
        <v/>
      </c>
      <c r="AC266">
        <f>IF(R266=0,0,INDEX(BDD_Penalites!$L$2:$L$130,MATCH($B266,BDD_Penalites!$A$2:$A$130,0)))</f>
        <v/>
      </c>
      <c r="AD266">
        <f>IF(OR($C266="",Q266="FUTUR"),"",_xlfn.IFS(Q266&lt;U266,V266,Q266&lt;W266,X266,Q266&lt;Y266,Z266,Q266&lt;AA266,AB266,TRUE,AC266))</f>
        <v/>
      </c>
    </row>
    <row r="267" ht="13.5" customFormat="1" customHeight="1" s="29">
      <c r="A267" s="65" t="inlineStr">
        <is>
          <t>Hamilton Lane Global Private Assets Fund - I EUR</t>
        </is>
      </c>
      <c r="B267" s="66" t="inlineStr">
        <is>
          <t>LU2097348770</t>
        </is>
      </c>
      <c r="C267" s="268" t="n"/>
      <c r="D267" s="269">
        <f>IF(H267=0,"Calendrier non disponible pour ce fonds — contacter la société de gestion.",IF(I267="","Calendrier connu jusqu'au "&amp;TEXT(K267,"dd/mm/yyyy")&amp;" — demander le calendrier à jour.","Cut-off : "&amp;TEXT(I267,"dd/mm/yyyy")&amp;"  |  VL : "&amp;TEXT(J267,"dd/mm/yyyy")))</f>
        <v/>
      </c>
      <c r="E267" s="269">
        <f>IF(L267=0,"Calendrier non disponible pour ce fonds — contacter la société de gestion.",IF(M267="","Calendrier connu jusqu'au "&amp;TEXT(P267,"dd/mm/yyyy")&amp;" — demander le calendrier à jour.","Cut-off : "&amp;TEXT(M267,"dd/mm/yyyy")&amp;"  |  VL : "&amp;TEXT(N267,"dd/mm/yyyy")))</f>
        <v/>
      </c>
      <c r="F267" s="269">
        <f>IF(L267=0,"Calendrier non disponible pour ce fonds.",IF(M267="","Calendrier connu jusqu'au "&amp;TEXT(P267,"dd/mm/yyyy")&amp;".",IF(O267="","Non précisé dans le calendrier pour cette échéance.","Réception : "&amp;TEXT(O267,"dd/mm/yyyy")&amp;"  (suite au rachat du "&amp;TEXT(N267,"dd/mm/yyyy")&amp;")")))</f>
        <v/>
      </c>
      <c r="G267" s="269">
        <f>_xlfn.IFS(S267="aucune","Aucune pénalité de sortie."&amp;IF(T267&lt;&gt;""," ("&amp;T267&amp;")",""),S267="manuel","⚠️ À VÉRIFIER MANUELLEMENT : "&amp;T267,S267="inconnue","Pénalité non renseignée — vérifier la notice / DICI du fonds.",$C267="","Saisir une date d'investissement pour statuer sur la pénalité.",Q267="FUTUR","Date d'investissement postérieure à aujourd'hui — vérifier la saisie.",AD267&gt;0,"⚠️ CONCERNÉ : pénalité de "&amp;AD267&amp;"% (détention "&amp;Q267&amp;" mois). "&amp;T267,TRUE,"Non concerné (détention "&amp;Q267&amp;" mois). "&amp;T267)</f>
        <v/>
      </c>
      <c r="H267">
        <f>COUNTIFS(BDD_Calendrier!$A$2:$A$616,$B267,BDD_Calendrier!$C$2:$C$616,"Souscription")</f>
        <v/>
      </c>
      <c r="I267">
        <f>IF(H267=0,"",IFERROR(_xlfn.MINIFS(BDD_Calendrier!$D$2:$D$616,BDD_Calendrier!$A$2:$A$616,$B267,BDD_Calendrier!$C$2:$C$616,"Souscription",BDD_Calendrier!$D$2:$D$616,"&gt;="&amp;TODAY()),""))</f>
        <v/>
      </c>
      <c r="J267">
        <f>IF(I267="","",IFERROR(INDEX(BDD_Calendrier!$E$2:$E$616,MATCH($B267&amp;"|Souscription|"&amp;TEXT(I267,"yyyy-mm-dd"),BDD_Calendrier!$I$2:$I$616,0)),""))</f>
        <v/>
      </c>
      <c r="K267">
        <f>IF(H267=0,"",_xlfn.MAXIFS(BDD_Calendrier!$D$2:$D$616,BDD_Calendrier!$A$2:$A$616,$B267,BDD_Calendrier!$C$2:$C$616,"Souscription"))</f>
        <v/>
      </c>
      <c r="L267">
        <f>COUNTIFS(BDD_Calendrier!$A$2:$A$616,$B267,BDD_Calendrier!$C$2:$C$616,"Rachat")</f>
        <v/>
      </c>
      <c r="M267">
        <f>IF(L267=0,"",IFERROR(_xlfn.MINIFS(BDD_Calendrier!$D$2:$D$616,BDD_Calendrier!$A$2:$A$616,$B267,BDD_Calendrier!$C$2:$C$616,"Rachat",BDD_Calendrier!$D$2:$D$616,"&gt;="&amp;TODAY()),""))</f>
        <v/>
      </c>
      <c r="N267">
        <f>IF(M267="","",IFERROR(INDEX(BDD_Calendrier!$E$2:$E$616,MATCH($B267&amp;"|Rachat|"&amp;TEXT(M267,"yyyy-mm-dd"),BDD_Calendrier!$I$2:$I$616,0)),""))</f>
        <v/>
      </c>
      <c r="O267">
        <f>IF(M267="","",IFERROR(INDEX(BDD_Calendrier!$H$2:$H$616,MATCH($B267&amp;"|Rachat|"&amp;TEXT(M267,"yyyy-mm-dd"),BDD_Calendrier!$I$2:$I$616,0)),""))</f>
        <v/>
      </c>
      <c r="P267">
        <f>IF(L267=0,"",_xlfn.MAXIFS(BDD_Calendrier!$D$2:$D$616,BDD_Calendrier!$A$2:$A$616,$B267,BDD_Calendrier!$C$2:$C$616,"Rachat"))</f>
        <v/>
      </c>
      <c r="Q267">
        <f>IF($C267="","",IF($C267&gt;TODAY(),"FUTUR",DATEDIF($C267,TODAY(),"m")))</f>
        <v/>
      </c>
      <c r="R267">
        <f>COUNTIF(BDD_Penalites!$A$2:$A$130,$B267)</f>
        <v/>
      </c>
      <c r="S267">
        <f>IF(R267=0,"inconnue",INDEX(BDD_Penalites!$C$2:$C$130,MATCH($B267,BDD_Penalites!$A$2:$A$130,0)))</f>
        <v/>
      </c>
      <c r="T267">
        <f>IF(R267=0,"",INDEX(BDD_Penalites!$M$2:$M$130,MATCH($B267,BDD_Penalites!$A$2:$A$130,0)))</f>
        <v/>
      </c>
      <c r="U267">
        <f>IF(R267=0,0,INDEX(BDD_Penalites!$D$2:$D$130,MATCH($B267,BDD_Penalites!$A$2:$A$130,0)))</f>
        <v/>
      </c>
      <c r="V267">
        <f>IF(R267=0,0,INDEX(BDD_Penalites!$E$2:$E$130,MATCH($B267,BDD_Penalites!$A$2:$A$130,0)))</f>
        <v/>
      </c>
      <c r="W267">
        <f>IF(R267=0,0,INDEX(BDD_Penalites!$F$2:$F$130,MATCH($B267,BDD_Penalites!$A$2:$A$130,0)))</f>
        <v/>
      </c>
      <c r="X267">
        <f>IF(R267=0,0,INDEX(BDD_Penalites!$G$2:$G$130,MATCH($B267,BDD_Penalites!$A$2:$A$130,0)))</f>
        <v/>
      </c>
      <c r="Y267">
        <f>IF(R267=0,0,INDEX(BDD_Penalites!$H$2:$H$130,MATCH($B267,BDD_Penalites!$A$2:$A$130,0)))</f>
        <v/>
      </c>
      <c r="Z267">
        <f>IF(R267=0,0,INDEX(BDD_Penalites!$I$2:$I$130,MATCH($B267,BDD_Penalites!$A$2:$A$130,0)))</f>
        <v/>
      </c>
      <c r="AA267">
        <f>IF(R267=0,0,INDEX(BDD_Penalites!$J$2:$J$130,MATCH($B267,BDD_Penalites!$A$2:$A$130,0)))</f>
        <v/>
      </c>
      <c r="AB267">
        <f>IF(R267=0,0,INDEX(BDD_Penalites!$K$2:$K$130,MATCH($B267,BDD_Penalites!$A$2:$A$130,0)))</f>
        <v/>
      </c>
      <c r="AC267">
        <f>IF(R267=0,0,INDEX(BDD_Penalites!$L$2:$L$130,MATCH($B267,BDD_Penalites!$A$2:$A$130,0)))</f>
        <v/>
      </c>
      <c r="AD267">
        <f>IF(OR($C267="",Q267="FUTUR"),"",_xlfn.IFS(Q267&lt;U267,V267,Q267&lt;W267,X267,Q267&lt;Y267,Z267,Q267&lt;AA267,AB267,TRUE,AC267))</f>
        <v/>
      </c>
    </row>
    <row r="268" ht="13.5" customFormat="1" customHeight="1" s="29">
      <c r="A268" s="65" t="inlineStr">
        <is>
          <t>LGT Multi-Alternatives Sub-Fund Class F (EUR)</t>
        </is>
      </c>
      <c r="B268" s="66" t="inlineStr">
        <is>
          <t>IE00BK5BHW86</t>
        </is>
      </c>
      <c r="C268" s="268" t="n"/>
      <c r="D268" s="269">
        <f>IF(H268=0,"Calendrier non disponible pour ce fonds — contacter la société de gestion.",IF(I268="","Calendrier connu jusqu'au "&amp;TEXT(K268,"dd/mm/yyyy")&amp;" — demander le calendrier à jour.","Cut-off : "&amp;TEXT(I268,"dd/mm/yyyy")&amp;"  |  VL : "&amp;TEXT(J268,"dd/mm/yyyy")))</f>
        <v/>
      </c>
      <c r="E268" s="269">
        <f>IF(L268=0,"Calendrier non disponible pour ce fonds — contacter la société de gestion.",IF(M268="","Calendrier connu jusqu'au "&amp;TEXT(P268,"dd/mm/yyyy")&amp;" — demander le calendrier à jour.","Cut-off : "&amp;TEXT(M268,"dd/mm/yyyy")&amp;"  |  VL : "&amp;TEXT(N268,"dd/mm/yyyy")))</f>
        <v/>
      </c>
      <c r="F268" s="269">
        <f>IF(L268=0,"Calendrier non disponible pour ce fonds.",IF(M268="","Calendrier connu jusqu'au "&amp;TEXT(P268,"dd/mm/yyyy")&amp;".",IF(O268="","Non précisé dans le calendrier pour cette échéance.","Réception : "&amp;TEXT(O268,"dd/mm/yyyy")&amp;"  (suite au rachat du "&amp;TEXT(N268,"dd/mm/yyyy")&amp;")")))</f>
        <v/>
      </c>
      <c r="G268" s="269">
        <f>_xlfn.IFS(S268="aucune","Aucune pénalité de sortie."&amp;IF(T268&lt;&gt;""," ("&amp;T268&amp;")",""),S268="manuel","⚠️ À VÉRIFIER MANUELLEMENT : "&amp;T268,S268="inconnue","Pénalité non renseignée — vérifier la notice / DICI du fonds.",$C268="","Saisir une date d'investissement pour statuer sur la pénalité.",Q268="FUTUR","Date d'investissement postérieure à aujourd'hui — vérifier la saisie.",AD268&gt;0,"⚠️ CONCERNÉ : pénalité de "&amp;AD268&amp;"% (détention "&amp;Q268&amp;" mois). "&amp;T268,TRUE,"Non concerné (détention "&amp;Q268&amp;" mois). "&amp;T268)</f>
        <v/>
      </c>
      <c r="H268">
        <f>COUNTIFS(BDD_Calendrier!$A$2:$A$616,$B268,BDD_Calendrier!$C$2:$C$616,"Souscription")</f>
        <v/>
      </c>
      <c r="I268">
        <f>IF(H268=0,"",IFERROR(_xlfn.MINIFS(BDD_Calendrier!$D$2:$D$616,BDD_Calendrier!$A$2:$A$616,$B268,BDD_Calendrier!$C$2:$C$616,"Souscription",BDD_Calendrier!$D$2:$D$616,"&gt;="&amp;TODAY()),""))</f>
        <v/>
      </c>
      <c r="J268">
        <f>IF(I268="","",IFERROR(INDEX(BDD_Calendrier!$E$2:$E$616,MATCH($B268&amp;"|Souscription|"&amp;TEXT(I268,"yyyy-mm-dd"),BDD_Calendrier!$I$2:$I$616,0)),""))</f>
        <v/>
      </c>
      <c r="K268">
        <f>IF(H268=0,"",_xlfn.MAXIFS(BDD_Calendrier!$D$2:$D$616,BDD_Calendrier!$A$2:$A$616,$B268,BDD_Calendrier!$C$2:$C$616,"Souscription"))</f>
        <v/>
      </c>
      <c r="L268">
        <f>COUNTIFS(BDD_Calendrier!$A$2:$A$616,$B268,BDD_Calendrier!$C$2:$C$616,"Rachat")</f>
        <v/>
      </c>
      <c r="M268">
        <f>IF(L268=0,"",IFERROR(_xlfn.MINIFS(BDD_Calendrier!$D$2:$D$616,BDD_Calendrier!$A$2:$A$616,$B268,BDD_Calendrier!$C$2:$C$616,"Rachat",BDD_Calendrier!$D$2:$D$616,"&gt;="&amp;TODAY()),""))</f>
        <v/>
      </c>
      <c r="N268">
        <f>IF(M268="","",IFERROR(INDEX(BDD_Calendrier!$E$2:$E$616,MATCH($B268&amp;"|Rachat|"&amp;TEXT(M268,"yyyy-mm-dd"),BDD_Calendrier!$I$2:$I$616,0)),""))</f>
        <v/>
      </c>
      <c r="O268">
        <f>IF(M268="","",IFERROR(INDEX(BDD_Calendrier!$H$2:$H$616,MATCH($B268&amp;"|Rachat|"&amp;TEXT(M268,"yyyy-mm-dd"),BDD_Calendrier!$I$2:$I$616,0)),""))</f>
        <v/>
      </c>
      <c r="P268">
        <f>IF(L268=0,"",_xlfn.MAXIFS(BDD_Calendrier!$D$2:$D$616,BDD_Calendrier!$A$2:$A$616,$B268,BDD_Calendrier!$C$2:$C$616,"Rachat"))</f>
        <v/>
      </c>
      <c r="Q268">
        <f>IF($C268="","",IF($C268&gt;TODAY(),"FUTUR",DATEDIF($C268,TODAY(),"m")))</f>
        <v/>
      </c>
      <c r="R268">
        <f>COUNTIF(BDD_Penalites!$A$2:$A$130,$B268)</f>
        <v/>
      </c>
      <c r="S268">
        <f>IF(R268=0,"inconnue",INDEX(BDD_Penalites!$C$2:$C$130,MATCH($B268,BDD_Penalites!$A$2:$A$130,0)))</f>
        <v/>
      </c>
      <c r="T268">
        <f>IF(R268=0,"",INDEX(BDD_Penalites!$M$2:$M$130,MATCH($B268,BDD_Penalites!$A$2:$A$130,0)))</f>
        <v/>
      </c>
      <c r="U268">
        <f>IF(R268=0,0,INDEX(BDD_Penalites!$D$2:$D$130,MATCH($B268,BDD_Penalites!$A$2:$A$130,0)))</f>
        <v/>
      </c>
      <c r="V268">
        <f>IF(R268=0,0,INDEX(BDD_Penalites!$E$2:$E$130,MATCH($B268,BDD_Penalites!$A$2:$A$130,0)))</f>
        <v/>
      </c>
      <c r="W268">
        <f>IF(R268=0,0,INDEX(BDD_Penalites!$F$2:$F$130,MATCH($B268,BDD_Penalites!$A$2:$A$130,0)))</f>
        <v/>
      </c>
      <c r="X268">
        <f>IF(R268=0,0,INDEX(BDD_Penalites!$G$2:$G$130,MATCH($B268,BDD_Penalites!$A$2:$A$130,0)))</f>
        <v/>
      </c>
      <c r="Y268">
        <f>IF(R268=0,0,INDEX(BDD_Penalites!$H$2:$H$130,MATCH($B268,BDD_Penalites!$A$2:$A$130,0)))</f>
        <v/>
      </c>
      <c r="Z268">
        <f>IF(R268=0,0,INDEX(BDD_Penalites!$I$2:$I$130,MATCH($B268,BDD_Penalites!$A$2:$A$130,0)))</f>
        <v/>
      </c>
      <c r="AA268">
        <f>IF(R268=0,0,INDEX(BDD_Penalites!$J$2:$J$130,MATCH($B268,BDD_Penalites!$A$2:$A$130,0)))</f>
        <v/>
      </c>
      <c r="AB268">
        <f>IF(R268=0,0,INDEX(BDD_Penalites!$K$2:$K$130,MATCH($B268,BDD_Penalites!$A$2:$A$130,0)))</f>
        <v/>
      </c>
      <c r="AC268">
        <f>IF(R268=0,0,INDEX(BDD_Penalites!$L$2:$L$130,MATCH($B268,BDD_Penalites!$A$2:$A$130,0)))</f>
        <v/>
      </c>
      <c r="AD268">
        <f>IF(OR($C268="",Q268="FUTUR"),"",_xlfn.IFS(Q268&lt;U268,V268,Q268&lt;W268,X268,Q268&lt;Y268,Z268,Q268&lt;AA268,AB268,TRUE,AC268))</f>
        <v/>
      </c>
    </row>
    <row r="269" ht="13.5" customHeight="1">
      <c r="A269" s="65" t="inlineStr">
        <is>
          <t>Andera Co-Invest I</t>
        </is>
      </c>
      <c r="B269" s="66" t="inlineStr">
        <is>
          <t>FR0014007HA4</t>
        </is>
      </c>
      <c r="C269" s="268" t="n"/>
      <c r="D269" s="269">
        <f>IF(H269=0,"Calendrier non disponible pour ce fonds — contacter la société de gestion.",IF(I269="","Calendrier connu jusqu'au "&amp;TEXT(K269,"dd/mm/yyyy")&amp;" — demander le calendrier à jour.","Cut-off : "&amp;TEXT(I269,"dd/mm/yyyy")&amp;"  |  VL : "&amp;TEXT(J269,"dd/mm/yyyy")))</f>
        <v/>
      </c>
      <c r="E269" s="269">
        <f>IF(L269=0,"Calendrier non disponible pour ce fonds — contacter la société de gestion.",IF(M269="","Calendrier connu jusqu'au "&amp;TEXT(P269,"dd/mm/yyyy")&amp;" — demander le calendrier à jour.","Cut-off : "&amp;TEXT(M269,"dd/mm/yyyy")&amp;"  |  VL : "&amp;TEXT(N269,"dd/mm/yyyy")))</f>
        <v/>
      </c>
      <c r="F269" s="269">
        <f>IF(L269=0,"Calendrier non disponible pour ce fonds.",IF(M269="","Calendrier connu jusqu'au "&amp;TEXT(P269,"dd/mm/yyyy")&amp;".",IF(O269="","Non précisé dans le calendrier pour cette échéance.","Réception : "&amp;TEXT(O269,"dd/mm/yyyy")&amp;"  (suite au rachat du "&amp;TEXT(N269,"dd/mm/yyyy")&amp;")")))</f>
        <v/>
      </c>
      <c r="G269" s="269">
        <f>_xlfn.IFS(S269="aucune","Aucune pénalité de sortie."&amp;IF(T269&lt;&gt;""," ("&amp;T269&amp;")",""),S269="manuel","⚠️ À VÉRIFIER MANUELLEMENT : "&amp;T269,S269="inconnue","Pénalité non renseignée — vérifier la notice / DICI du fonds.",$C269="","Saisir une date d'investissement pour statuer sur la pénalité.",Q269="FUTUR","Date d'investissement postérieure à aujourd'hui — vérifier la saisie.",AD269&gt;0,"⚠️ CONCERNÉ : pénalité de "&amp;AD269&amp;"% (détention "&amp;Q269&amp;" mois). "&amp;T269,TRUE,"Non concerné (détention "&amp;Q269&amp;" mois). "&amp;T269)</f>
        <v/>
      </c>
      <c r="H269">
        <f>COUNTIFS(BDD_Calendrier!$A$2:$A$616,$B269,BDD_Calendrier!$C$2:$C$616,"Souscription")</f>
        <v/>
      </c>
      <c r="I269">
        <f>IF(H269=0,"",IFERROR(_xlfn.MINIFS(BDD_Calendrier!$D$2:$D$616,BDD_Calendrier!$A$2:$A$616,$B269,BDD_Calendrier!$C$2:$C$616,"Souscription",BDD_Calendrier!$D$2:$D$616,"&gt;="&amp;TODAY()),""))</f>
        <v/>
      </c>
      <c r="J269">
        <f>IF(I269="","",IFERROR(INDEX(BDD_Calendrier!$E$2:$E$616,MATCH($B269&amp;"|Souscription|"&amp;TEXT(I269,"yyyy-mm-dd"),BDD_Calendrier!$I$2:$I$616,0)),""))</f>
        <v/>
      </c>
      <c r="K269">
        <f>IF(H269=0,"",_xlfn.MAXIFS(BDD_Calendrier!$D$2:$D$616,BDD_Calendrier!$A$2:$A$616,$B269,BDD_Calendrier!$C$2:$C$616,"Souscription"))</f>
        <v/>
      </c>
      <c r="L269">
        <f>COUNTIFS(BDD_Calendrier!$A$2:$A$616,$B269,BDD_Calendrier!$C$2:$C$616,"Rachat")</f>
        <v/>
      </c>
      <c r="M269">
        <f>IF(L269=0,"",IFERROR(_xlfn.MINIFS(BDD_Calendrier!$D$2:$D$616,BDD_Calendrier!$A$2:$A$616,$B269,BDD_Calendrier!$C$2:$C$616,"Rachat",BDD_Calendrier!$D$2:$D$616,"&gt;="&amp;TODAY()),""))</f>
        <v/>
      </c>
      <c r="N269">
        <f>IF(M269="","",IFERROR(INDEX(BDD_Calendrier!$E$2:$E$616,MATCH($B269&amp;"|Rachat|"&amp;TEXT(M269,"yyyy-mm-dd"),BDD_Calendrier!$I$2:$I$616,0)),""))</f>
        <v/>
      </c>
      <c r="O269">
        <f>IF(M269="","",IFERROR(INDEX(BDD_Calendrier!$H$2:$H$616,MATCH($B269&amp;"|Rachat|"&amp;TEXT(M269,"yyyy-mm-dd"),BDD_Calendrier!$I$2:$I$616,0)),""))</f>
        <v/>
      </c>
      <c r="P269">
        <f>IF(L269=0,"",_xlfn.MAXIFS(BDD_Calendrier!$D$2:$D$616,BDD_Calendrier!$A$2:$A$616,$B269,BDD_Calendrier!$C$2:$C$616,"Rachat"))</f>
        <v/>
      </c>
      <c r="Q269">
        <f>IF($C269="","",IF($C269&gt;TODAY(),"FUTUR",DATEDIF($C269,TODAY(),"m")))</f>
        <v/>
      </c>
      <c r="R269">
        <f>COUNTIF(BDD_Penalites!$A$2:$A$130,$B269)</f>
        <v/>
      </c>
      <c r="S269">
        <f>IF(R269=0,"inconnue",INDEX(BDD_Penalites!$C$2:$C$130,MATCH($B269,BDD_Penalites!$A$2:$A$130,0)))</f>
        <v/>
      </c>
      <c r="T269">
        <f>IF(R269=0,"",INDEX(BDD_Penalites!$M$2:$M$130,MATCH($B269,BDD_Penalites!$A$2:$A$130,0)))</f>
        <v/>
      </c>
      <c r="U269">
        <f>IF(R269=0,0,INDEX(BDD_Penalites!$D$2:$D$130,MATCH($B269,BDD_Penalites!$A$2:$A$130,0)))</f>
        <v/>
      </c>
      <c r="V269">
        <f>IF(R269=0,0,INDEX(BDD_Penalites!$E$2:$E$130,MATCH($B269,BDD_Penalites!$A$2:$A$130,0)))</f>
        <v/>
      </c>
      <c r="W269">
        <f>IF(R269=0,0,INDEX(BDD_Penalites!$F$2:$F$130,MATCH($B269,BDD_Penalites!$A$2:$A$130,0)))</f>
        <v/>
      </c>
      <c r="X269">
        <f>IF(R269=0,0,INDEX(BDD_Penalites!$G$2:$G$130,MATCH($B269,BDD_Penalites!$A$2:$A$130,0)))</f>
        <v/>
      </c>
      <c r="Y269">
        <f>IF(R269=0,0,INDEX(BDD_Penalites!$H$2:$H$130,MATCH($B269,BDD_Penalites!$A$2:$A$130,0)))</f>
        <v/>
      </c>
      <c r="Z269">
        <f>IF(R269=0,0,INDEX(BDD_Penalites!$I$2:$I$130,MATCH($B269,BDD_Penalites!$A$2:$A$130,0)))</f>
        <v/>
      </c>
      <c r="AA269">
        <f>IF(R269=0,0,INDEX(BDD_Penalites!$J$2:$J$130,MATCH($B269,BDD_Penalites!$A$2:$A$130,0)))</f>
        <v/>
      </c>
      <c r="AB269">
        <f>IF(R269=0,0,INDEX(BDD_Penalites!$K$2:$K$130,MATCH($B269,BDD_Penalites!$A$2:$A$130,0)))</f>
        <v/>
      </c>
      <c r="AC269">
        <f>IF(R269=0,0,INDEX(BDD_Penalites!$L$2:$L$130,MATCH($B269,BDD_Penalites!$A$2:$A$130,0)))</f>
        <v/>
      </c>
      <c r="AD269">
        <f>IF(OR($C269="",Q269="FUTUR"),"",_xlfn.IFS(Q269&lt;U269,V269,Q269&lt;W269,X269,Q269&lt;Y269,Z269,Q269&lt;AA269,AB269,TRUE,AC269))</f>
        <v/>
      </c>
    </row>
    <row r="270" ht="13.5" customHeight="1">
      <c r="A270" s="65" t="inlineStr">
        <is>
          <t>Apax Private Equity Opportunities</t>
        </is>
      </c>
      <c r="B270" s="66" t="inlineStr">
        <is>
          <t>FR0013533619</t>
        </is>
      </c>
      <c r="C270" s="268" t="n"/>
      <c r="D270" s="269">
        <f>IF(H270=0,"Calendrier non disponible pour ce fonds — contacter la société de gestion.",IF(I270="","Calendrier connu jusqu'au "&amp;TEXT(K270,"dd/mm/yyyy")&amp;" — demander le calendrier à jour.","Cut-off : "&amp;TEXT(I270,"dd/mm/yyyy")&amp;"  |  VL : "&amp;TEXT(J270,"dd/mm/yyyy")))</f>
        <v/>
      </c>
      <c r="E270" s="269">
        <f>IF(L270=0,"Calendrier non disponible pour ce fonds — contacter la société de gestion.",IF(M270="","Calendrier connu jusqu'au "&amp;TEXT(P270,"dd/mm/yyyy")&amp;" — demander le calendrier à jour.","Cut-off : "&amp;TEXT(M270,"dd/mm/yyyy")&amp;"  |  VL : "&amp;TEXT(N270,"dd/mm/yyyy")))</f>
        <v/>
      </c>
      <c r="F270" s="269">
        <f>IF(L270=0,"Calendrier non disponible pour ce fonds.",IF(M270="","Calendrier connu jusqu'au "&amp;TEXT(P270,"dd/mm/yyyy")&amp;".",IF(O270="","Non précisé dans le calendrier pour cette échéance.","Réception : "&amp;TEXT(O270,"dd/mm/yyyy")&amp;"  (suite au rachat du "&amp;TEXT(N270,"dd/mm/yyyy")&amp;")")))</f>
        <v/>
      </c>
      <c r="G270" s="269">
        <f>_xlfn.IFS(S270="aucune","Aucune pénalité de sortie."&amp;IF(T270&lt;&gt;""," ("&amp;T270&amp;")",""),S270="manuel","⚠️ À VÉRIFIER MANUELLEMENT : "&amp;T270,S270="inconnue","Pénalité non renseignée — vérifier la notice / DICI du fonds.",$C270="","Saisir une date d'investissement pour statuer sur la pénalité.",Q270="FUTUR","Date d'investissement postérieure à aujourd'hui — vérifier la saisie.",AD270&gt;0,"⚠️ CONCERNÉ : pénalité de "&amp;AD270&amp;"% (détention "&amp;Q270&amp;" mois). "&amp;T270,TRUE,"Non concerné (détention "&amp;Q270&amp;" mois). "&amp;T270)</f>
        <v/>
      </c>
      <c r="H270">
        <f>COUNTIFS(BDD_Calendrier!$A$2:$A$616,$B270,BDD_Calendrier!$C$2:$C$616,"Souscription")</f>
        <v/>
      </c>
      <c r="I270">
        <f>IF(H270=0,"",IFERROR(_xlfn.MINIFS(BDD_Calendrier!$D$2:$D$616,BDD_Calendrier!$A$2:$A$616,$B270,BDD_Calendrier!$C$2:$C$616,"Souscription",BDD_Calendrier!$D$2:$D$616,"&gt;="&amp;TODAY()),""))</f>
        <v/>
      </c>
      <c r="J270">
        <f>IF(I270="","",IFERROR(INDEX(BDD_Calendrier!$E$2:$E$616,MATCH($B270&amp;"|Souscription|"&amp;TEXT(I270,"yyyy-mm-dd"),BDD_Calendrier!$I$2:$I$616,0)),""))</f>
        <v/>
      </c>
      <c r="K270">
        <f>IF(H270=0,"",_xlfn.MAXIFS(BDD_Calendrier!$D$2:$D$616,BDD_Calendrier!$A$2:$A$616,$B270,BDD_Calendrier!$C$2:$C$616,"Souscription"))</f>
        <v/>
      </c>
      <c r="L270">
        <f>COUNTIFS(BDD_Calendrier!$A$2:$A$616,$B270,BDD_Calendrier!$C$2:$C$616,"Rachat")</f>
        <v/>
      </c>
      <c r="M270">
        <f>IF(L270=0,"",IFERROR(_xlfn.MINIFS(BDD_Calendrier!$D$2:$D$616,BDD_Calendrier!$A$2:$A$616,$B270,BDD_Calendrier!$C$2:$C$616,"Rachat",BDD_Calendrier!$D$2:$D$616,"&gt;="&amp;TODAY()),""))</f>
        <v/>
      </c>
      <c r="N270">
        <f>IF(M270="","",IFERROR(INDEX(BDD_Calendrier!$E$2:$E$616,MATCH($B270&amp;"|Rachat|"&amp;TEXT(M270,"yyyy-mm-dd"),BDD_Calendrier!$I$2:$I$616,0)),""))</f>
        <v/>
      </c>
      <c r="O270">
        <f>IF(M270="","",IFERROR(INDEX(BDD_Calendrier!$H$2:$H$616,MATCH($B270&amp;"|Rachat|"&amp;TEXT(M270,"yyyy-mm-dd"),BDD_Calendrier!$I$2:$I$616,0)),""))</f>
        <v/>
      </c>
      <c r="P270">
        <f>IF(L270=0,"",_xlfn.MAXIFS(BDD_Calendrier!$D$2:$D$616,BDD_Calendrier!$A$2:$A$616,$B270,BDD_Calendrier!$C$2:$C$616,"Rachat"))</f>
        <v/>
      </c>
      <c r="Q270">
        <f>IF($C270="","",IF($C270&gt;TODAY(),"FUTUR",DATEDIF($C270,TODAY(),"m")))</f>
        <v/>
      </c>
      <c r="R270">
        <f>COUNTIF(BDD_Penalites!$A$2:$A$130,$B270)</f>
        <v/>
      </c>
      <c r="S270">
        <f>IF(R270=0,"inconnue",INDEX(BDD_Penalites!$C$2:$C$130,MATCH($B270,BDD_Penalites!$A$2:$A$130,0)))</f>
        <v/>
      </c>
      <c r="T270">
        <f>IF(R270=0,"",INDEX(BDD_Penalites!$M$2:$M$130,MATCH($B270,BDD_Penalites!$A$2:$A$130,0)))</f>
        <v/>
      </c>
      <c r="U270">
        <f>IF(R270=0,0,INDEX(BDD_Penalites!$D$2:$D$130,MATCH($B270,BDD_Penalites!$A$2:$A$130,0)))</f>
        <v/>
      </c>
      <c r="V270">
        <f>IF(R270=0,0,INDEX(BDD_Penalites!$E$2:$E$130,MATCH($B270,BDD_Penalites!$A$2:$A$130,0)))</f>
        <v/>
      </c>
      <c r="W270">
        <f>IF(R270=0,0,INDEX(BDD_Penalites!$F$2:$F$130,MATCH($B270,BDD_Penalites!$A$2:$A$130,0)))</f>
        <v/>
      </c>
      <c r="X270">
        <f>IF(R270=0,0,INDEX(BDD_Penalites!$G$2:$G$130,MATCH($B270,BDD_Penalites!$A$2:$A$130,0)))</f>
        <v/>
      </c>
      <c r="Y270">
        <f>IF(R270=0,0,INDEX(BDD_Penalites!$H$2:$H$130,MATCH($B270,BDD_Penalites!$A$2:$A$130,0)))</f>
        <v/>
      </c>
      <c r="Z270">
        <f>IF(R270=0,0,INDEX(BDD_Penalites!$I$2:$I$130,MATCH($B270,BDD_Penalites!$A$2:$A$130,0)))</f>
        <v/>
      </c>
      <c r="AA270">
        <f>IF(R270=0,0,INDEX(BDD_Penalites!$J$2:$J$130,MATCH($B270,BDD_Penalites!$A$2:$A$130,0)))</f>
        <v/>
      </c>
      <c r="AB270">
        <f>IF(R270=0,0,INDEX(BDD_Penalites!$K$2:$K$130,MATCH($B270,BDD_Penalites!$A$2:$A$130,0)))</f>
        <v/>
      </c>
      <c r="AC270">
        <f>IF(R270=0,0,INDEX(BDD_Penalites!$L$2:$L$130,MATCH($B270,BDD_Penalites!$A$2:$A$130,0)))</f>
        <v/>
      </c>
      <c r="AD270">
        <f>IF(OR($C270="",Q270="FUTUR"),"",_xlfn.IFS(Q270&lt;U270,V270,Q270&lt;W270,X270,Q270&lt;Y270,Z270,Q270&lt;AA270,AB270,TRUE,AC270))</f>
        <v/>
      </c>
    </row>
    <row r="271" ht="13.5" customHeight="1">
      <c r="A271" s="65" t="inlineStr">
        <is>
          <t>Partners Fund SICAV Class R-N</t>
        </is>
      </c>
      <c r="B271" s="66" t="inlineStr">
        <is>
          <t>LU1912497127</t>
        </is>
      </c>
      <c r="C271" s="268" t="n"/>
      <c r="D271" s="269">
        <f>IF(H271=0,"Calendrier non disponible pour ce fonds — contacter la société de gestion.",IF(I271="","Calendrier connu jusqu'au "&amp;TEXT(K271,"dd/mm/yyyy")&amp;" — demander le calendrier à jour.","Cut-off : "&amp;TEXT(I271,"dd/mm/yyyy")&amp;"  |  VL : "&amp;TEXT(J271,"dd/mm/yyyy")))</f>
        <v/>
      </c>
      <c r="E271" s="269">
        <f>IF(L271=0,"Calendrier non disponible pour ce fonds — contacter la société de gestion.",IF(M271="","Calendrier connu jusqu'au "&amp;TEXT(P271,"dd/mm/yyyy")&amp;" — demander le calendrier à jour.","Cut-off : "&amp;TEXT(M271,"dd/mm/yyyy")&amp;"  |  VL : "&amp;TEXT(N271,"dd/mm/yyyy")))</f>
        <v/>
      </c>
      <c r="F271" s="269">
        <f>IF(L271=0,"Calendrier non disponible pour ce fonds.",IF(M271="","Calendrier connu jusqu'au "&amp;TEXT(P271,"dd/mm/yyyy")&amp;".",IF(O271="","Non précisé dans le calendrier pour cette échéance.","Réception : "&amp;TEXT(O271,"dd/mm/yyyy")&amp;"  (suite au rachat du "&amp;TEXT(N271,"dd/mm/yyyy")&amp;")")))</f>
        <v/>
      </c>
      <c r="G271" s="269">
        <f>_xlfn.IFS(S271="aucune","Aucune pénalité de sortie."&amp;IF(T271&lt;&gt;""," ("&amp;T271&amp;")",""),S271="manuel","⚠️ À VÉRIFIER MANUELLEMENT : "&amp;T271,S271="inconnue","Pénalité non renseignée — vérifier la notice / DICI du fonds.",$C271="","Saisir une date d'investissement pour statuer sur la pénalité.",Q271="FUTUR","Date d'investissement postérieure à aujourd'hui — vérifier la saisie.",AD271&gt;0,"⚠️ CONCERNÉ : pénalité de "&amp;AD271&amp;"% (détention "&amp;Q271&amp;" mois). "&amp;T271,TRUE,"Non concerné (détention "&amp;Q271&amp;" mois). "&amp;T271)</f>
        <v/>
      </c>
      <c r="H271">
        <f>COUNTIFS(BDD_Calendrier!$A$2:$A$616,$B271,BDD_Calendrier!$C$2:$C$616,"Souscription")</f>
        <v/>
      </c>
      <c r="I271">
        <f>IF(H271=0,"",IFERROR(_xlfn.MINIFS(BDD_Calendrier!$D$2:$D$616,BDD_Calendrier!$A$2:$A$616,$B271,BDD_Calendrier!$C$2:$C$616,"Souscription",BDD_Calendrier!$D$2:$D$616,"&gt;="&amp;TODAY()),""))</f>
        <v/>
      </c>
      <c r="J271">
        <f>IF(I271="","",IFERROR(INDEX(BDD_Calendrier!$E$2:$E$616,MATCH($B271&amp;"|Souscription|"&amp;TEXT(I271,"yyyy-mm-dd"),BDD_Calendrier!$I$2:$I$616,0)),""))</f>
        <v/>
      </c>
      <c r="K271">
        <f>IF(H271=0,"",_xlfn.MAXIFS(BDD_Calendrier!$D$2:$D$616,BDD_Calendrier!$A$2:$A$616,$B271,BDD_Calendrier!$C$2:$C$616,"Souscription"))</f>
        <v/>
      </c>
      <c r="L271">
        <f>COUNTIFS(BDD_Calendrier!$A$2:$A$616,$B271,BDD_Calendrier!$C$2:$C$616,"Rachat")</f>
        <v/>
      </c>
      <c r="M271">
        <f>IF(L271=0,"",IFERROR(_xlfn.MINIFS(BDD_Calendrier!$D$2:$D$616,BDD_Calendrier!$A$2:$A$616,$B271,BDD_Calendrier!$C$2:$C$616,"Rachat",BDD_Calendrier!$D$2:$D$616,"&gt;="&amp;TODAY()),""))</f>
        <v/>
      </c>
      <c r="N271">
        <f>IF(M271="","",IFERROR(INDEX(BDD_Calendrier!$E$2:$E$616,MATCH($B271&amp;"|Rachat|"&amp;TEXT(M271,"yyyy-mm-dd"),BDD_Calendrier!$I$2:$I$616,0)),""))</f>
        <v/>
      </c>
      <c r="O271">
        <f>IF(M271="","",IFERROR(INDEX(BDD_Calendrier!$H$2:$H$616,MATCH($B271&amp;"|Rachat|"&amp;TEXT(M271,"yyyy-mm-dd"),BDD_Calendrier!$I$2:$I$616,0)),""))</f>
        <v/>
      </c>
      <c r="P271">
        <f>IF(L271=0,"",_xlfn.MAXIFS(BDD_Calendrier!$D$2:$D$616,BDD_Calendrier!$A$2:$A$616,$B271,BDD_Calendrier!$C$2:$C$616,"Rachat"))</f>
        <v/>
      </c>
      <c r="Q271">
        <f>IF($C271="","",IF($C271&gt;TODAY(),"FUTUR",DATEDIF($C271,TODAY(),"m")))</f>
        <v/>
      </c>
      <c r="R271">
        <f>COUNTIF(BDD_Penalites!$A$2:$A$130,$B271)</f>
        <v/>
      </c>
      <c r="S271">
        <f>IF(R271=0,"inconnue",INDEX(BDD_Penalites!$C$2:$C$130,MATCH($B271,BDD_Penalites!$A$2:$A$130,0)))</f>
        <v/>
      </c>
      <c r="T271">
        <f>IF(R271=0,"",INDEX(BDD_Penalites!$M$2:$M$130,MATCH($B271,BDD_Penalites!$A$2:$A$130,0)))</f>
        <v/>
      </c>
      <c r="U271">
        <f>IF(R271=0,0,INDEX(BDD_Penalites!$D$2:$D$130,MATCH($B271,BDD_Penalites!$A$2:$A$130,0)))</f>
        <v/>
      </c>
      <c r="V271">
        <f>IF(R271=0,0,INDEX(BDD_Penalites!$E$2:$E$130,MATCH($B271,BDD_Penalites!$A$2:$A$130,0)))</f>
        <v/>
      </c>
      <c r="W271">
        <f>IF(R271=0,0,INDEX(BDD_Penalites!$F$2:$F$130,MATCH($B271,BDD_Penalites!$A$2:$A$130,0)))</f>
        <v/>
      </c>
      <c r="X271">
        <f>IF(R271=0,0,INDEX(BDD_Penalites!$G$2:$G$130,MATCH($B271,BDD_Penalites!$A$2:$A$130,0)))</f>
        <v/>
      </c>
      <c r="Y271">
        <f>IF(R271=0,0,INDEX(BDD_Penalites!$H$2:$H$130,MATCH($B271,BDD_Penalites!$A$2:$A$130,0)))</f>
        <v/>
      </c>
      <c r="Z271">
        <f>IF(R271=0,0,INDEX(BDD_Penalites!$I$2:$I$130,MATCH($B271,BDD_Penalites!$A$2:$A$130,0)))</f>
        <v/>
      </c>
      <c r="AA271">
        <f>IF(R271=0,0,INDEX(BDD_Penalites!$J$2:$J$130,MATCH($B271,BDD_Penalites!$A$2:$A$130,0)))</f>
        <v/>
      </c>
      <c r="AB271">
        <f>IF(R271=0,0,INDEX(BDD_Penalites!$K$2:$K$130,MATCH($B271,BDD_Penalites!$A$2:$A$130,0)))</f>
        <v/>
      </c>
      <c r="AC271">
        <f>IF(R271=0,0,INDEX(BDD_Penalites!$L$2:$L$130,MATCH($B271,BDD_Penalites!$A$2:$A$130,0)))</f>
        <v/>
      </c>
      <c r="AD271">
        <f>IF(OR($C271="",Q271="FUTUR"),"",_xlfn.IFS(Q271&lt;U271,V271,Q271&lt;W271,X271,Q271&lt;Y271,Z271,Q271&lt;AA271,AB271,TRUE,AC271))</f>
        <v/>
      </c>
    </row>
    <row r="272" ht="13.5" customHeight="1">
      <c r="A272" s="65" t="inlineStr">
        <is>
          <t>Private Corner Secondary Fund 2022 A1</t>
        </is>
      </c>
      <c r="B272" s="66" t="inlineStr">
        <is>
          <t>FR0014009FU2</t>
        </is>
      </c>
      <c r="C272" s="268" t="n"/>
      <c r="D272" s="269">
        <f>IF(H272=0,"Calendrier non disponible pour ce fonds — contacter la société de gestion.",IF(I272="","Calendrier connu jusqu'au "&amp;TEXT(K272,"dd/mm/yyyy")&amp;" — demander le calendrier à jour.","Cut-off : "&amp;TEXT(I272,"dd/mm/yyyy")&amp;"  |  VL : "&amp;TEXT(J272,"dd/mm/yyyy")))</f>
        <v/>
      </c>
      <c r="E272" s="269">
        <f>IF(L272=0,"Calendrier non disponible pour ce fonds — contacter la société de gestion.",IF(M272="","Calendrier connu jusqu'au "&amp;TEXT(P272,"dd/mm/yyyy")&amp;" — demander le calendrier à jour.","Cut-off : "&amp;TEXT(M272,"dd/mm/yyyy")&amp;"  |  VL : "&amp;TEXT(N272,"dd/mm/yyyy")))</f>
        <v/>
      </c>
      <c r="F272" s="269">
        <f>IF(L272=0,"Calendrier non disponible pour ce fonds.",IF(M272="","Calendrier connu jusqu'au "&amp;TEXT(P272,"dd/mm/yyyy")&amp;".",IF(O272="","Non précisé dans le calendrier pour cette échéance.","Réception : "&amp;TEXT(O272,"dd/mm/yyyy")&amp;"  (suite au rachat du "&amp;TEXT(N272,"dd/mm/yyyy")&amp;")")))</f>
        <v/>
      </c>
      <c r="G272" s="269">
        <f>_xlfn.IFS(S272="aucune","Aucune pénalité de sortie."&amp;IF(T272&lt;&gt;""," ("&amp;T272&amp;")",""),S272="manuel","⚠️ À VÉRIFIER MANUELLEMENT : "&amp;T272,S272="inconnue","Pénalité non renseignée — vérifier la notice / DICI du fonds.",$C272="","Saisir une date d'investissement pour statuer sur la pénalité.",Q272="FUTUR","Date d'investissement postérieure à aujourd'hui — vérifier la saisie.",AD272&gt;0,"⚠️ CONCERNÉ : pénalité de "&amp;AD272&amp;"% (détention "&amp;Q272&amp;" mois). "&amp;T272,TRUE,"Non concerné (détention "&amp;Q272&amp;" mois). "&amp;T272)</f>
        <v/>
      </c>
      <c r="H272">
        <f>COUNTIFS(BDD_Calendrier!$A$2:$A$616,$B272,BDD_Calendrier!$C$2:$C$616,"Souscription")</f>
        <v/>
      </c>
      <c r="I272">
        <f>IF(H272=0,"",IFERROR(_xlfn.MINIFS(BDD_Calendrier!$D$2:$D$616,BDD_Calendrier!$A$2:$A$616,$B272,BDD_Calendrier!$C$2:$C$616,"Souscription",BDD_Calendrier!$D$2:$D$616,"&gt;="&amp;TODAY()),""))</f>
        <v/>
      </c>
      <c r="J272">
        <f>IF(I272="","",IFERROR(INDEX(BDD_Calendrier!$E$2:$E$616,MATCH($B272&amp;"|Souscription|"&amp;TEXT(I272,"yyyy-mm-dd"),BDD_Calendrier!$I$2:$I$616,0)),""))</f>
        <v/>
      </c>
      <c r="K272">
        <f>IF(H272=0,"",_xlfn.MAXIFS(BDD_Calendrier!$D$2:$D$616,BDD_Calendrier!$A$2:$A$616,$B272,BDD_Calendrier!$C$2:$C$616,"Souscription"))</f>
        <v/>
      </c>
      <c r="L272">
        <f>COUNTIFS(BDD_Calendrier!$A$2:$A$616,$B272,BDD_Calendrier!$C$2:$C$616,"Rachat")</f>
        <v/>
      </c>
      <c r="M272">
        <f>IF(L272=0,"",IFERROR(_xlfn.MINIFS(BDD_Calendrier!$D$2:$D$616,BDD_Calendrier!$A$2:$A$616,$B272,BDD_Calendrier!$C$2:$C$616,"Rachat",BDD_Calendrier!$D$2:$D$616,"&gt;="&amp;TODAY()),""))</f>
        <v/>
      </c>
      <c r="N272">
        <f>IF(M272="","",IFERROR(INDEX(BDD_Calendrier!$E$2:$E$616,MATCH($B272&amp;"|Rachat|"&amp;TEXT(M272,"yyyy-mm-dd"),BDD_Calendrier!$I$2:$I$616,0)),""))</f>
        <v/>
      </c>
      <c r="O272">
        <f>IF(M272="","",IFERROR(INDEX(BDD_Calendrier!$H$2:$H$616,MATCH($B272&amp;"|Rachat|"&amp;TEXT(M272,"yyyy-mm-dd"),BDD_Calendrier!$I$2:$I$616,0)),""))</f>
        <v/>
      </c>
      <c r="P272">
        <f>IF(L272=0,"",_xlfn.MAXIFS(BDD_Calendrier!$D$2:$D$616,BDD_Calendrier!$A$2:$A$616,$B272,BDD_Calendrier!$C$2:$C$616,"Rachat"))</f>
        <v/>
      </c>
      <c r="Q272">
        <f>IF($C272="","",IF($C272&gt;TODAY(),"FUTUR",DATEDIF($C272,TODAY(),"m")))</f>
        <v/>
      </c>
      <c r="R272">
        <f>COUNTIF(BDD_Penalites!$A$2:$A$130,$B272)</f>
        <v/>
      </c>
      <c r="S272">
        <f>IF(R272=0,"inconnue",INDEX(BDD_Penalites!$C$2:$C$130,MATCH($B272,BDD_Penalites!$A$2:$A$130,0)))</f>
        <v/>
      </c>
      <c r="T272">
        <f>IF(R272=0,"",INDEX(BDD_Penalites!$M$2:$M$130,MATCH($B272,BDD_Penalites!$A$2:$A$130,0)))</f>
        <v/>
      </c>
      <c r="U272">
        <f>IF(R272=0,0,INDEX(BDD_Penalites!$D$2:$D$130,MATCH($B272,BDD_Penalites!$A$2:$A$130,0)))</f>
        <v/>
      </c>
      <c r="V272">
        <f>IF(R272=0,0,INDEX(BDD_Penalites!$E$2:$E$130,MATCH($B272,BDD_Penalites!$A$2:$A$130,0)))</f>
        <v/>
      </c>
      <c r="W272">
        <f>IF(R272=0,0,INDEX(BDD_Penalites!$F$2:$F$130,MATCH($B272,BDD_Penalites!$A$2:$A$130,0)))</f>
        <v/>
      </c>
      <c r="X272">
        <f>IF(R272=0,0,INDEX(BDD_Penalites!$G$2:$G$130,MATCH($B272,BDD_Penalites!$A$2:$A$130,0)))</f>
        <v/>
      </c>
      <c r="Y272">
        <f>IF(R272=0,0,INDEX(BDD_Penalites!$H$2:$H$130,MATCH($B272,BDD_Penalites!$A$2:$A$130,0)))</f>
        <v/>
      </c>
      <c r="Z272">
        <f>IF(R272=0,0,INDEX(BDD_Penalites!$I$2:$I$130,MATCH($B272,BDD_Penalites!$A$2:$A$130,0)))</f>
        <v/>
      </c>
      <c r="AA272">
        <f>IF(R272=0,0,INDEX(BDD_Penalites!$J$2:$J$130,MATCH($B272,BDD_Penalites!$A$2:$A$130,0)))</f>
        <v/>
      </c>
      <c r="AB272">
        <f>IF(R272=0,0,INDEX(BDD_Penalites!$K$2:$K$130,MATCH($B272,BDD_Penalites!$A$2:$A$130,0)))</f>
        <v/>
      </c>
      <c r="AC272">
        <f>IF(R272=0,0,INDEX(BDD_Penalites!$L$2:$L$130,MATCH($B272,BDD_Penalites!$A$2:$A$130,0)))</f>
        <v/>
      </c>
      <c r="AD272">
        <f>IF(OR($C272="",Q272="FUTUR"),"",_xlfn.IFS(Q272&lt;U272,V272,Q272&lt;W272,X272,Q272&lt;Y272,Z272,Q272&lt;AA272,AB272,TRUE,AC272))</f>
        <v/>
      </c>
    </row>
    <row r="273" ht="13.5" customHeight="1">
      <c r="A273" s="65" t="inlineStr">
        <is>
          <t>Private Corner Secondary Fund 2022 A2</t>
        </is>
      </c>
      <c r="B273" s="66" t="inlineStr">
        <is>
          <t>FR0014009FV0</t>
        </is>
      </c>
      <c r="C273" s="268" t="n"/>
      <c r="D273" s="269">
        <f>IF(H273=0,"Calendrier non disponible pour ce fonds — contacter la société de gestion.",IF(I273="","Calendrier connu jusqu'au "&amp;TEXT(K273,"dd/mm/yyyy")&amp;" — demander le calendrier à jour.","Cut-off : "&amp;TEXT(I273,"dd/mm/yyyy")&amp;"  |  VL : "&amp;TEXT(J273,"dd/mm/yyyy")))</f>
        <v/>
      </c>
      <c r="E273" s="269">
        <f>IF(L273=0,"Calendrier non disponible pour ce fonds — contacter la société de gestion.",IF(M273="","Calendrier connu jusqu'au "&amp;TEXT(P273,"dd/mm/yyyy")&amp;" — demander le calendrier à jour.","Cut-off : "&amp;TEXT(M273,"dd/mm/yyyy")&amp;"  |  VL : "&amp;TEXT(N273,"dd/mm/yyyy")))</f>
        <v/>
      </c>
      <c r="F273" s="269">
        <f>IF(L273=0,"Calendrier non disponible pour ce fonds.",IF(M273="","Calendrier connu jusqu'au "&amp;TEXT(P273,"dd/mm/yyyy")&amp;".",IF(O273="","Non précisé dans le calendrier pour cette échéance.","Réception : "&amp;TEXT(O273,"dd/mm/yyyy")&amp;"  (suite au rachat du "&amp;TEXT(N273,"dd/mm/yyyy")&amp;")")))</f>
        <v/>
      </c>
      <c r="G273" s="269">
        <f>_xlfn.IFS(S273="aucune","Aucune pénalité de sortie."&amp;IF(T273&lt;&gt;""," ("&amp;T273&amp;")",""),S273="manuel","⚠️ À VÉRIFIER MANUELLEMENT : "&amp;T273,S273="inconnue","Pénalité non renseignée — vérifier la notice / DICI du fonds.",$C273="","Saisir une date d'investissement pour statuer sur la pénalité.",Q273="FUTUR","Date d'investissement postérieure à aujourd'hui — vérifier la saisie.",AD273&gt;0,"⚠️ CONCERNÉ : pénalité de "&amp;AD273&amp;"% (détention "&amp;Q273&amp;" mois). "&amp;T273,TRUE,"Non concerné (détention "&amp;Q273&amp;" mois). "&amp;T273)</f>
        <v/>
      </c>
      <c r="H273">
        <f>COUNTIFS(BDD_Calendrier!$A$2:$A$616,$B273,BDD_Calendrier!$C$2:$C$616,"Souscription")</f>
        <v/>
      </c>
      <c r="I273">
        <f>IF(H273=0,"",IFERROR(_xlfn.MINIFS(BDD_Calendrier!$D$2:$D$616,BDD_Calendrier!$A$2:$A$616,$B273,BDD_Calendrier!$C$2:$C$616,"Souscription",BDD_Calendrier!$D$2:$D$616,"&gt;="&amp;TODAY()),""))</f>
        <v/>
      </c>
      <c r="J273">
        <f>IF(I273="","",IFERROR(INDEX(BDD_Calendrier!$E$2:$E$616,MATCH($B273&amp;"|Souscription|"&amp;TEXT(I273,"yyyy-mm-dd"),BDD_Calendrier!$I$2:$I$616,0)),""))</f>
        <v/>
      </c>
      <c r="K273">
        <f>IF(H273=0,"",_xlfn.MAXIFS(BDD_Calendrier!$D$2:$D$616,BDD_Calendrier!$A$2:$A$616,$B273,BDD_Calendrier!$C$2:$C$616,"Souscription"))</f>
        <v/>
      </c>
      <c r="L273">
        <f>COUNTIFS(BDD_Calendrier!$A$2:$A$616,$B273,BDD_Calendrier!$C$2:$C$616,"Rachat")</f>
        <v/>
      </c>
      <c r="M273">
        <f>IF(L273=0,"",IFERROR(_xlfn.MINIFS(BDD_Calendrier!$D$2:$D$616,BDD_Calendrier!$A$2:$A$616,$B273,BDD_Calendrier!$C$2:$C$616,"Rachat",BDD_Calendrier!$D$2:$D$616,"&gt;="&amp;TODAY()),""))</f>
        <v/>
      </c>
      <c r="N273">
        <f>IF(M273="","",IFERROR(INDEX(BDD_Calendrier!$E$2:$E$616,MATCH($B273&amp;"|Rachat|"&amp;TEXT(M273,"yyyy-mm-dd"),BDD_Calendrier!$I$2:$I$616,0)),""))</f>
        <v/>
      </c>
      <c r="O273">
        <f>IF(M273="","",IFERROR(INDEX(BDD_Calendrier!$H$2:$H$616,MATCH($B273&amp;"|Rachat|"&amp;TEXT(M273,"yyyy-mm-dd"),BDD_Calendrier!$I$2:$I$616,0)),""))</f>
        <v/>
      </c>
      <c r="P273">
        <f>IF(L273=0,"",_xlfn.MAXIFS(BDD_Calendrier!$D$2:$D$616,BDD_Calendrier!$A$2:$A$616,$B273,BDD_Calendrier!$C$2:$C$616,"Rachat"))</f>
        <v/>
      </c>
      <c r="Q273">
        <f>IF($C273="","",IF($C273&gt;TODAY(),"FUTUR",DATEDIF($C273,TODAY(),"m")))</f>
        <v/>
      </c>
      <c r="R273">
        <f>COUNTIF(BDD_Penalites!$A$2:$A$130,$B273)</f>
        <v/>
      </c>
      <c r="S273">
        <f>IF(R273=0,"inconnue",INDEX(BDD_Penalites!$C$2:$C$130,MATCH($B273,BDD_Penalites!$A$2:$A$130,0)))</f>
        <v/>
      </c>
      <c r="T273">
        <f>IF(R273=0,"",INDEX(BDD_Penalites!$M$2:$M$130,MATCH($B273,BDD_Penalites!$A$2:$A$130,0)))</f>
        <v/>
      </c>
      <c r="U273">
        <f>IF(R273=0,0,INDEX(BDD_Penalites!$D$2:$D$130,MATCH($B273,BDD_Penalites!$A$2:$A$130,0)))</f>
        <v/>
      </c>
      <c r="V273">
        <f>IF(R273=0,0,INDEX(BDD_Penalites!$E$2:$E$130,MATCH($B273,BDD_Penalites!$A$2:$A$130,0)))</f>
        <v/>
      </c>
      <c r="W273">
        <f>IF(R273=0,0,INDEX(BDD_Penalites!$F$2:$F$130,MATCH($B273,BDD_Penalites!$A$2:$A$130,0)))</f>
        <v/>
      </c>
      <c r="X273">
        <f>IF(R273=0,0,INDEX(BDD_Penalites!$G$2:$G$130,MATCH($B273,BDD_Penalites!$A$2:$A$130,0)))</f>
        <v/>
      </c>
      <c r="Y273">
        <f>IF(R273=0,0,INDEX(BDD_Penalites!$H$2:$H$130,MATCH($B273,BDD_Penalites!$A$2:$A$130,0)))</f>
        <v/>
      </c>
      <c r="Z273">
        <f>IF(R273=0,0,INDEX(BDD_Penalites!$I$2:$I$130,MATCH($B273,BDD_Penalites!$A$2:$A$130,0)))</f>
        <v/>
      </c>
      <c r="AA273">
        <f>IF(R273=0,0,INDEX(BDD_Penalites!$J$2:$J$130,MATCH($B273,BDD_Penalites!$A$2:$A$130,0)))</f>
        <v/>
      </c>
      <c r="AB273">
        <f>IF(R273=0,0,INDEX(BDD_Penalites!$K$2:$K$130,MATCH($B273,BDD_Penalites!$A$2:$A$130,0)))</f>
        <v/>
      </c>
      <c r="AC273">
        <f>IF(R273=0,0,INDEX(BDD_Penalites!$L$2:$L$130,MATCH($B273,BDD_Penalites!$A$2:$A$130,0)))</f>
        <v/>
      </c>
      <c r="AD273">
        <f>IF(OR($C273="",Q273="FUTUR"),"",_xlfn.IFS(Q273&lt;U273,V273,Q273&lt;W273,X273,Q273&lt;Y273,Z273,Q273&lt;AA273,AB273,TRUE,AC273))</f>
        <v/>
      </c>
    </row>
    <row r="274" ht="13.5" customHeight="1">
      <c r="A274" s="65" t="inlineStr">
        <is>
          <t>Private Corner Wealth Co-Investment A1</t>
        </is>
      </c>
      <c r="B274" s="66" t="inlineStr">
        <is>
          <t>FR0014005Z14</t>
        </is>
      </c>
      <c r="C274" s="268" t="n"/>
      <c r="D274" s="269">
        <f>IF(H274=0,"Calendrier non disponible pour ce fonds — contacter la société de gestion.",IF(I274="","Calendrier connu jusqu'au "&amp;TEXT(K274,"dd/mm/yyyy")&amp;" — demander le calendrier à jour.","Cut-off : "&amp;TEXT(I274,"dd/mm/yyyy")&amp;"  |  VL : "&amp;TEXT(J274,"dd/mm/yyyy")))</f>
        <v/>
      </c>
      <c r="E274" s="269">
        <f>IF(L274=0,"Calendrier non disponible pour ce fonds — contacter la société de gestion.",IF(M274="","Calendrier connu jusqu'au "&amp;TEXT(P274,"dd/mm/yyyy")&amp;" — demander le calendrier à jour.","Cut-off : "&amp;TEXT(M274,"dd/mm/yyyy")&amp;"  |  VL : "&amp;TEXT(N274,"dd/mm/yyyy")))</f>
        <v/>
      </c>
      <c r="F274" s="269">
        <f>IF(L274=0,"Calendrier non disponible pour ce fonds.",IF(M274="","Calendrier connu jusqu'au "&amp;TEXT(P274,"dd/mm/yyyy")&amp;".",IF(O274="","Non précisé dans le calendrier pour cette échéance.","Réception : "&amp;TEXT(O274,"dd/mm/yyyy")&amp;"  (suite au rachat du "&amp;TEXT(N274,"dd/mm/yyyy")&amp;")")))</f>
        <v/>
      </c>
      <c r="G274" s="269">
        <f>_xlfn.IFS(S274="aucune","Aucune pénalité de sortie."&amp;IF(T274&lt;&gt;""," ("&amp;T274&amp;")",""),S274="manuel","⚠️ À VÉRIFIER MANUELLEMENT : "&amp;T274,S274="inconnue","Pénalité non renseignée — vérifier la notice / DICI du fonds.",$C274="","Saisir une date d'investissement pour statuer sur la pénalité.",Q274="FUTUR","Date d'investissement postérieure à aujourd'hui — vérifier la saisie.",AD274&gt;0,"⚠️ CONCERNÉ : pénalité de "&amp;AD274&amp;"% (détention "&amp;Q274&amp;" mois). "&amp;T274,TRUE,"Non concerné (détention "&amp;Q274&amp;" mois). "&amp;T274)</f>
        <v/>
      </c>
      <c r="H274">
        <f>COUNTIFS(BDD_Calendrier!$A$2:$A$616,$B274,BDD_Calendrier!$C$2:$C$616,"Souscription")</f>
        <v/>
      </c>
      <c r="I274">
        <f>IF(H274=0,"",IFERROR(_xlfn.MINIFS(BDD_Calendrier!$D$2:$D$616,BDD_Calendrier!$A$2:$A$616,$B274,BDD_Calendrier!$C$2:$C$616,"Souscription",BDD_Calendrier!$D$2:$D$616,"&gt;="&amp;TODAY()),""))</f>
        <v/>
      </c>
      <c r="J274">
        <f>IF(I274="","",IFERROR(INDEX(BDD_Calendrier!$E$2:$E$616,MATCH($B274&amp;"|Souscription|"&amp;TEXT(I274,"yyyy-mm-dd"),BDD_Calendrier!$I$2:$I$616,0)),""))</f>
        <v/>
      </c>
      <c r="K274">
        <f>IF(H274=0,"",_xlfn.MAXIFS(BDD_Calendrier!$D$2:$D$616,BDD_Calendrier!$A$2:$A$616,$B274,BDD_Calendrier!$C$2:$C$616,"Souscription"))</f>
        <v/>
      </c>
      <c r="L274">
        <f>COUNTIFS(BDD_Calendrier!$A$2:$A$616,$B274,BDD_Calendrier!$C$2:$C$616,"Rachat")</f>
        <v/>
      </c>
      <c r="M274">
        <f>IF(L274=0,"",IFERROR(_xlfn.MINIFS(BDD_Calendrier!$D$2:$D$616,BDD_Calendrier!$A$2:$A$616,$B274,BDD_Calendrier!$C$2:$C$616,"Rachat",BDD_Calendrier!$D$2:$D$616,"&gt;="&amp;TODAY()),""))</f>
        <v/>
      </c>
      <c r="N274">
        <f>IF(M274="","",IFERROR(INDEX(BDD_Calendrier!$E$2:$E$616,MATCH($B274&amp;"|Rachat|"&amp;TEXT(M274,"yyyy-mm-dd"),BDD_Calendrier!$I$2:$I$616,0)),""))</f>
        <v/>
      </c>
      <c r="O274">
        <f>IF(M274="","",IFERROR(INDEX(BDD_Calendrier!$H$2:$H$616,MATCH($B274&amp;"|Rachat|"&amp;TEXT(M274,"yyyy-mm-dd"),BDD_Calendrier!$I$2:$I$616,0)),""))</f>
        <v/>
      </c>
      <c r="P274">
        <f>IF(L274=0,"",_xlfn.MAXIFS(BDD_Calendrier!$D$2:$D$616,BDD_Calendrier!$A$2:$A$616,$B274,BDD_Calendrier!$C$2:$C$616,"Rachat"))</f>
        <v/>
      </c>
      <c r="Q274">
        <f>IF($C274="","",IF($C274&gt;TODAY(),"FUTUR",DATEDIF($C274,TODAY(),"m")))</f>
        <v/>
      </c>
      <c r="R274">
        <f>COUNTIF(BDD_Penalites!$A$2:$A$130,$B274)</f>
        <v/>
      </c>
      <c r="S274">
        <f>IF(R274=0,"inconnue",INDEX(BDD_Penalites!$C$2:$C$130,MATCH($B274,BDD_Penalites!$A$2:$A$130,0)))</f>
        <v/>
      </c>
      <c r="T274">
        <f>IF(R274=0,"",INDEX(BDD_Penalites!$M$2:$M$130,MATCH($B274,BDD_Penalites!$A$2:$A$130,0)))</f>
        <v/>
      </c>
      <c r="U274">
        <f>IF(R274=0,0,INDEX(BDD_Penalites!$D$2:$D$130,MATCH($B274,BDD_Penalites!$A$2:$A$130,0)))</f>
        <v/>
      </c>
      <c r="V274">
        <f>IF(R274=0,0,INDEX(BDD_Penalites!$E$2:$E$130,MATCH($B274,BDD_Penalites!$A$2:$A$130,0)))</f>
        <v/>
      </c>
      <c r="W274">
        <f>IF(R274=0,0,INDEX(BDD_Penalites!$F$2:$F$130,MATCH($B274,BDD_Penalites!$A$2:$A$130,0)))</f>
        <v/>
      </c>
      <c r="X274">
        <f>IF(R274=0,0,INDEX(BDD_Penalites!$G$2:$G$130,MATCH($B274,BDD_Penalites!$A$2:$A$130,0)))</f>
        <v/>
      </c>
      <c r="Y274">
        <f>IF(R274=0,0,INDEX(BDD_Penalites!$H$2:$H$130,MATCH($B274,BDD_Penalites!$A$2:$A$130,0)))</f>
        <v/>
      </c>
      <c r="Z274">
        <f>IF(R274=0,0,INDEX(BDD_Penalites!$I$2:$I$130,MATCH($B274,BDD_Penalites!$A$2:$A$130,0)))</f>
        <v/>
      </c>
      <c r="AA274">
        <f>IF(R274=0,0,INDEX(BDD_Penalites!$J$2:$J$130,MATCH($B274,BDD_Penalites!$A$2:$A$130,0)))</f>
        <v/>
      </c>
      <c r="AB274">
        <f>IF(R274=0,0,INDEX(BDD_Penalites!$K$2:$K$130,MATCH($B274,BDD_Penalites!$A$2:$A$130,0)))</f>
        <v/>
      </c>
      <c r="AC274">
        <f>IF(R274=0,0,INDEX(BDD_Penalites!$L$2:$L$130,MATCH($B274,BDD_Penalites!$A$2:$A$130,0)))</f>
        <v/>
      </c>
      <c r="AD274">
        <f>IF(OR($C274="",Q274="FUTUR"),"",_xlfn.IFS(Q274&lt;U274,V274,Q274&lt;W274,X274,Q274&lt;Y274,Z274,Q274&lt;AA274,AB274,TRUE,AC274))</f>
        <v/>
      </c>
    </row>
    <row r="275" ht="13.5" customHeight="1">
      <c r="A275" s="65" t="inlineStr">
        <is>
          <t>Private Corner Wealth Co-Investment A2</t>
        </is>
      </c>
      <c r="B275" s="66" t="inlineStr">
        <is>
          <t>FR0014005Z22</t>
        </is>
      </c>
      <c r="C275" s="268" t="n"/>
      <c r="D275" s="269">
        <f>IF(H275=0,"Calendrier non disponible pour ce fonds — contacter la société de gestion.",IF(I275="","Calendrier connu jusqu'au "&amp;TEXT(K275,"dd/mm/yyyy")&amp;" — demander le calendrier à jour.","Cut-off : "&amp;TEXT(I275,"dd/mm/yyyy")&amp;"  |  VL : "&amp;TEXT(J275,"dd/mm/yyyy")))</f>
        <v/>
      </c>
      <c r="E275" s="269">
        <f>IF(L275=0,"Calendrier non disponible pour ce fonds — contacter la société de gestion.",IF(M275="","Calendrier connu jusqu'au "&amp;TEXT(P275,"dd/mm/yyyy")&amp;" — demander le calendrier à jour.","Cut-off : "&amp;TEXT(M275,"dd/mm/yyyy")&amp;"  |  VL : "&amp;TEXT(N275,"dd/mm/yyyy")))</f>
        <v/>
      </c>
      <c r="F275" s="269">
        <f>IF(L275=0,"Calendrier non disponible pour ce fonds.",IF(M275="","Calendrier connu jusqu'au "&amp;TEXT(P275,"dd/mm/yyyy")&amp;".",IF(O275="","Non précisé dans le calendrier pour cette échéance.","Réception : "&amp;TEXT(O275,"dd/mm/yyyy")&amp;"  (suite au rachat du "&amp;TEXT(N275,"dd/mm/yyyy")&amp;")")))</f>
        <v/>
      </c>
      <c r="G275" s="269">
        <f>_xlfn.IFS(S275="aucune","Aucune pénalité de sortie."&amp;IF(T275&lt;&gt;""," ("&amp;T275&amp;")",""),S275="manuel","⚠️ À VÉRIFIER MANUELLEMENT : "&amp;T275,S275="inconnue","Pénalité non renseignée — vérifier la notice / DICI du fonds.",$C275="","Saisir une date d'investissement pour statuer sur la pénalité.",Q275="FUTUR","Date d'investissement postérieure à aujourd'hui — vérifier la saisie.",AD275&gt;0,"⚠️ CONCERNÉ : pénalité de "&amp;AD275&amp;"% (détention "&amp;Q275&amp;" mois). "&amp;T275,TRUE,"Non concerné (détention "&amp;Q275&amp;" mois). "&amp;T275)</f>
        <v/>
      </c>
      <c r="H275">
        <f>COUNTIFS(BDD_Calendrier!$A$2:$A$616,$B275,BDD_Calendrier!$C$2:$C$616,"Souscription")</f>
        <v/>
      </c>
      <c r="I275">
        <f>IF(H275=0,"",IFERROR(_xlfn.MINIFS(BDD_Calendrier!$D$2:$D$616,BDD_Calendrier!$A$2:$A$616,$B275,BDD_Calendrier!$C$2:$C$616,"Souscription",BDD_Calendrier!$D$2:$D$616,"&gt;="&amp;TODAY()),""))</f>
        <v/>
      </c>
      <c r="J275">
        <f>IF(I275="","",IFERROR(INDEX(BDD_Calendrier!$E$2:$E$616,MATCH($B275&amp;"|Souscription|"&amp;TEXT(I275,"yyyy-mm-dd"),BDD_Calendrier!$I$2:$I$616,0)),""))</f>
        <v/>
      </c>
      <c r="K275">
        <f>IF(H275=0,"",_xlfn.MAXIFS(BDD_Calendrier!$D$2:$D$616,BDD_Calendrier!$A$2:$A$616,$B275,BDD_Calendrier!$C$2:$C$616,"Souscription"))</f>
        <v/>
      </c>
      <c r="L275">
        <f>COUNTIFS(BDD_Calendrier!$A$2:$A$616,$B275,BDD_Calendrier!$C$2:$C$616,"Rachat")</f>
        <v/>
      </c>
      <c r="M275">
        <f>IF(L275=0,"",IFERROR(_xlfn.MINIFS(BDD_Calendrier!$D$2:$D$616,BDD_Calendrier!$A$2:$A$616,$B275,BDD_Calendrier!$C$2:$C$616,"Rachat",BDD_Calendrier!$D$2:$D$616,"&gt;="&amp;TODAY()),""))</f>
        <v/>
      </c>
      <c r="N275">
        <f>IF(M275="","",IFERROR(INDEX(BDD_Calendrier!$E$2:$E$616,MATCH($B275&amp;"|Rachat|"&amp;TEXT(M275,"yyyy-mm-dd"),BDD_Calendrier!$I$2:$I$616,0)),""))</f>
        <v/>
      </c>
      <c r="O275">
        <f>IF(M275="","",IFERROR(INDEX(BDD_Calendrier!$H$2:$H$616,MATCH($B275&amp;"|Rachat|"&amp;TEXT(M275,"yyyy-mm-dd"),BDD_Calendrier!$I$2:$I$616,0)),""))</f>
        <v/>
      </c>
      <c r="P275">
        <f>IF(L275=0,"",_xlfn.MAXIFS(BDD_Calendrier!$D$2:$D$616,BDD_Calendrier!$A$2:$A$616,$B275,BDD_Calendrier!$C$2:$C$616,"Rachat"))</f>
        <v/>
      </c>
      <c r="Q275">
        <f>IF($C275="","",IF($C275&gt;TODAY(),"FUTUR",DATEDIF($C275,TODAY(),"m")))</f>
        <v/>
      </c>
      <c r="R275">
        <f>COUNTIF(BDD_Penalites!$A$2:$A$130,$B275)</f>
        <v/>
      </c>
      <c r="S275">
        <f>IF(R275=0,"inconnue",INDEX(BDD_Penalites!$C$2:$C$130,MATCH($B275,BDD_Penalites!$A$2:$A$130,0)))</f>
        <v/>
      </c>
      <c r="T275">
        <f>IF(R275=0,"",INDEX(BDD_Penalites!$M$2:$M$130,MATCH($B275,BDD_Penalites!$A$2:$A$130,0)))</f>
        <v/>
      </c>
      <c r="U275">
        <f>IF(R275=0,0,INDEX(BDD_Penalites!$D$2:$D$130,MATCH($B275,BDD_Penalites!$A$2:$A$130,0)))</f>
        <v/>
      </c>
      <c r="V275">
        <f>IF(R275=0,0,INDEX(BDD_Penalites!$E$2:$E$130,MATCH($B275,BDD_Penalites!$A$2:$A$130,0)))</f>
        <v/>
      </c>
      <c r="W275">
        <f>IF(R275=0,0,INDEX(BDD_Penalites!$F$2:$F$130,MATCH($B275,BDD_Penalites!$A$2:$A$130,0)))</f>
        <v/>
      </c>
      <c r="X275">
        <f>IF(R275=0,0,INDEX(BDD_Penalites!$G$2:$G$130,MATCH($B275,BDD_Penalites!$A$2:$A$130,0)))</f>
        <v/>
      </c>
      <c r="Y275">
        <f>IF(R275=0,0,INDEX(BDD_Penalites!$H$2:$H$130,MATCH($B275,BDD_Penalites!$A$2:$A$130,0)))</f>
        <v/>
      </c>
      <c r="Z275">
        <f>IF(R275=0,0,INDEX(BDD_Penalites!$I$2:$I$130,MATCH($B275,BDD_Penalites!$A$2:$A$130,0)))</f>
        <v/>
      </c>
      <c r="AA275">
        <f>IF(R275=0,0,INDEX(BDD_Penalites!$J$2:$J$130,MATCH($B275,BDD_Penalites!$A$2:$A$130,0)))</f>
        <v/>
      </c>
      <c r="AB275">
        <f>IF(R275=0,0,INDEX(BDD_Penalites!$K$2:$K$130,MATCH($B275,BDD_Penalites!$A$2:$A$130,0)))</f>
        <v/>
      </c>
      <c r="AC275">
        <f>IF(R275=0,0,INDEX(BDD_Penalites!$L$2:$L$130,MATCH($B275,BDD_Penalites!$A$2:$A$130,0)))</f>
        <v/>
      </c>
      <c r="AD275">
        <f>IF(OR($C275="",Q275="FUTUR"),"",_xlfn.IFS(Q275&lt;U275,V275,Q275&lt;W275,X275,Q275&lt;Y275,Z275,Q275&lt;AA275,AB275,TRUE,AC275))</f>
        <v/>
      </c>
    </row>
    <row r="276" ht="13.5" customHeight="1">
      <c r="A276" s="65" t="inlineStr">
        <is>
          <t>Eurazeo Principal Investments</t>
        </is>
      </c>
      <c r="B276" s="66" t="inlineStr">
        <is>
          <t>FR00140086L7</t>
        </is>
      </c>
      <c r="C276" s="268" t="n"/>
      <c r="D276" s="269">
        <f>IF(H276=0,"Calendrier non disponible pour ce fonds — contacter la société de gestion.",IF(I276="","Calendrier connu jusqu'au "&amp;TEXT(K276,"dd/mm/yyyy")&amp;" — demander le calendrier à jour.","Cut-off : "&amp;TEXT(I276,"dd/mm/yyyy")&amp;"  |  VL : "&amp;TEXT(J276,"dd/mm/yyyy")))</f>
        <v/>
      </c>
      <c r="E276" s="269">
        <f>IF(L276=0,"Calendrier non disponible pour ce fonds — contacter la société de gestion.",IF(M276="","Calendrier connu jusqu'au "&amp;TEXT(P276,"dd/mm/yyyy")&amp;" — demander le calendrier à jour.","Cut-off : "&amp;TEXT(M276,"dd/mm/yyyy")&amp;"  |  VL : "&amp;TEXT(N276,"dd/mm/yyyy")))</f>
        <v/>
      </c>
      <c r="F276" s="269">
        <f>IF(L276=0,"Calendrier non disponible pour ce fonds.",IF(M276="","Calendrier connu jusqu'au "&amp;TEXT(P276,"dd/mm/yyyy")&amp;".",IF(O276="","Non précisé dans le calendrier pour cette échéance.","Réception : "&amp;TEXT(O276,"dd/mm/yyyy")&amp;"  (suite au rachat du "&amp;TEXT(N276,"dd/mm/yyyy")&amp;")")))</f>
        <v/>
      </c>
      <c r="G276" s="269">
        <f>_xlfn.IFS(S276="aucune","Aucune pénalité de sortie."&amp;IF(T276&lt;&gt;""," ("&amp;T276&amp;")",""),S276="manuel","⚠️ À VÉRIFIER MANUELLEMENT : "&amp;T276,S276="inconnue","Pénalité non renseignée — vérifier la notice / DICI du fonds.",$C276="","Saisir une date d'investissement pour statuer sur la pénalité.",Q276="FUTUR","Date d'investissement postérieure à aujourd'hui — vérifier la saisie.",AD276&gt;0,"⚠️ CONCERNÉ : pénalité de "&amp;AD276&amp;"% (détention "&amp;Q276&amp;" mois). "&amp;T276,TRUE,"Non concerné (détention "&amp;Q276&amp;" mois). "&amp;T276)</f>
        <v/>
      </c>
      <c r="H276">
        <f>COUNTIFS(BDD_Calendrier!$A$2:$A$616,$B276,BDD_Calendrier!$C$2:$C$616,"Souscription")</f>
        <v/>
      </c>
      <c r="I276">
        <f>IF(H276=0,"",IFERROR(_xlfn.MINIFS(BDD_Calendrier!$D$2:$D$616,BDD_Calendrier!$A$2:$A$616,$B276,BDD_Calendrier!$C$2:$C$616,"Souscription",BDD_Calendrier!$D$2:$D$616,"&gt;="&amp;TODAY()),""))</f>
        <v/>
      </c>
      <c r="J276">
        <f>IF(I276="","",IFERROR(INDEX(BDD_Calendrier!$E$2:$E$616,MATCH($B276&amp;"|Souscription|"&amp;TEXT(I276,"yyyy-mm-dd"),BDD_Calendrier!$I$2:$I$616,0)),""))</f>
        <v/>
      </c>
      <c r="K276">
        <f>IF(H276=0,"",_xlfn.MAXIFS(BDD_Calendrier!$D$2:$D$616,BDD_Calendrier!$A$2:$A$616,$B276,BDD_Calendrier!$C$2:$C$616,"Souscription"))</f>
        <v/>
      </c>
      <c r="L276">
        <f>COUNTIFS(BDD_Calendrier!$A$2:$A$616,$B276,BDD_Calendrier!$C$2:$C$616,"Rachat")</f>
        <v/>
      </c>
      <c r="M276">
        <f>IF(L276=0,"",IFERROR(_xlfn.MINIFS(BDD_Calendrier!$D$2:$D$616,BDD_Calendrier!$A$2:$A$616,$B276,BDD_Calendrier!$C$2:$C$616,"Rachat",BDD_Calendrier!$D$2:$D$616,"&gt;="&amp;TODAY()),""))</f>
        <v/>
      </c>
      <c r="N276">
        <f>IF(M276="","",IFERROR(INDEX(BDD_Calendrier!$E$2:$E$616,MATCH($B276&amp;"|Rachat|"&amp;TEXT(M276,"yyyy-mm-dd"),BDD_Calendrier!$I$2:$I$616,0)),""))</f>
        <v/>
      </c>
      <c r="O276">
        <f>IF(M276="","",IFERROR(INDEX(BDD_Calendrier!$H$2:$H$616,MATCH($B276&amp;"|Rachat|"&amp;TEXT(M276,"yyyy-mm-dd"),BDD_Calendrier!$I$2:$I$616,0)),""))</f>
        <v/>
      </c>
      <c r="P276">
        <f>IF(L276=0,"",_xlfn.MAXIFS(BDD_Calendrier!$D$2:$D$616,BDD_Calendrier!$A$2:$A$616,$B276,BDD_Calendrier!$C$2:$C$616,"Rachat"))</f>
        <v/>
      </c>
      <c r="Q276">
        <f>IF($C276="","",IF($C276&gt;TODAY(),"FUTUR",DATEDIF($C276,TODAY(),"m")))</f>
        <v/>
      </c>
      <c r="R276">
        <f>COUNTIF(BDD_Penalites!$A$2:$A$130,$B276)</f>
        <v/>
      </c>
      <c r="S276">
        <f>IF(R276=0,"inconnue",INDEX(BDD_Penalites!$C$2:$C$130,MATCH($B276,BDD_Penalites!$A$2:$A$130,0)))</f>
        <v/>
      </c>
      <c r="T276">
        <f>IF(R276=0,"",INDEX(BDD_Penalites!$M$2:$M$130,MATCH($B276,BDD_Penalites!$A$2:$A$130,0)))</f>
        <v/>
      </c>
      <c r="U276">
        <f>IF(R276=0,0,INDEX(BDD_Penalites!$D$2:$D$130,MATCH($B276,BDD_Penalites!$A$2:$A$130,0)))</f>
        <v/>
      </c>
      <c r="V276">
        <f>IF(R276=0,0,INDEX(BDD_Penalites!$E$2:$E$130,MATCH($B276,BDD_Penalites!$A$2:$A$130,0)))</f>
        <v/>
      </c>
      <c r="W276">
        <f>IF(R276=0,0,INDEX(BDD_Penalites!$F$2:$F$130,MATCH($B276,BDD_Penalites!$A$2:$A$130,0)))</f>
        <v/>
      </c>
      <c r="X276">
        <f>IF(R276=0,0,INDEX(BDD_Penalites!$G$2:$G$130,MATCH($B276,BDD_Penalites!$A$2:$A$130,0)))</f>
        <v/>
      </c>
      <c r="Y276">
        <f>IF(R276=0,0,INDEX(BDD_Penalites!$H$2:$H$130,MATCH($B276,BDD_Penalites!$A$2:$A$130,0)))</f>
        <v/>
      </c>
      <c r="Z276">
        <f>IF(R276=0,0,INDEX(BDD_Penalites!$I$2:$I$130,MATCH($B276,BDD_Penalites!$A$2:$A$130,0)))</f>
        <v/>
      </c>
      <c r="AA276">
        <f>IF(R276=0,0,INDEX(BDD_Penalites!$J$2:$J$130,MATCH($B276,BDD_Penalites!$A$2:$A$130,0)))</f>
        <v/>
      </c>
      <c r="AB276">
        <f>IF(R276=0,0,INDEX(BDD_Penalites!$K$2:$K$130,MATCH($B276,BDD_Penalites!$A$2:$A$130,0)))</f>
        <v/>
      </c>
      <c r="AC276">
        <f>IF(R276=0,0,INDEX(BDD_Penalites!$L$2:$L$130,MATCH($B276,BDD_Penalites!$A$2:$A$130,0)))</f>
        <v/>
      </c>
      <c r="AD276">
        <f>IF(OR($C276="",Q276="FUTUR"),"",_xlfn.IFS(Q276&lt;U276,V276,Q276&lt;W276,X276,Q276&lt;Y276,Z276,Q276&lt;AA276,AB276,TRUE,AC276))</f>
        <v/>
      </c>
    </row>
    <row r="277" ht="13.5" customHeight="1">
      <c r="A277" s="65" t="inlineStr">
        <is>
          <t>Siparex Equivie</t>
        </is>
      </c>
      <c r="B277" s="66" t="inlineStr">
        <is>
          <t>FR0013351947</t>
        </is>
      </c>
      <c r="C277" s="268" t="n"/>
      <c r="D277" s="269">
        <f>IF(H277=0,"Calendrier non disponible pour ce fonds — contacter la société de gestion.",IF(I277="","Calendrier connu jusqu'au "&amp;TEXT(K277,"dd/mm/yyyy")&amp;" — demander le calendrier à jour.","Cut-off : "&amp;TEXT(I277,"dd/mm/yyyy")&amp;"  |  VL : "&amp;TEXT(J277,"dd/mm/yyyy")))</f>
        <v/>
      </c>
      <c r="E277" s="269">
        <f>IF(L277=0,"Calendrier non disponible pour ce fonds — contacter la société de gestion.",IF(M277="","Calendrier connu jusqu'au "&amp;TEXT(P277,"dd/mm/yyyy")&amp;" — demander le calendrier à jour.","Cut-off : "&amp;TEXT(M277,"dd/mm/yyyy")&amp;"  |  VL : "&amp;TEXT(N277,"dd/mm/yyyy")))</f>
        <v/>
      </c>
      <c r="F277" s="269">
        <f>IF(L277=0,"Calendrier non disponible pour ce fonds.",IF(M277="","Calendrier connu jusqu'au "&amp;TEXT(P277,"dd/mm/yyyy")&amp;".",IF(O277="","Non précisé dans le calendrier pour cette échéance.","Réception : "&amp;TEXT(O277,"dd/mm/yyyy")&amp;"  (suite au rachat du "&amp;TEXT(N277,"dd/mm/yyyy")&amp;")")))</f>
        <v/>
      </c>
      <c r="G277" s="269">
        <f>_xlfn.IFS(S277="aucune","Aucune pénalité de sortie."&amp;IF(T277&lt;&gt;""," ("&amp;T277&amp;")",""),S277="manuel","⚠️ À VÉRIFIER MANUELLEMENT : "&amp;T277,S277="inconnue","Pénalité non renseignée — vérifier la notice / DICI du fonds.",$C277="","Saisir une date d'investissement pour statuer sur la pénalité.",Q277="FUTUR","Date d'investissement postérieure à aujourd'hui — vérifier la saisie.",AD277&gt;0,"⚠️ CONCERNÉ : pénalité de "&amp;AD277&amp;"% (détention "&amp;Q277&amp;" mois). "&amp;T277,TRUE,"Non concerné (détention "&amp;Q277&amp;" mois). "&amp;T277)</f>
        <v/>
      </c>
      <c r="H277">
        <f>COUNTIFS(BDD_Calendrier!$A$2:$A$616,$B277,BDD_Calendrier!$C$2:$C$616,"Souscription")</f>
        <v/>
      </c>
      <c r="I277">
        <f>IF(H277=0,"",IFERROR(_xlfn.MINIFS(BDD_Calendrier!$D$2:$D$616,BDD_Calendrier!$A$2:$A$616,$B277,BDD_Calendrier!$C$2:$C$616,"Souscription",BDD_Calendrier!$D$2:$D$616,"&gt;="&amp;TODAY()),""))</f>
        <v/>
      </c>
      <c r="J277">
        <f>IF(I277="","",IFERROR(INDEX(BDD_Calendrier!$E$2:$E$616,MATCH($B277&amp;"|Souscription|"&amp;TEXT(I277,"yyyy-mm-dd"),BDD_Calendrier!$I$2:$I$616,0)),""))</f>
        <v/>
      </c>
      <c r="K277">
        <f>IF(H277=0,"",_xlfn.MAXIFS(BDD_Calendrier!$D$2:$D$616,BDD_Calendrier!$A$2:$A$616,$B277,BDD_Calendrier!$C$2:$C$616,"Souscription"))</f>
        <v/>
      </c>
      <c r="L277">
        <f>COUNTIFS(BDD_Calendrier!$A$2:$A$616,$B277,BDD_Calendrier!$C$2:$C$616,"Rachat")</f>
        <v/>
      </c>
      <c r="M277">
        <f>IF(L277=0,"",IFERROR(_xlfn.MINIFS(BDD_Calendrier!$D$2:$D$616,BDD_Calendrier!$A$2:$A$616,$B277,BDD_Calendrier!$C$2:$C$616,"Rachat",BDD_Calendrier!$D$2:$D$616,"&gt;="&amp;TODAY()),""))</f>
        <v/>
      </c>
      <c r="N277">
        <f>IF(M277="","",IFERROR(INDEX(BDD_Calendrier!$E$2:$E$616,MATCH($B277&amp;"|Rachat|"&amp;TEXT(M277,"yyyy-mm-dd"),BDD_Calendrier!$I$2:$I$616,0)),""))</f>
        <v/>
      </c>
      <c r="O277">
        <f>IF(M277="","",IFERROR(INDEX(BDD_Calendrier!$H$2:$H$616,MATCH($B277&amp;"|Rachat|"&amp;TEXT(M277,"yyyy-mm-dd"),BDD_Calendrier!$I$2:$I$616,0)),""))</f>
        <v/>
      </c>
      <c r="P277">
        <f>IF(L277=0,"",_xlfn.MAXIFS(BDD_Calendrier!$D$2:$D$616,BDD_Calendrier!$A$2:$A$616,$B277,BDD_Calendrier!$C$2:$C$616,"Rachat"))</f>
        <v/>
      </c>
      <c r="Q277">
        <f>IF($C277="","",IF($C277&gt;TODAY(),"FUTUR",DATEDIF($C277,TODAY(),"m")))</f>
        <v/>
      </c>
      <c r="R277">
        <f>COUNTIF(BDD_Penalites!$A$2:$A$130,$B277)</f>
        <v/>
      </c>
      <c r="S277">
        <f>IF(R277=0,"inconnue",INDEX(BDD_Penalites!$C$2:$C$130,MATCH($B277,BDD_Penalites!$A$2:$A$130,0)))</f>
        <v/>
      </c>
      <c r="T277">
        <f>IF(R277=0,"",INDEX(BDD_Penalites!$M$2:$M$130,MATCH($B277,BDD_Penalites!$A$2:$A$130,0)))</f>
        <v/>
      </c>
      <c r="U277">
        <f>IF(R277=0,0,INDEX(BDD_Penalites!$D$2:$D$130,MATCH($B277,BDD_Penalites!$A$2:$A$130,0)))</f>
        <v/>
      </c>
      <c r="V277">
        <f>IF(R277=0,0,INDEX(BDD_Penalites!$E$2:$E$130,MATCH($B277,BDD_Penalites!$A$2:$A$130,0)))</f>
        <v/>
      </c>
      <c r="W277">
        <f>IF(R277=0,0,INDEX(BDD_Penalites!$F$2:$F$130,MATCH($B277,BDD_Penalites!$A$2:$A$130,0)))</f>
        <v/>
      </c>
      <c r="X277">
        <f>IF(R277=0,0,INDEX(BDD_Penalites!$G$2:$G$130,MATCH($B277,BDD_Penalites!$A$2:$A$130,0)))</f>
        <v/>
      </c>
      <c r="Y277">
        <f>IF(R277=0,0,INDEX(BDD_Penalites!$H$2:$H$130,MATCH($B277,BDD_Penalites!$A$2:$A$130,0)))</f>
        <v/>
      </c>
      <c r="Z277">
        <f>IF(R277=0,0,INDEX(BDD_Penalites!$I$2:$I$130,MATCH($B277,BDD_Penalites!$A$2:$A$130,0)))</f>
        <v/>
      </c>
      <c r="AA277">
        <f>IF(R277=0,0,INDEX(BDD_Penalites!$J$2:$J$130,MATCH($B277,BDD_Penalites!$A$2:$A$130,0)))</f>
        <v/>
      </c>
      <c r="AB277">
        <f>IF(R277=0,0,INDEX(BDD_Penalites!$K$2:$K$130,MATCH($B277,BDD_Penalites!$A$2:$A$130,0)))</f>
        <v/>
      </c>
      <c r="AC277">
        <f>IF(R277=0,0,INDEX(BDD_Penalites!$L$2:$L$130,MATCH($B277,BDD_Penalites!$A$2:$A$130,0)))</f>
        <v/>
      </c>
      <c r="AD277">
        <f>IF(OR($C277="",Q277="FUTUR"),"",_xlfn.IFS(Q277&lt;U277,V277,Q277&lt;W277,X277,Q277&lt;Y277,Z277,Q277&lt;AA277,AB277,TRUE,AC277))</f>
        <v/>
      </c>
    </row>
    <row r="278" ht="13.5" customHeight="1">
      <c r="A278" s="65" t="inlineStr">
        <is>
          <t>Ardian Access Solution</t>
        </is>
      </c>
      <c r="B278" s="66" t="inlineStr">
        <is>
          <t>FR001400AUA7</t>
        </is>
      </c>
      <c r="C278" s="268" t="n"/>
      <c r="D278" s="269">
        <f>IF(H278=0,"Calendrier non disponible pour ce fonds — contacter la société de gestion.",IF(I278="","Calendrier connu jusqu'au "&amp;TEXT(K278,"dd/mm/yyyy")&amp;" — demander le calendrier à jour.","Cut-off : "&amp;TEXT(I278,"dd/mm/yyyy")&amp;"  |  VL : "&amp;TEXT(J278,"dd/mm/yyyy")))</f>
        <v/>
      </c>
      <c r="E278" s="269">
        <f>IF(L278=0,"Calendrier non disponible pour ce fonds — contacter la société de gestion.",IF(M278="","Calendrier connu jusqu'au "&amp;TEXT(P278,"dd/mm/yyyy")&amp;" — demander le calendrier à jour.","Cut-off : "&amp;TEXT(M278,"dd/mm/yyyy")&amp;"  |  VL : "&amp;TEXT(N278,"dd/mm/yyyy")))</f>
        <v/>
      </c>
      <c r="F278" s="269">
        <f>IF(L278=0,"Calendrier non disponible pour ce fonds.",IF(M278="","Calendrier connu jusqu'au "&amp;TEXT(P278,"dd/mm/yyyy")&amp;".",IF(O278="","Non précisé dans le calendrier pour cette échéance.","Réception : "&amp;TEXT(O278,"dd/mm/yyyy")&amp;"  (suite au rachat du "&amp;TEXT(N278,"dd/mm/yyyy")&amp;")")))</f>
        <v/>
      </c>
      <c r="G278" s="269">
        <f>_xlfn.IFS(S278="aucune","Aucune pénalité de sortie."&amp;IF(T278&lt;&gt;""," ("&amp;T278&amp;")",""),S278="manuel","⚠️ À VÉRIFIER MANUELLEMENT : "&amp;T278,S278="inconnue","Pénalité non renseignée — vérifier la notice / DICI du fonds.",$C278="","Saisir une date d'investissement pour statuer sur la pénalité.",Q278="FUTUR","Date d'investissement postérieure à aujourd'hui — vérifier la saisie.",AD278&gt;0,"⚠️ CONCERNÉ : pénalité de "&amp;AD278&amp;"% (détention "&amp;Q278&amp;" mois). "&amp;T278,TRUE,"Non concerné (détention "&amp;Q278&amp;" mois). "&amp;T278)</f>
        <v/>
      </c>
      <c r="H278">
        <f>COUNTIFS(BDD_Calendrier!$A$2:$A$616,$B278,BDD_Calendrier!$C$2:$C$616,"Souscription")</f>
        <v/>
      </c>
      <c r="I278">
        <f>IF(H278=0,"",IFERROR(_xlfn.MINIFS(BDD_Calendrier!$D$2:$D$616,BDD_Calendrier!$A$2:$A$616,$B278,BDD_Calendrier!$C$2:$C$616,"Souscription",BDD_Calendrier!$D$2:$D$616,"&gt;="&amp;TODAY()),""))</f>
        <v/>
      </c>
      <c r="J278">
        <f>IF(I278="","",IFERROR(INDEX(BDD_Calendrier!$E$2:$E$616,MATCH($B278&amp;"|Souscription|"&amp;TEXT(I278,"yyyy-mm-dd"),BDD_Calendrier!$I$2:$I$616,0)),""))</f>
        <v/>
      </c>
      <c r="K278">
        <f>IF(H278=0,"",_xlfn.MAXIFS(BDD_Calendrier!$D$2:$D$616,BDD_Calendrier!$A$2:$A$616,$B278,BDD_Calendrier!$C$2:$C$616,"Souscription"))</f>
        <v/>
      </c>
      <c r="L278">
        <f>COUNTIFS(BDD_Calendrier!$A$2:$A$616,$B278,BDD_Calendrier!$C$2:$C$616,"Rachat")</f>
        <v/>
      </c>
      <c r="M278">
        <f>IF(L278=0,"",IFERROR(_xlfn.MINIFS(BDD_Calendrier!$D$2:$D$616,BDD_Calendrier!$A$2:$A$616,$B278,BDD_Calendrier!$C$2:$C$616,"Rachat",BDD_Calendrier!$D$2:$D$616,"&gt;="&amp;TODAY()),""))</f>
        <v/>
      </c>
      <c r="N278">
        <f>IF(M278="","",IFERROR(INDEX(BDD_Calendrier!$E$2:$E$616,MATCH($B278&amp;"|Rachat|"&amp;TEXT(M278,"yyyy-mm-dd"),BDD_Calendrier!$I$2:$I$616,0)),""))</f>
        <v/>
      </c>
      <c r="O278">
        <f>IF(M278="","",IFERROR(INDEX(BDD_Calendrier!$H$2:$H$616,MATCH($B278&amp;"|Rachat|"&amp;TEXT(M278,"yyyy-mm-dd"),BDD_Calendrier!$I$2:$I$616,0)),""))</f>
        <v/>
      </c>
      <c r="P278">
        <f>IF(L278=0,"",_xlfn.MAXIFS(BDD_Calendrier!$D$2:$D$616,BDD_Calendrier!$A$2:$A$616,$B278,BDD_Calendrier!$C$2:$C$616,"Rachat"))</f>
        <v/>
      </c>
      <c r="Q278">
        <f>IF($C278="","",IF($C278&gt;TODAY(),"FUTUR",DATEDIF($C278,TODAY(),"m")))</f>
        <v/>
      </c>
      <c r="R278">
        <f>COUNTIF(BDD_Penalites!$A$2:$A$130,$B278)</f>
        <v/>
      </c>
      <c r="S278">
        <f>IF(R278=0,"inconnue",INDEX(BDD_Penalites!$C$2:$C$130,MATCH($B278,BDD_Penalites!$A$2:$A$130,0)))</f>
        <v/>
      </c>
      <c r="T278">
        <f>IF(R278=0,"",INDEX(BDD_Penalites!$M$2:$M$130,MATCH($B278,BDD_Penalites!$A$2:$A$130,0)))</f>
        <v/>
      </c>
      <c r="U278">
        <f>IF(R278=0,0,INDEX(BDD_Penalites!$D$2:$D$130,MATCH($B278,BDD_Penalites!$A$2:$A$130,0)))</f>
        <v/>
      </c>
      <c r="V278">
        <f>IF(R278=0,0,INDEX(BDD_Penalites!$E$2:$E$130,MATCH($B278,BDD_Penalites!$A$2:$A$130,0)))</f>
        <v/>
      </c>
      <c r="W278">
        <f>IF(R278=0,0,INDEX(BDD_Penalites!$F$2:$F$130,MATCH($B278,BDD_Penalites!$A$2:$A$130,0)))</f>
        <v/>
      </c>
      <c r="X278">
        <f>IF(R278=0,0,INDEX(BDD_Penalites!$G$2:$G$130,MATCH($B278,BDD_Penalites!$A$2:$A$130,0)))</f>
        <v/>
      </c>
      <c r="Y278">
        <f>IF(R278=0,0,INDEX(BDD_Penalites!$H$2:$H$130,MATCH($B278,BDD_Penalites!$A$2:$A$130,0)))</f>
        <v/>
      </c>
      <c r="Z278">
        <f>IF(R278=0,0,INDEX(BDD_Penalites!$I$2:$I$130,MATCH($B278,BDD_Penalites!$A$2:$A$130,0)))</f>
        <v/>
      </c>
      <c r="AA278">
        <f>IF(R278=0,0,INDEX(BDD_Penalites!$J$2:$J$130,MATCH($B278,BDD_Penalites!$A$2:$A$130,0)))</f>
        <v/>
      </c>
      <c r="AB278">
        <f>IF(R278=0,0,INDEX(BDD_Penalites!$K$2:$K$130,MATCH($B278,BDD_Penalites!$A$2:$A$130,0)))</f>
        <v/>
      </c>
      <c r="AC278">
        <f>IF(R278=0,0,INDEX(BDD_Penalites!$L$2:$L$130,MATCH($B278,BDD_Penalites!$A$2:$A$130,0)))</f>
        <v/>
      </c>
      <c r="AD278">
        <f>IF(OR($C278="",Q278="FUTUR"),"",_xlfn.IFS(Q278&lt;U278,V278,Q278&lt;W278,X278,Q278&lt;Y278,Z278,Q278&lt;AA278,AB278,TRUE,AC278))</f>
        <v/>
      </c>
    </row>
    <row r="279" ht="13.5" customHeight="1">
      <c r="A279" s="65" t="inlineStr">
        <is>
          <t>FCPR Entrepreneurs Sélection Secondaire</t>
        </is>
      </c>
      <c r="B279" s="66" t="inlineStr">
        <is>
          <t>FR001400HHK8</t>
        </is>
      </c>
      <c r="C279" s="268" t="n"/>
      <c r="D279" s="269">
        <f>IF(H279=0,"Calendrier non disponible pour ce fonds — contacter la société de gestion.",IF(I279="","Calendrier connu jusqu'au "&amp;TEXT(K279,"dd/mm/yyyy")&amp;" — demander le calendrier à jour.","Cut-off : "&amp;TEXT(I279,"dd/mm/yyyy")&amp;"  |  VL : "&amp;TEXT(J279,"dd/mm/yyyy")))</f>
        <v/>
      </c>
      <c r="E279" s="269">
        <f>IF(L279=0,"Calendrier non disponible pour ce fonds — contacter la société de gestion.",IF(M279="","Calendrier connu jusqu'au "&amp;TEXT(P279,"dd/mm/yyyy")&amp;" — demander le calendrier à jour.","Cut-off : "&amp;TEXT(M279,"dd/mm/yyyy")&amp;"  |  VL : "&amp;TEXT(N279,"dd/mm/yyyy")))</f>
        <v/>
      </c>
      <c r="F279" s="269">
        <f>IF(L279=0,"Calendrier non disponible pour ce fonds.",IF(M279="","Calendrier connu jusqu'au "&amp;TEXT(P279,"dd/mm/yyyy")&amp;".",IF(O279="","Non précisé dans le calendrier pour cette échéance.","Réception : "&amp;TEXT(O279,"dd/mm/yyyy")&amp;"  (suite au rachat du "&amp;TEXT(N279,"dd/mm/yyyy")&amp;")")))</f>
        <v/>
      </c>
      <c r="G279" s="269">
        <f>_xlfn.IFS(S279="aucune","Aucune pénalité de sortie."&amp;IF(T279&lt;&gt;""," ("&amp;T279&amp;")",""),S279="manuel","⚠️ À VÉRIFIER MANUELLEMENT : "&amp;T279,S279="inconnue","Pénalité non renseignée — vérifier la notice / DICI du fonds.",$C279="","Saisir une date d'investissement pour statuer sur la pénalité.",Q279="FUTUR","Date d'investissement postérieure à aujourd'hui — vérifier la saisie.",AD279&gt;0,"⚠️ CONCERNÉ : pénalité de "&amp;AD279&amp;"% (détention "&amp;Q279&amp;" mois). "&amp;T279,TRUE,"Non concerné (détention "&amp;Q279&amp;" mois). "&amp;T279)</f>
        <v/>
      </c>
      <c r="H279">
        <f>COUNTIFS(BDD_Calendrier!$A$2:$A$616,$B279,BDD_Calendrier!$C$2:$C$616,"Souscription")</f>
        <v/>
      </c>
      <c r="I279">
        <f>IF(H279=0,"",IFERROR(_xlfn.MINIFS(BDD_Calendrier!$D$2:$D$616,BDD_Calendrier!$A$2:$A$616,$B279,BDD_Calendrier!$C$2:$C$616,"Souscription",BDD_Calendrier!$D$2:$D$616,"&gt;="&amp;TODAY()),""))</f>
        <v/>
      </c>
      <c r="J279">
        <f>IF(I279="","",IFERROR(INDEX(BDD_Calendrier!$E$2:$E$616,MATCH($B279&amp;"|Souscription|"&amp;TEXT(I279,"yyyy-mm-dd"),BDD_Calendrier!$I$2:$I$616,0)),""))</f>
        <v/>
      </c>
      <c r="K279">
        <f>IF(H279=0,"",_xlfn.MAXIFS(BDD_Calendrier!$D$2:$D$616,BDD_Calendrier!$A$2:$A$616,$B279,BDD_Calendrier!$C$2:$C$616,"Souscription"))</f>
        <v/>
      </c>
      <c r="L279">
        <f>COUNTIFS(BDD_Calendrier!$A$2:$A$616,$B279,BDD_Calendrier!$C$2:$C$616,"Rachat")</f>
        <v/>
      </c>
      <c r="M279">
        <f>IF(L279=0,"",IFERROR(_xlfn.MINIFS(BDD_Calendrier!$D$2:$D$616,BDD_Calendrier!$A$2:$A$616,$B279,BDD_Calendrier!$C$2:$C$616,"Rachat",BDD_Calendrier!$D$2:$D$616,"&gt;="&amp;TODAY()),""))</f>
        <v/>
      </c>
      <c r="N279">
        <f>IF(M279="","",IFERROR(INDEX(BDD_Calendrier!$E$2:$E$616,MATCH($B279&amp;"|Rachat|"&amp;TEXT(M279,"yyyy-mm-dd"),BDD_Calendrier!$I$2:$I$616,0)),""))</f>
        <v/>
      </c>
      <c r="O279">
        <f>IF(M279="","",IFERROR(INDEX(BDD_Calendrier!$H$2:$H$616,MATCH($B279&amp;"|Rachat|"&amp;TEXT(M279,"yyyy-mm-dd"),BDD_Calendrier!$I$2:$I$616,0)),""))</f>
        <v/>
      </c>
      <c r="P279">
        <f>IF(L279=0,"",_xlfn.MAXIFS(BDD_Calendrier!$D$2:$D$616,BDD_Calendrier!$A$2:$A$616,$B279,BDD_Calendrier!$C$2:$C$616,"Rachat"))</f>
        <v/>
      </c>
      <c r="Q279">
        <f>IF($C279="","",IF($C279&gt;TODAY(),"FUTUR",DATEDIF($C279,TODAY(),"m")))</f>
        <v/>
      </c>
      <c r="R279">
        <f>COUNTIF(BDD_Penalites!$A$2:$A$130,$B279)</f>
        <v/>
      </c>
      <c r="S279">
        <f>IF(R279=0,"inconnue",INDEX(BDD_Penalites!$C$2:$C$130,MATCH($B279,BDD_Penalites!$A$2:$A$130,0)))</f>
        <v/>
      </c>
      <c r="T279">
        <f>IF(R279=0,"",INDEX(BDD_Penalites!$M$2:$M$130,MATCH($B279,BDD_Penalites!$A$2:$A$130,0)))</f>
        <v/>
      </c>
      <c r="U279">
        <f>IF(R279=0,0,INDEX(BDD_Penalites!$D$2:$D$130,MATCH($B279,BDD_Penalites!$A$2:$A$130,0)))</f>
        <v/>
      </c>
      <c r="V279">
        <f>IF(R279=0,0,INDEX(BDD_Penalites!$E$2:$E$130,MATCH($B279,BDD_Penalites!$A$2:$A$130,0)))</f>
        <v/>
      </c>
      <c r="W279">
        <f>IF(R279=0,0,INDEX(BDD_Penalites!$F$2:$F$130,MATCH($B279,BDD_Penalites!$A$2:$A$130,0)))</f>
        <v/>
      </c>
      <c r="X279">
        <f>IF(R279=0,0,INDEX(BDD_Penalites!$G$2:$G$130,MATCH($B279,BDD_Penalites!$A$2:$A$130,0)))</f>
        <v/>
      </c>
      <c r="Y279">
        <f>IF(R279=0,0,INDEX(BDD_Penalites!$H$2:$H$130,MATCH($B279,BDD_Penalites!$A$2:$A$130,0)))</f>
        <v/>
      </c>
      <c r="Z279">
        <f>IF(R279=0,0,INDEX(BDD_Penalites!$I$2:$I$130,MATCH($B279,BDD_Penalites!$A$2:$A$130,0)))</f>
        <v/>
      </c>
      <c r="AA279">
        <f>IF(R279=0,0,INDEX(BDD_Penalites!$J$2:$J$130,MATCH($B279,BDD_Penalites!$A$2:$A$130,0)))</f>
        <v/>
      </c>
      <c r="AB279">
        <f>IF(R279=0,0,INDEX(BDD_Penalites!$K$2:$K$130,MATCH($B279,BDD_Penalites!$A$2:$A$130,0)))</f>
        <v/>
      </c>
      <c r="AC279">
        <f>IF(R279=0,0,INDEX(BDD_Penalites!$L$2:$L$130,MATCH($B279,BDD_Penalites!$A$2:$A$130,0)))</f>
        <v/>
      </c>
      <c r="AD279">
        <f>IF(OR($C279="",Q279="FUTUR"),"",_xlfn.IFS(Q279&lt;U279,V279,Q279&lt;W279,X279,Q279&lt;Y279,Z279,Q279&lt;AA279,AB279,TRUE,AC279))</f>
        <v/>
      </c>
    </row>
    <row r="280" ht="13.5" customHeight="1">
      <c r="A280" s="65" t="inlineStr">
        <is>
          <t>FCPR Entrepreneurs &amp; Rendement N°8 Part E</t>
        </is>
      </c>
      <c r="B280" s="66" t="inlineStr">
        <is>
          <t>FR001400K9O3</t>
        </is>
      </c>
      <c r="C280" s="268" t="n"/>
      <c r="D280" s="269">
        <f>IF(H280=0,"Calendrier non disponible pour ce fonds — contacter la société de gestion.",IF(I280="","Calendrier connu jusqu'au "&amp;TEXT(K280,"dd/mm/yyyy")&amp;" — demander le calendrier à jour.","Cut-off : "&amp;TEXT(I280,"dd/mm/yyyy")&amp;"  |  VL : "&amp;TEXT(J280,"dd/mm/yyyy")))</f>
        <v/>
      </c>
      <c r="E280" s="269">
        <f>IF(L280=0,"Calendrier non disponible pour ce fonds — contacter la société de gestion.",IF(M280="","Calendrier connu jusqu'au "&amp;TEXT(P280,"dd/mm/yyyy")&amp;" — demander le calendrier à jour.","Cut-off : "&amp;TEXT(M280,"dd/mm/yyyy")&amp;"  |  VL : "&amp;TEXT(N280,"dd/mm/yyyy")))</f>
        <v/>
      </c>
      <c r="F280" s="269">
        <f>IF(L280=0,"Calendrier non disponible pour ce fonds.",IF(M280="","Calendrier connu jusqu'au "&amp;TEXT(P280,"dd/mm/yyyy")&amp;".",IF(O280="","Non précisé dans le calendrier pour cette échéance.","Réception : "&amp;TEXT(O280,"dd/mm/yyyy")&amp;"  (suite au rachat du "&amp;TEXT(N280,"dd/mm/yyyy")&amp;")")))</f>
        <v/>
      </c>
      <c r="G280" s="269">
        <f>_xlfn.IFS(S280="aucune","Aucune pénalité de sortie."&amp;IF(T280&lt;&gt;""," ("&amp;T280&amp;")",""),S280="manuel","⚠️ À VÉRIFIER MANUELLEMENT : "&amp;T280,S280="inconnue","Pénalité non renseignée — vérifier la notice / DICI du fonds.",$C280="","Saisir une date d'investissement pour statuer sur la pénalité.",Q280="FUTUR","Date d'investissement postérieure à aujourd'hui — vérifier la saisie.",AD280&gt;0,"⚠️ CONCERNÉ : pénalité de "&amp;AD280&amp;"% (détention "&amp;Q280&amp;" mois). "&amp;T280,TRUE,"Non concerné (détention "&amp;Q280&amp;" mois). "&amp;T280)</f>
        <v/>
      </c>
      <c r="H280">
        <f>COUNTIFS(BDD_Calendrier!$A$2:$A$616,$B280,BDD_Calendrier!$C$2:$C$616,"Souscription")</f>
        <v/>
      </c>
      <c r="I280">
        <f>IF(H280=0,"",IFERROR(_xlfn.MINIFS(BDD_Calendrier!$D$2:$D$616,BDD_Calendrier!$A$2:$A$616,$B280,BDD_Calendrier!$C$2:$C$616,"Souscription",BDD_Calendrier!$D$2:$D$616,"&gt;="&amp;TODAY()),""))</f>
        <v/>
      </c>
      <c r="J280">
        <f>IF(I280="","",IFERROR(INDEX(BDD_Calendrier!$E$2:$E$616,MATCH($B280&amp;"|Souscription|"&amp;TEXT(I280,"yyyy-mm-dd"),BDD_Calendrier!$I$2:$I$616,0)),""))</f>
        <v/>
      </c>
      <c r="K280">
        <f>IF(H280=0,"",_xlfn.MAXIFS(BDD_Calendrier!$D$2:$D$616,BDD_Calendrier!$A$2:$A$616,$B280,BDD_Calendrier!$C$2:$C$616,"Souscription"))</f>
        <v/>
      </c>
      <c r="L280">
        <f>COUNTIFS(BDD_Calendrier!$A$2:$A$616,$B280,BDD_Calendrier!$C$2:$C$616,"Rachat")</f>
        <v/>
      </c>
      <c r="M280">
        <f>IF(L280=0,"",IFERROR(_xlfn.MINIFS(BDD_Calendrier!$D$2:$D$616,BDD_Calendrier!$A$2:$A$616,$B280,BDD_Calendrier!$C$2:$C$616,"Rachat",BDD_Calendrier!$D$2:$D$616,"&gt;="&amp;TODAY()),""))</f>
        <v/>
      </c>
      <c r="N280">
        <f>IF(M280="","",IFERROR(INDEX(BDD_Calendrier!$E$2:$E$616,MATCH($B280&amp;"|Rachat|"&amp;TEXT(M280,"yyyy-mm-dd"),BDD_Calendrier!$I$2:$I$616,0)),""))</f>
        <v/>
      </c>
      <c r="O280">
        <f>IF(M280="","",IFERROR(INDEX(BDD_Calendrier!$H$2:$H$616,MATCH($B280&amp;"|Rachat|"&amp;TEXT(M280,"yyyy-mm-dd"),BDD_Calendrier!$I$2:$I$616,0)),""))</f>
        <v/>
      </c>
      <c r="P280">
        <f>IF(L280=0,"",_xlfn.MAXIFS(BDD_Calendrier!$D$2:$D$616,BDD_Calendrier!$A$2:$A$616,$B280,BDD_Calendrier!$C$2:$C$616,"Rachat"))</f>
        <v/>
      </c>
      <c r="Q280">
        <f>IF($C280="","",IF($C280&gt;TODAY(),"FUTUR",DATEDIF($C280,TODAY(),"m")))</f>
        <v/>
      </c>
      <c r="R280">
        <f>COUNTIF(BDD_Penalites!$A$2:$A$130,$B280)</f>
        <v/>
      </c>
      <c r="S280">
        <f>IF(R280=0,"inconnue",INDEX(BDD_Penalites!$C$2:$C$130,MATCH($B280,BDD_Penalites!$A$2:$A$130,0)))</f>
        <v/>
      </c>
      <c r="T280">
        <f>IF(R280=0,"",INDEX(BDD_Penalites!$M$2:$M$130,MATCH($B280,BDD_Penalites!$A$2:$A$130,0)))</f>
        <v/>
      </c>
      <c r="U280">
        <f>IF(R280=0,0,INDEX(BDD_Penalites!$D$2:$D$130,MATCH($B280,BDD_Penalites!$A$2:$A$130,0)))</f>
        <v/>
      </c>
      <c r="V280">
        <f>IF(R280=0,0,INDEX(BDD_Penalites!$E$2:$E$130,MATCH($B280,BDD_Penalites!$A$2:$A$130,0)))</f>
        <v/>
      </c>
      <c r="W280">
        <f>IF(R280=0,0,INDEX(BDD_Penalites!$F$2:$F$130,MATCH($B280,BDD_Penalites!$A$2:$A$130,0)))</f>
        <v/>
      </c>
      <c r="X280">
        <f>IF(R280=0,0,INDEX(BDD_Penalites!$G$2:$G$130,MATCH($B280,BDD_Penalites!$A$2:$A$130,0)))</f>
        <v/>
      </c>
      <c r="Y280">
        <f>IF(R280=0,0,INDEX(BDD_Penalites!$H$2:$H$130,MATCH($B280,BDD_Penalites!$A$2:$A$130,0)))</f>
        <v/>
      </c>
      <c r="Z280">
        <f>IF(R280=0,0,INDEX(BDD_Penalites!$I$2:$I$130,MATCH($B280,BDD_Penalites!$A$2:$A$130,0)))</f>
        <v/>
      </c>
      <c r="AA280">
        <f>IF(R280=0,0,INDEX(BDD_Penalites!$J$2:$J$130,MATCH($B280,BDD_Penalites!$A$2:$A$130,0)))</f>
        <v/>
      </c>
      <c r="AB280">
        <f>IF(R280=0,0,INDEX(BDD_Penalites!$K$2:$K$130,MATCH($B280,BDD_Penalites!$A$2:$A$130,0)))</f>
        <v/>
      </c>
      <c r="AC280">
        <f>IF(R280=0,0,INDEX(BDD_Penalites!$L$2:$L$130,MATCH($B280,BDD_Penalites!$A$2:$A$130,0)))</f>
        <v/>
      </c>
      <c r="AD280">
        <f>IF(OR($C280="",Q280="FUTUR"),"",_xlfn.IFS(Q280&lt;U280,V280,Q280&lt;W280,X280,Q280&lt;Y280,Z280,Q280&lt;AA280,AB280,TRUE,AC280))</f>
        <v/>
      </c>
    </row>
    <row r="281" ht="13.5" customFormat="1" customHeight="1" s="29">
      <c r="A281" s="65" t="inlineStr">
        <is>
          <t>FPCI Cairn Capital I A1</t>
        </is>
      </c>
      <c r="B281" s="66" t="inlineStr">
        <is>
          <t>FR0011347277</t>
        </is>
      </c>
      <c r="C281" s="268" t="n"/>
      <c r="D281" s="269">
        <f>IF(H281=0,"Calendrier non disponible pour ce fonds — contacter la société de gestion.",IF(I281="","Calendrier connu jusqu'au "&amp;TEXT(K281,"dd/mm/yyyy")&amp;" — demander le calendrier à jour.","Cut-off : "&amp;TEXT(I281,"dd/mm/yyyy")&amp;"  |  VL : "&amp;TEXT(J281,"dd/mm/yyyy")))</f>
        <v/>
      </c>
      <c r="E281" s="269">
        <f>IF(L281=0,"Calendrier non disponible pour ce fonds — contacter la société de gestion.",IF(M281="","Calendrier connu jusqu'au "&amp;TEXT(P281,"dd/mm/yyyy")&amp;" — demander le calendrier à jour.","Cut-off : "&amp;TEXT(M281,"dd/mm/yyyy")&amp;"  |  VL : "&amp;TEXT(N281,"dd/mm/yyyy")))</f>
        <v/>
      </c>
      <c r="F281" s="269">
        <f>IF(L281=0,"Calendrier non disponible pour ce fonds.",IF(M281="","Calendrier connu jusqu'au "&amp;TEXT(P281,"dd/mm/yyyy")&amp;".",IF(O281="","Non précisé dans le calendrier pour cette échéance.","Réception : "&amp;TEXT(O281,"dd/mm/yyyy")&amp;"  (suite au rachat du "&amp;TEXT(N281,"dd/mm/yyyy")&amp;")")))</f>
        <v/>
      </c>
      <c r="G281" s="269">
        <f>_xlfn.IFS(S281="aucune","Aucune pénalité de sortie."&amp;IF(T281&lt;&gt;""," ("&amp;T281&amp;")",""),S281="manuel","⚠️ À VÉRIFIER MANUELLEMENT : "&amp;T281,S281="inconnue","Pénalité non renseignée — vérifier la notice / DICI du fonds.",$C281="","Saisir une date d'investissement pour statuer sur la pénalité.",Q281="FUTUR","Date d'investissement postérieure à aujourd'hui — vérifier la saisie.",AD281&gt;0,"⚠️ CONCERNÉ : pénalité de "&amp;AD281&amp;"% (détention "&amp;Q281&amp;" mois). "&amp;T281,TRUE,"Non concerné (détention "&amp;Q281&amp;" mois). "&amp;T281)</f>
        <v/>
      </c>
      <c r="H281">
        <f>COUNTIFS(BDD_Calendrier!$A$2:$A$616,$B281,BDD_Calendrier!$C$2:$C$616,"Souscription")</f>
        <v/>
      </c>
      <c r="I281">
        <f>IF(H281=0,"",IFERROR(_xlfn.MINIFS(BDD_Calendrier!$D$2:$D$616,BDD_Calendrier!$A$2:$A$616,$B281,BDD_Calendrier!$C$2:$C$616,"Souscription",BDD_Calendrier!$D$2:$D$616,"&gt;="&amp;TODAY()),""))</f>
        <v/>
      </c>
      <c r="J281">
        <f>IF(I281="","",IFERROR(INDEX(BDD_Calendrier!$E$2:$E$616,MATCH($B281&amp;"|Souscription|"&amp;TEXT(I281,"yyyy-mm-dd"),BDD_Calendrier!$I$2:$I$616,0)),""))</f>
        <v/>
      </c>
      <c r="K281">
        <f>IF(H281=0,"",_xlfn.MAXIFS(BDD_Calendrier!$D$2:$D$616,BDD_Calendrier!$A$2:$A$616,$B281,BDD_Calendrier!$C$2:$C$616,"Souscription"))</f>
        <v/>
      </c>
      <c r="L281">
        <f>COUNTIFS(BDD_Calendrier!$A$2:$A$616,$B281,BDD_Calendrier!$C$2:$C$616,"Rachat")</f>
        <v/>
      </c>
      <c r="M281">
        <f>IF(L281=0,"",IFERROR(_xlfn.MINIFS(BDD_Calendrier!$D$2:$D$616,BDD_Calendrier!$A$2:$A$616,$B281,BDD_Calendrier!$C$2:$C$616,"Rachat",BDD_Calendrier!$D$2:$D$616,"&gt;="&amp;TODAY()),""))</f>
        <v/>
      </c>
      <c r="N281">
        <f>IF(M281="","",IFERROR(INDEX(BDD_Calendrier!$E$2:$E$616,MATCH($B281&amp;"|Rachat|"&amp;TEXT(M281,"yyyy-mm-dd"),BDD_Calendrier!$I$2:$I$616,0)),""))</f>
        <v/>
      </c>
      <c r="O281">
        <f>IF(M281="","",IFERROR(INDEX(BDD_Calendrier!$H$2:$H$616,MATCH($B281&amp;"|Rachat|"&amp;TEXT(M281,"yyyy-mm-dd"),BDD_Calendrier!$I$2:$I$616,0)),""))</f>
        <v/>
      </c>
      <c r="P281">
        <f>IF(L281=0,"",_xlfn.MAXIFS(BDD_Calendrier!$D$2:$D$616,BDD_Calendrier!$A$2:$A$616,$B281,BDD_Calendrier!$C$2:$C$616,"Rachat"))</f>
        <v/>
      </c>
      <c r="Q281">
        <f>IF($C281="","",IF($C281&gt;TODAY(),"FUTUR",DATEDIF($C281,TODAY(),"m")))</f>
        <v/>
      </c>
      <c r="R281">
        <f>COUNTIF(BDD_Penalites!$A$2:$A$130,$B281)</f>
        <v/>
      </c>
      <c r="S281">
        <f>IF(R281=0,"inconnue",INDEX(BDD_Penalites!$C$2:$C$130,MATCH($B281,BDD_Penalites!$A$2:$A$130,0)))</f>
        <v/>
      </c>
      <c r="T281">
        <f>IF(R281=0,"",INDEX(BDD_Penalites!$M$2:$M$130,MATCH($B281,BDD_Penalites!$A$2:$A$130,0)))</f>
        <v/>
      </c>
      <c r="U281">
        <f>IF(R281=0,0,INDEX(BDD_Penalites!$D$2:$D$130,MATCH($B281,BDD_Penalites!$A$2:$A$130,0)))</f>
        <v/>
      </c>
      <c r="V281">
        <f>IF(R281=0,0,INDEX(BDD_Penalites!$E$2:$E$130,MATCH($B281,BDD_Penalites!$A$2:$A$130,0)))</f>
        <v/>
      </c>
      <c r="W281">
        <f>IF(R281=0,0,INDEX(BDD_Penalites!$F$2:$F$130,MATCH($B281,BDD_Penalites!$A$2:$A$130,0)))</f>
        <v/>
      </c>
      <c r="X281">
        <f>IF(R281=0,0,INDEX(BDD_Penalites!$G$2:$G$130,MATCH($B281,BDD_Penalites!$A$2:$A$130,0)))</f>
        <v/>
      </c>
      <c r="Y281">
        <f>IF(R281=0,0,INDEX(BDD_Penalites!$H$2:$H$130,MATCH($B281,BDD_Penalites!$A$2:$A$130,0)))</f>
        <v/>
      </c>
      <c r="Z281">
        <f>IF(R281=0,0,INDEX(BDD_Penalites!$I$2:$I$130,MATCH($B281,BDD_Penalites!$A$2:$A$130,0)))</f>
        <v/>
      </c>
      <c r="AA281">
        <f>IF(R281=0,0,INDEX(BDD_Penalites!$J$2:$J$130,MATCH($B281,BDD_Penalites!$A$2:$A$130,0)))</f>
        <v/>
      </c>
      <c r="AB281">
        <f>IF(R281=0,0,INDEX(BDD_Penalites!$K$2:$K$130,MATCH($B281,BDD_Penalites!$A$2:$A$130,0)))</f>
        <v/>
      </c>
      <c r="AC281">
        <f>IF(R281=0,0,INDEX(BDD_Penalites!$L$2:$L$130,MATCH($B281,BDD_Penalites!$A$2:$A$130,0)))</f>
        <v/>
      </c>
      <c r="AD281">
        <f>IF(OR($C281="",Q281="FUTUR"),"",_xlfn.IFS(Q281&lt;U281,V281,Q281&lt;W281,X281,Q281&lt;Y281,Z281,Q281&lt;AA281,AB281,TRUE,AC281))</f>
        <v/>
      </c>
    </row>
    <row r="282" ht="13.5" customFormat="1" customHeight="1" s="29">
      <c r="A282" s="65" t="inlineStr">
        <is>
          <t>FPCI Cairn Capital II A1</t>
        </is>
      </c>
      <c r="B282" s="66" t="inlineStr">
        <is>
          <t>FR0013372687</t>
        </is>
      </c>
      <c r="C282" s="268" t="n"/>
      <c r="D282" s="269">
        <f>IF(H282=0,"Calendrier non disponible pour ce fonds — contacter la société de gestion.",IF(I282="","Calendrier connu jusqu'au "&amp;TEXT(K282,"dd/mm/yyyy")&amp;" — demander le calendrier à jour.","Cut-off : "&amp;TEXT(I282,"dd/mm/yyyy")&amp;"  |  VL : "&amp;TEXT(J282,"dd/mm/yyyy")))</f>
        <v/>
      </c>
      <c r="E282" s="269">
        <f>IF(L282=0,"Calendrier non disponible pour ce fonds — contacter la société de gestion.",IF(M282="","Calendrier connu jusqu'au "&amp;TEXT(P282,"dd/mm/yyyy")&amp;" — demander le calendrier à jour.","Cut-off : "&amp;TEXT(M282,"dd/mm/yyyy")&amp;"  |  VL : "&amp;TEXT(N282,"dd/mm/yyyy")))</f>
        <v/>
      </c>
      <c r="F282" s="269">
        <f>IF(L282=0,"Calendrier non disponible pour ce fonds.",IF(M282="","Calendrier connu jusqu'au "&amp;TEXT(P282,"dd/mm/yyyy")&amp;".",IF(O282="","Non précisé dans le calendrier pour cette échéance.","Réception : "&amp;TEXT(O282,"dd/mm/yyyy")&amp;"  (suite au rachat du "&amp;TEXT(N282,"dd/mm/yyyy")&amp;")")))</f>
        <v/>
      </c>
      <c r="G282" s="269">
        <f>_xlfn.IFS(S282="aucune","Aucune pénalité de sortie."&amp;IF(T282&lt;&gt;""," ("&amp;T282&amp;")",""),S282="manuel","⚠️ À VÉRIFIER MANUELLEMENT : "&amp;T282,S282="inconnue","Pénalité non renseignée — vérifier la notice / DICI du fonds.",$C282="","Saisir une date d'investissement pour statuer sur la pénalité.",Q282="FUTUR","Date d'investissement postérieure à aujourd'hui — vérifier la saisie.",AD282&gt;0,"⚠️ CONCERNÉ : pénalité de "&amp;AD282&amp;"% (détention "&amp;Q282&amp;" mois). "&amp;T282,TRUE,"Non concerné (détention "&amp;Q282&amp;" mois). "&amp;T282)</f>
        <v/>
      </c>
      <c r="H282">
        <f>COUNTIFS(BDD_Calendrier!$A$2:$A$616,$B282,BDD_Calendrier!$C$2:$C$616,"Souscription")</f>
        <v/>
      </c>
      <c r="I282">
        <f>IF(H282=0,"",IFERROR(_xlfn.MINIFS(BDD_Calendrier!$D$2:$D$616,BDD_Calendrier!$A$2:$A$616,$B282,BDD_Calendrier!$C$2:$C$616,"Souscription",BDD_Calendrier!$D$2:$D$616,"&gt;="&amp;TODAY()),""))</f>
        <v/>
      </c>
      <c r="J282">
        <f>IF(I282="","",IFERROR(INDEX(BDD_Calendrier!$E$2:$E$616,MATCH($B282&amp;"|Souscription|"&amp;TEXT(I282,"yyyy-mm-dd"),BDD_Calendrier!$I$2:$I$616,0)),""))</f>
        <v/>
      </c>
      <c r="K282">
        <f>IF(H282=0,"",_xlfn.MAXIFS(BDD_Calendrier!$D$2:$D$616,BDD_Calendrier!$A$2:$A$616,$B282,BDD_Calendrier!$C$2:$C$616,"Souscription"))</f>
        <v/>
      </c>
      <c r="L282">
        <f>COUNTIFS(BDD_Calendrier!$A$2:$A$616,$B282,BDD_Calendrier!$C$2:$C$616,"Rachat")</f>
        <v/>
      </c>
      <c r="M282">
        <f>IF(L282=0,"",IFERROR(_xlfn.MINIFS(BDD_Calendrier!$D$2:$D$616,BDD_Calendrier!$A$2:$A$616,$B282,BDD_Calendrier!$C$2:$C$616,"Rachat",BDD_Calendrier!$D$2:$D$616,"&gt;="&amp;TODAY()),""))</f>
        <v/>
      </c>
      <c r="N282">
        <f>IF(M282="","",IFERROR(INDEX(BDD_Calendrier!$E$2:$E$616,MATCH($B282&amp;"|Rachat|"&amp;TEXT(M282,"yyyy-mm-dd"),BDD_Calendrier!$I$2:$I$616,0)),""))</f>
        <v/>
      </c>
      <c r="O282">
        <f>IF(M282="","",IFERROR(INDEX(BDD_Calendrier!$H$2:$H$616,MATCH($B282&amp;"|Rachat|"&amp;TEXT(M282,"yyyy-mm-dd"),BDD_Calendrier!$I$2:$I$616,0)),""))</f>
        <v/>
      </c>
      <c r="P282">
        <f>IF(L282=0,"",_xlfn.MAXIFS(BDD_Calendrier!$D$2:$D$616,BDD_Calendrier!$A$2:$A$616,$B282,BDD_Calendrier!$C$2:$C$616,"Rachat"))</f>
        <v/>
      </c>
      <c r="Q282">
        <f>IF($C282="","",IF($C282&gt;TODAY(),"FUTUR",DATEDIF($C282,TODAY(),"m")))</f>
        <v/>
      </c>
      <c r="R282">
        <f>COUNTIF(BDD_Penalites!$A$2:$A$130,$B282)</f>
        <v/>
      </c>
      <c r="S282">
        <f>IF(R282=0,"inconnue",INDEX(BDD_Penalites!$C$2:$C$130,MATCH($B282,BDD_Penalites!$A$2:$A$130,0)))</f>
        <v/>
      </c>
      <c r="T282">
        <f>IF(R282=0,"",INDEX(BDD_Penalites!$M$2:$M$130,MATCH($B282,BDD_Penalites!$A$2:$A$130,0)))</f>
        <v/>
      </c>
      <c r="U282">
        <f>IF(R282=0,0,INDEX(BDD_Penalites!$D$2:$D$130,MATCH($B282,BDD_Penalites!$A$2:$A$130,0)))</f>
        <v/>
      </c>
      <c r="V282">
        <f>IF(R282=0,0,INDEX(BDD_Penalites!$E$2:$E$130,MATCH($B282,BDD_Penalites!$A$2:$A$130,0)))</f>
        <v/>
      </c>
      <c r="W282">
        <f>IF(R282=0,0,INDEX(BDD_Penalites!$F$2:$F$130,MATCH($B282,BDD_Penalites!$A$2:$A$130,0)))</f>
        <v/>
      </c>
      <c r="X282">
        <f>IF(R282=0,0,INDEX(BDD_Penalites!$G$2:$G$130,MATCH($B282,BDD_Penalites!$A$2:$A$130,0)))</f>
        <v/>
      </c>
      <c r="Y282">
        <f>IF(R282=0,0,INDEX(BDD_Penalites!$H$2:$H$130,MATCH($B282,BDD_Penalites!$A$2:$A$130,0)))</f>
        <v/>
      </c>
      <c r="Z282">
        <f>IF(R282=0,0,INDEX(BDD_Penalites!$I$2:$I$130,MATCH($B282,BDD_Penalites!$A$2:$A$130,0)))</f>
        <v/>
      </c>
      <c r="AA282">
        <f>IF(R282=0,0,INDEX(BDD_Penalites!$J$2:$J$130,MATCH($B282,BDD_Penalites!$A$2:$A$130,0)))</f>
        <v/>
      </c>
      <c r="AB282">
        <f>IF(R282=0,0,INDEX(BDD_Penalites!$K$2:$K$130,MATCH($B282,BDD_Penalites!$A$2:$A$130,0)))</f>
        <v/>
      </c>
      <c r="AC282">
        <f>IF(R282=0,0,INDEX(BDD_Penalites!$L$2:$L$130,MATCH($B282,BDD_Penalites!$A$2:$A$130,0)))</f>
        <v/>
      </c>
      <c r="AD282">
        <f>IF(OR($C282="",Q282="FUTUR"),"",_xlfn.IFS(Q282&lt;U282,V282,Q282&lt;W282,X282,Q282&lt;Y282,Z282,Q282&lt;AA282,AB282,TRUE,AC282))</f>
        <v/>
      </c>
    </row>
    <row r="283" ht="13.5" customFormat="1" customHeight="1" s="29">
      <c r="A283" s="65" t="inlineStr">
        <is>
          <t>FPCI Cairn Capital III - A3</t>
        </is>
      </c>
      <c r="B283" s="66" t="inlineStr">
        <is>
          <t>FR001400E052</t>
        </is>
      </c>
      <c r="C283" s="268" t="n"/>
      <c r="D283" s="269">
        <f>IF(H283=0,"Calendrier non disponible pour ce fonds — contacter la société de gestion.",IF(I283="","Calendrier connu jusqu'au "&amp;TEXT(K283,"dd/mm/yyyy")&amp;" — demander le calendrier à jour.","Cut-off : "&amp;TEXT(I283,"dd/mm/yyyy")&amp;"  |  VL : "&amp;TEXT(J283,"dd/mm/yyyy")))</f>
        <v/>
      </c>
      <c r="E283" s="269">
        <f>IF(L283=0,"Calendrier non disponible pour ce fonds — contacter la société de gestion.",IF(M283="","Calendrier connu jusqu'au "&amp;TEXT(P283,"dd/mm/yyyy")&amp;" — demander le calendrier à jour.","Cut-off : "&amp;TEXT(M283,"dd/mm/yyyy")&amp;"  |  VL : "&amp;TEXT(N283,"dd/mm/yyyy")))</f>
        <v/>
      </c>
      <c r="F283" s="269">
        <f>IF(L283=0,"Calendrier non disponible pour ce fonds.",IF(M283="","Calendrier connu jusqu'au "&amp;TEXT(P283,"dd/mm/yyyy")&amp;".",IF(O283="","Non précisé dans le calendrier pour cette échéance.","Réception : "&amp;TEXT(O283,"dd/mm/yyyy")&amp;"  (suite au rachat du "&amp;TEXT(N283,"dd/mm/yyyy")&amp;")")))</f>
        <v/>
      </c>
      <c r="G283" s="269">
        <f>_xlfn.IFS(S283="aucune","Aucune pénalité de sortie."&amp;IF(T283&lt;&gt;""," ("&amp;T283&amp;")",""),S283="manuel","⚠️ À VÉRIFIER MANUELLEMENT : "&amp;T283,S283="inconnue","Pénalité non renseignée — vérifier la notice / DICI du fonds.",$C283="","Saisir une date d'investissement pour statuer sur la pénalité.",Q283="FUTUR","Date d'investissement postérieure à aujourd'hui — vérifier la saisie.",AD283&gt;0,"⚠️ CONCERNÉ : pénalité de "&amp;AD283&amp;"% (détention "&amp;Q283&amp;" mois). "&amp;T283,TRUE,"Non concerné (détention "&amp;Q283&amp;" mois). "&amp;T283)</f>
        <v/>
      </c>
      <c r="H283">
        <f>COUNTIFS(BDD_Calendrier!$A$2:$A$616,$B283,BDD_Calendrier!$C$2:$C$616,"Souscription")</f>
        <v/>
      </c>
      <c r="I283">
        <f>IF(H283=0,"",IFERROR(_xlfn.MINIFS(BDD_Calendrier!$D$2:$D$616,BDD_Calendrier!$A$2:$A$616,$B283,BDD_Calendrier!$C$2:$C$616,"Souscription",BDD_Calendrier!$D$2:$D$616,"&gt;="&amp;TODAY()),""))</f>
        <v/>
      </c>
      <c r="J283">
        <f>IF(I283="","",IFERROR(INDEX(BDD_Calendrier!$E$2:$E$616,MATCH($B283&amp;"|Souscription|"&amp;TEXT(I283,"yyyy-mm-dd"),BDD_Calendrier!$I$2:$I$616,0)),""))</f>
        <v/>
      </c>
      <c r="K283">
        <f>IF(H283=0,"",_xlfn.MAXIFS(BDD_Calendrier!$D$2:$D$616,BDD_Calendrier!$A$2:$A$616,$B283,BDD_Calendrier!$C$2:$C$616,"Souscription"))</f>
        <v/>
      </c>
      <c r="L283">
        <f>COUNTIFS(BDD_Calendrier!$A$2:$A$616,$B283,BDD_Calendrier!$C$2:$C$616,"Rachat")</f>
        <v/>
      </c>
      <c r="M283">
        <f>IF(L283=0,"",IFERROR(_xlfn.MINIFS(BDD_Calendrier!$D$2:$D$616,BDD_Calendrier!$A$2:$A$616,$B283,BDD_Calendrier!$C$2:$C$616,"Rachat",BDD_Calendrier!$D$2:$D$616,"&gt;="&amp;TODAY()),""))</f>
        <v/>
      </c>
      <c r="N283">
        <f>IF(M283="","",IFERROR(INDEX(BDD_Calendrier!$E$2:$E$616,MATCH($B283&amp;"|Rachat|"&amp;TEXT(M283,"yyyy-mm-dd"),BDD_Calendrier!$I$2:$I$616,0)),""))</f>
        <v/>
      </c>
      <c r="O283">
        <f>IF(M283="","",IFERROR(INDEX(BDD_Calendrier!$H$2:$H$616,MATCH($B283&amp;"|Rachat|"&amp;TEXT(M283,"yyyy-mm-dd"),BDD_Calendrier!$I$2:$I$616,0)),""))</f>
        <v/>
      </c>
      <c r="P283">
        <f>IF(L283=0,"",_xlfn.MAXIFS(BDD_Calendrier!$D$2:$D$616,BDD_Calendrier!$A$2:$A$616,$B283,BDD_Calendrier!$C$2:$C$616,"Rachat"))</f>
        <v/>
      </c>
      <c r="Q283">
        <f>IF($C283="","",IF($C283&gt;TODAY(),"FUTUR",DATEDIF($C283,TODAY(),"m")))</f>
        <v/>
      </c>
      <c r="R283">
        <f>COUNTIF(BDD_Penalites!$A$2:$A$130,$B283)</f>
        <v/>
      </c>
      <c r="S283">
        <f>IF(R283=0,"inconnue",INDEX(BDD_Penalites!$C$2:$C$130,MATCH($B283,BDD_Penalites!$A$2:$A$130,0)))</f>
        <v/>
      </c>
      <c r="T283">
        <f>IF(R283=0,"",INDEX(BDD_Penalites!$M$2:$M$130,MATCH($B283,BDD_Penalites!$A$2:$A$130,0)))</f>
        <v/>
      </c>
      <c r="U283">
        <f>IF(R283=0,0,INDEX(BDD_Penalites!$D$2:$D$130,MATCH($B283,BDD_Penalites!$A$2:$A$130,0)))</f>
        <v/>
      </c>
      <c r="V283">
        <f>IF(R283=0,0,INDEX(BDD_Penalites!$E$2:$E$130,MATCH($B283,BDD_Penalites!$A$2:$A$130,0)))</f>
        <v/>
      </c>
      <c r="W283">
        <f>IF(R283=0,0,INDEX(BDD_Penalites!$F$2:$F$130,MATCH($B283,BDD_Penalites!$A$2:$A$130,0)))</f>
        <v/>
      </c>
      <c r="X283">
        <f>IF(R283=0,0,INDEX(BDD_Penalites!$G$2:$G$130,MATCH($B283,BDD_Penalites!$A$2:$A$130,0)))</f>
        <v/>
      </c>
      <c r="Y283">
        <f>IF(R283=0,0,INDEX(BDD_Penalites!$H$2:$H$130,MATCH($B283,BDD_Penalites!$A$2:$A$130,0)))</f>
        <v/>
      </c>
      <c r="Z283">
        <f>IF(R283=0,0,INDEX(BDD_Penalites!$I$2:$I$130,MATCH($B283,BDD_Penalites!$A$2:$A$130,0)))</f>
        <v/>
      </c>
      <c r="AA283">
        <f>IF(R283=0,0,INDEX(BDD_Penalites!$J$2:$J$130,MATCH($B283,BDD_Penalites!$A$2:$A$130,0)))</f>
        <v/>
      </c>
      <c r="AB283">
        <f>IF(R283=0,0,INDEX(BDD_Penalites!$K$2:$K$130,MATCH($B283,BDD_Penalites!$A$2:$A$130,0)))</f>
        <v/>
      </c>
      <c r="AC283">
        <f>IF(R283=0,0,INDEX(BDD_Penalites!$L$2:$L$130,MATCH($B283,BDD_Penalites!$A$2:$A$130,0)))</f>
        <v/>
      </c>
      <c r="AD283">
        <f>IF(OR($C283="",Q283="FUTUR"),"",_xlfn.IFS(Q283&lt;U283,V283,Q283&lt;W283,X283,Q283&lt;Y283,Z283,Q283&lt;AA283,AB283,TRUE,AC283))</f>
        <v/>
      </c>
    </row>
    <row r="284" ht="13.5" customFormat="1" customHeight="1" s="29">
      <c r="A284" s="65" t="inlineStr">
        <is>
          <t>FIP 123Horizon PME 2017</t>
        </is>
      </c>
      <c r="B284" s="66" t="inlineStr">
        <is>
          <t>FR0013236320</t>
        </is>
      </c>
      <c r="C284" s="268" t="n"/>
      <c r="D284" s="269">
        <f>IF(H284=0,"Calendrier non disponible pour ce fonds — contacter la société de gestion.",IF(I284="","Calendrier connu jusqu'au "&amp;TEXT(K284,"dd/mm/yyyy")&amp;" — demander le calendrier à jour.","Cut-off : "&amp;TEXT(I284,"dd/mm/yyyy")&amp;"  |  VL : "&amp;TEXT(J284,"dd/mm/yyyy")))</f>
        <v/>
      </c>
      <c r="E284" s="269">
        <f>IF(L284=0,"Calendrier non disponible pour ce fonds — contacter la société de gestion.",IF(M284="","Calendrier connu jusqu'au "&amp;TEXT(P284,"dd/mm/yyyy")&amp;" — demander le calendrier à jour.","Cut-off : "&amp;TEXT(M284,"dd/mm/yyyy")&amp;"  |  VL : "&amp;TEXT(N284,"dd/mm/yyyy")))</f>
        <v/>
      </c>
      <c r="F284" s="269">
        <f>IF(L284=0,"Calendrier non disponible pour ce fonds.",IF(M284="","Calendrier connu jusqu'au "&amp;TEXT(P284,"dd/mm/yyyy")&amp;".",IF(O284="","Non précisé dans le calendrier pour cette échéance.","Réception : "&amp;TEXT(O284,"dd/mm/yyyy")&amp;"  (suite au rachat du "&amp;TEXT(N284,"dd/mm/yyyy")&amp;")")))</f>
        <v/>
      </c>
      <c r="G284" s="269">
        <f>_xlfn.IFS(S284="aucune","Aucune pénalité de sortie."&amp;IF(T284&lt;&gt;""," ("&amp;T284&amp;")",""),S284="manuel","⚠️ À VÉRIFIER MANUELLEMENT : "&amp;T284,S284="inconnue","Pénalité non renseignée — vérifier la notice / DICI du fonds.",$C284="","Saisir une date d'investissement pour statuer sur la pénalité.",Q284="FUTUR","Date d'investissement postérieure à aujourd'hui — vérifier la saisie.",AD284&gt;0,"⚠️ CONCERNÉ : pénalité de "&amp;AD284&amp;"% (détention "&amp;Q284&amp;" mois). "&amp;T284,TRUE,"Non concerné (détention "&amp;Q284&amp;" mois). "&amp;T284)</f>
        <v/>
      </c>
      <c r="H284">
        <f>COUNTIFS(BDD_Calendrier!$A$2:$A$616,$B284,BDD_Calendrier!$C$2:$C$616,"Souscription")</f>
        <v/>
      </c>
      <c r="I284">
        <f>IF(H284=0,"",IFERROR(_xlfn.MINIFS(BDD_Calendrier!$D$2:$D$616,BDD_Calendrier!$A$2:$A$616,$B284,BDD_Calendrier!$C$2:$C$616,"Souscription",BDD_Calendrier!$D$2:$D$616,"&gt;="&amp;TODAY()),""))</f>
        <v/>
      </c>
      <c r="J284">
        <f>IF(I284="","",IFERROR(INDEX(BDD_Calendrier!$E$2:$E$616,MATCH($B284&amp;"|Souscription|"&amp;TEXT(I284,"yyyy-mm-dd"),BDD_Calendrier!$I$2:$I$616,0)),""))</f>
        <v/>
      </c>
      <c r="K284">
        <f>IF(H284=0,"",_xlfn.MAXIFS(BDD_Calendrier!$D$2:$D$616,BDD_Calendrier!$A$2:$A$616,$B284,BDD_Calendrier!$C$2:$C$616,"Souscription"))</f>
        <v/>
      </c>
      <c r="L284">
        <f>COUNTIFS(BDD_Calendrier!$A$2:$A$616,$B284,BDD_Calendrier!$C$2:$C$616,"Rachat")</f>
        <v/>
      </c>
      <c r="M284">
        <f>IF(L284=0,"",IFERROR(_xlfn.MINIFS(BDD_Calendrier!$D$2:$D$616,BDD_Calendrier!$A$2:$A$616,$B284,BDD_Calendrier!$C$2:$C$616,"Rachat",BDD_Calendrier!$D$2:$D$616,"&gt;="&amp;TODAY()),""))</f>
        <v/>
      </c>
      <c r="N284">
        <f>IF(M284="","",IFERROR(INDEX(BDD_Calendrier!$E$2:$E$616,MATCH($B284&amp;"|Rachat|"&amp;TEXT(M284,"yyyy-mm-dd"),BDD_Calendrier!$I$2:$I$616,0)),""))</f>
        <v/>
      </c>
      <c r="O284">
        <f>IF(M284="","",IFERROR(INDEX(BDD_Calendrier!$H$2:$H$616,MATCH($B284&amp;"|Rachat|"&amp;TEXT(M284,"yyyy-mm-dd"),BDD_Calendrier!$I$2:$I$616,0)),""))</f>
        <v/>
      </c>
      <c r="P284">
        <f>IF(L284=0,"",_xlfn.MAXIFS(BDD_Calendrier!$D$2:$D$616,BDD_Calendrier!$A$2:$A$616,$B284,BDD_Calendrier!$C$2:$C$616,"Rachat"))</f>
        <v/>
      </c>
      <c r="Q284">
        <f>IF($C284="","",IF($C284&gt;TODAY(),"FUTUR",DATEDIF($C284,TODAY(),"m")))</f>
        <v/>
      </c>
      <c r="R284">
        <f>COUNTIF(BDD_Penalites!$A$2:$A$130,$B284)</f>
        <v/>
      </c>
      <c r="S284">
        <f>IF(R284=0,"inconnue",INDEX(BDD_Penalites!$C$2:$C$130,MATCH($B284,BDD_Penalites!$A$2:$A$130,0)))</f>
        <v/>
      </c>
      <c r="T284">
        <f>IF(R284=0,"",INDEX(BDD_Penalites!$M$2:$M$130,MATCH($B284,BDD_Penalites!$A$2:$A$130,0)))</f>
        <v/>
      </c>
      <c r="U284">
        <f>IF(R284=0,0,INDEX(BDD_Penalites!$D$2:$D$130,MATCH($B284,BDD_Penalites!$A$2:$A$130,0)))</f>
        <v/>
      </c>
      <c r="V284">
        <f>IF(R284=0,0,INDEX(BDD_Penalites!$E$2:$E$130,MATCH($B284,BDD_Penalites!$A$2:$A$130,0)))</f>
        <v/>
      </c>
      <c r="W284">
        <f>IF(R284=0,0,INDEX(BDD_Penalites!$F$2:$F$130,MATCH($B284,BDD_Penalites!$A$2:$A$130,0)))</f>
        <v/>
      </c>
      <c r="X284">
        <f>IF(R284=0,0,INDEX(BDD_Penalites!$G$2:$G$130,MATCH($B284,BDD_Penalites!$A$2:$A$130,0)))</f>
        <v/>
      </c>
      <c r="Y284">
        <f>IF(R284=0,0,INDEX(BDD_Penalites!$H$2:$H$130,MATCH($B284,BDD_Penalites!$A$2:$A$130,0)))</f>
        <v/>
      </c>
      <c r="Z284">
        <f>IF(R284=0,0,INDEX(BDD_Penalites!$I$2:$I$130,MATCH($B284,BDD_Penalites!$A$2:$A$130,0)))</f>
        <v/>
      </c>
      <c r="AA284">
        <f>IF(R284=0,0,INDEX(BDD_Penalites!$J$2:$J$130,MATCH($B284,BDD_Penalites!$A$2:$A$130,0)))</f>
        <v/>
      </c>
      <c r="AB284">
        <f>IF(R284=0,0,INDEX(BDD_Penalites!$K$2:$K$130,MATCH($B284,BDD_Penalites!$A$2:$A$130,0)))</f>
        <v/>
      </c>
      <c r="AC284">
        <f>IF(R284=0,0,INDEX(BDD_Penalites!$L$2:$L$130,MATCH($B284,BDD_Penalites!$A$2:$A$130,0)))</f>
        <v/>
      </c>
      <c r="AD284">
        <f>IF(OR($C284="",Q284="FUTUR"),"",_xlfn.IFS(Q284&lt;U284,V284,Q284&lt;W284,X284,Q284&lt;Y284,Z284,Q284&lt;AA284,AB284,TRUE,AC284))</f>
        <v/>
      </c>
    </row>
    <row r="285" ht="13.5" customHeight="1">
      <c r="A285" s="65" t="inlineStr">
        <is>
          <t>Nexstage Croissance</t>
        </is>
      </c>
      <c r="B285" s="66" t="inlineStr">
        <is>
          <t>FR0013202108</t>
        </is>
      </c>
      <c r="C285" s="268" t="n"/>
      <c r="D285" s="269">
        <f>IF(H285=0,"Calendrier non disponible pour ce fonds — contacter la société de gestion.",IF(I285="","Calendrier connu jusqu'au "&amp;TEXT(K285,"dd/mm/yyyy")&amp;" — demander le calendrier à jour.","Cut-off : "&amp;TEXT(I285,"dd/mm/yyyy")&amp;"  |  VL : "&amp;TEXT(J285,"dd/mm/yyyy")))</f>
        <v/>
      </c>
      <c r="E285" s="269">
        <f>IF(L285=0,"Calendrier non disponible pour ce fonds — contacter la société de gestion.",IF(M285="","Calendrier connu jusqu'au "&amp;TEXT(P285,"dd/mm/yyyy")&amp;" — demander le calendrier à jour.","Cut-off : "&amp;TEXT(M285,"dd/mm/yyyy")&amp;"  |  VL : "&amp;TEXT(N285,"dd/mm/yyyy")))</f>
        <v/>
      </c>
      <c r="F285" s="269">
        <f>IF(L285=0,"Calendrier non disponible pour ce fonds.",IF(M285="","Calendrier connu jusqu'au "&amp;TEXT(P285,"dd/mm/yyyy")&amp;".",IF(O285="","Non précisé dans le calendrier pour cette échéance.","Réception : "&amp;TEXT(O285,"dd/mm/yyyy")&amp;"  (suite au rachat du "&amp;TEXT(N285,"dd/mm/yyyy")&amp;")")))</f>
        <v/>
      </c>
      <c r="G285" s="269">
        <f>_xlfn.IFS(S285="aucune","Aucune pénalité de sortie."&amp;IF(T285&lt;&gt;""," ("&amp;T285&amp;")",""),S285="manuel","⚠️ À VÉRIFIER MANUELLEMENT : "&amp;T285,S285="inconnue","Pénalité non renseignée — vérifier la notice / DICI du fonds.",$C285="","Saisir une date d'investissement pour statuer sur la pénalité.",Q285="FUTUR","Date d'investissement postérieure à aujourd'hui — vérifier la saisie.",AD285&gt;0,"⚠️ CONCERNÉ : pénalité de "&amp;AD285&amp;"% (détention "&amp;Q285&amp;" mois). "&amp;T285,TRUE,"Non concerné (détention "&amp;Q285&amp;" mois). "&amp;T285)</f>
        <v/>
      </c>
      <c r="H285">
        <f>COUNTIFS(BDD_Calendrier!$A$2:$A$616,$B285,BDD_Calendrier!$C$2:$C$616,"Souscription")</f>
        <v/>
      </c>
      <c r="I285">
        <f>IF(H285=0,"",IFERROR(_xlfn.MINIFS(BDD_Calendrier!$D$2:$D$616,BDD_Calendrier!$A$2:$A$616,$B285,BDD_Calendrier!$C$2:$C$616,"Souscription",BDD_Calendrier!$D$2:$D$616,"&gt;="&amp;TODAY()),""))</f>
        <v/>
      </c>
      <c r="J285">
        <f>IF(I285="","",IFERROR(INDEX(BDD_Calendrier!$E$2:$E$616,MATCH($B285&amp;"|Souscription|"&amp;TEXT(I285,"yyyy-mm-dd"),BDD_Calendrier!$I$2:$I$616,0)),""))</f>
        <v/>
      </c>
      <c r="K285">
        <f>IF(H285=0,"",_xlfn.MAXIFS(BDD_Calendrier!$D$2:$D$616,BDD_Calendrier!$A$2:$A$616,$B285,BDD_Calendrier!$C$2:$C$616,"Souscription"))</f>
        <v/>
      </c>
      <c r="L285">
        <f>COUNTIFS(BDD_Calendrier!$A$2:$A$616,$B285,BDD_Calendrier!$C$2:$C$616,"Rachat")</f>
        <v/>
      </c>
      <c r="M285">
        <f>IF(L285=0,"",IFERROR(_xlfn.MINIFS(BDD_Calendrier!$D$2:$D$616,BDD_Calendrier!$A$2:$A$616,$B285,BDD_Calendrier!$C$2:$C$616,"Rachat",BDD_Calendrier!$D$2:$D$616,"&gt;="&amp;TODAY()),""))</f>
        <v/>
      </c>
      <c r="N285">
        <f>IF(M285="","",IFERROR(INDEX(BDD_Calendrier!$E$2:$E$616,MATCH($B285&amp;"|Rachat|"&amp;TEXT(M285,"yyyy-mm-dd"),BDD_Calendrier!$I$2:$I$616,0)),""))</f>
        <v/>
      </c>
      <c r="O285">
        <f>IF(M285="","",IFERROR(INDEX(BDD_Calendrier!$H$2:$H$616,MATCH($B285&amp;"|Rachat|"&amp;TEXT(M285,"yyyy-mm-dd"),BDD_Calendrier!$I$2:$I$616,0)),""))</f>
        <v/>
      </c>
      <c r="P285">
        <f>IF(L285=0,"",_xlfn.MAXIFS(BDD_Calendrier!$D$2:$D$616,BDD_Calendrier!$A$2:$A$616,$B285,BDD_Calendrier!$C$2:$C$616,"Rachat"))</f>
        <v/>
      </c>
      <c r="Q285">
        <f>IF($C285="","",IF($C285&gt;TODAY(),"FUTUR",DATEDIF($C285,TODAY(),"m")))</f>
        <v/>
      </c>
      <c r="R285">
        <f>COUNTIF(BDD_Penalites!$A$2:$A$130,$B285)</f>
        <v/>
      </c>
      <c r="S285">
        <f>IF(R285=0,"inconnue",INDEX(BDD_Penalites!$C$2:$C$130,MATCH($B285,BDD_Penalites!$A$2:$A$130,0)))</f>
        <v/>
      </c>
      <c r="T285">
        <f>IF(R285=0,"",INDEX(BDD_Penalites!$M$2:$M$130,MATCH($B285,BDD_Penalites!$A$2:$A$130,0)))</f>
        <v/>
      </c>
      <c r="U285">
        <f>IF(R285=0,0,INDEX(BDD_Penalites!$D$2:$D$130,MATCH($B285,BDD_Penalites!$A$2:$A$130,0)))</f>
        <v/>
      </c>
      <c r="V285">
        <f>IF(R285=0,0,INDEX(BDD_Penalites!$E$2:$E$130,MATCH($B285,BDD_Penalites!$A$2:$A$130,0)))</f>
        <v/>
      </c>
      <c r="W285">
        <f>IF(R285=0,0,INDEX(BDD_Penalites!$F$2:$F$130,MATCH($B285,BDD_Penalites!$A$2:$A$130,0)))</f>
        <v/>
      </c>
      <c r="X285">
        <f>IF(R285=0,0,INDEX(BDD_Penalites!$G$2:$G$130,MATCH($B285,BDD_Penalites!$A$2:$A$130,0)))</f>
        <v/>
      </c>
      <c r="Y285">
        <f>IF(R285=0,0,INDEX(BDD_Penalites!$H$2:$H$130,MATCH($B285,BDD_Penalites!$A$2:$A$130,0)))</f>
        <v/>
      </c>
      <c r="Z285">
        <f>IF(R285=0,0,INDEX(BDD_Penalites!$I$2:$I$130,MATCH($B285,BDD_Penalites!$A$2:$A$130,0)))</f>
        <v/>
      </c>
      <c r="AA285">
        <f>IF(R285=0,0,INDEX(BDD_Penalites!$J$2:$J$130,MATCH($B285,BDD_Penalites!$A$2:$A$130,0)))</f>
        <v/>
      </c>
      <c r="AB285">
        <f>IF(R285=0,0,INDEX(BDD_Penalites!$K$2:$K$130,MATCH($B285,BDD_Penalites!$A$2:$A$130,0)))</f>
        <v/>
      </c>
      <c r="AC285">
        <f>IF(R285=0,0,INDEX(BDD_Penalites!$L$2:$L$130,MATCH($B285,BDD_Penalites!$A$2:$A$130,0)))</f>
        <v/>
      </c>
      <c r="AD285">
        <f>IF(OR($C285="",Q285="FUTUR"),"",_xlfn.IFS(Q285&lt;U285,V285,Q285&lt;W285,X285,Q285&lt;Y285,Z285,Q285&lt;AA285,AB285,TRUE,AC285))</f>
        <v/>
      </c>
    </row>
    <row r="286" ht="13.5" customHeight="1">
      <c r="A286" s="65" t="inlineStr">
        <is>
          <t>Bridgepoint Generations</t>
        </is>
      </c>
      <c r="B286" s="66" t="inlineStr">
        <is>
          <t>LU3036659277</t>
        </is>
      </c>
      <c r="C286" s="268" t="n"/>
      <c r="D286" s="269">
        <f>IF(H286=0,"Calendrier non disponible pour ce fonds — contacter la société de gestion.",IF(I286="","Calendrier connu jusqu'au "&amp;TEXT(K286,"dd/mm/yyyy")&amp;" — demander le calendrier à jour.","Cut-off : "&amp;TEXT(I286,"dd/mm/yyyy")&amp;"  |  VL : "&amp;TEXT(J286,"dd/mm/yyyy")))</f>
        <v/>
      </c>
      <c r="E286" s="269">
        <f>IF(L286=0,"Calendrier non disponible pour ce fonds — contacter la société de gestion.",IF(M286="","Calendrier connu jusqu'au "&amp;TEXT(P286,"dd/mm/yyyy")&amp;" — demander le calendrier à jour.","Cut-off : "&amp;TEXT(M286,"dd/mm/yyyy")&amp;"  |  VL : "&amp;TEXT(N286,"dd/mm/yyyy")))</f>
        <v/>
      </c>
      <c r="F286" s="269">
        <f>IF(L286=0,"Calendrier non disponible pour ce fonds.",IF(M286="","Calendrier connu jusqu'au "&amp;TEXT(P286,"dd/mm/yyyy")&amp;".",IF(O286="","Non précisé dans le calendrier pour cette échéance.","Réception : "&amp;TEXT(O286,"dd/mm/yyyy")&amp;"  (suite au rachat du "&amp;TEXT(N286,"dd/mm/yyyy")&amp;")")))</f>
        <v/>
      </c>
      <c r="G286" s="269">
        <f>_xlfn.IFS(S286="aucune","Aucune pénalité de sortie."&amp;IF(T286&lt;&gt;""," ("&amp;T286&amp;")",""),S286="manuel","⚠️ À VÉRIFIER MANUELLEMENT : "&amp;T286,S286="inconnue","Pénalité non renseignée — vérifier la notice / DICI du fonds.",$C286="","Saisir une date d'investissement pour statuer sur la pénalité.",Q286="FUTUR","Date d'investissement postérieure à aujourd'hui — vérifier la saisie.",AD286&gt;0,"⚠️ CONCERNÉ : pénalité de "&amp;AD286&amp;"% (détention "&amp;Q286&amp;" mois). "&amp;T286,TRUE,"Non concerné (détention "&amp;Q286&amp;" mois). "&amp;T286)</f>
        <v/>
      </c>
      <c r="H286">
        <f>COUNTIFS(BDD_Calendrier!$A$2:$A$616,$B286,BDD_Calendrier!$C$2:$C$616,"Souscription")</f>
        <v/>
      </c>
      <c r="I286">
        <f>IF(H286=0,"",IFERROR(_xlfn.MINIFS(BDD_Calendrier!$D$2:$D$616,BDD_Calendrier!$A$2:$A$616,$B286,BDD_Calendrier!$C$2:$C$616,"Souscription",BDD_Calendrier!$D$2:$D$616,"&gt;="&amp;TODAY()),""))</f>
        <v/>
      </c>
      <c r="J286">
        <f>IF(I286="","",IFERROR(INDEX(BDD_Calendrier!$E$2:$E$616,MATCH($B286&amp;"|Souscription|"&amp;TEXT(I286,"yyyy-mm-dd"),BDD_Calendrier!$I$2:$I$616,0)),""))</f>
        <v/>
      </c>
      <c r="K286">
        <f>IF(H286=0,"",_xlfn.MAXIFS(BDD_Calendrier!$D$2:$D$616,BDD_Calendrier!$A$2:$A$616,$B286,BDD_Calendrier!$C$2:$C$616,"Souscription"))</f>
        <v/>
      </c>
      <c r="L286">
        <f>COUNTIFS(BDD_Calendrier!$A$2:$A$616,$B286,BDD_Calendrier!$C$2:$C$616,"Rachat")</f>
        <v/>
      </c>
      <c r="M286">
        <f>IF(L286=0,"",IFERROR(_xlfn.MINIFS(BDD_Calendrier!$D$2:$D$616,BDD_Calendrier!$A$2:$A$616,$B286,BDD_Calendrier!$C$2:$C$616,"Rachat",BDD_Calendrier!$D$2:$D$616,"&gt;="&amp;TODAY()),""))</f>
        <v/>
      </c>
      <c r="N286">
        <f>IF(M286="","",IFERROR(INDEX(BDD_Calendrier!$E$2:$E$616,MATCH($B286&amp;"|Rachat|"&amp;TEXT(M286,"yyyy-mm-dd"),BDD_Calendrier!$I$2:$I$616,0)),""))</f>
        <v/>
      </c>
      <c r="O286">
        <f>IF(M286="","",IFERROR(INDEX(BDD_Calendrier!$H$2:$H$616,MATCH($B286&amp;"|Rachat|"&amp;TEXT(M286,"yyyy-mm-dd"),BDD_Calendrier!$I$2:$I$616,0)),""))</f>
        <v/>
      </c>
      <c r="P286">
        <f>IF(L286=0,"",_xlfn.MAXIFS(BDD_Calendrier!$D$2:$D$616,BDD_Calendrier!$A$2:$A$616,$B286,BDD_Calendrier!$C$2:$C$616,"Rachat"))</f>
        <v/>
      </c>
      <c r="Q286">
        <f>IF($C286="","",IF($C286&gt;TODAY(),"FUTUR",DATEDIF($C286,TODAY(),"m")))</f>
        <v/>
      </c>
      <c r="R286">
        <f>COUNTIF(BDD_Penalites!$A$2:$A$130,$B286)</f>
        <v/>
      </c>
      <c r="S286">
        <f>IF(R286=0,"inconnue",INDEX(BDD_Penalites!$C$2:$C$130,MATCH($B286,BDD_Penalites!$A$2:$A$130,0)))</f>
        <v/>
      </c>
      <c r="T286">
        <f>IF(R286=0,"",INDEX(BDD_Penalites!$M$2:$M$130,MATCH($B286,BDD_Penalites!$A$2:$A$130,0)))</f>
        <v/>
      </c>
      <c r="U286">
        <f>IF(R286=0,0,INDEX(BDD_Penalites!$D$2:$D$130,MATCH($B286,BDD_Penalites!$A$2:$A$130,0)))</f>
        <v/>
      </c>
      <c r="V286">
        <f>IF(R286=0,0,INDEX(BDD_Penalites!$E$2:$E$130,MATCH($B286,BDD_Penalites!$A$2:$A$130,0)))</f>
        <v/>
      </c>
      <c r="W286">
        <f>IF(R286=0,0,INDEX(BDD_Penalites!$F$2:$F$130,MATCH($B286,BDD_Penalites!$A$2:$A$130,0)))</f>
        <v/>
      </c>
      <c r="X286">
        <f>IF(R286=0,0,INDEX(BDD_Penalites!$G$2:$G$130,MATCH($B286,BDD_Penalites!$A$2:$A$130,0)))</f>
        <v/>
      </c>
      <c r="Y286">
        <f>IF(R286=0,0,INDEX(BDD_Penalites!$H$2:$H$130,MATCH($B286,BDD_Penalites!$A$2:$A$130,0)))</f>
        <v/>
      </c>
      <c r="Z286">
        <f>IF(R286=0,0,INDEX(BDD_Penalites!$I$2:$I$130,MATCH($B286,BDD_Penalites!$A$2:$A$130,0)))</f>
        <v/>
      </c>
      <c r="AA286">
        <f>IF(R286=0,0,INDEX(BDD_Penalites!$J$2:$J$130,MATCH($B286,BDD_Penalites!$A$2:$A$130,0)))</f>
        <v/>
      </c>
      <c r="AB286">
        <f>IF(R286=0,0,INDEX(BDD_Penalites!$K$2:$K$130,MATCH($B286,BDD_Penalites!$A$2:$A$130,0)))</f>
        <v/>
      </c>
      <c r="AC286">
        <f>IF(R286=0,0,INDEX(BDD_Penalites!$L$2:$L$130,MATCH($B286,BDD_Penalites!$A$2:$A$130,0)))</f>
        <v/>
      </c>
      <c r="AD286">
        <f>IF(OR($C286="",Q286="FUTUR"),"",_xlfn.IFS(Q286&lt;U286,V286,Q286&lt;W286,X286,Q286&lt;Y286,Z286,Q286&lt;AA286,AB286,TRUE,AC286))</f>
        <v/>
      </c>
    </row>
    <row r="287" ht="13.5" customFormat="1" customHeight="1" s="29">
      <c r="A287" s="85" t="inlineStr">
        <is>
          <t>SIPAREX Investir en France</t>
        </is>
      </c>
      <c r="B287" s="66" t="inlineStr">
        <is>
          <t>FR001400MDE0</t>
        </is>
      </c>
      <c r="C287" s="268" t="n"/>
      <c r="D287" s="269">
        <f>IF(H287=0,"Calendrier non disponible pour ce fonds — contacter la société de gestion.",IF(I287="","Calendrier connu jusqu'au "&amp;TEXT(K287,"dd/mm/yyyy")&amp;" — demander le calendrier à jour.","Cut-off : "&amp;TEXT(I287,"dd/mm/yyyy")&amp;"  |  VL : "&amp;TEXT(J287,"dd/mm/yyyy")))</f>
        <v/>
      </c>
      <c r="E287" s="269">
        <f>IF(L287=0,"Calendrier non disponible pour ce fonds — contacter la société de gestion.",IF(M287="","Calendrier connu jusqu'au "&amp;TEXT(P287,"dd/mm/yyyy")&amp;" — demander le calendrier à jour.","Cut-off : "&amp;TEXT(M287,"dd/mm/yyyy")&amp;"  |  VL : "&amp;TEXT(N287,"dd/mm/yyyy")))</f>
        <v/>
      </c>
      <c r="F287" s="269">
        <f>IF(L287=0,"Calendrier non disponible pour ce fonds.",IF(M287="","Calendrier connu jusqu'au "&amp;TEXT(P287,"dd/mm/yyyy")&amp;".",IF(O287="","Non précisé dans le calendrier pour cette échéance.","Réception : "&amp;TEXT(O287,"dd/mm/yyyy")&amp;"  (suite au rachat du "&amp;TEXT(N287,"dd/mm/yyyy")&amp;")")))</f>
        <v/>
      </c>
      <c r="G287" s="269">
        <f>_xlfn.IFS(S287="aucune","Aucune pénalité de sortie."&amp;IF(T287&lt;&gt;""," ("&amp;T287&amp;")",""),S287="manuel","⚠️ À VÉRIFIER MANUELLEMENT : "&amp;T287,S287="inconnue","Pénalité non renseignée — vérifier la notice / DICI du fonds.",$C287="","Saisir une date d'investissement pour statuer sur la pénalité.",Q287="FUTUR","Date d'investissement postérieure à aujourd'hui — vérifier la saisie.",AD287&gt;0,"⚠️ CONCERNÉ : pénalité de "&amp;AD287&amp;"% (détention "&amp;Q287&amp;" mois). "&amp;T287,TRUE,"Non concerné (détention "&amp;Q287&amp;" mois). "&amp;T287)</f>
        <v/>
      </c>
      <c r="H287">
        <f>COUNTIFS(BDD_Calendrier!$A$2:$A$616,$B287,BDD_Calendrier!$C$2:$C$616,"Souscription")</f>
        <v/>
      </c>
      <c r="I287">
        <f>IF(H287=0,"",IFERROR(_xlfn.MINIFS(BDD_Calendrier!$D$2:$D$616,BDD_Calendrier!$A$2:$A$616,$B287,BDD_Calendrier!$C$2:$C$616,"Souscription",BDD_Calendrier!$D$2:$D$616,"&gt;="&amp;TODAY()),""))</f>
        <v/>
      </c>
      <c r="J287">
        <f>IF(I287="","",IFERROR(INDEX(BDD_Calendrier!$E$2:$E$616,MATCH($B287&amp;"|Souscription|"&amp;TEXT(I287,"yyyy-mm-dd"),BDD_Calendrier!$I$2:$I$616,0)),""))</f>
        <v/>
      </c>
      <c r="K287">
        <f>IF(H287=0,"",_xlfn.MAXIFS(BDD_Calendrier!$D$2:$D$616,BDD_Calendrier!$A$2:$A$616,$B287,BDD_Calendrier!$C$2:$C$616,"Souscription"))</f>
        <v/>
      </c>
      <c r="L287">
        <f>COUNTIFS(BDD_Calendrier!$A$2:$A$616,$B287,BDD_Calendrier!$C$2:$C$616,"Rachat")</f>
        <v/>
      </c>
      <c r="M287">
        <f>IF(L287=0,"",IFERROR(_xlfn.MINIFS(BDD_Calendrier!$D$2:$D$616,BDD_Calendrier!$A$2:$A$616,$B287,BDD_Calendrier!$C$2:$C$616,"Rachat",BDD_Calendrier!$D$2:$D$616,"&gt;="&amp;TODAY()),""))</f>
        <v/>
      </c>
      <c r="N287">
        <f>IF(M287="","",IFERROR(INDEX(BDD_Calendrier!$E$2:$E$616,MATCH($B287&amp;"|Rachat|"&amp;TEXT(M287,"yyyy-mm-dd"),BDD_Calendrier!$I$2:$I$616,0)),""))</f>
        <v/>
      </c>
      <c r="O287">
        <f>IF(M287="","",IFERROR(INDEX(BDD_Calendrier!$H$2:$H$616,MATCH($B287&amp;"|Rachat|"&amp;TEXT(M287,"yyyy-mm-dd"),BDD_Calendrier!$I$2:$I$616,0)),""))</f>
        <v/>
      </c>
      <c r="P287">
        <f>IF(L287=0,"",_xlfn.MAXIFS(BDD_Calendrier!$D$2:$D$616,BDD_Calendrier!$A$2:$A$616,$B287,BDD_Calendrier!$C$2:$C$616,"Rachat"))</f>
        <v/>
      </c>
      <c r="Q287">
        <f>IF($C287="","",IF($C287&gt;TODAY(),"FUTUR",DATEDIF($C287,TODAY(),"m")))</f>
        <v/>
      </c>
      <c r="R287">
        <f>COUNTIF(BDD_Penalites!$A$2:$A$130,$B287)</f>
        <v/>
      </c>
      <c r="S287">
        <f>IF(R287=0,"inconnue",INDEX(BDD_Penalites!$C$2:$C$130,MATCH($B287,BDD_Penalites!$A$2:$A$130,0)))</f>
        <v/>
      </c>
      <c r="T287">
        <f>IF(R287=0,"",INDEX(BDD_Penalites!$M$2:$M$130,MATCH($B287,BDD_Penalites!$A$2:$A$130,0)))</f>
        <v/>
      </c>
      <c r="U287">
        <f>IF(R287=0,0,INDEX(BDD_Penalites!$D$2:$D$130,MATCH($B287,BDD_Penalites!$A$2:$A$130,0)))</f>
        <v/>
      </c>
      <c r="V287">
        <f>IF(R287=0,0,INDEX(BDD_Penalites!$E$2:$E$130,MATCH($B287,BDD_Penalites!$A$2:$A$130,0)))</f>
        <v/>
      </c>
      <c r="W287">
        <f>IF(R287=0,0,INDEX(BDD_Penalites!$F$2:$F$130,MATCH($B287,BDD_Penalites!$A$2:$A$130,0)))</f>
        <v/>
      </c>
      <c r="X287">
        <f>IF(R287=0,0,INDEX(BDD_Penalites!$G$2:$G$130,MATCH($B287,BDD_Penalites!$A$2:$A$130,0)))</f>
        <v/>
      </c>
      <c r="Y287">
        <f>IF(R287=0,0,INDEX(BDD_Penalites!$H$2:$H$130,MATCH($B287,BDD_Penalites!$A$2:$A$130,0)))</f>
        <v/>
      </c>
      <c r="Z287">
        <f>IF(R287=0,0,INDEX(BDD_Penalites!$I$2:$I$130,MATCH($B287,BDD_Penalites!$A$2:$A$130,0)))</f>
        <v/>
      </c>
      <c r="AA287">
        <f>IF(R287=0,0,INDEX(BDD_Penalites!$J$2:$J$130,MATCH($B287,BDD_Penalites!$A$2:$A$130,0)))</f>
        <v/>
      </c>
      <c r="AB287">
        <f>IF(R287=0,0,INDEX(BDD_Penalites!$K$2:$K$130,MATCH($B287,BDD_Penalites!$A$2:$A$130,0)))</f>
        <v/>
      </c>
      <c r="AC287">
        <f>IF(R287=0,0,INDEX(BDD_Penalites!$L$2:$L$130,MATCH($B287,BDD_Penalites!$A$2:$A$130,0)))</f>
        <v/>
      </c>
      <c r="AD287">
        <f>IF(OR($C287="",Q287="FUTUR"),"",_xlfn.IFS(Q287&lt;U287,V287,Q287&lt;W287,X287,Q287&lt;Y287,Z287,Q287&lt;AA287,AB287,TRUE,AC287))</f>
        <v/>
      </c>
    </row>
    <row r="288" ht="13.5" customFormat="1" customHeight="1" s="29">
      <c r="A288" s="65" t="inlineStr">
        <is>
          <t>Feeder RAISE Investissement S.L.P. A2</t>
        </is>
      </c>
      <c r="B288" s="66" t="inlineStr">
        <is>
          <t>FR001400IL19</t>
        </is>
      </c>
      <c r="C288" s="268" t="n"/>
      <c r="D288" s="269">
        <f>IF(H288=0,"Calendrier non disponible pour ce fonds — contacter la société de gestion.",IF(I288="","Calendrier connu jusqu'au "&amp;TEXT(K288,"dd/mm/yyyy")&amp;" — demander le calendrier à jour.","Cut-off : "&amp;TEXT(I288,"dd/mm/yyyy")&amp;"  |  VL : "&amp;TEXT(J288,"dd/mm/yyyy")))</f>
        <v/>
      </c>
      <c r="E288" s="269">
        <f>IF(L288=0,"Calendrier non disponible pour ce fonds — contacter la société de gestion.",IF(M288="","Calendrier connu jusqu'au "&amp;TEXT(P288,"dd/mm/yyyy")&amp;" — demander le calendrier à jour.","Cut-off : "&amp;TEXT(M288,"dd/mm/yyyy")&amp;"  |  VL : "&amp;TEXT(N288,"dd/mm/yyyy")))</f>
        <v/>
      </c>
      <c r="F288" s="269">
        <f>IF(L288=0,"Calendrier non disponible pour ce fonds.",IF(M288="","Calendrier connu jusqu'au "&amp;TEXT(P288,"dd/mm/yyyy")&amp;".",IF(O288="","Non précisé dans le calendrier pour cette échéance.","Réception : "&amp;TEXT(O288,"dd/mm/yyyy")&amp;"  (suite au rachat du "&amp;TEXT(N288,"dd/mm/yyyy")&amp;")")))</f>
        <v/>
      </c>
      <c r="G288" s="269">
        <f>_xlfn.IFS(S288="aucune","Aucune pénalité de sortie."&amp;IF(T288&lt;&gt;""," ("&amp;T288&amp;")",""),S288="manuel","⚠️ À VÉRIFIER MANUELLEMENT : "&amp;T288,S288="inconnue","Pénalité non renseignée — vérifier la notice / DICI du fonds.",$C288="","Saisir une date d'investissement pour statuer sur la pénalité.",Q288="FUTUR","Date d'investissement postérieure à aujourd'hui — vérifier la saisie.",AD288&gt;0,"⚠️ CONCERNÉ : pénalité de "&amp;AD288&amp;"% (détention "&amp;Q288&amp;" mois). "&amp;T288,TRUE,"Non concerné (détention "&amp;Q288&amp;" mois). "&amp;T288)</f>
        <v/>
      </c>
      <c r="H288">
        <f>COUNTIFS(BDD_Calendrier!$A$2:$A$616,$B288,BDD_Calendrier!$C$2:$C$616,"Souscription")</f>
        <v/>
      </c>
      <c r="I288">
        <f>IF(H288=0,"",IFERROR(_xlfn.MINIFS(BDD_Calendrier!$D$2:$D$616,BDD_Calendrier!$A$2:$A$616,$B288,BDD_Calendrier!$C$2:$C$616,"Souscription",BDD_Calendrier!$D$2:$D$616,"&gt;="&amp;TODAY()),""))</f>
        <v/>
      </c>
      <c r="J288">
        <f>IF(I288="","",IFERROR(INDEX(BDD_Calendrier!$E$2:$E$616,MATCH($B288&amp;"|Souscription|"&amp;TEXT(I288,"yyyy-mm-dd"),BDD_Calendrier!$I$2:$I$616,0)),""))</f>
        <v/>
      </c>
      <c r="K288">
        <f>IF(H288=0,"",_xlfn.MAXIFS(BDD_Calendrier!$D$2:$D$616,BDD_Calendrier!$A$2:$A$616,$B288,BDD_Calendrier!$C$2:$C$616,"Souscription"))</f>
        <v/>
      </c>
      <c r="L288">
        <f>COUNTIFS(BDD_Calendrier!$A$2:$A$616,$B288,BDD_Calendrier!$C$2:$C$616,"Rachat")</f>
        <v/>
      </c>
      <c r="M288">
        <f>IF(L288=0,"",IFERROR(_xlfn.MINIFS(BDD_Calendrier!$D$2:$D$616,BDD_Calendrier!$A$2:$A$616,$B288,BDD_Calendrier!$C$2:$C$616,"Rachat",BDD_Calendrier!$D$2:$D$616,"&gt;="&amp;TODAY()),""))</f>
        <v/>
      </c>
      <c r="N288">
        <f>IF(M288="","",IFERROR(INDEX(BDD_Calendrier!$E$2:$E$616,MATCH($B288&amp;"|Rachat|"&amp;TEXT(M288,"yyyy-mm-dd"),BDD_Calendrier!$I$2:$I$616,0)),""))</f>
        <v/>
      </c>
      <c r="O288">
        <f>IF(M288="","",IFERROR(INDEX(BDD_Calendrier!$H$2:$H$616,MATCH($B288&amp;"|Rachat|"&amp;TEXT(M288,"yyyy-mm-dd"),BDD_Calendrier!$I$2:$I$616,0)),""))</f>
        <v/>
      </c>
      <c r="P288">
        <f>IF(L288=0,"",_xlfn.MAXIFS(BDD_Calendrier!$D$2:$D$616,BDD_Calendrier!$A$2:$A$616,$B288,BDD_Calendrier!$C$2:$C$616,"Rachat"))</f>
        <v/>
      </c>
      <c r="Q288">
        <f>IF($C288="","",IF($C288&gt;TODAY(),"FUTUR",DATEDIF($C288,TODAY(),"m")))</f>
        <v/>
      </c>
      <c r="R288">
        <f>COUNTIF(BDD_Penalites!$A$2:$A$130,$B288)</f>
        <v/>
      </c>
      <c r="S288">
        <f>IF(R288=0,"inconnue",INDEX(BDD_Penalites!$C$2:$C$130,MATCH($B288,BDD_Penalites!$A$2:$A$130,0)))</f>
        <v/>
      </c>
      <c r="T288">
        <f>IF(R288=0,"",INDEX(BDD_Penalites!$M$2:$M$130,MATCH($B288,BDD_Penalites!$A$2:$A$130,0)))</f>
        <v/>
      </c>
      <c r="U288">
        <f>IF(R288=0,0,INDEX(BDD_Penalites!$D$2:$D$130,MATCH($B288,BDD_Penalites!$A$2:$A$130,0)))</f>
        <v/>
      </c>
      <c r="V288">
        <f>IF(R288=0,0,INDEX(BDD_Penalites!$E$2:$E$130,MATCH($B288,BDD_Penalites!$A$2:$A$130,0)))</f>
        <v/>
      </c>
      <c r="W288">
        <f>IF(R288=0,0,INDEX(BDD_Penalites!$F$2:$F$130,MATCH($B288,BDD_Penalites!$A$2:$A$130,0)))</f>
        <v/>
      </c>
      <c r="X288">
        <f>IF(R288=0,0,INDEX(BDD_Penalites!$G$2:$G$130,MATCH($B288,BDD_Penalites!$A$2:$A$130,0)))</f>
        <v/>
      </c>
      <c r="Y288">
        <f>IF(R288=0,0,INDEX(BDD_Penalites!$H$2:$H$130,MATCH($B288,BDD_Penalites!$A$2:$A$130,0)))</f>
        <v/>
      </c>
      <c r="Z288">
        <f>IF(R288=0,0,INDEX(BDD_Penalites!$I$2:$I$130,MATCH($B288,BDD_Penalites!$A$2:$A$130,0)))</f>
        <v/>
      </c>
      <c r="AA288">
        <f>IF(R288=0,0,INDEX(BDD_Penalites!$J$2:$J$130,MATCH($B288,BDD_Penalites!$A$2:$A$130,0)))</f>
        <v/>
      </c>
      <c r="AB288">
        <f>IF(R288=0,0,INDEX(BDD_Penalites!$K$2:$K$130,MATCH($B288,BDD_Penalites!$A$2:$A$130,0)))</f>
        <v/>
      </c>
      <c r="AC288">
        <f>IF(R288=0,0,INDEX(BDD_Penalites!$L$2:$L$130,MATCH($B288,BDD_Penalites!$A$2:$A$130,0)))</f>
        <v/>
      </c>
      <c r="AD288">
        <f>IF(OR($C288="",Q288="FUTUR"),"",_xlfn.IFS(Q288&lt;U288,V288,Q288&lt;W288,X288,Q288&lt;Y288,Z288,Q288&lt;AA288,AB288,TRUE,AC288))</f>
        <v/>
      </c>
    </row>
    <row r="289" ht="13.5" customHeight="1">
      <c r="A289" s="65" t="inlineStr">
        <is>
          <t>Ring Altitude Growth II - entrepreneurs</t>
        </is>
      </c>
      <c r="B289" s="66" t="inlineStr">
        <is>
          <t>/</t>
        </is>
      </c>
      <c r="C289" s="268" t="n"/>
      <c r="D289" s="269">
        <f>IF(H289=0,"Calendrier non disponible pour ce fonds — contacter la société de gestion.",IF(I289="","Calendrier connu jusqu'au "&amp;TEXT(K289,"dd/mm/yyyy")&amp;" — demander le calendrier à jour.","Cut-off : "&amp;TEXT(I289,"dd/mm/yyyy")&amp;"  |  VL : "&amp;TEXT(J289,"dd/mm/yyyy")))</f>
        <v/>
      </c>
      <c r="E289" s="269">
        <f>IF(L289=0,"Calendrier non disponible pour ce fonds — contacter la société de gestion.",IF(M289="","Calendrier connu jusqu'au "&amp;TEXT(P289,"dd/mm/yyyy")&amp;" — demander le calendrier à jour.","Cut-off : "&amp;TEXT(M289,"dd/mm/yyyy")&amp;"  |  VL : "&amp;TEXT(N289,"dd/mm/yyyy")))</f>
        <v/>
      </c>
      <c r="F289" s="269">
        <f>IF(L289=0,"Calendrier non disponible pour ce fonds.",IF(M289="","Calendrier connu jusqu'au "&amp;TEXT(P289,"dd/mm/yyyy")&amp;".",IF(O289="","Non précisé dans le calendrier pour cette échéance.","Réception : "&amp;TEXT(O289,"dd/mm/yyyy")&amp;"  (suite au rachat du "&amp;TEXT(N289,"dd/mm/yyyy")&amp;")")))</f>
        <v/>
      </c>
      <c r="G289" s="269">
        <f>_xlfn.IFS(S289="aucune","Aucune pénalité de sortie."&amp;IF(T289&lt;&gt;""," ("&amp;T289&amp;")",""),S289="manuel","⚠️ À VÉRIFIER MANUELLEMENT : "&amp;T289,S289="inconnue","Pénalité non renseignée — vérifier la notice / DICI du fonds.",$C289="","Saisir une date d'investissement pour statuer sur la pénalité.",Q289="FUTUR","Date d'investissement postérieure à aujourd'hui — vérifier la saisie.",AD289&gt;0,"⚠️ CONCERNÉ : pénalité de "&amp;AD289&amp;"% (détention "&amp;Q289&amp;" mois). "&amp;T289,TRUE,"Non concerné (détention "&amp;Q289&amp;" mois). "&amp;T289)</f>
        <v/>
      </c>
      <c r="H289">
        <f>COUNTIFS(BDD_Calendrier!$A$2:$A$616,$B289,BDD_Calendrier!$C$2:$C$616,"Souscription")</f>
        <v/>
      </c>
      <c r="I289">
        <f>IF(H289=0,"",IFERROR(_xlfn.MINIFS(BDD_Calendrier!$D$2:$D$616,BDD_Calendrier!$A$2:$A$616,$B289,BDD_Calendrier!$C$2:$C$616,"Souscription",BDD_Calendrier!$D$2:$D$616,"&gt;="&amp;TODAY()),""))</f>
        <v/>
      </c>
      <c r="J289">
        <f>IF(I289="","",IFERROR(INDEX(BDD_Calendrier!$E$2:$E$616,MATCH($B289&amp;"|Souscription|"&amp;TEXT(I289,"yyyy-mm-dd"),BDD_Calendrier!$I$2:$I$616,0)),""))</f>
        <v/>
      </c>
      <c r="K289">
        <f>IF(H289=0,"",_xlfn.MAXIFS(BDD_Calendrier!$D$2:$D$616,BDD_Calendrier!$A$2:$A$616,$B289,BDD_Calendrier!$C$2:$C$616,"Souscription"))</f>
        <v/>
      </c>
      <c r="L289">
        <f>COUNTIFS(BDD_Calendrier!$A$2:$A$616,$B289,BDD_Calendrier!$C$2:$C$616,"Rachat")</f>
        <v/>
      </c>
      <c r="M289">
        <f>IF(L289=0,"",IFERROR(_xlfn.MINIFS(BDD_Calendrier!$D$2:$D$616,BDD_Calendrier!$A$2:$A$616,$B289,BDD_Calendrier!$C$2:$C$616,"Rachat",BDD_Calendrier!$D$2:$D$616,"&gt;="&amp;TODAY()),""))</f>
        <v/>
      </c>
      <c r="N289">
        <f>IF(M289="","",IFERROR(INDEX(BDD_Calendrier!$E$2:$E$616,MATCH($B289&amp;"|Rachat|"&amp;TEXT(M289,"yyyy-mm-dd"),BDD_Calendrier!$I$2:$I$616,0)),""))</f>
        <v/>
      </c>
      <c r="O289">
        <f>IF(M289="","",IFERROR(INDEX(BDD_Calendrier!$H$2:$H$616,MATCH($B289&amp;"|Rachat|"&amp;TEXT(M289,"yyyy-mm-dd"),BDD_Calendrier!$I$2:$I$616,0)),""))</f>
        <v/>
      </c>
      <c r="P289">
        <f>IF(L289=0,"",_xlfn.MAXIFS(BDD_Calendrier!$D$2:$D$616,BDD_Calendrier!$A$2:$A$616,$B289,BDD_Calendrier!$C$2:$C$616,"Rachat"))</f>
        <v/>
      </c>
      <c r="Q289">
        <f>IF($C289="","",IF($C289&gt;TODAY(),"FUTUR",DATEDIF($C289,TODAY(),"m")))</f>
        <v/>
      </c>
      <c r="R289">
        <f>COUNTIF(BDD_Penalites!$A$2:$A$130,$B289)</f>
        <v/>
      </c>
      <c r="S289">
        <f>IF(R289=0,"inconnue",INDEX(BDD_Penalites!$C$2:$C$130,MATCH($B289,BDD_Penalites!$A$2:$A$130,0)))</f>
        <v/>
      </c>
      <c r="T289">
        <f>IF(R289=0,"",INDEX(BDD_Penalites!$M$2:$M$130,MATCH($B289,BDD_Penalites!$A$2:$A$130,0)))</f>
        <v/>
      </c>
      <c r="U289">
        <f>IF(R289=0,0,INDEX(BDD_Penalites!$D$2:$D$130,MATCH($B289,BDD_Penalites!$A$2:$A$130,0)))</f>
        <v/>
      </c>
      <c r="V289">
        <f>IF(R289=0,0,INDEX(BDD_Penalites!$E$2:$E$130,MATCH($B289,BDD_Penalites!$A$2:$A$130,0)))</f>
        <v/>
      </c>
      <c r="W289">
        <f>IF(R289=0,0,INDEX(BDD_Penalites!$F$2:$F$130,MATCH($B289,BDD_Penalites!$A$2:$A$130,0)))</f>
        <v/>
      </c>
      <c r="X289">
        <f>IF(R289=0,0,INDEX(BDD_Penalites!$G$2:$G$130,MATCH($B289,BDD_Penalites!$A$2:$A$130,0)))</f>
        <v/>
      </c>
      <c r="Y289">
        <f>IF(R289=0,0,INDEX(BDD_Penalites!$H$2:$H$130,MATCH($B289,BDD_Penalites!$A$2:$A$130,0)))</f>
        <v/>
      </c>
      <c r="Z289">
        <f>IF(R289=0,0,INDEX(BDD_Penalites!$I$2:$I$130,MATCH($B289,BDD_Penalites!$A$2:$A$130,0)))</f>
        <v/>
      </c>
      <c r="AA289">
        <f>IF(R289=0,0,INDEX(BDD_Penalites!$J$2:$J$130,MATCH($B289,BDD_Penalites!$A$2:$A$130,0)))</f>
        <v/>
      </c>
      <c r="AB289">
        <f>IF(R289=0,0,INDEX(BDD_Penalites!$K$2:$K$130,MATCH($B289,BDD_Penalites!$A$2:$A$130,0)))</f>
        <v/>
      </c>
      <c r="AC289">
        <f>IF(R289=0,0,INDEX(BDD_Penalites!$L$2:$L$130,MATCH($B289,BDD_Penalites!$A$2:$A$130,0)))</f>
        <v/>
      </c>
      <c r="AD289">
        <f>IF(OR($C289="",Q289="FUTUR"),"",_xlfn.IFS(Q289&lt;U289,V289,Q289&lt;W289,X289,Q289&lt;Y289,Z289,Q289&lt;AA289,AB289,TRUE,AC289))</f>
        <v/>
      </c>
    </row>
    <row r="290" ht="13.5" customFormat="1" customHeight="1" s="29">
      <c r="A290" s="65" t="inlineStr">
        <is>
          <t>Co-Investissement Arlane - Santé</t>
        </is>
      </c>
      <c r="B290" s="66" t="inlineStr">
        <is>
          <t>/</t>
        </is>
      </c>
      <c r="C290" s="268" t="n"/>
      <c r="D290" s="269">
        <f>IF(H290=0,"Calendrier non disponible pour ce fonds — contacter la société de gestion.",IF(I290="","Calendrier connu jusqu'au "&amp;TEXT(K290,"dd/mm/yyyy")&amp;" — demander le calendrier à jour.","Cut-off : "&amp;TEXT(I290,"dd/mm/yyyy")&amp;"  |  VL : "&amp;TEXT(J290,"dd/mm/yyyy")))</f>
        <v/>
      </c>
      <c r="E290" s="269">
        <f>IF(L290=0,"Calendrier non disponible pour ce fonds — contacter la société de gestion.",IF(M290="","Calendrier connu jusqu'au "&amp;TEXT(P290,"dd/mm/yyyy")&amp;" — demander le calendrier à jour.","Cut-off : "&amp;TEXT(M290,"dd/mm/yyyy")&amp;"  |  VL : "&amp;TEXT(N290,"dd/mm/yyyy")))</f>
        <v/>
      </c>
      <c r="F290" s="269">
        <f>IF(L290=0,"Calendrier non disponible pour ce fonds.",IF(M290="","Calendrier connu jusqu'au "&amp;TEXT(P290,"dd/mm/yyyy")&amp;".",IF(O290="","Non précisé dans le calendrier pour cette échéance.","Réception : "&amp;TEXT(O290,"dd/mm/yyyy")&amp;"  (suite au rachat du "&amp;TEXT(N290,"dd/mm/yyyy")&amp;")")))</f>
        <v/>
      </c>
      <c r="G290" s="269">
        <f>_xlfn.IFS(S290="aucune","Aucune pénalité de sortie."&amp;IF(T290&lt;&gt;""," ("&amp;T290&amp;")",""),S290="manuel","⚠️ À VÉRIFIER MANUELLEMENT : "&amp;T290,S290="inconnue","Pénalité non renseignée — vérifier la notice / DICI du fonds.",$C290="","Saisir une date d'investissement pour statuer sur la pénalité.",Q290="FUTUR","Date d'investissement postérieure à aujourd'hui — vérifier la saisie.",AD290&gt;0,"⚠️ CONCERNÉ : pénalité de "&amp;AD290&amp;"% (détention "&amp;Q290&amp;" mois). "&amp;T290,TRUE,"Non concerné (détention "&amp;Q290&amp;" mois). "&amp;T290)</f>
        <v/>
      </c>
      <c r="H290">
        <f>COUNTIFS(BDD_Calendrier!$A$2:$A$616,$B290,BDD_Calendrier!$C$2:$C$616,"Souscription")</f>
        <v/>
      </c>
      <c r="I290">
        <f>IF(H290=0,"",IFERROR(_xlfn.MINIFS(BDD_Calendrier!$D$2:$D$616,BDD_Calendrier!$A$2:$A$616,$B290,BDD_Calendrier!$C$2:$C$616,"Souscription",BDD_Calendrier!$D$2:$D$616,"&gt;="&amp;TODAY()),""))</f>
        <v/>
      </c>
      <c r="J290">
        <f>IF(I290="","",IFERROR(INDEX(BDD_Calendrier!$E$2:$E$616,MATCH($B290&amp;"|Souscription|"&amp;TEXT(I290,"yyyy-mm-dd"),BDD_Calendrier!$I$2:$I$616,0)),""))</f>
        <v/>
      </c>
      <c r="K290">
        <f>IF(H290=0,"",_xlfn.MAXIFS(BDD_Calendrier!$D$2:$D$616,BDD_Calendrier!$A$2:$A$616,$B290,BDD_Calendrier!$C$2:$C$616,"Souscription"))</f>
        <v/>
      </c>
      <c r="L290">
        <f>COUNTIFS(BDD_Calendrier!$A$2:$A$616,$B290,BDD_Calendrier!$C$2:$C$616,"Rachat")</f>
        <v/>
      </c>
      <c r="M290">
        <f>IF(L290=0,"",IFERROR(_xlfn.MINIFS(BDD_Calendrier!$D$2:$D$616,BDD_Calendrier!$A$2:$A$616,$B290,BDD_Calendrier!$C$2:$C$616,"Rachat",BDD_Calendrier!$D$2:$D$616,"&gt;="&amp;TODAY()),""))</f>
        <v/>
      </c>
      <c r="N290">
        <f>IF(M290="","",IFERROR(INDEX(BDD_Calendrier!$E$2:$E$616,MATCH($B290&amp;"|Rachat|"&amp;TEXT(M290,"yyyy-mm-dd"),BDD_Calendrier!$I$2:$I$616,0)),""))</f>
        <v/>
      </c>
      <c r="O290">
        <f>IF(M290="","",IFERROR(INDEX(BDD_Calendrier!$H$2:$H$616,MATCH($B290&amp;"|Rachat|"&amp;TEXT(M290,"yyyy-mm-dd"),BDD_Calendrier!$I$2:$I$616,0)),""))</f>
        <v/>
      </c>
      <c r="P290">
        <f>IF(L290=0,"",_xlfn.MAXIFS(BDD_Calendrier!$D$2:$D$616,BDD_Calendrier!$A$2:$A$616,$B290,BDD_Calendrier!$C$2:$C$616,"Rachat"))</f>
        <v/>
      </c>
      <c r="Q290">
        <f>IF($C290="","",IF($C290&gt;TODAY(),"FUTUR",DATEDIF($C290,TODAY(),"m")))</f>
        <v/>
      </c>
      <c r="R290">
        <f>COUNTIF(BDD_Penalites!$A$2:$A$130,$B290)</f>
        <v/>
      </c>
      <c r="S290">
        <f>IF(R290=0,"inconnue",INDEX(BDD_Penalites!$C$2:$C$130,MATCH($B290,BDD_Penalites!$A$2:$A$130,0)))</f>
        <v/>
      </c>
      <c r="T290">
        <f>IF(R290=0,"",INDEX(BDD_Penalites!$M$2:$M$130,MATCH($B290,BDD_Penalites!$A$2:$A$130,0)))</f>
        <v/>
      </c>
      <c r="U290">
        <f>IF(R290=0,0,INDEX(BDD_Penalites!$D$2:$D$130,MATCH($B290,BDD_Penalites!$A$2:$A$130,0)))</f>
        <v/>
      </c>
      <c r="V290">
        <f>IF(R290=0,0,INDEX(BDD_Penalites!$E$2:$E$130,MATCH($B290,BDD_Penalites!$A$2:$A$130,0)))</f>
        <v/>
      </c>
      <c r="W290">
        <f>IF(R290=0,0,INDEX(BDD_Penalites!$F$2:$F$130,MATCH($B290,BDD_Penalites!$A$2:$A$130,0)))</f>
        <v/>
      </c>
      <c r="X290">
        <f>IF(R290=0,0,INDEX(BDD_Penalites!$G$2:$G$130,MATCH($B290,BDD_Penalites!$A$2:$A$130,0)))</f>
        <v/>
      </c>
      <c r="Y290">
        <f>IF(R290=0,0,INDEX(BDD_Penalites!$H$2:$H$130,MATCH($B290,BDD_Penalites!$A$2:$A$130,0)))</f>
        <v/>
      </c>
      <c r="Z290">
        <f>IF(R290=0,0,INDEX(BDD_Penalites!$I$2:$I$130,MATCH($B290,BDD_Penalites!$A$2:$A$130,0)))</f>
        <v/>
      </c>
      <c r="AA290">
        <f>IF(R290=0,0,INDEX(BDD_Penalites!$J$2:$J$130,MATCH($B290,BDD_Penalites!$A$2:$A$130,0)))</f>
        <v/>
      </c>
      <c r="AB290">
        <f>IF(R290=0,0,INDEX(BDD_Penalites!$K$2:$K$130,MATCH($B290,BDD_Penalites!$A$2:$A$130,0)))</f>
        <v/>
      </c>
      <c r="AC290">
        <f>IF(R290=0,0,INDEX(BDD_Penalites!$L$2:$L$130,MATCH($B290,BDD_Penalites!$A$2:$A$130,0)))</f>
        <v/>
      </c>
      <c r="AD290">
        <f>IF(OR($C290="",Q290="FUTUR"),"",_xlfn.IFS(Q290&lt;U290,V290,Q290&lt;W290,X290,Q290&lt;Y290,Z290,Q290&lt;AA290,AB290,TRUE,AC290))</f>
        <v/>
      </c>
    </row>
    <row r="291" ht="13.5" customHeight="1">
      <c r="A291" s="65" t="inlineStr">
        <is>
          <t>Committed Adv Sec V</t>
        </is>
      </c>
      <c r="B291" s="66" t="inlineStr">
        <is>
          <t>FR00140089C0</t>
        </is>
      </c>
      <c r="C291" s="268" t="n"/>
      <c r="D291" s="269">
        <f>IF(H291=0,"Calendrier non disponible pour ce fonds — contacter la société de gestion.",IF(I291="","Calendrier connu jusqu'au "&amp;TEXT(K291,"dd/mm/yyyy")&amp;" — demander le calendrier à jour.","Cut-off : "&amp;TEXT(I291,"dd/mm/yyyy")&amp;"  |  VL : "&amp;TEXT(J291,"dd/mm/yyyy")))</f>
        <v/>
      </c>
      <c r="E291" s="269">
        <f>IF(L291=0,"Calendrier non disponible pour ce fonds — contacter la société de gestion.",IF(M291="","Calendrier connu jusqu'au "&amp;TEXT(P291,"dd/mm/yyyy")&amp;" — demander le calendrier à jour.","Cut-off : "&amp;TEXT(M291,"dd/mm/yyyy")&amp;"  |  VL : "&amp;TEXT(N291,"dd/mm/yyyy")))</f>
        <v/>
      </c>
      <c r="F291" s="269">
        <f>IF(L291=0,"Calendrier non disponible pour ce fonds.",IF(M291="","Calendrier connu jusqu'au "&amp;TEXT(P291,"dd/mm/yyyy")&amp;".",IF(O291="","Non précisé dans le calendrier pour cette échéance.","Réception : "&amp;TEXT(O291,"dd/mm/yyyy")&amp;"  (suite au rachat du "&amp;TEXT(N291,"dd/mm/yyyy")&amp;")")))</f>
        <v/>
      </c>
      <c r="G291" s="269">
        <f>_xlfn.IFS(S291="aucune","Aucune pénalité de sortie."&amp;IF(T291&lt;&gt;""," ("&amp;T291&amp;")",""),S291="manuel","⚠️ À VÉRIFIER MANUELLEMENT : "&amp;T291,S291="inconnue","Pénalité non renseignée — vérifier la notice / DICI du fonds.",$C291="","Saisir une date d'investissement pour statuer sur la pénalité.",Q291="FUTUR","Date d'investissement postérieure à aujourd'hui — vérifier la saisie.",AD291&gt;0,"⚠️ CONCERNÉ : pénalité de "&amp;AD291&amp;"% (détention "&amp;Q291&amp;" mois). "&amp;T291,TRUE,"Non concerné (détention "&amp;Q291&amp;" mois). "&amp;T291)</f>
        <v/>
      </c>
      <c r="H291">
        <f>COUNTIFS(BDD_Calendrier!$A$2:$A$616,$B291,BDD_Calendrier!$C$2:$C$616,"Souscription")</f>
        <v/>
      </c>
      <c r="I291">
        <f>IF(H291=0,"",IFERROR(_xlfn.MINIFS(BDD_Calendrier!$D$2:$D$616,BDD_Calendrier!$A$2:$A$616,$B291,BDD_Calendrier!$C$2:$C$616,"Souscription",BDD_Calendrier!$D$2:$D$616,"&gt;="&amp;TODAY()),""))</f>
        <v/>
      </c>
      <c r="J291">
        <f>IF(I291="","",IFERROR(INDEX(BDD_Calendrier!$E$2:$E$616,MATCH($B291&amp;"|Souscription|"&amp;TEXT(I291,"yyyy-mm-dd"),BDD_Calendrier!$I$2:$I$616,0)),""))</f>
        <v/>
      </c>
      <c r="K291">
        <f>IF(H291=0,"",_xlfn.MAXIFS(BDD_Calendrier!$D$2:$D$616,BDD_Calendrier!$A$2:$A$616,$B291,BDD_Calendrier!$C$2:$C$616,"Souscription"))</f>
        <v/>
      </c>
      <c r="L291">
        <f>COUNTIFS(BDD_Calendrier!$A$2:$A$616,$B291,BDD_Calendrier!$C$2:$C$616,"Rachat")</f>
        <v/>
      </c>
      <c r="M291">
        <f>IF(L291=0,"",IFERROR(_xlfn.MINIFS(BDD_Calendrier!$D$2:$D$616,BDD_Calendrier!$A$2:$A$616,$B291,BDD_Calendrier!$C$2:$C$616,"Rachat",BDD_Calendrier!$D$2:$D$616,"&gt;="&amp;TODAY()),""))</f>
        <v/>
      </c>
      <c r="N291">
        <f>IF(M291="","",IFERROR(INDEX(BDD_Calendrier!$E$2:$E$616,MATCH($B291&amp;"|Rachat|"&amp;TEXT(M291,"yyyy-mm-dd"),BDD_Calendrier!$I$2:$I$616,0)),""))</f>
        <v/>
      </c>
      <c r="O291">
        <f>IF(M291="","",IFERROR(INDEX(BDD_Calendrier!$H$2:$H$616,MATCH($B291&amp;"|Rachat|"&amp;TEXT(M291,"yyyy-mm-dd"),BDD_Calendrier!$I$2:$I$616,0)),""))</f>
        <v/>
      </c>
      <c r="P291">
        <f>IF(L291=0,"",_xlfn.MAXIFS(BDD_Calendrier!$D$2:$D$616,BDD_Calendrier!$A$2:$A$616,$B291,BDD_Calendrier!$C$2:$C$616,"Rachat"))</f>
        <v/>
      </c>
      <c r="Q291">
        <f>IF($C291="","",IF($C291&gt;TODAY(),"FUTUR",DATEDIF($C291,TODAY(),"m")))</f>
        <v/>
      </c>
      <c r="R291">
        <f>COUNTIF(BDD_Penalites!$A$2:$A$130,$B291)</f>
        <v/>
      </c>
      <c r="S291">
        <f>IF(R291=0,"inconnue",INDEX(BDD_Penalites!$C$2:$C$130,MATCH($B291,BDD_Penalites!$A$2:$A$130,0)))</f>
        <v/>
      </c>
      <c r="T291">
        <f>IF(R291=0,"",INDEX(BDD_Penalites!$M$2:$M$130,MATCH($B291,BDD_Penalites!$A$2:$A$130,0)))</f>
        <v/>
      </c>
      <c r="U291">
        <f>IF(R291=0,0,INDEX(BDD_Penalites!$D$2:$D$130,MATCH($B291,BDD_Penalites!$A$2:$A$130,0)))</f>
        <v/>
      </c>
      <c r="V291">
        <f>IF(R291=0,0,INDEX(BDD_Penalites!$E$2:$E$130,MATCH($B291,BDD_Penalites!$A$2:$A$130,0)))</f>
        <v/>
      </c>
      <c r="W291">
        <f>IF(R291=0,0,INDEX(BDD_Penalites!$F$2:$F$130,MATCH($B291,BDD_Penalites!$A$2:$A$130,0)))</f>
        <v/>
      </c>
      <c r="X291">
        <f>IF(R291=0,0,INDEX(BDD_Penalites!$G$2:$G$130,MATCH($B291,BDD_Penalites!$A$2:$A$130,0)))</f>
        <v/>
      </c>
      <c r="Y291">
        <f>IF(R291=0,0,INDEX(BDD_Penalites!$H$2:$H$130,MATCH($B291,BDD_Penalites!$A$2:$A$130,0)))</f>
        <v/>
      </c>
      <c r="Z291">
        <f>IF(R291=0,0,INDEX(BDD_Penalites!$I$2:$I$130,MATCH($B291,BDD_Penalites!$A$2:$A$130,0)))</f>
        <v/>
      </c>
      <c r="AA291">
        <f>IF(R291=0,0,INDEX(BDD_Penalites!$J$2:$J$130,MATCH($B291,BDD_Penalites!$A$2:$A$130,0)))</f>
        <v/>
      </c>
      <c r="AB291">
        <f>IF(R291=0,0,INDEX(BDD_Penalites!$K$2:$K$130,MATCH($B291,BDD_Penalites!$A$2:$A$130,0)))</f>
        <v/>
      </c>
      <c r="AC291">
        <f>IF(R291=0,0,INDEX(BDD_Penalites!$L$2:$L$130,MATCH($B291,BDD_Penalites!$A$2:$A$130,0)))</f>
        <v/>
      </c>
      <c r="AD291">
        <f>IF(OR($C291="",Q291="FUTUR"),"",_xlfn.IFS(Q291&lt;U291,V291,Q291&lt;W291,X291,Q291&lt;Y291,Z291,Q291&lt;AA291,AB291,TRUE,AC291))</f>
        <v/>
      </c>
    </row>
    <row r="292" ht="13.5" customHeight="1">
      <c r="A292" s="65" t="inlineStr">
        <is>
          <t>Motion Equity Partners IV SC parts A2</t>
        </is>
      </c>
      <c r="B292" s="66" t="inlineStr">
        <is>
          <t>FR001400LUW8</t>
        </is>
      </c>
      <c r="C292" s="268" t="n"/>
      <c r="D292" s="269">
        <f>IF(H292=0,"Calendrier non disponible pour ce fonds — contacter la société de gestion.",IF(I292="","Calendrier connu jusqu'au "&amp;TEXT(K292,"dd/mm/yyyy")&amp;" — demander le calendrier à jour.","Cut-off : "&amp;TEXT(I292,"dd/mm/yyyy")&amp;"  |  VL : "&amp;TEXT(J292,"dd/mm/yyyy")))</f>
        <v/>
      </c>
      <c r="E292" s="269">
        <f>IF(L292=0,"Calendrier non disponible pour ce fonds — contacter la société de gestion.",IF(M292="","Calendrier connu jusqu'au "&amp;TEXT(P292,"dd/mm/yyyy")&amp;" — demander le calendrier à jour.","Cut-off : "&amp;TEXT(M292,"dd/mm/yyyy")&amp;"  |  VL : "&amp;TEXT(N292,"dd/mm/yyyy")))</f>
        <v/>
      </c>
      <c r="F292" s="269">
        <f>IF(L292=0,"Calendrier non disponible pour ce fonds.",IF(M292="","Calendrier connu jusqu'au "&amp;TEXT(P292,"dd/mm/yyyy")&amp;".",IF(O292="","Non précisé dans le calendrier pour cette échéance.","Réception : "&amp;TEXT(O292,"dd/mm/yyyy")&amp;"  (suite au rachat du "&amp;TEXT(N292,"dd/mm/yyyy")&amp;")")))</f>
        <v/>
      </c>
      <c r="G292" s="269">
        <f>_xlfn.IFS(S292="aucune","Aucune pénalité de sortie."&amp;IF(T292&lt;&gt;""," ("&amp;T292&amp;")",""),S292="manuel","⚠️ À VÉRIFIER MANUELLEMENT : "&amp;T292,S292="inconnue","Pénalité non renseignée — vérifier la notice / DICI du fonds.",$C292="","Saisir une date d'investissement pour statuer sur la pénalité.",Q292="FUTUR","Date d'investissement postérieure à aujourd'hui — vérifier la saisie.",AD292&gt;0,"⚠️ CONCERNÉ : pénalité de "&amp;AD292&amp;"% (détention "&amp;Q292&amp;" mois). "&amp;T292,TRUE,"Non concerné (détention "&amp;Q292&amp;" mois). "&amp;T292)</f>
        <v/>
      </c>
      <c r="H292">
        <f>COUNTIFS(BDD_Calendrier!$A$2:$A$616,$B292,BDD_Calendrier!$C$2:$C$616,"Souscription")</f>
        <v/>
      </c>
      <c r="I292">
        <f>IF(H292=0,"",IFERROR(_xlfn.MINIFS(BDD_Calendrier!$D$2:$D$616,BDD_Calendrier!$A$2:$A$616,$B292,BDD_Calendrier!$C$2:$C$616,"Souscription",BDD_Calendrier!$D$2:$D$616,"&gt;="&amp;TODAY()),""))</f>
        <v/>
      </c>
      <c r="J292">
        <f>IF(I292="","",IFERROR(INDEX(BDD_Calendrier!$E$2:$E$616,MATCH($B292&amp;"|Souscription|"&amp;TEXT(I292,"yyyy-mm-dd"),BDD_Calendrier!$I$2:$I$616,0)),""))</f>
        <v/>
      </c>
      <c r="K292">
        <f>IF(H292=0,"",_xlfn.MAXIFS(BDD_Calendrier!$D$2:$D$616,BDD_Calendrier!$A$2:$A$616,$B292,BDD_Calendrier!$C$2:$C$616,"Souscription"))</f>
        <v/>
      </c>
      <c r="L292">
        <f>COUNTIFS(BDD_Calendrier!$A$2:$A$616,$B292,BDD_Calendrier!$C$2:$C$616,"Rachat")</f>
        <v/>
      </c>
      <c r="M292">
        <f>IF(L292=0,"",IFERROR(_xlfn.MINIFS(BDD_Calendrier!$D$2:$D$616,BDD_Calendrier!$A$2:$A$616,$B292,BDD_Calendrier!$C$2:$C$616,"Rachat",BDD_Calendrier!$D$2:$D$616,"&gt;="&amp;TODAY()),""))</f>
        <v/>
      </c>
      <c r="N292">
        <f>IF(M292="","",IFERROR(INDEX(BDD_Calendrier!$E$2:$E$616,MATCH($B292&amp;"|Rachat|"&amp;TEXT(M292,"yyyy-mm-dd"),BDD_Calendrier!$I$2:$I$616,0)),""))</f>
        <v/>
      </c>
      <c r="O292">
        <f>IF(M292="","",IFERROR(INDEX(BDD_Calendrier!$H$2:$H$616,MATCH($B292&amp;"|Rachat|"&amp;TEXT(M292,"yyyy-mm-dd"),BDD_Calendrier!$I$2:$I$616,0)),""))</f>
        <v/>
      </c>
      <c r="P292">
        <f>IF(L292=0,"",_xlfn.MAXIFS(BDD_Calendrier!$D$2:$D$616,BDD_Calendrier!$A$2:$A$616,$B292,BDD_Calendrier!$C$2:$C$616,"Rachat"))</f>
        <v/>
      </c>
      <c r="Q292">
        <f>IF($C292="","",IF($C292&gt;TODAY(),"FUTUR",DATEDIF($C292,TODAY(),"m")))</f>
        <v/>
      </c>
      <c r="R292">
        <f>COUNTIF(BDD_Penalites!$A$2:$A$130,$B292)</f>
        <v/>
      </c>
      <c r="S292">
        <f>IF(R292=0,"inconnue",INDEX(BDD_Penalites!$C$2:$C$130,MATCH($B292,BDD_Penalites!$A$2:$A$130,0)))</f>
        <v/>
      </c>
      <c r="T292">
        <f>IF(R292=0,"",INDEX(BDD_Penalites!$M$2:$M$130,MATCH($B292,BDD_Penalites!$A$2:$A$130,0)))</f>
        <v/>
      </c>
      <c r="U292">
        <f>IF(R292=0,0,INDEX(BDD_Penalites!$D$2:$D$130,MATCH($B292,BDD_Penalites!$A$2:$A$130,0)))</f>
        <v/>
      </c>
      <c r="V292">
        <f>IF(R292=0,0,INDEX(BDD_Penalites!$E$2:$E$130,MATCH($B292,BDD_Penalites!$A$2:$A$130,0)))</f>
        <v/>
      </c>
      <c r="W292">
        <f>IF(R292=0,0,INDEX(BDD_Penalites!$F$2:$F$130,MATCH($B292,BDD_Penalites!$A$2:$A$130,0)))</f>
        <v/>
      </c>
      <c r="X292">
        <f>IF(R292=0,0,INDEX(BDD_Penalites!$G$2:$G$130,MATCH($B292,BDD_Penalites!$A$2:$A$130,0)))</f>
        <v/>
      </c>
      <c r="Y292">
        <f>IF(R292=0,0,INDEX(BDD_Penalites!$H$2:$H$130,MATCH($B292,BDD_Penalites!$A$2:$A$130,0)))</f>
        <v/>
      </c>
      <c r="Z292">
        <f>IF(R292=0,0,INDEX(BDD_Penalites!$I$2:$I$130,MATCH($B292,BDD_Penalites!$A$2:$A$130,0)))</f>
        <v/>
      </c>
      <c r="AA292">
        <f>IF(R292=0,0,INDEX(BDD_Penalites!$J$2:$J$130,MATCH($B292,BDD_Penalites!$A$2:$A$130,0)))</f>
        <v/>
      </c>
      <c r="AB292">
        <f>IF(R292=0,0,INDEX(BDD_Penalites!$K$2:$K$130,MATCH($B292,BDD_Penalites!$A$2:$A$130,0)))</f>
        <v/>
      </c>
      <c r="AC292">
        <f>IF(R292=0,0,INDEX(BDD_Penalites!$L$2:$L$130,MATCH($B292,BDD_Penalites!$A$2:$A$130,0)))</f>
        <v/>
      </c>
      <c r="AD292">
        <f>IF(OR($C292="",Q292="FUTUR"),"",_xlfn.IFS(Q292&lt;U292,V292,Q292&lt;W292,X292,Q292&lt;Y292,Z292,Q292&lt;AA292,AB292,TRUE,AC292))</f>
        <v/>
      </c>
    </row>
    <row r="293" ht="13.5" customFormat="1" customHeight="1" s="29">
      <c r="A293" s="65" t="inlineStr">
        <is>
          <t>Motion Equity Partners V</t>
        </is>
      </c>
      <c r="B293" s="66" t="inlineStr">
        <is>
          <t>/</t>
        </is>
      </c>
      <c r="C293" s="268" t="n"/>
      <c r="D293" s="269">
        <f>IF(H293=0,"Calendrier non disponible pour ce fonds — contacter la société de gestion.",IF(I293="","Calendrier connu jusqu'au "&amp;TEXT(K293,"dd/mm/yyyy")&amp;" — demander le calendrier à jour.","Cut-off : "&amp;TEXT(I293,"dd/mm/yyyy")&amp;"  |  VL : "&amp;TEXT(J293,"dd/mm/yyyy")))</f>
        <v/>
      </c>
      <c r="E293" s="269">
        <f>IF(L293=0,"Calendrier non disponible pour ce fonds — contacter la société de gestion.",IF(M293="","Calendrier connu jusqu'au "&amp;TEXT(P293,"dd/mm/yyyy")&amp;" — demander le calendrier à jour.","Cut-off : "&amp;TEXT(M293,"dd/mm/yyyy")&amp;"  |  VL : "&amp;TEXT(N293,"dd/mm/yyyy")))</f>
        <v/>
      </c>
      <c r="F293" s="269">
        <f>IF(L293=0,"Calendrier non disponible pour ce fonds.",IF(M293="","Calendrier connu jusqu'au "&amp;TEXT(P293,"dd/mm/yyyy")&amp;".",IF(O293="","Non précisé dans le calendrier pour cette échéance.","Réception : "&amp;TEXT(O293,"dd/mm/yyyy")&amp;"  (suite au rachat du "&amp;TEXT(N293,"dd/mm/yyyy")&amp;")")))</f>
        <v/>
      </c>
      <c r="G293" s="269">
        <f>_xlfn.IFS(S293="aucune","Aucune pénalité de sortie."&amp;IF(T293&lt;&gt;""," ("&amp;T293&amp;")",""),S293="manuel","⚠️ À VÉRIFIER MANUELLEMENT : "&amp;T293,S293="inconnue","Pénalité non renseignée — vérifier la notice / DICI du fonds.",$C293="","Saisir une date d'investissement pour statuer sur la pénalité.",Q293="FUTUR","Date d'investissement postérieure à aujourd'hui — vérifier la saisie.",AD293&gt;0,"⚠️ CONCERNÉ : pénalité de "&amp;AD293&amp;"% (détention "&amp;Q293&amp;" mois). "&amp;T293,TRUE,"Non concerné (détention "&amp;Q293&amp;" mois). "&amp;T293)</f>
        <v/>
      </c>
      <c r="H293">
        <f>COUNTIFS(BDD_Calendrier!$A$2:$A$616,$B293,BDD_Calendrier!$C$2:$C$616,"Souscription")</f>
        <v/>
      </c>
      <c r="I293">
        <f>IF(H293=0,"",IFERROR(_xlfn.MINIFS(BDD_Calendrier!$D$2:$D$616,BDD_Calendrier!$A$2:$A$616,$B293,BDD_Calendrier!$C$2:$C$616,"Souscription",BDD_Calendrier!$D$2:$D$616,"&gt;="&amp;TODAY()),""))</f>
        <v/>
      </c>
      <c r="J293">
        <f>IF(I293="","",IFERROR(INDEX(BDD_Calendrier!$E$2:$E$616,MATCH($B293&amp;"|Souscription|"&amp;TEXT(I293,"yyyy-mm-dd"),BDD_Calendrier!$I$2:$I$616,0)),""))</f>
        <v/>
      </c>
      <c r="K293">
        <f>IF(H293=0,"",_xlfn.MAXIFS(BDD_Calendrier!$D$2:$D$616,BDD_Calendrier!$A$2:$A$616,$B293,BDD_Calendrier!$C$2:$C$616,"Souscription"))</f>
        <v/>
      </c>
      <c r="L293">
        <f>COUNTIFS(BDD_Calendrier!$A$2:$A$616,$B293,BDD_Calendrier!$C$2:$C$616,"Rachat")</f>
        <v/>
      </c>
      <c r="M293">
        <f>IF(L293=0,"",IFERROR(_xlfn.MINIFS(BDD_Calendrier!$D$2:$D$616,BDD_Calendrier!$A$2:$A$616,$B293,BDD_Calendrier!$C$2:$C$616,"Rachat",BDD_Calendrier!$D$2:$D$616,"&gt;="&amp;TODAY()),""))</f>
        <v/>
      </c>
      <c r="N293">
        <f>IF(M293="","",IFERROR(INDEX(BDD_Calendrier!$E$2:$E$616,MATCH($B293&amp;"|Rachat|"&amp;TEXT(M293,"yyyy-mm-dd"),BDD_Calendrier!$I$2:$I$616,0)),""))</f>
        <v/>
      </c>
      <c r="O293">
        <f>IF(M293="","",IFERROR(INDEX(BDD_Calendrier!$H$2:$H$616,MATCH($B293&amp;"|Rachat|"&amp;TEXT(M293,"yyyy-mm-dd"),BDD_Calendrier!$I$2:$I$616,0)),""))</f>
        <v/>
      </c>
      <c r="P293">
        <f>IF(L293=0,"",_xlfn.MAXIFS(BDD_Calendrier!$D$2:$D$616,BDD_Calendrier!$A$2:$A$616,$B293,BDD_Calendrier!$C$2:$C$616,"Rachat"))</f>
        <v/>
      </c>
      <c r="Q293">
        <f>IF($C293="","",IF($C293&gt;TODAY(),"FUTUR",DATEDIF($C293,TODAY(),"m")))</f>
        <v/>
      </c>
      <c r="R293">
        <f>COUNTIF(BDD_Penalites!$A$2:$A$130,$B293)</f>
        <v/>
      </c>
      <c r="S293">
        <f>IF(R293=0,"inconnue",INDEX(BDD_Penalites!$C$2:$C$130,MATCH($B293,BDD_Penalites!$A$2:$A$130,0)))</f>
        <v/>
      </c>
      <c r="T293">
        <f>IF(R293=0,"",INDEX(BDD_Penalites!$M$2:$M$130,MATCH($B293,BDD_Penalites!$A$2:$A$130,0)))</f>
        <v/>
      </c>
      <c r="U293">
        <f>IF(R293=0,0,INDEX(BDD_Penalites!$D$2:$D$130,MATCH($B293,BDD_Penalites!$A$2:$A$130,0)))</f>
        <v/>
      </c>
      <c r="V293">
        <f>IF(R293=0,0,INDEX(BDD_Penalites!$E$2:$E$130,MATCH($B293,BDD_Penalites!$A$2:$A$130,0)))</f>
        <v/>
      </c>
      <c r="W293">
        <f>IF(R293=0,0,INDEX(BDD_Penalites!$F$2:$F$130,MATCH($B293,BDD_Penalites!$A$2:$A$130,0)))</f>
        <v/>
      </c>
      <c r="X293">
        <f>IF(R293=0,0,INDEX(BDD_Penalites!$G$2:$G$130,MATCH($B293,BDD_Penalites!$A$2:$A$130,0)))</f>
        <v/>
      </c>
      <c r="Y293">
        <f>IF(R293=0,0,INDEX(BDD_Penalites!$H$2:$H$130,MATCH($B293,BDD_Penalites!$A$2:$A$130,0)))</f>
        <v/>
      </c>
      <c r="Z293">
        <f>IF(R293=0,0,INDEX(BDD_Penalites!$I$2:$I$130,MATCH($B293,BDD_Penalites!$A$2:$A$130,0)))</f>
        <v/>
      </c>
      <c r="AA293">
        <f>IF(R293=0,0,INDEX(BDD_Penalites!$J$2:$J$130,MATCH($B293,BDD_Penalites!$A$2:$A$130,0)))</f>
        <v/>
      </c>
      <c r="AB293">
        <f>IF(R293=0,0,INDEX(BDD_Penalites!$K$2:$K$130,MATCH($B293,BDD_Penalites!$A$2:$A$130,0)))</f>
        <v/>
      </c>
      <c r="AC293">
        <f>IF(R293=0,0,INDEX(BDD_Penalites!$L$2:$L$130,MATCH($B293,BDD_Penalites!$A$2:$A$130,0)))</f>
        <v/>
      </c>
      <c r="AD293">
        <f>IF(OR($C293="",Q293="FUTUR"),"",_xlfn.IFS(Q293&lt;U293,V293,Q293&lt;W293,X293,Q293&lt;Y293,Z293,Q293&lt;AA293,AB293,TRUE,AC293))</f>
        <v/>
      </c>
    </row>
    <row r="294" ht="13.5" customHeight="1">
      <c r="A294" s="65" t="n"/>
      <c r="B294" s="75" t="n"/>
    </row>
    <row r="295" ht="13.5" customHeight="1">
      <c r="A295" s="65" t="n"/>
      <c r="B295" s="75" t="n"/>
    </row>
    <row r="296" ht="13.5" customHeight="1">
      <c r="A296" s="65" t="n"/>
      <c r="B296" s="75" t="n"/>
    </row>
    <row r="297" ht="13.5" customHeight="1">
      <c r="A297" s="65" t="n"/>
      <c r="B297" s="75" t="n"/>
    </row>
    <row r="298" ht="13.5" customHeight="1">
      <c r="A298" s="65" t="n"/>
      <c r="B298" s="75" t="n"/>
    </row>
    <row r="299" ht="13.5" customHeight="1">
      <c r="A299" s="65" t="n"/>
      <c r="B299" s="75" t="n"/>
    </row>
    <row r="300" ht="13.5" customHeight="1">
      <c r="A300" s="65" t="n"/>
      <c r="B300" s="75" t="n"/>
    </row>
    <row r="301" ht="13.5" customHeight="1">
      <c r="A301" s="65" t="n"/>
      <c r="B301" s="75" t="n"/>
    </row>
    <row r="302" ht="13.5" customHeight="1">
      <c r="A302" s="65" t="n"/>
      <c r="B302" s="75" t="n"/>
    </row>
    <row r="303" ht="13.5" customHeight="1">
      <c r="A303" s="65" t="n"/>
      <c r="B303" s="75" t="n"/>
    </row>
    <row r="304" ht="13.5" customHeight="1">
      <c r="A304" s="65" t="n"/>
      <c r="B304" s="75" t="n"/>
    </row>
    <row r="305" ht="13.5" customHeight="1">
      <c r="A305" s="65" t="n"/>
      <c r="B305" s="75" t="n"/>
    </row>
    <row r="306" ht="13.5" customHeight="1">
      <c r="A306" s="65" t="n"/>
      <c r="B306" s="75" t="n"/>
    </row>
    <row r="307" ht="13.5" customHeight="1">
      <c r="A307" s="65" t="n"/>
      <c r="B307" s="75" t="n"/>
    </row>
    <row r="308" ht="13.5" customHeight="1">
      <c r="A308" s="65" t="n"/>
      <c r="B308" s="75" t="n"/>
    </row>
    <row r="309" ht="13.5" customHeight="1">
      <c r="A309" s="65" t="n"/>
      <c r="B309" s="75" t="n"/>
    </row>
    <row r="310" ht="13.5" customHeight="1">
      <c r="A310" s="65" t="n"/>
      <c r="B310" s="75" t="n"/>
    </row>
    <row r="311" ht="14" customFormat="1" customHeight="1" s="258">
      <c r="A311" s="235" t="inlineStr">
        <is>
          <t>Actions</t>
        </is>
      </c>
      <c r="B311" s="236" t="n"/>
      <c r="C311" s="235" t="n"/>
      <c r="D311" s="235" t="n"/>
      <c r="E311" s="235" t="n"/>
      <c r="F311" s="235" t="n"/>
      <c r="G311" s="235" t="n"/>
    </row>
    <row r="312" ht="14" customHeight="1">
      <c r="A312" s="184" t="inlineStr">
        <is>
          <t>dont actions européennes</t>
        </is>
      </c>
      <c r="B312" s="185" t="n"/>
      <c r="C312" s="184" t="n"/>
      <c r="D312" s="184" t="n"/>
      <c r="E312" s="184" t="n"/>
      <c r="F312" s="184" t="n"/>
      <c r="G312" s="184" t="n"/>
    </row>
    <row r="313" ht="14" customHeight="1">
      <c r="A313" s="78" t="inlineStr">
        <is>
          <t>JPMorgan Europe REI Equity</t>
        </is>
      </c>
      <c r="B313" s="75" t="inlineStr">
        <is>
          <t>IE00BF4G7183</t>
        </is>
      </c>
      <c r="C313" s="267" t="n"/>
      <c r="D313" s="79" t="inlineStr">
        <is>
          <t>—</t>
        </is>
      </c>
      <c r="E313" s="79" t="inlineStr">
        <is>
          <t>—</t>
        </is>
      </c>
      <c r="F313" s="79" t="inlineStr">
        <is>
          <t>—</t>
        </is>
      </c>
      <c r="G313" s="79" t="inlineStr">
        <is>
          <t>—</t>
        </is>
      </c>
    </row>
    <row r="314" ht="14" customHeight="1">
      <c r="A314" s="65" t="inlineStr">
        <is>
          <t>Amundi Eurostoxx 50 ETF</t>
        </is>
      </c>
      <c r="B314" s="66" t="inlineStr">
        <is>
          <t>FR0007054358</t>
        </is>
      </c>
      <c r="C314" s="267" t="n"/>
      <c r="D314" s="79" t="inlineStr">
        <is>
          <t>—</t>
        </is>
      </c>
      <c r="E314" s="79" t="inlineStr">
        <is>
          <t>—</t>
        </is>
      </c>
      <c r="F314" s="79" t="inlineStr">
        <is>
          <t>—</t>
        </is>
      </c>
      <c r="G314" s="79" t="inlineStr">
        <is>
          <t>—</t>
        </is>
      </c>
    </row>
    <row r="315" ht="14" customHeight="1">
      <c r="A315" s="78" t="inlineStr">
        <is>
          <t>Renaissance Europe Z</t>
        </is>
      </c>
      <c r="B315" s="75" t="inlineStr">
        <is>
          <t>FR0013290947</t>
        </is>
      </c>
      <c r="C315" s="267" t="n"/>
      <c r="D315" s="79" t="inlineStr">
        <is>
          <t>—</t>
        </is>
      </c>
      <c r="E315" s="79" t="inlineStr">
        <is>
          <t>—</t>
        </is>
      </c>
      <c r="F315" s="79" t="inlineStr">
        <is>
          <t>—</t>
        </is>
      </c>
      <c r="G315" s="79" t="inlineStr">
        <is>
          <t>—</t>
        </is>
      </c>
    </row>
    <row r="316" ht="14" customHeight="1">
      <c r="A316" s="78" t="inlineStr">
        <is>
          <t>Indépendance Europe Small I</t>
        </is>
      </c>
      <c r="B316" s="75" t="inlineStr">
        <is>
          <t>LU1832175001</t>
        </is>
      </c>
      <c r="C316" s="267" t="n"/>
      <c r="D316" s="79" t="inlineStr">
        <is>
          <t>—</t>
        </is>
      </c>
      <c r="E316" s="79" t="inlineStr">
        <is>
          <t>—</t>
        </is>
      </c>
      <c r="F316" s="79" t="inlineStr">
        <is>
          <t>—</t>
        </is>
      </c>
      <c r="G316" s="79" t="inlineStr">
        <is>
          <t>—</t>
        </is>
      </c>
    </row>
    <row r="317" ht="14" customHeight="1">
      <c r="A317" s="78" t="inlineStr">
        <is>
          <t>Indépendance Europe Small A ©</t>
        </is>
      </c>
      <c r="B317" s="75" t="inlineStr">
        <is>
          <t>LU1832174962</t>
        </is>
      </c>
      <c r="C317" s="267" t="n"/>
      <c r="D317" s="79" t="inlineStr">
        <is>
          <t>—</t>
        </is>
      </c>
      <c r="E317" s="79" t="inlineStr">
        <is>
          <t>—</t>
        </is>
      </c>
      <c r="F317" s="79" t="inlineStr">
        <is>
          <t>—</t>
        </is>
      </c>
      <c r="G317" s="79" t="inlineStr">
        <is>
          <t>—</t>
        </is>
      </c>
    </row>
    <row r="318" ht="14" customHeight="1">
      <c r="A318" s="78" t="inlineStr">
        <is>
          <t>Indépendance Mid Europe I</t>
        </is>
      </c>
      <c r="B318" s="75" t="inlineStr">
        <is>
          <t>LU2798962895</t>
        </is>
      </c>
      <c r="C318" s="267" t="n"/>
      <c r="D318" s="79" t="inlineStr">
        <is>
          <t>—</t>
        </is>
      </c>
      <c r="E318" s="79" t="inlineStr">
        <is>
          <t>—</t>
        </is>
      </c>
      <c r="F318" s="79" t="inlineStr">
        <is>
          <t>—</t>
        </is>
      </c>
      <c r="G318" s="79" t="inlineStr">
        <is>
          <t>—</t>
        </is>
      </c>
    </row>
    <row r="319" ht="14" customHeight="1">
      <c r="A319" s="78" t="inlineStr">
        <is>
          <t>Indépendance et Expansion SICAV - France Small A</t>
        </is>
      </c>
      <c r="B319" s="75" t="inlineStr">
        <is>
          <t>LU0131510165</t>
        </is>
      </c>
      <c r="C319" s="267" t="n"/>
      <c r="D319" s="79" t="inlineStr">
        <is>
          <t>—</t>
        </is>
      </c>
      <c r="E319" s="79" t="inlineStr">
        <is>
          <t>—</t>
        </is>
      </c>
      <c r="F319" s="79" t="inlineStr">
        <is>
          <t>—</t>
        </is>
      </c>
      <c r="G319" s="79" t="inlineStr">
        <is>
          <t>—</t>
        </is>
      </c>
    </row>
    <row r="320" ht="14" customHeight="1">
      <c r="A320" s="78" t="inlineStr">
        <is>
          <t>Independance et Expansion Sicav France Small I ©</t>
        </is>
      </c>
      <c r="B320" s="75" t="inlineStr">
        <is>
          <t>LU1964632324</t>
        </is>
      </c>
      <c r="C320" s="267" t="n"/>
      <c r="D320" s="79" t="inlineStr">
        <is>
          <t>—</t>
        </is>
      </c>
      <c r="E320" s="79" t="inlineStr">
        <is>
          <t>—</t>
        </is>
      </c>
      <c r="F320" s="79" t="inlineStr">
        <is>
          <t>—</t>
        </is>
      </c>
      <c r="G320" s="79" t="inlineStr">
        <is>
          <t>—</t>
        </is>
      </c>
    </row>
    <row r="321" ht="14" customHeight="1">
      <c r="A321" s="78" t="inlineStr">
        <is>
          <t>BNP Paribas Europe Small Cap Privilege</t>
        </is>
      </c>
      <c r="B321" s="75" t="inlineStr">
        <is>
          <t>LU0212180813</t>
        </is>
      </c>
      <c r="C321" s="267" t="n"/>
      <c r="D321" s="79" t="inlineStr">
        <is>
          <t>—</t>
        </is>
      </c>
      <c r="E321" s="79" t="inlineStr">
        <is>
          <t>—</t>
        </is>
      </c>
      <c r="F321" s="79" t="inlineStr">
        <is>
          <t>—</t>
        </is>
      </c>
      <c r="G321" s="79" t="inlineStr">
        <is>
          <t>—</t>
        </is>
      </c>
    </row>
    <row r="322" ht="14" customHeight="1">
      <c r="A322" s="78" t="inlineStr">
        <is>
          <t>Comgest Renaissance Europe I</t>
        </is>
      </c>
      <c r="B322" s="75" t="inlineStr">
        <is>
          <t>FR0010913624</t>
        </is>
      </c>
      <c r="C322" s="267" t="n"/>
      <c r="D322" s="79" t="inlineStr">
        <is>
          <t>—</t>
        </is>
      </c>
      <c r="E322" s="79" t="inlineStr">
        <is>
          <t>—</t>
        </is>
      </c>
      <c r="F322" s="79" t="inlineStr">
        <is>
          <t>—</t>
        </is>
      </c>
      <c r="G322" s="79" t="inlineStr">
        <is>
          <t>—</t>
        </is>
      </c>
    </row>
    <row r="323" ht="14" customHeight="1">
      <c r="A323" s="78" t="inlineStr">
        <is>
          <t xml:space="preserve">Comgest Growth Europe Smaller Companies EUR Z </t>
        </is>
      </c>
      <c r="B323" s="75" t="inlineStr">
        <is>
          <t>IE00BDZQR684</t>
        </is>
      </c>
      <c r="C323" s="267" t="n"/>
      <c r="D323" s="79" t="inlineStr">
        <is>
          <t>—</t>
        </is>
      </c>
      <c r="E323" s="79" t="inlineStr">
        <is>
          <t>—</t>
        </is>
      </c>
      <c r="F323" s="79" t="inlineStr">
        <is>
          <t>—</t>
        </is>
      </c>
      <c r="G323" s="79" t="inlineStr">
        <is>
          <t>—</t>
        </is>
      </c>
    </row>
    <row r="324" ht="14" customHeight="1">
      <c r="A324" s="78" t="inlineStr">
        <is>
          <t>Comgest Growth Europe Smaller Companies EUR Acc</t>
        </is>
      </c>
      <c r="B324" s="75" t="inlineStr">
        <is>
          <t>IE0004766014</t>
        </is>
      </c>
      <c r="C324" s="267" t="n"/>
      <c r="D324" s="79" t="inlineStr">
        <is>
          <t>—</t>
        </is>
      </c>
      <c r="E324" s="79" t="inlineStr">
        <is>
          <t>—</t>
        </is>
      </c>
      <c r="F324" s="79" t="inlineStr">
        <is>
          <t>—</t>
        </is>
      </c>
      <c r="G324" s="79" t="inlineStr">
        <is>
          <t>—</t>
        </is>
      </c>
    </row>
    <row r="325" ht="14" customHeight="1">
      <c r="A325" s="78" t="inlineStr">
        <is>
          <t>Comgest Growth Europe Smaller Companies EUR R Acc</t>
        </is>
      </c>
      <c r="B325" s="75" t="inlineStr">
        <is>
          <t>IE00BMBWVR22</t>
        </is>
      </c>
      <c r="C325" s="267" t="n"/>
      <c r="D325" s="79" t="inlineStr">
        <is>
          <t>—</t>
        </is>
      </c>
      <c r="E325" s="79" t="inlineStr">
        <is>
          <t>—</t>
        </is>
      </c>
      <c r="F325" s="79" t="inlineStr">
        <is>
          <t>—</t>
        </is>
      </c>
      <c r="G325" s="79" t="inlineStr">
        <is>
          <t>—</t>
        </is>
      </c>
    </row>
    <row r="326" ht="14" customHeight="1">
      <c r="A326" s="78" t="inlineStr">
        <is>
          <t>Comgest Growth Europe Opportunities R EUR Acc</t>
        </is>
      </c>
      <c r="B326" s="75" t="inlineStr">
        <is>
          <t>IE00BD5HXJ66</t>
        </is>
      </c>
      <c r="C326" s="267" t="n"/>
      <c r="D326" s="79" t="inlineStr">
        <is>
          <t>—</t>
        </is>
      </c>
      <c r="E326" s="79" t="inlineStr">
        <is>
          <t>—</t>
        </is>
      </c>
      <c r="F326" s="79" t="inlineStr">
        <is>
          <t>—</t>
        </is>
      </c>
      <c r="G326" s="79" t="inlineStr">
        <is>
          <t>—</t>
        </is>
      </c>
    </row>
    <row r="327" ht="14" customHeight="1">
      <c r="A327" s="78" t="inlineStr">
        <is>
          <t>Comgest Growth Europe Opportunities EUR Z Acc</t>
        </is>
      </c>
      <c r="B327" s="75" t="inlineStr">
        <is>
          <t>IE00BZ0X9T58</t>
        </is>
      </c>
      <c r="C327" s="267" t="n"/>
      <c r="D327" s="79" t="inlineStr">
        <is>
          <t>—</t>
        </is>
      </c>
      <c r="E327" s="79" t="inlineStr">
        <is>
          <t>—</t>
        </is>
      </c>
      <c r="F327" s="79" t="inlineStr">
        <is>
          <t>—</t>
        </is>
      </c>
      <c r="G327" s="79" t="inlineStr">
        <is>
          <t>—</t>
        </is>
      </c>
    </row>
    <row r="328" ht="14" customHeight="1">
      <c r="A328" s="78" t="inlineStr">
        <is>
          <t>ODDO BHF Avenir Europe CR-EUR Acc</t>
        </is>
      </c>
      <c r="B328" s="75" t="inlineStr">
        <is>
          <t>FR0000974149</t>
        </is>
      </c>
      <c r="C328" s="267" t="n"/>
      <c r="D328" s="79" t="inlineStr">
        <is>
          <t>—</t>
        </is>
      </c>
      <c r="E328" s="79" t="inlineStr">
        <is>
          <t>—</t>
        </is>
      </c>
      <c r="F328" s="79" t="inlineStr">
        <is>
          <t>—</t>
        </is>
      </c>
      <c r="G328" s="79" t="inlineStr">
        <is>
          <t>—</t>
        </is>
      </c>
    </row>
    <row r="329" ht="14" customHeight="1">
      <c r="A329" s="78" t="inlineStr">
        <is>
          <t>ODDO BHF Avenir CR-EUR</t>
        </is>
      </c>
      <c r="B329" s="75" t="inlineStr">
        <is>
          <t>FR0000989899</t>
        </is>
      </c>
      <c r="C329" s="267" t="n"/>
      <c r="D329" s="79" t="inlineStr">
        <is>
          <t>—</t>
        </is>
      </c>
      <c r="E329" s="79" t="inlineStr">
        <is>
          <t>—</t>
        </is>
      </c>
      <c r="F329" s="79" t="inlineStr">
        <is>
          <t>—</t>
        </is>
      </c>
      <c r="G329" s="79" t="inlineStr">
        <is>
          <t>—</t>
        </is>
      </c>
    </row>
    <row r="330" ht="14" customHeight="1">
      <c r="A330" s="78" t="inlineStr">
        <is>
          <t>Oddo BHF Avenir Europe CN-EUR</t>
        </is>
      </c>
      <c r="B330" s="75" t="inlineStr">
        <is>
          <t>FR0011036920</t>
        </is>
      </c>
      <c r="C330" s="267" t="n"/>
      <c r="D330" s="79" t="inlineStr">
        <is>
          <t>—</t>
        </is>
      </c>
      <c r="E330" s="79" t="inlineStr">
        <is>
          <t>—</t>
        </is>
      </c>
      <c r="F330" s="79" t="inlineStr">
        <is>
          <t>—</t>
        </is>
      </c>
      <c r="G330" s="79" t="inlineStr">
        <is>
          <t>—</t>
        </is>
      </c>
    </row>
    <row r="331" ht="14" customHeight="1">
      <c r="A331" s="78" t="inlineStr">
        <is>
          <t>Renaissance Europe C</t>
        </is>
      </c>
      <c r="B331" s="75" t="inlineStr">
        <is>
          <t>FR0000295230</t>
        </is>
      </c>
      <c r="C331" s="267" t="n"/>
      <c r="D331" s="79" t="inlineStr">
        <is>
          <t>—</t>
        </is>
      </c>
      <c r="E331" s="79" t="inlineStr">
        <is>
          <t>—</t>
        </is>
      </c>
      <c r="F331" s="79" t="inlineStr">
        <is>
          <t>—</t>
        </is>
      </c>
      <c r="G331" s="79" t="inlineStr">
        <is>
          <t>—</t>
        </is>
      </c>
    </row>
    <row r="332" ht="14" customHeight="1">
      <c r="A332" s="78" t="inlineStr">
        <is>
          <t>Moneta Multi Caps C</t>
        </is>
      </c>
      <c r="B332" s="75" t="inlineStr">
        <is>
          <t>FR0010298596</t>
        </is>
      </c>
      <c r="C332" s="267" t="n"/>
      <c r="D332" s="79" t="inlineStr">
        <is>
          <t>—</t>
        </is>
      </c>
      <c r="E332" s="79" t="inlineStr">
        <is>
          <t>—</t>
        </is>
      </c>
      <c r="F332" s="79" t="inlineStr">
        <is>
          <t>—</t>
        </is>
      </c>
      <c r="G332" s="79" t="inlineStr">
        <is>
          <t>—</t>
        </is>
      </c>
    </row>
    <row r="333" ht="14" customHeight="1">
      <c r="A333" s="78" t="inlineStr">
        <is>
          <t>Nova Europe ISR</t>
        </is>
      </c>
      <c r="B333" s="75" t="inlineStr">
        <is>
          <t>FR0011585520</t>
        </is>
      </c>
      <c r="C333" s="267" t="n"/>
      <c r="D333" s="79" t="inlineStr">
        <is>
          <t>—</t>
        </is>
      </c>
      <c r="E333" s="79" t="inlineStr">
        <is>
          <t>—</t>
        </is>
      </c>
      <c r="F333" s="79" t="inlineStr">
        <is>
          <t>—</t>
        </is>
      </c>
      <c r="G333" s="79" t="inlineStr">
        <is>
          <t>—</t>
        </is>
      </c>
    </row>
    <row r="334" ht="14" customHeight="1">
      <c r="A334" s="78" t="inlineStr">
        <is>
          <t>Echiquier Agenor SRI MID CAP Europe A</t>
        </is>
      </c>
      <c r="B334" s="75" t="inlineStr">
        <is>
          <t>FR0010321810</t>
        </is>
      </c>
      <c r="C334" s="267" t="n"/>
      <c r="D334" s="79" t="inlineStr">
        <is>
          <t>—</t>
        </is>
      </c>
      <c r="E334" s="79" t="inlineStr">
        <is>
          <t>—</t>
        </is>
      </c>
      <c r="F334" s="79" t="inlineStr">
        <is>
          <t>—</t>
        </is>
      </c>
      <c r="G334" s="79" t="inlineStr">
        <is>
          <t>—</t>
        </is>
      </c>
    </row>
    <row r="335" ht="14" customHeight="1">
      <c r="A335" s="78" t="inlineStr">
        <is>
          <t>Echiquier Positive Impact Europe AP</t>
        </is>
      </c>
      <c r="B335" s="75" t="inlineStr">
        <is>
          <t>FR0013348190</t>
        </is>
      </c>
      <c r="C335" s="267" t="n"/>
      <c r="D335" s="79" t="inlineStr">
        <is>
          <t>—</t>
        </is>
      </c>
      <c r="E335" s="79" t="inlineStr">
        <is>
          <t>—</t>
        </is>
      </c>
      <c r="F335" s="79" t="inlineStr">
        <is>
          <t>—</t>
        </is>
      </c>
      <c r="G335" s="79" t="inlineStr">
        <is>
          <t>—</t>
        </is>
      </c>
    </row>
    <row r="336" ht="14" customHeight="1">
      <c r="A336" s="78" t="inlineStr">
        <is>
          <t>Echiquier Agenor SRI Mid Cap Europe G</t>
        </is>
      </c>
      <c r="B336" s="75" t="inlineStr">
        <is>
          <t>FR0010581710</t>
        </is>
      </c>
      <c r="C336" s="267" t="n"/>
      <c r="D336" s="79" t="inlineStr">
        <is>
          <t>—</t>
        </is>
      </c>
      <c r="E336" s="79" t="inlineStr">
        <is>
          <t>—</t>
        </is>
      </c>
      <c r="F336" s="79" t="inlineStr">
        <is>
          <t>—</t>
        </is>
      </c>
      <c r="G336" s="79" t="inlineStr">
        <is>
          <t>—</t>
        </is>
      </c>
    </row>
    <row r="337" ht="14" customHeight="1">
      <c r="A337" s="78" t="inlineStr">
        <is>
          <t>Amundi Index MSCI Europe SRI PAB</t>
        </is>
      </c>
      <c r="B337" s="75" t="inlineStr">
        <is>
          <t>LU1861137484</t>
        </is>
      </c>
      <c r="C337" s="267" t="n"/>
      <c r="D337" s="79" t="inlineStr">
        <is>
          <t>—</t>
        </is>
      </c>
      <c r="E337" s="79" t="inlineStr">
        <is>
          <t>—</t>
        </is>
      </c>
      <c r="F337" s="79" t="inlineStr">
        <is>
          <t>—</t>
        </is>
      </c>
      <c r="G337" s="79" t="inlineStr">
        <is>
          <t>—</t>
        </is>
      </c>
    </row>
    <row r="338" ht="14" customHeight="1">
      <c r="A338" s="78" t="inlineStr">
        <is>
          <t>AMUNDI MSCI Europe II UC ETF A</t>
        </is>
      </c>
      <c r="B338" s="75" t="inlineStr">
        <is>
          <t>FR0010261198</t>
        </is>
      </c>
      <c r="C338" s="267" t="n"/>
      <c r="D338" s="79" t="inlineStr">
        <is>
          <t>—</t>
        </is>
      </c>
      <c r="E338" s="79" t="inlineStr">
        <is>
          <t>—</t>
        </is>
      </c>
      <c r="F338" s="79" t="inlineStr">
        <is>
          <t>—</t>
        </is>
      </c>
      <c r="G338" s="79" t="inlineStr">
        <is>
          <t>—</t>
        </is>
      </c>
    </row>
    <row r="339" ht="14" customHeight="1">
      <c r="A339" s="78" t="inlineStr">
        <is>
          <t>Amundi STOXX Europe 600 Healthcare</t>
        </is>
      </c>
      <c r="B339" s="75" t="inlineStr">
        <is>
          <t>LU1834986900</t>
        </is>
      </c>
      <c r="C339" s="267" t="n"/>
      <c r="D339" s="79" t="inlineStr">
        <is>
          <t>—</t>
        </is>
      </c>
      <c r="E339" s="79" t="inlineStr">
        <is>
          <t>—</t>
        </is>
      </c>
      <c r="F339" s="79" t="inlineStr">
        <is>
          <t>—</t>
        </is>
      </c>
      <c r="G339" s="79" t="inlineStr">
        <is>
          <t>—</t>
        </is>
      </c>
    </row>
    <row r="340" ht="14" customHeight="1">
      <c r="A340" s="78" t="inlineStr">
        <is>
          <t xml:space="preserve">iShares Core EURO STOXX 50 </t>
        </is>
      </c>
      <c r="B340" s="75" t="inlineStr">
        <is>
          <t>IE00B53L3W79</t>
        </is>
      </c>
      <c r="C340" s="267" t="n"/>
      <c r="D340" s="79" t="inlineStr">
        <is>
          <t>—</t>
        </is>
      </c>
      <c r="E340" s="79" t="inlineStr">
        <is>
          <t>—</t>
        </is>
      </c>
      <c r="F340" s="79" t="inlineStr">
        <is>
          <t>—</t>
        </is>
      </c>
      <c r="G340" s="79" t="inlineStr">
        <is>
          <t>—</t>
        </is>
      </c>
    </row>
    <row r="341" ht="14" customHeight="1">
      <c r="A341" s="78" t="inlineStr">
        <is>
          <t xml:space="preserve">Amundi Stoxx Europe Defense ETF Acc </t>
        </is>
      </c>
      <c r="B341" s="75" t="inlineStr">
        <is>
          <t>LU3038520774</t>
        </is>
      </c>
      <c r="C341" s="267" t="n"/>
      <c r="D341" s="79" t="inlineStr">
        <is>
          <t>—</t>
        </is>
      </c>
      <c r="E341" s="79" t="inlineStr">
        <is>
          <t>—</t>
        </is>
      </c>
      <c r="F341" s="79" t="inlineStr">
        <is>
          <t>—</t>
        </is>
      </c>
      <c r="G341" s="79" t="inlineStr">
        <is>
          <t>—</t>
        </is>
      </c>
    </row>
    <row r="342" ht="14" customHeight="1">
      <c r="A342" s="78" t="inlineStr">
        <is>
          <t>Amundi CAC 40 ETF</t>
        </is>
      </c>
      <c r="B342" s="75" t="inlineStr">
        <is>
          <t>FR0013380607</t>
        </is>
      </c>
      <c r="C342" s="267" t="n"/>
      <c r="D342" s="79" t="inlineStr">
        <is>
          <t>—</t>
        </is>
      </c>
      <c r="E342" s="79" t="inlineStr">
        <is>
          <t>—</t>
        </is>
      </c>
      <c r="F342" s="79" t="inlineStr">
        <is>
          <t>—</t>
        </is>
      </c>
      <c r="G342" s="79" t="inlineStr">
        <is>
          <t>—</t>
        </is>
      </c>
    </row>
    <row r="343" ht="14" customHeight="1">
      <c r="A343" s="65" t="inlineStr">
        <is>
          <t>BNP Paribas Valeurs Françaises ISR C</t>
        </is>
      </c>
      <c r="B343" s="66" t="inlineStr">
        <is>
          <t>FR0010028902</t>
        </is>
      </c>
      <c r="C343" s="267" t="n"/>
      <c r="D343" s="79" t="inlineStr">
        <is>
          <t>—</t>
        </is>
      </c>
      <c r="E343" s="79" t="inlineStr">
        <is>
          <t>—</t>
        </is>
      </c>
      <c r="F343" s="79" t="inlineStr">
        <is>
          <t>—</t>
        </is>
      </c>
      <c r="G343" s="79" t="inlineStr">
        <is>
          <t>—</t>
        </is>
      </c>
    </row>
    <row r="344" ht="14" customHeight="1">
      <c r="A344" s="78" t="n"/>
      <c r="B344" s="75" t="n"/>
    </row>
    <row r="345" ht="14" customHeight="1">
      <c r="A345" s="78" t="n"/>
      <c r="B345" s="75" t="n"/>
    </row>
    <row r="346" ht="14" customHeight="1">
      <c r="A346" s="78" t="n"/>
      <c r="B346" s="75" t="n"/>
    </row>
    <row r="347" ht="14" customHeight="1">
      <c r="A347" s="78" t="n"/>
      <c r="B347" s="75" t="n"/>
    </row>
    <row r="348" ht="14" customHeight="1">
      <c r="A348" s="78" t="n"/>
      <c r="B348" s="75" t="n"/>
    </row>
    <row r="349" ht="14" customHeight="1">
      <c r="A349" s="78" t="n"/>
      <c r="B349" s="75" t="n"/>
    </row>
    <row r="350" ht="14" customHeight="1">
      <c r="A350" s="78" t="n"/>
      <c r="B350" s="75" t="n"/>
    </row>
    <row r="351" ht="14" customHeight="1">
      <c r="A351" s="78" t="n"/>
      <c r="B351" s="75" t="n"/>
    </row>
    <row r="352" ht="14" customHeight="1">
      <c r="A352" s="154" t="inlineStr">
        <is>
          <t>dont actions américaines</t>
        </is>
      </c>
      <c r="B352" s="155" t="n"/>
      <c r="C352" s="154" t="n"/>
      <c r="D352" s="154" t="n"/>
      <c r="E352" s="154" t="n"/>
      <c r="F352" s="154" t="n"/>
      <c r="G352" s="154" t="n"/>
    </row>
    <row r="353" ht="14" customHeight="1">
      <c r="A353" s="78" t="inlineStr">
        <is>
          <t>Franklin US Opportunities N(acc)EUR</t>
        </is>
      </c>
      <c r="B353" s="75" t="inlineStr">
        <is>
          <t>LU0260869903</t>
        </is>
      </c>
      <c r="C353" s="267" t="n"/>
      <c r="D353" s="79" t="inlineStr">
        <is>
          <t>—</t>
        </is>
      </c>
      <c r="E353" s="79" t="inlineStr">
        <is>
          <t>—</t>
        </is>
      </c>
      <c r="F353" s="79" t="inlineStr">
        <is>
          <t>—</t>
        </is>
      </c>
      <c r="G353" s="79" t="inlineStr">
        <is>
          <t>—</t>
        </is>
      </c>
    </row>
    <row r="354" ht="14" customHeight="1">
      <c r="A354" s="78" t="inlineStr">
        <is>
          <t>Franklin US Opportunities A(acc)EUR</t>
        </is>
      </c>
      <c r="B354" s="75" t="inlineStr">
        <is>
          <t>LU0260869739</t>
        </is>
      </c>
      <c r="C354" s="267" t="n"/>
      <c r="D354" s="79" t="inlineStr">
        <is>
          <t>—</t>
        </is>
      </c>
      <c r="E354" s="79" t="inlineStr">
        <is>
          <t>—</t>
        </is>
      </c>
      <c r="F354" s="79" t="inlineStr">
        <is>
          <t>—</t>
        </is>
      </c>
      <c r="G354" s="79" t="inlineStr">
        <is>
          <t>—</t>
        </is>
      </c>
    </row>
    <row r="355" ht="14" customHeight="1">
      <c r="A355" s="78" t="inlineStr">
        <is>
          <t>Franklin Biotechnology Discovery Fund A</t>
        </is>
      </c>
      <c r="B355" s="75" t="inlineStr">
        <is>
          <t>LU0109394709</t>
        </is>
      </c>
      <c r="C355" s="267" t="n"/>
      <c r="D355" s="79" t="inlineStr">
        <is>
          <t>—</t>
        </is>
      </c>
      <c r="E355" s="79" t="inlineStr">
        <is>
          <t>—</t>
        </is>
      </c>
      <c r="F355" s="79" t="inlineStr">
        <is>
          <t>—</t>
        </is>
      </c>
      <c r="G355" s="79" t="inlineStr">
        <is>
          <t>—</t>
        </is>
      </c>
    </row>
    <row r="356" ht="14" customHeight="1">
      <c r="A356" s="78" t="inlineStr">
        <is>
          <t>Fidelity America A USD</t>
        </is>
      </c>
      <c r="B356" s="75" t="inlineStr">
        <is>
          <t>LU0048573561</t>
        </is>
      </c>
      <c r="C356" s="267" t="n"/>
      <c r="D356" s="79" t="inlineStr">
        <is>
          <t>—</t>
        </is>
      </c>
      <c r="E356" s="79" t="inlineStr">
        <is>
          <t>—</t>
        </is>
      </c>
      <c r="F356" s="79" t="inlineStr">
        <is>
          <t>—</t>
        </is>
      </c>
      <c r="G356" s="79" t="inlineStr">
        <is>
          <t>—</t>
        </is>
      </c>
    </row>
    <row r="357" ht="14" customHeight="1">
      <c r="A357" s="78" t="inlineStr">
        <is>
          <t>Fidelity America E Acc EUR</t>
        </is>
      </c>
      <c r="B357" s="75" t="inlineStr">
        <is>
          <t>LU0115759606</t>
        </is>
      </c>
      <c r="C357" s="267" t="n"/>
      <c r="D357" s="79" t="inlineStr">
        <is>
          <t>—</t>
        </is>
      </c>
      <c r="E357" s="79" t="inlineStr">
        <is>
          <t>—</t>
        </is>
      </c>
      <c r="F357" s="79" t="inlineStr">
        <is>
          <t>—</t>
        </is>
      </c>
      <c r="G357" s="79" t="inlineStr">
        <is>
          <t>—</t>
        </is>
      </c>
    </row>
    <row r="358" ht="14" customHeight="1">
      <c r="A358" s="78" t="inlineStr">
        <is>
          <t>Fidelity America Fund A EUR Hedged</t>
        </is>
      </c>
      <c r="B358" s="75" t="inlineStr">
        <is>
          <t>LU0945775517</t>
        </is>
      </c>
      <c r="C358" s="267" t="n"/>
      <c r="D358" s="79" t="inlineStr">
        <is>
          <t>—</t>
        </is>
      </c>
      <c r="E358" s="79" t="inlineStr">
        <is>
          <t>—</t>
        </is>
      </c>
      <c r="F358" s="79" t="inlineStr">
        <is>
          <t>—</t>
        </is>
      </c>
      <c r="G358" s="79" t="inlineStr">
        <is>
          <t>—</t>
        </is>
      </c>
    </row>
    <row r="359" ht="14" customHeight="1">
      <c r="A359" s="78" t="inlineStr">
        <is>
          <t>Amundi S&amp;P 500 ETF Daily Hedged EUR</t>
        </is>
      </c>
      <c r="B359" s="75" t="inlineStr">
        <is>
          <t>LU1681049109</t>
        </is>
      </c>
      <c r="C359" s="267" t="n"/>
      <c r="D359" s="79" t="inlineStr">
        <is>
          <t>—</t>
        </is>
      </c>
      <c r="E359" s="79" t="inlineStr">
        <is>
          <t>—</t>
        </is>
      </c>
      <c r="F359" s="79" t="inlineStr">
        <is>
          <t>—</t>
        </is>
      </c>
      <c r="G359" s="79" t="inlineStr">
        <is>
          <t>—</t>
        </is>
      </c>
    </row>
    <row r="360" ht="14" customHeight="1">
      <c r="A360" s="78" t="inlineStr">
        <is>
          <t>Amundi Nasdaq-100 II UCITS ETF Acc</t>
        </is>
      </c>
      <c r="B360" s="75" t="inlineStr">
        <is>
          <t>LU1829221024</t>
        </is>
      </c>
      <c r="C360" s="267" t="n"/>
      <c r="D360" s="79" t="inlineStr">
        <is>
          <t>—</t>
        </is>
      </c>
      <c r="E360" s="79" t="inlineStr">
        <is>
          <t>—</t>
        </is>
      </c>
      <c r="F360" s="79" t="inlineStr">
        <is>
          <t>—</t>
        </is>
      </c>
      <c r="G360" s="79" t="inlineStr">
        <is>
          <t>—</t>
        </is>
      </c>
    </row>
    <row r="361" ht="14" customHeight="1">
      <c r="A361" s="78" t="inlineStr">
        <is>
          <t>Amundi PEA S&amp;P 500 UCITS ETF Acc</t>
        </is>
      </c>
      <c r="B361" s="75" t="inlineStr">
        <is>
          <t>FR0011871128</t>
        </is>
      </c>
      <c r="C361" s="267" t="n"/>
      <c r="D361" s="79" t="inlineStr">
        <is>
          <t>—</t>
        </is>
      </c>
      <c r="E361" s="79" t="inlineStr">
        <is>
          <t>—</t>
        </is>
      </c>
      <c r="F361" s="79" t="inlineStr">
        <is>
          <t>—</t>
        </is>
      </c>
      <c r="G361" s="79" t="inlineStr">
        <is>
          <t>—</t>
        </is>
      </c>
    </row>
    <row r="362" ht="14" customHeight="1">
      <c r="A362" s="78" t="inlineStr">
        <is>
          <t>Amundi Nasdaq-100 Daily 2x Lvrgd ETF Acc</t>
        </is>
      </c>
      <c r="B362" s="75" t="inlineStr">
        <is>
          <t>FR0010342592</t>
        </is>
      </c>
      <c r="C362" s="267" t="n"/>
      <c r="D362" s="79" t="inlineStr">
        <is>
          <t>—</t>
        </is>
      </c>
      <c r="E362" s="79" t="inlineStr">
        <is>
          <t>—</t>
        </is>
      </c>
      <c r="F362" s="79" t="inlineStr">
        <is>
          <t>—</t>
        </is>
      </c>
      <c r="G362" s="79" t="inlineStr">
        <is>
          <t>—</t>
        </is>
      </c>
    </row>
    <row r="363" ht="14" customHeight="1">
      <c r="A363" s="78" t="inlineStr">
        <is>
          <t>Amundi Idx Sol S&amp;P 500 Eur C</t>
        </is>
      </c>
      <c r="B363" s="75" t="inlineStr">
        <is>
          <t>LU1681048804</t>
        </is>
      </c>
      <c r="C363" s="267" t="n"/>
      <c r="D363" s="79" t="inlineStr">
        <is>
          <t>—</t>
        </is>
      </c>
      <c r="E363" s="79" t="inlineStr">
        <is>
          <t>—</t>
        </is>
      </c>
      <c r="F363" s="79" t="inlineStr">
        <is>
          <t>—</t>
        </is>
      </c>
      <c r="G363" s="79" t="inlineStr">
        <is>
          <t>—</t>
        </is>
      </c>
    </row>
    <row r="364" ht="14" customHeight="1">
      <c r="A364" s="78" t="inlineStr">
        <is>
          <t>Amundi Index Msci Usa Etf Dr</t>
        </is>
      </c>
      <c r="B364" s="75" t="inlineStr">
        <is>
          <t>LU1861136247</t>
        </is>
      </c>
      <c r="C364" s="267" t="n"/>
      <c r="D364" s="79" t="inlineStr">
        <is>
          <t>—</t>
        </is>
      </c>
      <c r="E364" s="79" t="inlineStr">
        <is>
          <t>—</t>
        </is>
      </c>
      <c r="F364" s="79" t="inlineStr">
        <is>
          <t>—</t>
        </is>
      </c>
      <c r="G364" s="79" t="inlineStr">
        <is>
          <t>—</t>
        </is>
      </c>
    </row>
    <row r="365" ht="14" customHeight="1">
      <c r="A365" s="78" t="inlineStr">
        <is>
          <t>Amundi S&amp;P 500 II II ETF Acc</t>
        </is>
      </c>
      <c r="B365" s="75" t="inlineStr">
        <is>
          <t>LU1135865084</t>
        </is>
      </c>
      <c r="C365" s="267" t="n"/>
      <c r="D365" s="79" t="inlineStr">
        <is>
          <t>—</t>
        </is>
      </c>
      <c r="E365" s="79" t="inlineStr">
        <is>
          <t>—</t>
        </is>
      </c>
      <c r="F365" s="79" t="inlineStr">
        <is>
          <t>—</t>
        </is>
      </c>
      <c r="G365" s="79" t="inlineStr">
        <is>
          <t>—</t>
        </is>
      </c>
    </row>
    <row r="366" ht="14" customHeight="1">
      <c r="A366" s="78" t="inlineStr">
        <is>
          <t>Amundi S&amp;P 500 ETF D EUR</t>
        </is>
      </c>
      <c r="B366" s="75" t="inlineStr">
        <is>
          <t>LU0496786574</t>
        </is>
      </c>
      <c r="C366" s="267" t="n"/>
      <c r="D366" s="79" t="inlineStr">
        <is>
          <t>—</t>
        </is>
      </c>
      <c r="E366" s="79" t="inlineStr">
        <is>
          <t>—</t>
        </is>
      </c>
      <c r="F366" s="79" t="inlineStr">
        <is>
          <t>—</t>
        </is>
      </c>
      <c r="G366" s="79" t="inlineStr">
        <is>
          <t>—</t>
        </is>
      </c>
    </row>
    <row r="367" ht="14" customHeight="1">
      <c r="A367" s="78" t="inlineStr">
        <is>
          <t>Amundi S&amp;P 500 Climate Net Zero PAB</t>
        </is>
      </c>
      <c r="B367" s="75" t="inlineStr">
        <is>
          <t>IE000O5FBC47</t>
        </is>
      </c>
      <c r="C367" s="267" t="n"/>
      <c r="D367" s="79" t="inlineStr">
        <is>
          <t>—</t>
        </is>
      </c>
      <c r="E367" s="79" t="inlineStr">
        <is>
          <t>—</t>
        </is>
      </c>
      <c r="F367" s="79" t="inlineStr">
        <is>
          <t>—</t>
        </is>
      </c>
      <c r="G367" s="79" t="inlineStr">
        <is>
          <t>—</t>
        </is>
      </c>
    </row>
    <row r="368" ht="14" customHeight="1">
      <c r="A368" s="78" t="inlineStr">
        <is>
          <t>Amundi Core S&amp;P 500 Swap ETF EUR H Dis</t>
        </is>
      </c>
      <c r="B368" s="75" t="inlineStr">
        <is>
          <t>LU0959211243</t>
        </is>
      </c>
      <c r="C368" s="267" t="n"/>
      <c r="D368" s="79" t="inlineStr">
        <is>
          <t>—</t>
        </is>
      </c>
      <c r="E368" s="79" t="inlineStr">
        <is>
          <t>—</t>
        </is>
      </c>
      <c r="F368" s="79" t="inlineStr">
        <is>
          <t>—</t>
        </is>
      </c>
      <c r="G368" s="79" t="inlineStr">
        <is>
          <t>—</t>
        </is>
      </c>
    </row>
    <row r="369" ht="14" customHeight="1">
      <c r="A369" s="78" t="inlineStr">
        <is>
          <t>iShares MSCI USA Momentum</t>
        </is>
      </c>
      <c r="B369" s="75" t="inlineStr">
        <is>
          <t>US46432F3964</t>
        </is>
      </c>
      <c r="C369" s="267" t="n"/>
      <c r="D369" s="79" t="inlineStr">
        <is>
          <t>—</t>
        </is>
      </c>
      <c r="E369" s="79" t="inlineStr">
        <is>
          <t>—</t>
        </is>
      </c>
      <c r="F369" s="79" t="inlineStr">
        <is>
          <t>—</t>
        </is>
      </c>
      <c r="G369" s="79" t="inlineStr">
        <is>
          <t>—</t>
        </is>
      </c>
    </row>
    <row r="370" ht="14" customHeight="1">
      <c r="A370" s="78" t="inlineStr">
        <is>
          <t>iShares Russell 2000 ETF</t>
        </is>
      </c>
      <c r="B370" s="75" t="inlineStr">
        <is>
          <t>US4642876555</t>
        </is>
      </c>
      <c r="C370" s="267" t="n"/>
      <c r="D370" s="79" t="inlineStr">
        <is>
          <t>—</t>
        </is>
      </c>
      <c r="E370" s="79" t="inlineStr">
        <is>
          <t>—</t>
        </is>
      </c>
      <c r="F370" s="79" t="inlineStr">
        <is>
          <t>—</t>
        </is>
      </c>
      <c r="G370" s="79" t="inlineStr">
        <is>
          <t>—</t>
        </is>
      </c>
    </row>
    <row r="371" ht="14" customHeight="1">
      <c r="A371" s="78" t="inlineStr">
        <is>
          <t>iShares MSCI USA SRI</t>
        </is>
      </c>
      <c r="B371" s="75" t="inlineStr">
        <is>
          <t>IE00BYVJRR92</t>
        </is>
      </c>
      <c r="C371" s="267" t="n"/>
      <c r="D371" s="79" t="inlineStr">
        <is>
          <t>—</t>
        </is>
      </c>
      <c r="E371" s="79" t="inlineStr">
        <is>
          <t>—</t>
        </is>
      </c>
      <c r="F371" s="79" t="inlineStr">
        <is>
          <t>—</t>
        </is>
      </c>
      <c r="G371" s="79" t="inlineStr">
        <is>
          <t>—</t>
        </is>
      </c>
    </row>
    <row r="372" ht="14" customHeight="1">
      <c r="A372" s="78" t="inlineStr">
        <is>
          <t xml:space="preserve">iShares S&amp;P 500 EUR Hedged ETF Acc (couvert) </t>
        </is>
      </c>
      <c r="B372" s="75" t="inlineStr">
        <is>
          <t>IE00B3ZW0K18</t>
        </is>
      </c>
      <c r="C372" s="267" t="n"/>
      <c r="D372" s="79" t="inlineStr">
        <is>
          <t>—</t>
        </is>
      </c>
      <c r="E372" s="79" t="inlineStr">
        <is>
          <t>—</t>
        </is>
      </c>
      <c r="F372" s="79" t="inlineStr">
        <is>
          <t>—</t>
        </is>
      </c>
      <c r="G372" s="79" t="inlineStr">
        <is>
          <t>—</t>
        </is>
      </c>
    </row>
    <row r="373" ht="14" customHeight="1">
      <c r="A373" s="78" t="inlineStr">
        <is>
          <t>iShares S&amp;P 500 Equal Weight ETF €H Acc (couvert)</t>
        </is>
      </c>
      <c r="B373" s="75" t="inlineStr">
        <is>
          <t>IE000DVLBQ03</t>
        </is>
      </c>
      <c r="C373" s="267" t="n"/>
      <c r="D373" s="79" t="inlineStr">
        <is>
          <t>—</t>
        </is>
      </c>
      <c r="E373" s="79" t="inlineStr">
        <is>
          <t>—</t>
        </is>
      </c>
      <c r="F373" s="79" t="inlineStr">
        <is>
          <t>—</t>
        </is>
      </c>
      <c r="G373" s="79" t="inlineStr">
        <is>
          <t>—</t>
        </is>
      </c>
    </row>
    <row r="374" ht="14" customHeight="1">
      <c r="A374" s="78" t="inlineStr">
        <is>
          <t>iShares Core S&amp;P 500</t>
        </is>
      </c>
      <c r="B374" s="75" t="inlineStr">
        <is>
          <t>IE00B5BMR087</t>
        </is>
      </c>
      <c r="C374" s="267" t="n"/>
      <c r="D374" s="79" t="inlineStr">
        <is>
          <t>—</t>
        </is>
      </c>
      <c r="E374" s="79" t="inlineStr">
        <is>
          <t>—</t>
        </is>
      </c>
      <c r="F374" s="79" t="inlineStr">
        <is>
          <t>—</t>
        </is>
      </c>
      <c r="G374" s="79" t="inlineStr">
        <is>
          <t>—</t>
        </is>
      </c>
    </row>
    <row r="375" ht="14" customHeight="1">
      <c r="A375" s="78" t="inlineStr">
        <is>
          <t>iShares US Index Fund D EUR Acc</t>
        </is>
      </c>
      <c r="B375" s="75" t="inlineStr">
        <is>
          <t>IE00BDZS0987</t>
        </is>
      </c>
      <c r="C375" s="267" t="n"/>
      <c r="D375" s="79" t="inlineStr">
        <is>
          <t>—</t>
        </is>
      </c>
      <c r="E375" s="79" t="inlineStr">
        <is>
          <t>—</t>
        </is>
      </c>
      <c r="F375" s="79" t="inlineStr">
        <is>
          <t>—</t>
        </is>
      </c>
      <c r="G375" s="79" t="inlineStr">
        <is>
          <t>—</t>
        </is>
      </c>
    </row>
    <row r="376" ht="14" customHeight="1">
      <c r="A376" s="78" t="inlineStr">
        <is>
          <t>JPMorgan Funds US Technology Fund A (Acc) - EUR</t>
        </is>
      </c>
      <c r="B376" s="75" t="inlineStr">
        <is>
          <t>LU0159052710</t>
        </is>
      </c>
      <c r="C376" s="267" t="n"/>
      <c r="D376" s="79" t="inlineStr">
        <is>
          <t>—</t>
        </is>
      </c>
      <c r="E376" s="79" t="inlineStr">
        <is>
          <t>—</t>
        </is>
      </c>
      <c r="F376" s="79" t="inlineStr">
        <is>
          <t>—</t>
        </is>
      </c>
      <c r="G376" s="79" t="inlineStr">
        <is>
          <t>—</t>
        </is>
      </c>
    </row>
    <row r="377" ht="14" customHeight="1">
      <c r="A377" s="78" t="inlineStr">
        <is>
          <t>Morgan Stanley US Growth Fund A</t>
        </is>
      </c>
      <c r="B377" s="75" t="inlineStr">
        <is>
          <t>LU0073232471</t>
        </is>
      </c>
      <c r="C377" s="267" t="n"/>
      <c r="D377" s="79" t="inlineStr">
        <is>
          <t>—</t>
        </is>
      </c>
      <c r="E377" s="79" t="inlineStr">
        <is>
          <t>—</t>
        </is>
      </c>
      <c r="F377" s="79" t="inlineStr">
        <is>
          <t>—</t>
        </is>
      </c>
      <c r="G377" s="79" t="inlineStr">
        <is>
          <t>—</t>
        </is>
      </c>
    </row>
    <row r="378" ht="14" customHeight="1">
      <c r="A378" s="78" t="inlineStr">
        <is>
          <t>AXA IM Nasdaq 100 UCITS ETF (H) EUR Acc (couvert)</t>
        </is>
      </c>
      <c r="B378" s="75" t="inlineStr">
        <is>
          <t>IE000STJ19F2</t>
        </is>
      </c>
      <c r="C378" s="267" t="n"/>
      <c r="D378" s="79" t="inlineStr">
        <is>
          <t>—</t>
        </is>
      </c>
      <c r="E378" s="79" t="inlineStr">
        <is>
          <t>—</t>
        </is>
      </c>
      <c r="F378" s="79" t="inlineStr">
        <is>
          <t>—</t>
        </is>
      </c>
      <c r="G378" s="79" t="inlineStr">
        <is>
          <t>—</t>
        </is>
      </c>
    </row>
    <row r="379" ht="14" customHeight="1">
      <c r="A379" s="78" t="n"/>
      <c r="B379" s="75" t="n"/>
    </row>
    <row r="380" ht="14" customHeight="1">
      <c r="A380" s="78" t="n"/>
      <c r="B380" s="75" t="n"/>
    </row>
    <row r="381" ht="14" customHeight="1">
      <c r="A381" s="78" t="n"/>
      <c r="B381" s="75" t="n"/>
    </row>
    <row r="382" ht="14" customHeight="1">
      <c r="A382" s="78" t="n"/>
      <c r="B382" s="75" t="n"/>
    </row>
    <row r="383" ht="14" customHeight="1">
      <c r="A383" s="78" t="n"/>
      <c r="B383" s="75" t="n"/>
    </row>
    <row r="384" ht="14" customHeight="1">
      <c r="A384" s="78" t="n"/>
      <c r="B384" s="75" t="n"/>
    </row>
    <row r="385" ht="14" customHeight="1">
      <c r="A385" s="78" t="n"/>
      <c r="B385" s="75" t="n"/>
    </row>
    <row r="386" ht="14" customHeight="1">
      <c r="A386" s="78" t="n"/>
      <c r="B386" s="75" t="n"/>
    </row>
    <row r="387" ht="14" customHeight="1">
      <c r="A387" s="78" t="n"/>
      <c r="B387" s="75" t="n"/>
    </row>
    <row r="388" ht="14" customHeight="1">
      <c r="A388" s="78" t="n"/>
      <c r="B388" s="75" t="n"/>
    </row>
    <row r="389" ht="14" customHeight="1">
      <c r="A389" s="154" t="inlineStr">
        <is>
          <t>dont actions internationales</t>
        </is>
      </c>
      <c r="B389" s="155" t="n"/>
      <c r="C389" s="154" t="n"/>
      <c r="D389" s="154" t="n"/>
      <c r="E389" s="154" t="n"/>
      <c r="F389" s="154" t="n"/>
      <c r="G389" s="154" t="n"/>
    </row>
    <row r="390" ht="14" customHeight="1">
      <c r="A390" s="78" t="inlineStr">
        <is>
          <t>JPMorgan Global REI Equity</t>
        </is>
      </c>
      <c r="B390" s="75" t="inlineStr">
        <is>
          <t>IE00BF4G6Y48</t>
        </is>
      </c>
      <c r="C390" s="267" t="n"/>
      <c r="D390" s="79" t="inlineStr">
        <is>
          <t>—</t>
        </is>
      </c>
      <c r="E390" s="79" t="inlineStr">
        <is>
          <t>—</t>
        </is>
      </c>
      <c r="F390" s="79" t="inlineStr">
        <is>
          <t>—</t>
        </is>
      </c>
      <c r="G390" s="79" t="inlineStr">
        <is>
          <t>—</t>
        </is>
      </c>
    </row>
    <row r="391" ht="14" customHeight="1">
      <c r="A391" s="78" t="inlineStr">
        <is>
          <t>Comgest Monde Z</t>
        </is>
      </c>
      <c r="B391" s="75" t="inlineStr">
        <is>
          <t>FR0013290939</t>
        </is>
      </c>
      <c r="C391" s="267" t="n"/>
      <c r="D391" s="79" t="inlineStr">
        <is>
          <t>—</t>
        </is>
      </c>
      <c r="E391" s="79" t="inlineStr">
        <is>
          <t>—</t>
        </is>
      </c>
      <c r="F391" s="79" t="inlineStr">
        <is>
          <t>—</t>
        </is>
      </c>
      <c r="G391" s="79" t="inlineStr">
        <is>
          <t>—</t>
        </is>
      </c>
    </row>
    <row r="392" ht="14" customHeight="1">
      <c r="A392" s="78" t="inlineStr">
        <is>
          <t>Carmignac Investissement A EUR Acc</t>
        </is>
      </c>
      <c r="B392" s="75" t="inlineStr">
        <is>
          <t>FR0010148981</t>
        </is>
      </c>
      <c r="C392" s="267" t="n"/>
      <c r="D392" s="79" t="inlineStr">
        <is>
          <t>—</t>
        </is>
      </c>
      <c r="E392" s="79" t="inlineStr">
        <is>
          <t>—</t>
        </is>
      </c>
      <c r="F392" s="79" t="inlineStr">
        <is>
          <t>—</t>
        </is>
      </c>
      <c r="G392" s="79" t="inlineStr">
        <is>
          <t>—</t>
        </is>
      </c>
    </row>
    <row r="393" ht="14" customHeight="1">
      <c r="A393" s="78" t="inlineStr">
        <is>
          <t xml:space="preserve"> Amundi MSCI World Swap ETF EUR</t>
        </is>
      </c>
      <c r="B393" s="75" t="inlineStr">
        <is>
          <t>LU1681043599</t>
        </is>
      </c>
      <c r="C393" s="267" t="n"/>
      <c r="D393" s="79" t="inlineStr">
        <is>
          <t>—</t>
        </is>
      </c>
      <c r="E393" s="79" t="inlineStr">
        <is>
          <t>—</t>
        </is>
      </c>
      <c r="F393" s="79" t="inlineStr">
        <is>
          <t>—</t>
        </is>
      </c>
      <c r="G393" s="79" t="inlineStr">
        <is>
          <t>—</t>
        </is>
      </c>
    </row>
    <row r="394" ht="14" customHeight="1">
      <c r="A394" s="78" t="inlineStr">
        <is>
          <t>iShares MSCI World SRI UCITS ETF</t>
        </is>
      </c>
      <c r="B394" s="75" t="inlineStr">
        <is>
          <t>IE00BYX2JD69</t>
        </is>
      </c>
      <c r="C394" s="267" t="n"/>
      <c r="D394" s="79" t="inlineStr">
        <is>
          <t>—</t>
        </is>
      </c>
      <c r="E394" s="79" t="inlineStr">
        <is>
          <t>—</t>
        </is>
      </c>
      <c r="F394" s="79" t="inlineStr">
        <is>
          <t>—</t>
        </is>
      </c>
      <c r="G394" s="79" t="inlineStr">
        <is>
          <t>—</t>
        </is>
      </c>
    </row>
    <row r="395" ht="14" customHeight="1">
      <c r="A395" s="78" t="inlineStr">
        <is>
          <t>Amundi MSCI CLI Paris ETF</t>
        </is>
      </c>
      <c r="B395" s="75" t="inlineStr">
        <is>
          <t>IE000Y77LGG9</t>
        </is>
      </c>
      <c r="C395" s="267" t="n"/>
      <c r="D395" s="79" t="inlineStr">
        <is>
          <t>—</t>
        </is>
      </c>
      <c r="E395" s="79" t="inlineStr">
        <is>
          <t>—</t>
        </is>
      </c>
      <c r="F395" s="79" t="inlineStr">
        <is>
          <t>—</t>
        </is>
      </c>
      <c r="G395" s="79" t="inlineStr">
        <is>
          <t>—</t>
        </is>
      </c>
    </row>
    <row r="396" ht="14" customHeight="1">
      <c r="A396" s="78" t="inlineStr">
        <is>
          <t>Amundi MSCI World II UCITS ETF Dist</t>
        </is>
      </c>
      <c r="B396" s="75" t="inlineStr">
        <is>
          <t>FR0010315770</t>
        </is>
      </c>
      <c r="C396" s="267" t="n"/>
      <c r="D396" s="79" t="inlineStr">
        <is>
          <t>—</t>
        </is>
      </c>
      <c r="E396" s="79" t="inlineStr">
        <is>
          <t>—</t>
        </is>
      </c>
      <c r="F396" s="79" t="inlineStr">
        <is>
          <t>—</t>
        </is>
      </c>
      <c r="G396" s="79" t="inlineStr">
        <is>
          <t>—</t>
        </is>
      </c>
    </row>
    <row r="397" ht="14" customHeight="1">
      <c r="A397" s="78" t="inlineStr">
        <is>
          <t>Amundi MSCI World Climate NZ</t>
        </is>
      </c>
      <c r="B397" s="75" t="inlineStr">
        <is>
          <t>IE000CL68Z69</t>
        </is>
      </c>
      <c r="C397" s="267" t="n"/>
      <c r="D397" s="79" t="inlineStr">
        <is>
          <t>—</t>
        </is>
      </c>
      <c r="E397" s="79" t="inlineStr">
        <is>
          <t>—</t>
        </is>
      </c>
      <c r="F397" s="79" t="inlineStr">
        <is>
          <t>—</t>
        </is>
      </c>
      <c r="G397" s="79" t="inlineStr">
        <is>
          <t>—</t>
        </is>
      </c>
    </row>
    <row r="398" ht="14" customHeight="1">
      <c r="A398" s="78" t="inlineStr">
        <is>
          <t xml:space="preserve">Comgest Monde C </t>
        </is>
      </c>
      <c r="B398" s="75" t="inlineStr">
        <is>
          <t>FR0000284689</t>
        </is>
      </c>
      <c r="C398" s="267" t="n"/>
      <c r="D398" s="79" t="inlineStr">
        <is>
          <t>—</t>
        </is>
      </c>
      <c r="E398" s="79" t="inlineStr">
        <is>
          <t>—</t>
        </is>
      </c>
      <c r="F398" s="79" t="inlineStr">
        <is>
          <t>—</t>
        </is>
      </c>
      <c r="G398" s="79" t="inlineStr">
        <is>
          <t>—</t>
        </is>
      </c>
    </row>
    <row r="399" ht="14" customHeight="1">
      <c r="A399" s="78" t="inlineStr">
        <is>
          <t>ETF iShares MSCI World ESG Screened</t>
        </is>
      </c>
      <c r="B399" s="75" t="inlineStr">
        <is>
          <t>IE00BFNM3J75</t>
        </is>
      </c>
      <c r="C399" s="267" t="n"/>
      <c r="D399" s="79" t="inlineStr">
        <is>
          <t>—</t>
        </is>
      </c>
      <c r="E399" s="79" t="inlineStr">
        <is>
          <t>—</t>
        </is>
      </c>
      <c r="F399" s="79" t="inlineStr">
        <is>
          <t>—</t>
        </is>
      </c>
      <c r="G399" s="79" t="inlineStr">
        <is>
          <t>—</t>
        </is>
      </c>
    </row>
    <row r="400" ht="14" customHeight="1">
      <c r="A400" s="78" t="inlineStr">
        <is>
          <t>Amundi Index MSCI World SRI PAB UCITS ETF</t>
        </is>
      </c>
      <c r="B400" s="75" t="inlineStr">
        <is>
          <t>LU1861134382</t>
        </is>
      </c>
      <c r="C400" s="267" t="n"/>
      <c r="D400" s="79" t="inlineStr">
        <is>
          <t>—</t>
        </is>
      </c>
      <c r="E400" s="79" t="inlineStr">
        <is>
          <t>—</t>
        </is>
      </c>
      <c r="F400" s="79" t="inlineStr">
        <is>
          <t>—</t>
        </is>
      </c>
      <c r="G400" s="79" t="inlineStr">
        <is>
          <t>—</t>
        </is>
      </c>
    </row>
    <row r="401" ht="14" customHeight="1">
      <c r="A401" s="78" t="inlineStr">
        <is>
          <t xml:space="preserve">Amundi Index MSCI World SRI PAB </t>
        </is>
      </c>
      <c r="B401" s="75" t="inlineStr">
        <is>
          <t>IE000K1P4V37</t>
        </is>
      </c>
      <c r="C401" s="267" t="n"/>
      <c r="D401" s="79" t="inlineStr">
        <is>
          <t>—</t>
        </is>
      </c>
      <c r="E401" s="79" t="inlineStr">
        <is>
          <t>—</t>
        </is>
      </c>
      <c r="F401" s="79" t="inlineStr">
        <is>
          <t>—</t>
        </is>
      </c>
      <c r="G401" s="79" t="inlineStr">
        <is>
          <t>—</t>
        </is>
      </c>
    </row>
    <row r="402" ht="14" customHeight="1">
      <c r="A402" s="78" t="inlineStr">
        <is>
          <t>Pictet Gbl Env Opp I EUR Acc</t>
        </is>
      </c>
      <c r="B402" s="75" t="inlineStr">
        <is>
          <t>LU0503631631</t>
        </is>
      </c>
      <c r="C402" s="267" t="n"/>
      <c r="D402" s="79" t="inlineStr">
        <is>
          <t>—</t>
        </is>
      </c>
      <c r="E402" s="79" t="inlineStr">
        <is>
          <t>—</t>
        </is>
      </c>
      <c r="F402" s="79" t="inlineStr">
        <is>
          <t>—</t>
        </is>
      </c>
      <c r="G402" s="79" t="inlineStr">
        <is>
          <t>—</t>
        </is>
      </c>
    </row>
    <row r="403" ht="14" customHeight="1">
      <c r="A403" s="78" t="inlineStr">
        <is>
          <t xml:space="preserve">Pictet-Global Megatrend Selection I EUR	</t>
        </is>
      </c>
      <c r="B403" s="75" t="inlineStr">
        <is>
          <t>LU0386875149</t>
        </is>
      </c>
      <c r="C403" s="267" t="n"/>
      <c r="D403" s="79" t="inlineStr">
        <is>
          <t>—</t>
        </is>
      </c>
      <c r="E403" s="79" t="inlineStr">
        <is>
          <t>—</t>
        </is>
      </c>
      <c r="F403" s="79" t="inlineStr">
        <is>
          <t>—</t>
        </is>
      </c>
      <c r="G403" s="79" t="inlineStr">
        <is>
          <t>—</t>
        </is>
      </c>
    </row>
    <row r="404" ht="14" customHeight="1">
      <c r="A404" s="78" t="inlineStr">
        <is>
          <t>Pictet Global Megatrend Selection P</t>
        </is>
      </c>
      <c r="B404" s="75" t="inlineStr">
        <is>
          <t>LU0386882277</t>
        </is>
      </c>
      <c r="C404" s="267" t="n"/>
      <c r="D404" s="79" t="inlineStr">
        <is>
          <t>—</t>
        </is>
      </c>
      <c r="E404" s="79" t="inlineStr">
        <is>
          <t>—</t>
        </is>
      </c>
      <c r="F404" s="79" t="inlineStr">
        <is>
          <t>—</t>
        </is>
      </c>
      <c r="G404" s="79" t="inlineStr">
        <is>
          <t>—</t>
        </is>
      </c>
    </row>
    <row r="405" ht="14" customHeight="1">
      <c r="A405" s="78" t="inlineStr">
        <is>
          <t>Amundi MSCI Water ETF Acc</t>
        </is>
      </c>
      <c r="B405" s="75" t="inlineStr">
        <is>
          <t>FR0014002CH1</t>
        </is>
      </c>
      <c r="C405" s="267" t="n"/>
      <c r="D405" s="79" t="inlineStr">
        <is>
          <t>—</t>
        </is>
      </c>
      <c r="E405" s="79" t="inlineStr">
        <is>
          <t>—</t>
        </is>
      </c>
      <c r="F405" s="79" t="inlineStr">
        <is>
          <t>—</t>
        </is>
      </c>
      <c r="G405" s="79" t="inlineStr">
        <is>
          <t>—</t>
        </is>
      </c>
    </row>
    <row r="406" ht="14" customHeight="1">
      <c r="A406" s="78" t="inlineStr">
        <is>
          <t>Echiquier World Equity Growth A</t>
        </is>
      </c>
      <c r="B406" s="75" t="inlineStr">
        <is>
          <t>FR0010859769</t>
        </is>
      </c>
      <c r="C406" s="267" t="n"/>
      <c r="D406" s="79" t="inlineStr">
        <is>
          <t>—</t>
        </is>
      </c>
      <c r="E406" s="79" t="inlineStr">
        <is>
          <t>—</t>
        </is>
      </c>
      <c r="F406" s="79" t="inlineStr">
        <is>
          <t>—</t>
        </is>
      </c>
      <c r="G406" s="79" t="inlineStr">
        <is>
          <t>—</t>
        </is>
      </c>
    </row>
    <row r="407" ht="14" customHeight="1">
      <c r="A407" s="78" t="inlineStr">
        <is>
          <t>Pictet Water P EUR Acc</t>
        </is>
      </c>
      <c r="B407" s="75" t="inlineStr">
        <is>
          <t>LU0104884860</t>
        </is>
      </c>
      <c r="C407" s="267" t="n"/>
      <c r="D407" s="79" t="inlineStr">
        <is>
          <t>—</t>
        </is>
      </c>
      <c r="E407" s="79" t="inlineStr">
        <is>
          <t>—</t>
        </is>
      </c>
      <c r="F407" s="79" t="inlineStr">
        <is>
          <t>—</t>
        </is>
      </c>
      <c r="G407" s="79" t="inlineStr">
        <is>
          <t>—</t>
        </is>
      </c>
    </row>
    <row r="408" ht="14" customHeight="1">
      <c r="A408" s="78" t="inlineStr">
        <is>
          <t>Echiquier Artificial Intelligence B</t>
        </is>
      </c>
      <c r="B408" s="75" t="inlineStr">
        <is>
          <t>LU1819480192</t>
        </is>
      </c>
      <c r="C408" s="267" t="n"/>
      <c r="D408" s="79" t="inlineStr">
        <is>
          <t>—</t>
        </is>
      </c>
      <c r="E408" s="79" t="inlineStr">
        <is>
          <t>—</t>
        </is>
      </c>
      <c r="F408" s="79" t="inlineStr">
        <is>
          <t>—</t>
        </is>
      </c>
      <c r="G408" s="79" t="inlineStr">
        <is>
          <t>—</t>
        </is>
      </c>
    </row>
    <row r="409" ht="14" customHeight="1">
      <c r="A409" s="78" t="inlineStr">
        <is>
          <t xml:space="preserve">Xtrackers Artificial Intelligence &amp; Big Data ETF 1C </t>
        </is>
      </c>
      <c r="B409" s="75" t="inlineStr">
        <is>
          <t>IE00BGV5VN51</t>
        </is>
      </c>
      <c r="C409" s="267" t="n"/>
      <c r="D409" s="79" t="inlineStr">
        <is>
          <t>—</t>
        </is>
      </c>
      <c r="E409" s="79" t="inlineStr">
        <is>
          <t>—</t>
        </is>
      </c>
      <c r="F409" s="79" t="inlineStr">
        <is>
          <t>—</t>
        </is>
      </c>
      <c r="G409" s="79" t="inlineStr">
        <is>
          <t>—</t>
        </is>
      </c>
    </row>
    <row r="410" ht="14" customHeight="1">
      <c r="A410" s="78" t="inlineStr">
        <is>
          <t>iShares Automation &amp; Robotics UCITS ETF</t>
        </is>
      </c>
      <c r="B410" s="75" t="inlineStr">
        <is>
          <t>IE00BYZK4552</t>
        </is>
      </c>
      <c r="C410" s="267" t="n"/>
      <c r="D410" s="79" t="inlineStr">
        <is>
          <t>—</t>
        </is>
      </c>
      <c r="E410" s="79" t="inlineStr">
        <is>
          <t>—</t>
        </is>
      </c>
      <c r="F410" s="79" t="inlineStr">
        <is>
          <t>—</t>
        </is>
      </c>
      <c r="G410" s="79" t="inlineStr">
        <is>
          <t>—</t>
        </is>
      </c>
    </row>
    <row r="411" ht="14" customHeight="1">
      <c r="A411" s="78" t="inlineStr">
        <is>
          <t>Lyxor MSCI Digital Economy</t>
        </is>
      </c>
      <c r="B411" s="75" t="inlineStr">
        <is>
          <t>LU2023678878</t>
        </is>
      </c>
      <c r="C411" s="267" t="n"/>
      <c r="D411" s="79" t="inlineStr">
        <is>
          <t>—</t>
        </is>
      </c>
      <c r="E411" s="79" t="inlineStr">
        <is>
          <t>—</t>
        </is>
      </c>
      <c r="F411" s="79" t="inlineStr">
        <is>
          <t>—</t>
        </is>
      </c>
      <c r="G411" s="79" t="inlineStr">
        <is>
          <t>—</t>
        </is>
      </c>
    </row>
    <row r="412" ht="14" customHeight="1">
      <c r="A412" s="78" t="inlineStr">
        <is>
          <t>iShares Automation &amp; Robotics UCITS ETF</t>
        </is>
      </c>
      <c r="B412" s="75" t="inlineStr">
        <is>
          <t>IE00BYZK4552</t>
        </is>
      </c>
      <c r="C412" s="267" t="n"/>
      <c r="D412" s="79" t="inlineStr">
        <is>
          <t>—</t>
        </is>
      </c>
      <c r="E412" s="79" t="inlineStr">
        <is>
          <t>—</t>
        </is>
      </c>
      <c r="F412" s="79" t="inlineStr">
        <is>
          <t>—</t>
        </is>
      </c>
      <c r="G412" s="79" t="inlineStr">
        <is>
          <t>—</t>
        </is>
      </c>
    </row>
    <row r="413" ht="14" customHeight="1">
      <c r="A413" s="78" t="inlineStr">
        <is>
          <t>Edmond de Rothschild Fund Big Data A EUR</t>
        </is>
      </c>
      <c r="B413" s="75" t="inlineStr">
        <is>
          <t>LU1244893696</t>
        </is>
      </c>
      <c r="C413" s="267" t="n"/>
      <c r="D413" s="79" t="inlineStr">
        <is>
          <t>—</t>
        </is>
      </c>
      <c r="E413" s="79" t="inlineStr">
        <is>
          <t>—</t>
        </is>
      </c>
      <c r="F413" s="79" t="inlineStr">
        <is>
          <t>—</t>
        </is>
      </c>
      <c r="G413" s="79" t="inlineStr">
        <is>
          <t>—</t>
        </is>
      </c>
    </row>
    <row r="414" ht="14" customHeight="1">
      <c r="A414" s="78" t="inlineStr">
        <is>
          <t>BNP Paribas Aqua Classic</t>
        </is>
      </c>
      <c r="B414" s="75" t="inlineStr">
        <is>
          <t>FR0010668145</t>
        </is>
      </c>
      <c r="C414" s="267" t="n"/>
      <c r="D414" s="79" t="inlineStr">
        <is>
          <t>—</t>
        </is>
      </c>
      <c r="E414" s="79" t="inlineStr">
        <is>
          <t>—</t>
        </is>
      </c>
      <c r="F414" s="79" t="inlineStr">
        <is>
          <t>—</t>
        </is>
      </c>
      <c r="G414" s="79" t="inlineStr">
        <is>
          <t>—</t>
        </is>
      </c>
    </row>
    <row r="415" ht="14" customHeight="1">
      <c r="A415" s="78" t="inlineStr">
        <is>
          <t>Fidelity Funds Global Technology Fund A EUR Dist</t>
        </is>
      </c>
      <c r="B415" s="75" t="inlineStr">
        <is>
          <t>LU0099574567</t>
        </is>
      </c>
      <c r="C415" s="267" t="n"/>
      <c r="D415" s="79" t="inlineStr">
        <is>
          <t>—</t>
        </is>
      </c>
      <c r="E415" s="79" t="inlineStr">
        <is>
          <t>—</t>
        </is>
      </c>
      <c r="F415" s="79" t="inlineStr">
        <is>
          <t>—</t>
        </is>
      </c>
      <c r="G415" s="79" t="inlineStr">
        <is>
          <t>—</t>
        </is>
      </c>
    </row>
    <row r="416" ht="14" customHeight="1">
      <c r="A416" s="78" t="inlineStr">
        <is>
          <t xml:space="preserve">Fidelity Funds Global Technology Fund </t>
        </is>
      </c>
      <c r="B416" s="75" t="inlineStr">
        <is>
          <t>LU1213836080</t>
        </is>
      </c>
      <c r="C416" s="267" t="n"/>
      <c r="D416" s="79" t="inlineStr">
        <is>
          <t>—</t>
        </is>
      </c>
      <c r="E416" s="79" t="inlineStr">
        <is>
          <t>—</t>
        </is>
      </c>
      <c r="F416" s="79" t="inlineStr">
        <is>
          <t>—</t>
        </is>
      </c>
      <c r="G416" s="79" t="inlineStr">
        <is>
          <t>—</t>
        </is>
      </c>
    </row>
    <row r="417" ht="14" customHeight="1">
      <c r="A417" s="78" t="n"/>
      <c r="B417" s="75" t="n"/>
    </row>
    <row r="418" ht="14" customHeight="1">
      <c r="A418" s="78" t="n"/>
      <c r="B418" s="75" t="n"/>
    </row>
    <row r="419" ht="14" customHeight="1">
      <c r="A419" s="78" t="n"/>
      <c r="B419" s="75" t="n"/>
    </row>
    <row r="420" ht="14" customHeight="1">
      <c r="A420" s="78" t="n"/>
      <c r="B420" s="75" t="n"/>
    </row>
    <row r="421" ht="14" customHeight="1">
      <c r="A421" s="78" t="n"/>
      <c r="B421" s="75" t="n"/>
    </row>
    <row r="422" ht="14" customHeight="1">
      <c r="A422" s="78" t="n"/>
      <c r="B422" s="75" t="n"/>
    </row>
    <row r="423" ht="14" customHeight="1">
      <c r="A423" s="78" t="n"/>
      <c r="B423" s="75" t="n"/>
    </row>
    <row r="424" ht="14" customHeight="1">
      <c r="A424" s="154" t="inlineStr">
        <is>
          <t>dont actions japonaises</t>
        </is>
      </c>
      <c r="B424" s="155" t="n"/>
      <c r="C424" s="154" t="n"/>
      <c r="D424" s="154" t="n"/>
      <c r="E424" s="154" t="n"/>
      <c r="F424" s="154" t="n"/>
      <c r="G424" s="154" t="n"/>
    </row>
    <row r="425" ht="14" customHeight="1">
      <c r="A425" s="78" t="inlineStr">
        <is>
          <t>Comgest Growth Japan Z Acc</t>
        </is>
      </c>
      <c r="B425" s="75" t="inlineStr">
        <is>
          <t>IE00BZ0X9Z19</t>
        </is>
      </c>
      <c r="C425" s="267" t="n"/>
      <c r="D425" s="79" t="inlineStr">
        <is>
          <t>—</t>
        </is>
      </c>
      <c r="E425" s="79" t="inlineStr">
        <is>
          <t>—</t>
        </is>
      </c>
      <c r="F425" s="79" t="inlineStr">
        <is>
          <t>—</t>
        </is>
      </c>
      <c r="G425" s="79" t="inlineStr">
        <is>
          <t>—</t>
        </is>
      </c>
    </row>
    <row r="426" ht="14" customHeight="1">
      <c r="A426" s="78" t="inlineStr">
        <is>
          <t>Comgest Japan R</t>
        </is>
      </c>
      <c r="B426" s="75" t="inlineStr">
        <is>
          <t>IE00BD1DJ122</t>
        </is>
      </c>
      <c r="C426" s="267" t="n"/>
      <c r="D426" s="79" t="inlineStr">
        <is>
          <t>—</t>
        </is>
      </c>
      <c r="E426" s="79" t="inlineStr">
        <is>
          <t>—</t>
        </is>
      </c>
      <c r="F426" s="79" t="inlineStr">
        <is>
          <t>—</t>
        </is>
      </c>
      <c r="G426" s="79" t="inlineStr">
        <is>
          <t>—</t>
        </is>
      </c>
    </row>
    <row r="427" ht="14" customHeight="1">
      <c r="A427" s="78" t="inlineStr">
        <is>
          <t>Amundi Japan Topix ETF</t>
        </is>
      </c>
      <c r="B427" s="75" t="inlineStr">
        <is>
          <t>LU1681037864</t>
        </is>
      </c>
      <c r="C427" s="267" t="n"/>
      <c r="D427" s="79" t="inlineStr">
        <is>
          <t>—</t>
        </is>
      </c>
      <c r="E427" s="79" t="inlineStr">
        <is>
          <t>—</t>
        </is>
      </c>
      <c r="F427" s="79" t="inlineStr">
        <is>
          <t>—</t>
        </is>
      </c>
      <c r="G427" s="79" t="inlineStr">
        <is>
          <t>—</t>
        </is>
      </c>
    </row>
    <row r="428" ht="14" customHeight="1">
      <c r="A428" s="78" t="n"/>
      <c r="B428" s="75" t="n"/>
    </row>
    <row r="429" ht="14" customHeight="1">
      <c r="A429" s="78" t="n"/>
      <c r="B429" s="75" t="n"/>
    </row>
    <row r="430" ht="14" customHeight="1">
      <c r="A430" s="78" t="n"/>
      <c r="B430" s="75" t="n"/>
    </row>
    <row r="431" ht="14" customHeight="1">
      <c r="A431" s="154" t="inlineStr">
        <is>
          <t>dont actions marchés émergents</t>
        </is>
      </c>
      <c r="B431" s="155" t="n"/>
      <c r="C431" s="154" t="n"/>
      <c r="D431" s="154" t="n"/>
      <c r="E431" s="154" t="n"/>
      <c r="F431" s="154" t="n"/>
      <c r="G431" s="154" t="n"/>
    </row>
    <row r="432" ht="14" customFormat="1" customHeight="1" s="29">
      <c r="A432" s="78" t="inlineStr">
        <is>
          <t>Amundi IS MSCI EM SRI PAB UE DR USD C</t>
        </is>
      </c>
      <c r="B432" s="75" t="inlineStr">
        <is>
          <t>LU1861138961</t>
        </is>
      </c>
      <c r="C432" s="267" t="n"/>
      <c r="D432" s="79" t="inlineStr">
        <is>
          <t>—</t>
        </is>
      </c>
      <c r="E432" s="79" t="inlineStr">
        <is>
          <t>—</t>
        </is>
      </c>
      <c r="F432" s="79" t="inlineStr">
        <is>
          <t>—</t>
        </is>
      </c>
      <c r="G432" s="79" t="inlineStr">
        <is>
          <t>—</t>
        </is>
      </c>
    </row>
    <row r="433" ht="14" customFormat="1" customHeight="1" s="29">
      <c r="A433" s="78" t="inlineStr">
        <is>
          <t xml:space="preserve">Amundi MSCI Emerging Ex China ETF Acc USD </t>
        </is>
      </c>
      <c r="B433" s="75" t="inlineStr">
        <is>
          <t>LU2009202107</t>
        </is>
      </c>
      <c r="C433" s="267" t="n"/>
      <c r="D433" s="79" t="inlineStr">
        <is>
          <t>—</t>
        </is>
      </c>
      <c r="E433" s="79" t="inlineStr">
        <is>
          <t>—</t>
        </is>
      </c>
      <c r="F433" s="79" t="inlineStr">
        <is>
          <t>—</t>
        </is>
      </c>
      <c r="G433" s="79" t="inlineStr">
        <is>
          <t>—</t>
        </is>
      </c>
    </row>
    <row r="434" ht="14" customFormat="1" customHeight="1" s="29">
      <c r="A434" s="78" t="inlineStr">
        <is>
          <t xml:space="preserve">Amundi MSCI China ETF Acc </t>
        </is>
      </c>
      <c r="B434" s="75" t="inlineStr">
        <is>
          <t>LU1841731745</t>
        </is>
      </c>
      <c r="C434" s="267" t="n"/>
      <c r="D434" s="79" t="inlineStr">
        <is>
          <t>—</t>
        </is>
      </c>
      <c r="E434" s="79" t="inlineStr">
        <is>
          <t>—</t>
        </is>
      </c>
      <c r="F434" s="79" t="inlineStr">
        <is>
          <t>—</t>
        </is>
      </c>
      <c r="G434" s="79" t="inlineStr">
        <is>
          <t>—</t>
        </is>
      </c>
    </row>
    <row r="435" ht="14" customHeight="1">
      <c r="A435" s="78" t="inlineStr">
        <is>
          <t>iShares MSCI India ETF Acc USD</t>
        </is>
      </c>
      <c r="B435" s="75" t="inlineStr">
        <is>
          <t>IE00BZCQB185</t>
        </is>
      </c>
      <c r="C435" s="267" t="n"/>
      <c r="D435" s="79" t="inlineStr">
        <is>
          <t>—</t>
        </is>
      </c>
      <c r="E435" s="79" t="inlineStr">
        <is>
          <t>—</t>
        </is>
      </c>
      <c r="F435" s="79" t="inlineStr">
        <is>
          <t>—</t>
        </is>
      </c>
      <c r="G435" s="79" t="inlineStr">
        <is>
          <t>—</t>
        </is>
      </c>
    </row>
    <row r="436" ht="14" customHeight="1">
      <c r="A436" s="78" t="inlineStr">
        <is>
          <t>Candriam Sust. EM</t>
        </is>
      </c>
      <c r="B436" s="75" t="inlineStr">
        <is>
          <t>LU1434523954</t>
        </is>
      </c>
      <c r="C436" s="267" t="n"/>
      <c r="D436" s="79" t="inlineStr">
        <is>
          <t>—</t>
        </is>
      </c>
      <c r="E436" s="79" t="inlineStr">
        <is>
          <t>—</t>
        </is>
      </c>
      <c r="F436" s="79" t="inlineStr">
        <is>
          <t>—</t>
        </is>
      </c>
      <c r="G436" s="79" t="inlineStr">
        <is>
          <t>—</t>
        </is>
      </c>
    </row>
    <row r="437" ht="14" customFormat="1" customHeight="1" s="29">
      <c r="A437" s="78" t="inlineStr">
        <is>
          <t>iShares MSCI EM ETF Acc USD</t>
        </is>
      </c>
      <c r="B437" s="75" t="inlineStr">
        <is>
          <t>IE00B4L5YC18</t>
        </is>
      </c>
      <c r="C437" s="267" t="n"/>
      <c r="D437" s="79" t="inlineStr">
        <is>
          <t>—</t>
        </is>
      </c>
      <c r="E437" s="79" t="inlineStr">
        <is>
          <t>—</t>
        </is>
      </c>
      <c r="F437" s="79" t="inlineStr">
        <is>
          <t>—</t>
        </is>
      </c>
      <c r="G437" s="79" t="inlineStr">
        <is>
          <t>—</t>
        </is>
      </c>
    </row>
    <row r="438" ht="14" customFormat="1" customHeight="1" s="29">
      <c r="A438" s="78" t="inlineStr">
        <is>
          <t>iShares MSCI EM SRI ETF</t>
        </is>
      </c>
      <c r="B438" s="75" t="inlineStr">
        <is>
          <t>IE00BYVJRP78</t>
        </is>
      </c>
      <c r="C438" s="267" t="n"/>
      <c r="D438" s="79" t="inlineStr">
        <is>
          <t>—</t>
        </is>
      </c>
      <c r="E438" s="79" t="inlineStr">
        <is>
          <t>—</t>
        </is>
      </c>
      <c r="F438" s="79" t="inlineStr">
        <is>
          <t>—</t>
        </is>
      </c>
      <c r="G438" s="79" t="inlineStr">
        <is>
          <t>—</t>
        </is>
      </c>
    </row>
    <row r="439" ht="14" customFormat="1" customHeight="1" s="29">
      <c r="A439" s="78" t="inlineStr">
        <is>
          <t>GemEquity I</t>
        </is>
      </c>
      <c r="B439" s="75" t="inlineStr">
        <is>
          <t>FR0011274984</t>
        </is>
      </c>
      <c r="C439" s="267" t="n"/>
      <c r="D439" s="79" t="inlineStr">
        <is>
          <t>—</t>
        </is>
      </c>
      <c r="E439" s="79" t="inlineStr">
        <is>
          <t>—</t>
        </is>
      </c>
      <c r="F439" s="79" t="inlineStr">
        <is>
          <t>—</t>
        </is>
      </c>
      <c r="G439" s="79" t="inlineStr">
        <is>
          <t>—</t>
        </is>
      </c>
    </row>
    <row r="440" ht="14" customFormat="1" customHeight="1" s="29">
      <c r="A440" s="78" t="inlineStr">
        <is>
          <t xml:space="preserve">GemEquity R </t>
        </is>
      </c>
      <c r="B440" s="75" t="inlineStr">
        <is>
          <t>FR0011268705</t>
        </is>
      </c>
      <c r="C440" s="267" t="n"/>
      <c r="D440" s="79" t="inlineStr">
        <is>
          <t>—</t>
        </is>
      </c>
      <c r="E440" s="79" t="inlineStr">
        <is>
          <t>—</t>
        </is>
      </c>
      <c r="F440" s="79" t="inlineStr">
        <is>
          <t>—</t>
        </is>
      </c>
      <c r="G440" s="79" t="inlineStr">
        <is>
          <t>—</t>
        </is>
      </c>
    </row>
    <row r="441" ht="14" customFormat="1" customHeight="1" s="29">
      <c r="A441" s="78" t="inlineStr">
        <is>
          <t>GemAsia I</t>
        </is>
      </c>
      <c r="B441" s="75" t="inlineStr">
        <is>
          <t>FR0013291879</t>
        </is>
      </c>
      <c r="C441" s="267" t="n"/>
      <c r="D441" s="79" t="inlineStr">
        <is>
          <t>—</t>
        </is>
      </c>
      <c r="E441" s="79" t="inlineStr">
        <is>
          <t>—</t>
        </is>
      </c>
      <c r="F441" s="79" t="inlineStr">
        <is>
          <t>—</t>
        </is>
      </c>
      <c r="G441" s="79" t="inlineStr">
        <is>
          <t>—</t>
        </is>
      </c>
    </row>
    <row r="442" ht="14" customFormat="1" customHeight="1" s="29">
      <c r="A442" s="78" t="inlineStr">
        <is>
          <t>GemAsia R</t>
        </is>
      </c>
      <c r="B442" s="75" t="inlineStr">
        <is>
          <t>FR0013291861</t>
        </is>
      </c>
      <c r="C442" s="267" t="n"/>
      <c r="D442" s="79" t="inlineStr">
        <is>
          <t>—</t>
        </is>
      </c>
      <c r="E442" s="79" t="inlineStr">
        <is>
          <t>—</t>
        </is>
      </c>
      <c r="F442" s="79" t="inlineStr">
        <is>
          <t>—</t>
        </is>
      </c>
      <c r="G442" s="79" t="inlineStr">
        <is>
          <t>—</t>
        </is>
      </c>
    </row>
    <row r="443" ht="14" customFormat="1" customHeight="1" s="29">
      <c r="A443" s="78" t="inlineStr">
        <is>
          <t>GemAsia N</t>
        </is>
      </c>
      <c r="B443" s="75" t="inlineStr">
        <is>
          <t>FR0014002SM7</t>
        </is>
      </c>
      <c r="C443" s="267" t="n"/>
      <c r="D443" s="79" t="inlineStr">
        <is>
          <t>—</t>
        </is>
      </c>
      <c r="E443" s="79" t="inlineStr">
        <is>
          <t>—</t>
        </is>
      </c>
      <c r="F443" s="79" t="inlineStr">
        <is>
          <t>—</t>
        </is>
      </c>
      <c r="G443" s="79" t="inlineStr">
        <is>
          <t>—</t>
        </is>
      </c>
    </row>
    <row r="444" ht="14" customFormat="1" customHeight="1" s="29">
      <c r="A444" s="78" t="inlineStr">
        <is>
          <t>GemChina I</t>
        </is>
      </c>
      <c r="B444" s="75" t="inlineStr">
        <is>
          <t>FR0013433109</t>
        </is>
      </c>
      <c r="C444" s="267" t="n"/>
      <c r="D444" s="79" t="inlineStr">
        <is>
          <t>—</t>
        </is>
      </c>
      <c r="E444" s="79" t="inlineStr">
        <is>
          <t>—</t>
        </is>
      </c>
      <c r="F444" s="79" t="inlineStr">
        <is>
          <t>—</t>
        </is>
      </c>
      <c r="G444" s="79" t="inlineStr">
        <is>
          <t>—</t>
        </is>
      </c>
    </row>
    <row r="445" ht="14" customFormat="1" customHeight="1" s="29">
      <c r="A445" s="78" t="inlineStr">
        <is>
          <t>GemChina N</t>
        </is>
      </c>
      <c r="B445" s="75" t="inlineStr">
        <is>
          <t>FR0014002SN5</t>
        </is>
      </c>
      <c r="C445" s="267" t="n"/>
      <c r="D445" s="79" t="inlineStr">
        <is>
          <t>—</t>
        </is>
      </c>
      <c r="E445" s="79" t="inlineStr">
        <is>
          <t>—</t>
        </is>
      </c>
      <c r="F445" s="79" t="inlineStr">
        <is>
          <t>—</t>
        </is>
      </c>
      <c r="G445" s="79" t="inlineStr">
        <is>
          <t>—</t>
        </is>
      </c>
    </row>
    <row r="446" ht="14" customFormat="1" customHeight="1" s="29">
      <c r="A446" s="78" t="inlineStr">
        <is>
          <t>CG Nouvelle Asie Z</t>
        </is>
      </c>
      <c r="B446" s="75" t="inlineStr">
        <is>
          <t>FR0013290905</t>
        </is>
      </c>
      <c r="C446" s="267" t="n"/>
      <c r="D446" s="79" t="inlineStr">
        <is>
          <t>—</t>
        </is>
      </c>
      <c r="E446" s="79" t="inlineStr">
        <is>
          <t>—</t>
        </is>
      </c>
      <c r="F446" s="79" t="inlineStr">
        <is>
          <t>—</t>
        </is>
      </c>
      <c r="G446" s="79" t="inlineStr">
        <is>
          <t>—</t>
        </is>
      </c>
    </row>
    <row r="447" ht="14" customFormat="1" customHeight="1" s="29">
      <c r="A447" s="78" t="inlineStr">
        <is>
          <t>Candriam SRI Equity Em Mkts I EUR Acc</t>
        </is>
      </c>
      <c r="B447" s="75" t="inlineStr">
        <is>
          <t>LU1434524259</t>
        </is>
      </c>
      <c r="C447" s="267" t="n"/>
      <c r="D447" s="79" t="inlineStr">
        <is>
          <t>—</t>
        </is>
      </c>
      <c r="E447" s="79" t="inlineStr">
        <is>
          <t>—</t>
        </is>
      </c>
      <c r="F447" s="79" t="inlineStr">
        <is>
          <t>—</t>
        </is>
      </c>
      <c r="G447" s="79" t="inlineStr">
        <is>
          <t>—</t>
        </is>
      </c>
    </row>
    <row r="448" ht="14" customFormat="1" customHeight="1" s="29">
      <c r="A448" s="78" t="inlineStr">
        <is>
          <t>Candriam EM part C</t>
        </is>
      </c>
      <c r="B448" s="75" t="inlineStr">
        <is>
          <t>LU1434523954</t>
        </is>
      </c>
      <c r="C448" s="267" t="n"/>
      <c r="D448" s="79" t="inlineStr">
        <is>
          <t>—</t>
        </is>
      </c>
      <c r="E448" s="79" t="inlineStr">
        <is>
          <t>—</t>
        </is>
      </c>
      <c r="F448" s="79" t="inlineStr">
        <is>
          <t>—</t>
        </is>
      </c>
      <c r="G448" s="79" t="inlineStr">
        <is>
          <t>—</t>
        </is>
      </c>
    </row>
    <row r="449" ht="14" customFormat="1" customHeight="1" s="29">
      <c r="A449" s="78" t="inlineStr">
        <is>
          <t>Magellan C</t>
        </is>
      </c>
      <c r="B449" s="75" t="inlineStr">
        <is>
          <t>FR0000292278</t>
        </is>
      </c>
      <c r="C449" s="267" t="n"/>
      <c r="D449" s="79" t="inlineStr">
        <is>
          <t>—</t>
        </is>
      </c>
      <c r="E449" s="79" t="inlineStr">
        <is>
          <t>—</t>
        </is>
      </c>
      <c r="F449" s="79" t="inlineStr">
        <is>
          <t>—</t>
        </is>
      </c>
      <c r="G449" s="79" t="inlineStr">
        <is>
          <t>—</t>
        </is>
      </c>
    </row>
    <row r="450" ht="14" customFormat="1" customHeight="1" s="29">
      <c r="A450" s="78" t="n"/>
      <c r="B450" s="75" t="n"/>
    </row>
    <row r="451" ht="14" customFormat="1" customHeight="1" s="29">
      <c r="A451" s="78" t="n"/>
      <c r="B451" s="75" t="n"/>
    </row>
    <row r="452" ht="14" customFormat="1" customHeight="1" s="29">
      <c r="A452" s="78" t="n"/>
      <c r="B452" s="75" t="n"/>
    </row>
    <row r="453" ht="14" customFormat="1" customHeight="1" s="29">
      <c r="A453" s="78" t="n"/>
      <c r="B453" s="75" t="n"/>
    </row>
    <row r="454" ht="14" customFormat="1" customHeight="1" s="29">
      <c r="A454" s="78" t="n"/>
      <c r="B454" s="75" t="n"/>
    </row>
    <row r="455" ht="14" customFormat="1" customHeight="1" s="29">
      <c r="A455" s="162" t="inlineStr">
        <is>
          <t>Or &amp; Bitcoin</t>
        </is>
      </c>
      <c r="B455" s="163" t="n"/>
      <c r="C455" s="162" t="n"/>
      <c r="D455" s="162" t="n"/>
      <c r="E455" s="162" t="n"/>
      <c r="F455" s="162" t="n"/>
      <c r="G455" s="162" t="n"/>
    </row>
    <row r="456" ht="14" customFormat="1" customHeight="1" s="29">
      <c r="A456" s="78" t="n"/>
      <c r="B456" s="75" t="n"/>
    </row>
    <row r="457" ht="14" customFormat="1" customHeight="1" s="29">
      <c r="A457" s="78" t="n"/>
      <c r="B457" s="75" t="n"/>
    </row>
    <row r="458" ht="14" customFormat="1" customHeight="1" s="29">
      <c r="A458" s="78" t="n"/>
      <c r="B458" s="75" t="n"/>
    </row>
    <row r="459" ht="14" customFormat="1" customHeight="1" s="29">
      <c r="A459" s="78" t="inlineStr">
        <is>
          <t>Amundi Physical Gold ETC</t>
        </is>
      </c>
      <c r="B459" s="75" t="inlineStr">
        <is>
          <t>FR0013416716</t>
        </is>
      </c>
      <c r="C459" s="267" t="n"/>
      <c r="D459" s="79" t="inlineStr">
        <is>
          <t>—</t>
        </is>
      </c>
      <c r="E459" s="79" t="inlineStr">
        <is>
          <t>—</t>
        </is>
      </c>
      <c r="F459" s="79" t="inlineStr">
        <is>
          <t>—</t>
        </is>
      </c>
      <c r="G459" s="79" t="inlineStr">
        <is>
          <t>—</t>
        </is>
      </c>
    </row>
    <row r="460" ht="14" customFormat="1" customHeight="1" s="29" thickBot="1">
      <c r="A460" s="78" t="inlineStr">
        <is>
          <t>iShares Bitcoin Trust ETF</t>
        </is>
      </c>
      <c r="B460" s="75" t="inlineStr">
        <is>
          <t>US46438F1012</t>
        </is>
      </c>
      <c r="C460" s="267" t="n"/>
      <c r="D460" s="79" t="inlineStr">
        <is>
          <t>—</t>
        </is>
      </c>
      <c r="E460" s="79" t="inlineStr">
        <is>
          <t>—</t>
        </is>
      </c>
      <c r="F460" s="79" t="inlineStr">
        <is>
          <t>—</t>
        </is>
      </c>
      <c r="G460" s="79" t="inlineStr">
        <is>
          <t>—</t>
        </is>
      </c>
    </row>
    <row r="461" ht="12.5" customHeight="1">
      <c r="A461" s="243" t="inlineStr">
        <is>
          <t>Colonnes calculées automatiquement à l'ouverture du fichier, à partir des calendriers officiels et pénalités de sortie Althos. À vérifier contre le PDF / DICI du fonds avant toute réponse engageante au client.</t>
        </is>
      </c>
      <c r="B461" s="244" t="n"/>
      <c r="C461" s="244" t="n"/>
      <c r="D461" s="244" t="n"/>
      <c r="E461" s="244" t="n"/>
      <c r="F461" s="244" t="n"/>
      <c r="G461" s="244" t="n"/>
    </row>
    <row r="462" ht="14.5" customFormat="1" customHeight="1" s="228">
      <c r="A462" s="40" t="n"/>
    </row>
    <row r="463" ht="13.5" customFormat="1" customHeight="1" s="228">
      <c r="A463" s="42" t="n"/>
      <c r="B463" s="90" t="n"/>
    </row>
    <row r="464" customFormat="1" s="228">
      <c r="A464" s="43" t="n"/>
      <c r="B464" s="91" t="n"/>
    </row>
    <row r="465" customFormat="1" s="228">
      <c r="A465" s="43" t="n"/>
      <c r="B465" s="91" t="n"/>
    </row>
    <row r="466" customFormat="1" s="228">
      <c r="A466" s="43" t="n"/>
      <c r="B466" s="92" t="n"/>
    </row>
    <row r="467" customFormat="1" s="228">
      <c r="A467" s="44" t="n"/>
      <c r="B467" s="93" t="n"/>
    </row>
    <row r="468" hidden="1" ht="9.75" customFormat="1" customHeight="1" s="228">
      <c r="B468" s="45" t="n"/>
    </row>
    <row r="469" customFormat="1" s="228">
      <c r="B469" s="45" t="n"/>
    </row>
    <row r="470" customFormat="1" s="228">
      <c r="B470" s="47" t="n"/>
    </row>
    <row r="471" ht="9.75" customFormat="1" customHeight="1" s="228">
      <c r="B471" s="47" t="n"/>
    </row>
    <row r="472" ht="9.75" customFormat="1" customHeight="1" s="228"/>
    <row r="473" ht="9.75" customFormat="1" customHeight="1" s="228"/>
    <row r="474" ht="9.75" customFormat="1" customHeight="1" s="228"/>
    <row r="475" ht="9.75" customFormat="1" customHeight="1" s="228"/>
    <row r="476" ht="9.75" customFormat="1" customHeight="1" s="228"/>
    <row r="477" ht="9.75" customFormat="1" customHeight="1" s="228"/>
    <row r="478" ht="9.75" customFormat="1" customHeight="1" s="228"/>
    <row r="479" ht="9.75" customHeight="1"/>
    <row r="480" ht="9.75" customHeight="1"/>
    <row r="481" ht="9.75" customHeight="1">
      <c r="A481" s="32" t="n"/>
      <c r="B481" s="45" t="n"/>
    </row>
    <row r="482" ht="9.75" customHeight="1">
      <c r="A482" s="32" t="n"/>
      <c r="B482" s="45" t="n"/>
    </row>
    <row r="483" ht="9.75" customHeight="1">
      <c r="A483" s="32" t="n"/>
      <c r="B483" s="45" t="n"/>
    </row>
  </sheetData>
  <mergeCells count="11">
    <mergeCell ref="A139:B139"/>
    <mergeCell ref="A3:X3"/>
    <mergeCell ref="A461:G461"/>
    <mergeCell ref="A173:B173"/>
    <mergeCell ref="A230:B230"/>
    <mergeCell ref="A194:B194"/>
    <mergeCell ref="A1:X1"/>
    <mergeCell ref="A311:B311"/>
    <mergeCell ref="A8:B8"/>
    <mergeCell ref="B6:B7"/>
    <mergeCell ref="A6:A7"/>
  </mergeCells>
  <hyperlinks>
    <hyperlink xmlns:r="http://schemas.openxmlformats.org/officeDocument/2006/relationships" ref="B330" r:id="rId1"/>
    <hyperlink xmlns:r="http://schemas.openxmlformats.org/officeDocument/2006/relationships" ref="B336" r:id="rId2"/>
    <hyperlink xmlns:r="http://schemas.openxmlformats.org/officeDocument/2006/relationships" ref="B460" r:id="rId3"/>
  </hyperlinks>
  <printOptions horizontalCentered="1" verticalCentered="1"/>
  <pageMargins left="0" right="0" top="0" bottom="0" header="0.511811023622047" footer="0.511811023622047"/>
  <pageSetup orientation="landscape" paperSize="8" scale="12" horizontalDpi="300" verticalDpi="300"/>
</worksheet>
</file>

<file path=xl/worksheets/sheet3.xml><?xml version="1.0" encoding="utf-8"?>
<worksheet xmlns="http://schemas.openxmlformats.org/spreadsheetml/2006/main">
  <sheetPr codeName="Feuil1">
    <tabColor theme="2" tint="0.3999755851924192"/>
    <outlinePr summaryBelow="1" summaryRight="1"/>
    <pageSetUpPr fitToPage="1"/>
  </sheetPr>
  <dimension ref="A1:AJ483"/>
  <sheetViews>
    <sheetView showGridLines="0" view="pageBreakPreview" zoomScale="70" zoomScaleNormal="100" zoomScaleSheetLayoutView="70" workbookViewId="0">
      <pane ySplit="7" topLeftCell="A8" activePane="bottomLeft" state="frozen"/>
      <selection pane="bottomLeft" activeCell="G7" sqref="G7"/>
    </sheetView>
  </sheetViews>
  <sheetFormatPr baseColWidth="10" defaultColWidth="11.453125" defaultRowHeight="14"/>
  <cols>
    <col width="39.1796875" customWidth="1" style="233" min="1" max="1"/>
    <col width="14.81640625" customWidth="1" style="228" min="2" max="2"/>
    <col width="15.6328125" customWidth="1" style="229" min="3" max="19"/>
    <col hidden="1" width="15.6328125" customWidth="1" style="230" min="20" max="20"/>
    <col hidden="1" width="13.6328125" customWidth="1" style="231" min="21" max="21"/>
    <col width="13.6328125" customWidth="1" style="231" min="22" max="22"/>
    <col width="11.6328125" customWidth="1" style="231" min="23" max="23"/>
    <col width="13.6328125" customWidth="1" style="231" min="24" max="24"/>
    <col width="11.6328125" customWidth="1" style="231" min="25" max="25"/>
    <col width="13.81640625" customWidth="1" style="231" min="26" max="26"/>
    <col width="11.6328125" customWidth="1" style="231" min="27" max="27"/>
    <col width="13.6328125" customWidth="1" style="231" min="28" max="28"/>
    <col width="11.6328125" customWidth="1" style="231" min="29" max="29"/>
    <col width="15.6328125" customWidth="1" style="231" min="30" max="30"/>
    <col width="13.6328125" customWidth="1" style="231" min="31" max="31"/>
    <col width="10.6328125" customWidth="1" style="232" min="32" max="32"/>
    <col hidden="1" width="11.453125" customWidth="1" style="232" min="33" max="33"/>
    <col width="8.81640625" customWidth="1" style="233" min="34" max="34"/>
    <col width="12" customWidth="1" style="233" min="35" max="35"/>
    <col width="11.453125" customWidth="1" style="233" min="36" max="37"/>
    <col width="11.453125" customWidth="1" style="233" min="38" max="16384"/>
  </cols>
  <sheetData>
    <row r="1" ht="22.5" customHeight="1">
      <c r="A1" s="247" t="inlineStr">
        <is>
          <t>Consolidation transparisée ******</t>
        </is>
      </c>
      <c r="B1" s="236" t="n"/>
      <c r="C1" s="236" t="n"/>
      <c r="D1" s="236" t="n"/>
      <c r="E1" s="236" t="n"/>
      <c r="F1" s="236" t="n"/>
      <c r="G1" s="236" t="n"/>
      <c r="H1" s="236" t="n"/>
      <c r="I1" s="236" t="n"/>
      <c r="J1" s="236" t="n"/>
      <c r="K1" s="236" t="n"/>
      <c r="L1" s="236" t="n"/>
      <c r="M1" s="236" t="n"/>
      <c r="N1" s="236" t="n"/>
      <c r="O1" s="236" t="n"/>
      <c r="P1" s="236" t="n"/>
      <c r="Q1" s="236" t="n"/>
      <c r="R1" s="236" t="n"/>
      <c r="S1" s="236" t="n"/>
      <c r="T1" s="236" t="n"/>
      <c r="U1" s="236" t="n"/>
      <c r="V1" s="236" t="n"/>
      <c r="W1" s="236" t="n"/>
      <c r="X1" s="236" t="n"/>
      <c r="Y1" s="236" t="n"/>
      <c r="Z1" s="236" t="n"/>
      <c r="AA1" s="236" t="n"/>
      <c r="AB1" s="236" t="n"/>
      <c r="AC1" s="236" t="n"/>
      <c r="AD1" s="236" t="n"/>
      <c r="AE1" s="236" t="n"/>
      <c r="AF1" s="236" t="n"/>
      <c r="AG1" s="248" t="n"/>
    </row>
    <row r="3" ht="12" customHeight="1">
      <c r="A3" s="265" t="inlineStr">
        <is>
          <t>Date à préciser</t>
        </is>
      </c>
    </row>
    <row r="4" ht="10.5" customHeight="1">
      <c r="A4" s="5" t="n"/>
      <c r="B4" s="6" t="n"/>
      <c r="C4" s="230" t="n"/>
      <c r="D4" s="230" t="n"/>
      <c r="E4" s="230" t="n"/>
      <c r="F4" s="230" t="n"/>
      <c r="G4" s="230" t="n"/>
      <c r="H4" s="230" t="n"/>
      <c r="I4" s="230" t="n"/>
      <c r="J4" s="230" t="n"/>
      <c r="K4" s="230" t="n"/>
      <c r="L4" s="230" t="n"/>
      <c r="M4" s="230" t="n"/>
      <c r="N4" s="230" t="n"/>
      <c r="O4" s="230" t="n"/>
      <c r="P4" s="230" t="n"/>
      <c r="Q4" s="230" t="n"/>
      <c r="R4" s="230" t="n"/>
      <c r="S4" s="230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8" t="n"/>
      <c r="AG4" s="8" t="n"/>
    </row>
    <row r="5" ht="19" customHeight="1">
      <c r="A5" s="5" t="n"/>
      <c r="B5" s="6" t="n"/>
      <c r="C5" s="230" t="n"/>
      <c r="D5" s="230" t="n"/>
      <c r="E5" s="230" t="n"/>
      <c r="F5" s="230" t="n"/>
      <c r="G5" s="230" t="n"/>
      <c r="H5" s="230" t="n"/>
      <c r="I5" s="230" t="n"/>
      <c r="J5" s="230" t="n"/>
      <c r="K5" s="230" t="n"/>
      <c r="L5" s="230" t="n"/>
      <c r="M5" s="230" t="n"/>
      <c r="N5" s="230" t="n"/>
      <c r="O5" s="230" t="n"/>
      <c r="P5" s="230" t="n"/>
      <c r="Q5" s="230" t="n"/>
      <c r="R5" s="230" t="n"/>
      <c r="S5" s="230" t="n"/>
      <c r="U5" s="7" t="n"/>
      <c r="V5" s="249" t="inlineStr">
        <is>
          <t>Transparisation Fonds Althos (30/04/26)</t>
        </is>
      </c>
      <c r="W5" s="250" t="n"/>
      <c r="X5" s="250" t="n"/>
      <c r="Y5" s="250" t="n"/>
      <c r="Z5" s="250" t="n"/>
      <c r="AA5" s="250" t="n"/>
      <c r="AB5" s="250" t="n"/>
      <c r="AC5" s="250" t="n"/>
      <c r="AD5" s="250" t="n"/>
      <c r="AE5" s="250" t="n"/>
      <c r="AF5" s="8" t="n"/>
      <c r="AG5" s="8" t="n"/>
    </row>
    <row r="6" ht="55" customHeight="1">
      <c r="A6" s="264" t="inlineStr">
        <is>
          <t>Support</t>
        </is>
      </c>
      <c r="B6" s="263" t="inlineStr">
        <is>
          <t>ISIN &amp; DIC</t>
        </is>
      </c>
      <c r="C6" s="9" t="inlineStr">
        <is>
          <t>Contrat 1</t>
        </is>
      </c>
      <c r="D6" s="9" t="inlineStr">
        <is>
          <t xml:space="preserve">Contrat 2 </t>
        </is>
      </c>
      <c r="E6" s="9" t="inlineStr">
        <is>
          <t>Contrat 3</t>
        </is>
      </c>
      <c r="F6" s="9" t="inlineStr">
        <is>
          <t>Contrat 4</t>
        </is>
      </c>
      <c r="G6" s="9" t="inlineStr">
        <is>
          <t>Contrat 5</t>
        </is>
      </c>
      <c r="H6" s="9" t="inlineStr">
        <is>
          <t>Contrat 6</t>
        </is>
      </c>
      <c r="I6" s="9" t="inlineStr">
        <is>
          <t>Contrat 7</t>
        </is>
      </c>
      <c r="J6" s="9" t="inlineStr">
        <is>
          <t>Contrat 8</t>
        </is>
      </c>
      <c r="K6" s="9" t="inlineStr">
        <is>
          <t>Contrat 9</t>
        </is>
      </c>
      <c r="L6" s="9" t="inlineStr">
        <is>
          <t>Contrat 10</t>
        </is>
      </c>
      <c r="M6" s="9" t="inlineStr">
        <is>
          <t>Contrat 11</t>
        </is>
      </c>
      <c r="N6" s="9" t="inlineStr">
        <is>
          <t>Contrat 12</t>
        </is>
      </c>
      <c r="O6" s="9" t="inlineStr">
        <is>
          <t>Contrat 13</t>
        </is>
      </c>
      <c r="P6" s="9" t="inlineStr">
        <is>
          <t>Contrat 14</t>
        </is>
      </c>
      <c r="Q6" s="9" t="inlineStr">
        <is>
          <t>Contrat 15</t>
        </is>
      </c>
      <c r="R6" s="9" t="inlineStr">
        <is>
          <t>Contrat 16</t>
        </is>
      </c>
      <c r="S6" s="9" t="inlineStr">
        <is>
          <t>Contrat 17</t>
        </is>
      </c>
      <c r="T6" s="259" t="inlineStr">
        <is>
          <t>TOTAL</t>
        </is>
      </c>
      <c r="U6" s="260" t="n"/>
      <c r="V6" s="270" t="inlineStr">
        <is>
          <t xml:space="preserve"> Althos Private Equity</t>
        </is>
      </c>
      <c r="W6" s="252" t="n"/>
      <c r="X6" s="271" t="inlineStr">
        <is>
          <t xml:space="preserve"> Althos Private Credit / 
Capitalisant</t>
        </is>
      </c>
      <c r="Y6" s="252" t="n"/>
      <c r="Z6" s="271" t="inlineStr">
        <is>
          <t xml:space="preserve"> Althos Private Credit / 
Distribuant</t>
        </is>
      </c>
      <c r="AA6" s="252" t="n"/>
      <c r="AB6" s="272" t="inlineStr">
        <is>
          <t xml:space="preserve"> Althos Private Infrastructure </t>
        </is>
      </c>
      <c r="AC6" s="256" t="n"/>
      <c r="AD6" s="261" t="inlineStr">
        <is>
          <t>TOTAL</t>
        </is>
      </c>
      <c r="AE6" s="262" t="n"/>
      <c r="AF6" s="52" t="inlineStr">
        <is>
          <t>Risque / 7</t>
        </is>
      </c>
      <c r="AG6" s="10" t="inlineStr">
        <is>
          <t>Calcul SRI</t>
        </is>
      </c>
    </row>
    <row r="7" ht="14.5" customHeight="1">
      <c r="A7" s="234" t="n"/>
      <c r="B7" s="242" t="n"/>
      <c r="C7" s="11">
        <f>C8+C139+C230+C311+C194+C455+C173+C100</f>
        <v/>
      </c>
      <c r="D7" s="11">
        <f>D8+D139+D230+D311+D194+D455+D173+D100</f>
        <v/>
      </c>
      <c r="E7" s="11">
        <f>E8+E139+E230+E311+E194+E455+E173+E100</f>
        <v/>
      </c>
      <c r="F7" s="11">
        <f>F8+F139+F230+F311+F194+F455+F173+F100</f>
        <v/>
      </c>
      <c r="G7" s="11">
        <f>G8+G139+G230+G311+G194+G455+G173+G100</f>
        <v/>
      </c>
      <c r="H7" s="11">
        <f>H8+H139+H230+H311+H194+H455+H173+H100</f>
        <v/>
      </c>
      <c r="I7" s="11">
        <f>I8+I139+I230+I311+I194+I455+I173+I100</f>
        <v/>
      </c>
      <c r="J7" s="11">
        <f>J8+J139+J230+J311+J194+J455+J173+J100</f>
        <v/>
      </c>
      <c r="K7" s="11">
        <f>K8+K139+K230+K311+K194+K455+K173+K100</f>
        <v/>
      </c>
      <c r="L7" s="11">
        <f>L8+L139+L230+L311+L194+L455+L173+L100</f>
        <v/>
      </c>
      <c r="M7" s="11">
        <f>M8+M139+M230+M311+M194+M455+M173+M100</f>
        <v/>
      </c>
      <c r="N7" s="11">
        <f>N8+N139+N230+N311+N194+N455+N173+N100</f>
        <v/>
      </c>
      <c r="O7" s="12">
        <f>O8+O139+O230+O311+O194+O455+O173+O100</f>
        <v/>
      </c>
      <c r="P7" s="13">
        <f>P8+P139+P230+P311+P194+P455+P173+P100</f>
        <v/>
      </c>
      <c r="Q7" s="13">
        <f>Q8+Q139+Q230+Q311+Q194+Q455+Q173+Q100</f>
        <v/>
      </c>
      <c r="R7" s="13">
        <f>R8+R139+R230+R311+R194+R455+R173+R100</f>
        <v/>
      </c>
      <c r="S7" s="13">
        <f>S8+S139+S230+S311+S194+S455+S173+S100</f>
        <v/>
      </c>
      <c r="T7" s="14">
        <f>SUM(C7:S7)</f>
        <v/>
      </c>
      <c r="U7" s="53">
        <f>+U8+U139+U194+U230+U311+U455+U100+U173</f>
        <v/>
      </c>
      <c r="V7" s="273">
        <f>V8+V100+V139+V173+V194+V230+V311+V455</f>
        <v/>
      </c>
      <c r="W7" s="116">
        <f>W8+W100+W139+W173+W194+W230+W311+W455</f>
        <v/>
      </c>
      <c r="X7" s="273">
        <f>X8+X100+X139+X173+X194+X230+X311+X455</f>
        <v/>
      </c>
      <c r="Y7" s="122">
        <f>Y8+Y100+Y139+Y173+Y194+Y230+Y311+Y455</f>
        <v/>
      </c>
      <c r="Z7" s="273">
        <f>Z8+Z100+Z139+Z173+Z194+Z230+Z311+Z455</f>
        <v/>
      </c>
      <c r="AA7" s="124">
        <f>AA8+AA100+AA139+AA173+AA194+AA230+AA311+AA455</f>
        <v/>
      </c>
      <c r="AB7" s="273">
        <f>AB8+AB100+AB139+AB173+AB194+AB230+AB311+AB455</f>
        <v/>
      </c>
      <c r="AC7" s="116">
        <f>AC8+AC100+AC139+AC173+AC194+AC230+AC311+AC455</f>
        <v/>
      </c>
      <c r="AD7" s="274">
        <f>AD8+AD100+AD139+AD173+AD194+AD230+AD311+AD455</f>
        <v/>
      </c>
      <c r="AE7" s="128">
        <f>AE8+AE100+AE139+AE173+AE194+AE230+AE311+AE455</f>
        <v/>
      </c>
      <c r="AF7" s="266">
        <f>AG7/T7</f>
        <v/>
      </c>
      <c r="AG7" s="64">
        <f>SUM(AG8:AG460)</f>
        <v/>
      </c>
      <c r="AH7" s="15" t="n"/>
    </row>
    <row r="8" ht="15" customHeight="1">
      <c r="A8" s="257" t="inlineStr">
        <is>
          <t>Fonds prudents</t>
        </is>
      </c>
      <c r="C8" s="16">
        <f>SUM(C9,C23,C43)</f>
        <v/>
      </c>
      <c r="D8" s="16">
        <f>SUM(D9,D23,D43)</f>
        <v/>
      </c>
      <c r="E8" s="16">
        <f>SUM(E9,E23,E43)</f>
        <v/>
      </c>
      <c r="F8" s="16">
        <f>SUM(F9,F23,F43)</f>
        <v/>
      </c>
      <c r="G8" s="16">
        <f>SUM(G9,G23,G43)</f>
        <v/>
      </c>
      <c r="H8" s="16">
        <f>SUM(H9,H23,H43)</f>
        <v/>
      </c>
      <c r="I8" s="16">
        <f>SUM(I9,I23,I43)</f>
        <v/>
      </c>
      <c r="J8" s="16">
        <f>SUM(J9,J23,J43)</f>
        <v/>
      </c>
      <c r="K8" s="16">
        <f>SUM(K9,K23,K43)</f>
        <v/>
      </c>
      <c r="L8" s="16">
        <f>SUM(L9,L23,L43)</f>
        <v/>
      </c>
      <c r="M8" s="16">
        <f>SUM(M9,M23,M43)</f>
        <v/>
      </c>
      <c r="N8" s="16">
        <f>SUM(N9,N23,N43)</f>
        <v/>
      </c>
      <c r="O8" s="16">
        <f>SUM(O9,O23,O43)</f>
        <v/>
      </c>
      <c r="P8" s="16">
        <f>SUM(P9,P23,P43)</f>
        <v/>
      </c>
      <c r="Q8" s="16">
        <f>SUM(Q9,Q23,Q43)</f>
        <v/>
      </c>
      <c r="R8" s="16">
        <f>SUM(R9,R23,R43)</f>
        <v/>
      </c>
      <c r="S8" s="16">
        <f>SUM(S9,S23,S43)</f>
        <v/>
      </c>
      <c r="T8" s="17">
        <f>SUM(C8:S8)</f>
        <v/>
      </c>
      <c r="U8" s="54">
        <f>U9+U23+U43</f>
        <v/>
      </c>
      <c r="V8" s="275">
        <f>V9+V23+V43</f>
        <v/>
      </c>
      <c r="W8" s="117">
        <f>W9+W23+W43</f>
        <v/>
      </c>
      <c r="X8" s="275">
        <f>X9+X23+X43</f>
        <v/>
      </c>
      <c r="Y8" s="117">
        <f>Y9+Y23+Y43</f>
        <v/>
      </c>
      <c r="Z8" s="275">
        <f>Z9+Z23+Z43</f>
        <v/>
      </c>
      <c r="AA8" s="125">
        <f>+AA24</f>
        <v/>
      </c>
      <c r="AB8" s="275">
        <f>AB9+AB23+AB43</f>
        <v/>
      </c>
      <c r="AC8" s="117">
        <f>AC9+AC23+AC43</f>
        <v/>
      </c>
      <c r="AD8" s="276">
        <f>AD9+AD23+AD43</f>
        <v/>
      </c>
      <c r="AE8" s="95">
        <f>AE9+AE23+AE43</f>
        <v/>
      </c>
      <c r="AF8" s="18" t="n"/>
      <c r="AG8" s="19" t="n"/>
    </row>
    <row r="9" ht="14" customHeight="1">
      <c r="A9" s="140" t="inlineStr">
        <is>
          <t>Fonds en euro garanti</t>
        </is>
      </c>
      <c r="B9" s="141" t="n"/>
      <c r="C9" s="142">
        <f>SUM(C10:C22)</f>
        <v/>
      </c>
      <c r="D9" s="142">
        <f>SUM(D10:D22)</f>
        <v/>
      </c>
      <c r="E9" s="142">
        <f>SUM(E10:E22)</f>
        <v/>
      </c>
      <c r="F9" s="142">
        <f>SUM(F10:F22)</f>
        <v/>
      </c>
      <c r="G9" s="142">
        <f>SUM(G10:G22)</f>
        <v/>
      </c>
      <c r="H9" s="142">
        <f>SUM(H10:H22)</f>
        <v/>
      </c>
      <c r="I9" s="142">
        <f>SUM(I10:I22)</f>
        <v/>
      </c>
      <c r="J9" s="142">
        <f>SUM(J10:J22)</f>
        <v/>
      </c>
      <c r="K9" s="142">
        <f>SUM(K10:K22)</f>
        <v/>
      </c>
      <c r="L9" s="142">
        <f>SUM(L10:L22)</f>
        <v/>
      </c>
      <c r="M9" s="142">
        <f>SUM(M10:M22)</f>
        <v/>
      </c>
      <c r="N9" s="142">
        <f>SUM(N10:N22)</f>
        <v/>
      </c>
      <c r="O9" s="142">
        <f>SUM(O10:O22)</f>
        <v/>
      </c>
      <c r="P9" s="142">
        <f>SUM(P10:P22)</f>
        <v/>
      </c>
      <c r="Q9" s="142">
        <f>SUM(Q10:Q22)</f>
        <v/>
      </c>
      <c r="R9" s="142">
        <f>SUM(R10:R22)</f>
        <v/>
      </c>
      <c r="S9" s="142">
        <f>SUM(S10:S22)</f>
        <v/>
      </c>
      <c r="T9" s="143">
        <f>SUM(C9:S9)</f>
        <v/>
      </c>
      <c r="U9" s="144">
        <f>SUM(U10:U22)</f>
        <v/>
      </c>
      <c r="V9" s="277">
        <f>SUM(V10:V22)</f>
        <v/>
      </c>
      <c r="W9" s="174">
        <f>SUM(W10:W22)</f>
        <v/>
      </c>
      <c r="X9" s="277">
        <f>SUM(X10:X22)</f>
        <v/>
      </c>
      <c r="Y9" s="174">
        <f>SUM(Y10:Y22)</f>
        <v/>
      </c>
      <c r="Z9" s="278" t="n"/>
      <c r="AA9" s="174" t="n"/>
      <c r="AB9" s="277">
        <f>SUM(AB10:AB22)</f>
        <v/>
      </c>
      <c r="AC9" s="176">
        <f>SUM(AC10:AC22)</f>
        <v/>
      </c>
      <c r="AD9" s="279">
        <f>SUM(AD10:AD22)</f>
        <v/>
      </c>
      <c r="AE9" s="178">
        <f>SUM(AE10:AE22)</f>
        <v/>
      </c>
      <c r="AF9" s="145" t="n"/>
      <c r="AG9" s="139" t="n"/>
    </row>
    <row r="10" ht="14" customHeight="1">
      <c r="A10" s="65" t="inlineStr">
        <is>
          <t xml:space="preserve">Fonds en euro </t>
        </is>
      </c>
      <c r="B10" s="66" t="inlineStr">
        <is>
          <t>/</t>
        </is>
      </c>
      <c r="C10" s="67" t="n"/>
      <c r="D10" s="67" t="n"/>
      <c r="E10" s="67" t="n"/>
      <c r="F10" s="67" t="n"/>
      <c r="G10" s="67" t="n"/>
      <c r="H10" s="68" t="n"/>
      <c r="I10" s="68" t="n"/>
      <c r="J10" s="67" t="n"/>
      <c r="K10" s="69" t="n"/>
      <c r="L10" s="67" t="n"/>
      <c r="M10" s="67" t="n"/>
      <c r="N10" s="67" t="n"/>
      <c r="O10" s="67" t="n"/>
      <c r="P10" s="67" t="n"/>
      <c r="Q10" s="70" t="n"/>
      <c r="R10" s="70" t="n"/>
      <c r="S10" s="71" t="n"/>
      <c r="T10" s="72">
        <f>SUM(C10:S10)</f>
        <v/>
      </c>
      <c r="U10" s="73">
        <f>T10/T$7</f>
        <v/>
      </c>
      <c r="V10" s="280" t="n"/>
      <c r="W10" s="118" t="n"/>
      <c r="X10" s="280" t="n"/>
      <c r="Y10" s="118" t="n"/>
      <c r="Z10" s="281" t="n"/>
      <c r="AA10" s="118" t="n"/>
      <c r="AB10" s="280" t="n"/>
      <c r="AC10" s="118" t="n"/>
      <c r="AD10" s="282">
        <f>T10+V10+X10+AB10</f>
        <v/>
      </c>
      <c r="AE10" s="73">
        <f>AD10/AD$7</f>
        <v/>
      </c>
      <c r="AF10" s="74" t="n">
        <v>1</v>
      </c>
      <c r="AG10" s="76">
        <f>AD10*AF10</f>
        <v/>
      </c>
    </row>
    <row r="11" ht="14" customHeight="1">
      <c r="A11" s="65" t="inlineStr">
        <is>
          <t>Fonds en euro CARDIF Lux</t>
        </is>
      </c>
      <c r="B11" s="66" t="inlineStr">
        <is>
          <t>/</t>
        </is>
      </c>
      <c r="C11" s="67" t="n"/>
      <c r="D11" s="67" t="n"/>
      <c r="E11" s="67" t="n"/>
      <c r="F11" s="67" t="n"/>
      <c r="G11" s="67" t="n"/>
      <c r="H11" s="67" t="n"/>
      <c r="I11" s="67" t="n"/>
      <c r="J11" s="67" t="n"/>
      <c r="K11" s="69" t="n"/>
      <c r="L11" s="67" t="n"/>
      <c r="M11" s="67" t="n"/>
      <c r="N11" s="67" t="n"/>
      <c r="O11" s="67" t="n"/>
      <c r="P11" s="67" t="n"/>
      <c r="Q11" s="70" t="n"/>
      <c r="R11" s="70" t="n"/>
      <c r="S11" s="71" t="n"/>
      <c r="T11" s="72">
        <f>SUM(C11:S11)</f>
        <v/>
      </c>
      <c r="U11" s="73">
        <f>T11/T$7</f>
        <v/>
      </c>
      <c r="V11" s="280" t="n"/>
      <c r="W11" s="118" t="n"/>
      <c r="X11" s="280" t="n"/>
      <c r="Y11" s="118" t="n"/>
      <c r="Z11" s="281" t="n"/>
      <c r="AA11" s="118" t="n"/>
      <c r="AB11" s="280" t="n"/>
      <c r="AC11" s="118" t="n"/>
      <c r="AD11" s="282">
        <f>T11+V11+X11+AB11</f>
        <v/>
      </c>
      <c r="AE11" s="73">
        <f>AD11/AD$7</f>
        <v/>
      </c>
      <c r="AF11" s="74" t="n">
        <v>1</v>
      </c>
      <c r="AG11" s="76">
        <f>AD11*AF11</f>
        <v/>
      </c>
    </row>
    <row r="12" ht="14" customHeight="1">
      <c r="A12" s="65" t="inlineStr">
        <is>
          <t>Actif Général Generali Vie</t>
        </is>
      </c>
      <c r="B12" s="66" t="inlineStr">
        <is>
          <t>/</t>
        </is>
      </c>
      <c r="C12" s="67" t="n"/>
      <c r="D12" s="67" t="n"/>
      <c r="E12" s="67" t="n"/>
      <c r="F12" s="67" t="n"/>
      <c r="G12" s="67" t="n"/>
      <c r="H12" s="67" t="n"/>
      <c r="I12" s="67" t="n"/>
      <c r="J12" s="67" t="n"/>
      <c r="K12" s="69" t="n"/>
      <c r="L12" s="67" t="n"/>
      <c r="M12" s="67" t="n"/>
      <c r="N12" s="67" t="n"/>
      <c r="O12" s="67" t="n"/>
      <c r="P12" s="67" t="n"/>
      <c r="Q12" s="70" t="n"/>
      <c r="R12" s="70" t="n"/>
      <c r="S12" s="71" t="n"/>
      <c r="T12" s="72">
        <f>SUM(C12:S12)</f>
        <v/>
      </c>
      <c r="U12" s="73">
        <f>T12/T$7</f>
        <v/>
      </c>
      <c r="V12" s="280" t="n"/>
      <c r="W12" s="118" t="n"/>
      <c r="X12" s="280" t="n"/>
      <c r="Y12" s="118" t="n"/>
      <c r="Z12" s="281" t="n"/>
      <c r="AA12" s="118" t="n"/>
      <c r="AB12" s="280" t="n"/>
      <c r="AC12" s="118" t="n"/>
      <c r="AD12" s="282">
        <f>T12+V12+X12+AB12</f>
        <v/>
      </c>
      <c r="AE12" s="73">
        <f>AD12/AD$7</f>
        <v/>
      </c>
      <c r="AF12" s="74" t="n">
        <v>1</v>
      </c>
      <c r="AG12" s="76">
        <f>AD12*AF12</f>
        <v/>
      </c>
    </row>
    <row r="13" ht="14" customHeight="1">
      <c r="A13" s="65" t="inlineStr">
        <is>
          <t>Allianz Fonds Euros</t>
        </is>
      </c>
      <c r="B13" s="66" t="inlineStr">
        <is>
          <t>/</t>
        </is>
      </c>
      <c r="C13" s="67" t="n"/>
      <c r="D13" s="67" t="n"/>
      <c r="E13" s="67" t="n"/>
      <c r="F13" s="67" t="n"/>
      <c r="G13" s="67" t="n"/>
      <c r="H13" s="67" t="n"/>
      <c r="I13" s="67" t="n"/>
      <c r="J13" s="67" t="n"/>
      <c r="K13" s="69" t="n"/>
      <c r="L13" s="67" t="n"/>
      <c r="M13" s="67" t="n"/>
      <c r="N13" s="67" t="n"/>
      <c r="O13" s="67" t="n"/>
      <c r="P13" s="67" t="n"/>
      <c r="Q13" s="70" t="n"/>
      <c r="R13" s="70" t="n"/>
      <c r="S13" s="71" t="n"/>
      <c r="T13" s="72">
        <f>SUM(C13:S13)</f>
        <v/>
      </c>
      <c r="U13" s="73">
        <f>T13/T$7</f>
        <v/>
      </c>
      <c r="V13" s="280" t="n"/>
      <c r="W13" s="118" t="n"/>
      <c r="X13" s="280" t="n"/>
      <c r="Y13" s="118" t="n"/>
      <c r="Z13" s="281" t="n"/>
      <c r="AA13" s="118" t="n"/>
      <c r="AB13" s="280" t="n"/>
      <c r="AC13" s="118" t="n"/>
      <c r="AD13" s="282">
        <f>T13+V13+X13+AB13</f>
        <v/>
      </c>
      <c r="AE13" s="73">
        <f>AD13/AD$7</f>
        <v/>
      </c>
      <c r="AF13" s="74" t="n">
        <v>1</v>
      </c>
      <c r="AG13" s="76">
        <f>AD13*AF13</f>
        <v/>
      </c>
    </row>
    <row r="14" ht="14" customHeight="1">
      <c r="A14" s="65" t="inlineStr">
        <is>
          <t>Fonds en euro Generali Luxembourg</t>
        </is>
      </c>
      <c r="B14" s="66" t="inlineStr">
        <is>
          <t>/</t>
        </is>
      </c>
      <c r="C14" s="67" t="n"/>
      <c r="D14" s="67" t="n"/>
      <c r="E14" s="67" t="n"/>
      <c r="F14" s="67" t="n"/>
      <c r="G14" s="67" t="n"/>
      <c r="H14" s="67" t="n"/>
      <c r="I14" s="67" t="n"/>
      <c r="J14" s="67" t="n"/>
      <c r="K14" s="69" t="n"/>
      <c r="L14" s="67" t="n"/>
      <c r="M14" s="67" t="n"/>
      <c r="N14" s="67" t="n"/>
      <c r="O14" s="67" t="n"/>
      <c r="P14" s="67" t="n"/>
      <c r="Q14" s="70" t="n"/>
      <c r="R14" s="70" t="n"/>
      <c r="S14" s="71" t="n"/>
      <c r="T14" s="72">
        <f>SUM(C14:S14)</f>
        <v/>
      </c>
      <c r="U14" s="73">
        <f>T14/T$7</f>
        <v/>
      </c>
      <c r="V14" s="280" t="n"/>
      <c r="W14" s="118" t="n"/>
      <c r="X14" s="280" t="n"/>
      <c r="Y14" s="118" t="n"/>
      <c r="Z14" s="281" t="n"/>
      <c r="AA14" s="118" t="n"/>
      <c r="AB14" s="280" t="n"/>
      <c r="AC14" s="118" t="n"/>
      <c r="AD14" s="282">
        <f>T14+V14+X14+AB14</f>
        <v/>
      </c>
      <c r="AE14" s="73">
        <f>AD14/AD$7</f>
        <v/>
      </c>
      <c r="AF14" s="74" t="n">
        <v>1</v>
      </c>
      <c r="AG14" s="76">
        <f>AD14*AF14</f>
        <v/>
      </c>
    </row>
    <row r="15" ht="14" customHeight="1">
      <c r="A15" s="65" t="inlineStr">
        <is>
          <t>Apicil Euro Garanti</t>
        </is>
      </c>
      <c r="B15" s="66" t="inlineStr">
        <is>
          <t>/</t>
        </is>
      </c>
      <c r="C15" s="67" t="n"/>
      <c r="D15" s="67" t="n"/>
      <c r="E15" s="67" t="n"/>
      <c r="F15" s="67" t="n"/>
      <c r="G15" s="67" t="n"/>
      <c r="H15" s="67" t="n"/>
      <c r="I15" s="67" t="n"/>
      <c r="J15" s="67" t="n"/>
      <c r="K15" s="69" t="n"/>
      <c r="L15" s="67" t="n"/>
      <c r="M15" s="67" t="n"/>
      <c r="N15" s="67" t="n"/>
      <c r="O15" s="67" t="n"/>
      <c r="P15" s="67" t="n"/>
      <c r="Q15" s="70" t="n"/>
      <c r="R15" s="70" t="n"/>
      <c r="S15" s="71" t="n"/>
      <c r="T15" s="72">
        <f>SUM(C15:S15)</f>
        <v/>
      </c>
      <c r="U15" s="73">
        <f>T15/T$7</f>
        <v/>
      </c>
      <c r="V15" s="280" t="n"/>
      <c r="W15" s="118" t="n"/>
      <c r="X15" s="280" t="n"/>
      <c r="Y15" s="118" t="n"/>
      <c r="Z15" s="281" t="n"/>
      <c r="AA15" s="118" t="n"/>
      <c r="AB15" s="280" t="n"/>
      <c r="AC15" s="118" t="n"/>
      <c r="AD15" s="282">
        <f>T15+V15+X15+AB15</f>
        <v/>
      </c>
      <c r="AE15" s="73">
        <f>AD15/AD$7</f>
        <v/>
      </c>
      <c r="AF15" s="74" t="n">
        <v>1</v>
      </c>
      <c r="AG15" s="76">
        <f>AD15*AF15</f>
        <v/>
      </c>
    </row>
    <row r="16" ht="14" customHeight="1">
      <c r="A16" s="65" t="inlineStr">
        <is>
          <t>Coralis Opportunité</t>
        </is>
      </c>
      <c r="B16" s="66" t="inlineStr">
        <is>
          <t>/</t>
        </is>
      </c>
      <c r="C16" s="67" t="n"/>
      <c r="D16" s="67" t="n"/>
      <c r="E16" s="67" t="n"/>
      <c r="F16" s="67" t="n"/>
      <c r="G16" s="67" t="n"/>
      <c r="H16" s="67" t="n"/>
      <c r="I16" s="67" t="n"/>
      <c r="J16" s="67" t="n"/>
      <c r="K16" s="69" t="n"/>
      <c r="L16" s="67" t="n"/>
      <c r="M16" s="67" t="n"/>
      <c r="N16" s="67" t="n"/>
      <c r="O16" s="67" t="n"/>
      <c r="P16" s="67" t="n"/>
      <c r="Q16" s="70" t="n"/>
      <c r="R16" s="70" t="n"/>
      <c r="S16" s="71" t="n"/>
      <c r="T16" s="72">
        <f>SUM(C16:S16)</f>
        <v/>
      </c>
      <c r="U16" s="73">
        <f>T16/T$7</f>
        <v/>
      </c>
      <c r="V16" s="280" t="n"/>
      <c r="W16" s="118" t="n"/>
      <c r="X16" s="280" t="n"/>
      <c r="Y16" s="118" t="n"/>
      <c r="Z16" s="281" t="n"/>
      <c r="AA16" s="118" t="n"/>
      <c r="AB16" s="280" t="n"/>
      <c r="AC16" s="118" t="n"/>
      <c r="AD16" s="282">
        <f>T16+V16+X16+AB16</f>
        <v/>
      </c>
      <c r="AE16" s="73">
        <f>AD16/AD$7</f>
        <v/>
      </c>
      <c r="AF16" s="74" t="n">
        <v>1</v>
      </c>
      <c r="AG16" s="76">
        <f>AD16*AF16</f>
        <v/>
      </c>
    </row>
    <row r="17" ht="14" customHeight="1">
      <c r="A17" s="65" t="n"/>
      <c r="B17" s="75" t="n"/>
      <c r="C17" s="67" t="n"/>
      <c r="D17" s="67" t="n"/>
      <c r="E17" s="67" t="n"/>
      <c r="F17" s="67" t="n"/>
      <c r="G17" s="67" t="n"/>
      <c r="H17" s="67" t="n"/>
      <c r="I17" s="67" t="n"/>
      <c r="J17" s="67" t="n"/>
      <c r="K17" s="69" t="n"/>
      <c r="L17" s="67" t="n"/>
      <c r="M17" s="67" t="n"/>
      <c r="N17" s="67" t="n"/>
      <c r="O17" s="67" t="n"/>
      <c r="P17" s="67" t="n"/>
      <c r="Q17" s="70" t="n"/>
      <c r="R17" s="70" t="n"/>
      <c r="S17" s="71" t="n"/>
      <c r="T17" s="72">
        <f>SUM(C17:S17)</f>
        <v/>
      </c>
      <c r="U17" s="73">
        <f>T17/T$7</f>
        <v/>
      </c>
      <c r="V17" s="280" t="n"/>
      <c r="W17" s="118" t="n"/>
      <c r="X17" s="280" t="n"/>
      <c r="Y17" s="118" t="n"/>
      <c r="Z17" s="281" t="n"/>
      <c r="AA17" s="118" t="n"/>
      <c r="AB17" s="280" t="n"/>
      <c r="AC17" s="118" t="n"/>
      <c r="AD17" s="282">
        <f>T17+V17+X17+AB17</f>
        <v/>
      </c>
      <c r="AE17" s="73">
        <f>AD17/AD$7</f>
        <v/>
      </c>
      <c r="AF17" s="74" t="n">
        <v>1</v>
      </c>
      <c r="AG17" s="76">
        <f>AD17*AF17</f>
        <v/>
      </c>
    </row>
    <row r="18" ht="14" customHeight="1">
      <c r="A18" s="65" t="n"/>
      <c r="B18" s="75" t="n"/>
      <c r="C18" s="67" t="n"/>
      <c r="D18" s="67" t="n"/>
      <c r="E18" s="67" t="n"/>
      <c r="F18" s="67" t="n"/>
      <c r="G18" s="67" t="n"/>
      <c r="H18" s="67" t="n"/>
      <c r="I18" s="67" t="n"/>
      <c r="J18" s="67" t="n"/>
      <c r="K18" s="69" t="n"/>
      <c r="L18" s="67" t="n"/>
      <c r="M18" s="67" t="n"/>
      <c r="N18" s="67" t="n"/>
      <c r="O18" s="67" t="n"/>
      <c r="P18" s="67" t="n"/>
      <c r="Q18" s="70" t="n"/>
      <c r="R18" s="70" t="n"/>
      <c r="S18" s="71" t="n"/>
      <c r="T18" s="72">
        <f>SUM(C18:S18)</f>
        <v/>
      </c>
      <c r="U18" s="73">
        <f>T18/T$7</f>
        <v/>
      </c>
      <c r="V18" s="280" t="n"/>
      <c r="W18" s="118" t="n"/>
      <c r="X18" s="280" t="n"/>
      <c r="Y18" s="118" t="n"/>
      <c r="Z18" s="281" t="n"/>
      <c r="AA18" s="118" t="n"/>
      <c r="AB18" s="280" t="n"/>
      <c r="AC18" s="118" t="n"/>
      <c r="AD18" s="282">
        <f>T18+V18+X18+AB18</f>
        <v/>
      </c>
      <c r="AE18" s="73">
        <f>AD18/AD$7</f>
        <v/>
      </c>
      <c r="AF18" s="74" t="n">
        <v>1</v>
      </c>
      <c r="AG18" s="76">
        <f>AD18*AF18</f>
        <v/>
      </c>
    </row>
    <row r="19" ht="14" customHeight="1">
      <c r="A19" s="65" t="n"/>
      <c r="B19" s="75" t="n"/>
      <c r="C19" s="67" t="n"/>
      <c r="D19" s="67" t="n"/>
      <c r="E19" s="67" t="n"/>
      <c r="F19" s="67" t="n"/>
      <c r="G19" s="67" t="n"/>
      <c r="H19" s="67" t="n"/>
      <c r="I19" s="67" t="n"/>
      <c r="J19" s="67" t="n"/>
      <c r="K19" s="69" t="n"/>
      <c r="L19" s="67" t="n"/>
      <c r="M19" s="67" t="n"/>
      <c r="N19" s="67" t="n"/>
      <c r="O19" s="67" t="n"/>
      <c r="P19" s="67" t="n"/>
      <c r="Q19" s="70" t="n"/>
      <c r="R19" s="70" t="n"/>
      <c r="S19" s="71" t="n"/>
      <c r="T19" s="72">
        <f>SUM(C19:S19)</f>
        <v/>
      </c>
      <c r="U19" s="73">
        <f>T19/T$7</f>
        <v/>
      </c>
      <c r="V19" s="280" t="n"/>
      <c r="W19" s="118" t="n"/>
      <c r="X19" s="280" t="n"/>
      <c r="Y19" s="118" t="n"/>
      <c r="Z19" s="281" t="n"/>
      <c r="AA19" s="118" t="n"/>
      <c r="AB19" s="280" t="n"/>
      <c r="AC19" s="118" t="n"/>
      <c r="AD19" s="282">
        <f>T19+V19+X19+AB19</f>
        <v/>
      </c>
      <c r="AE19" s="73">
        <f>AD19/AD$7</f>
        <v/>
      </c>
      <c r="AF19" s="74" t="n">
        <v>1</v>
      </c>
      <c r="AG19" s="76">
        <f>AD19*AF19</f>
        <v/>
      </c>
    </row>
    <row r="20" ht="14" customHeight="1">
      <c r="A20" s="65" t="n"/>
      <c r="B20" s="75" t="n"/>
      <c r="C20" s="67" t="n"/>
      <c r="D20" s="67" t="n"/>
      <c r="E20" s="67" t="n"/>
      <c r="F20" s="67" t="n"/>
      <c r="G20" s="67" t="n"/>
      <c r="H20" s="67" t="n"/>
      <c r="I20" s="67" t="n"/>
      <c r="J20" s="67" t="n"/>
      <c r="K20" s="69" t="n"/>
      <c r="L20" s="67" t="n"/>
      <c r="M20" s="67" t="n"/>
      <c r="N20" s="67" t="n"/>
      <c r="O20" s="67" t="n"/>
      <c r="P20" s="67" t="n"/>
      <c r="Q20" s="70" t="n"/>
      <c r="R20" s="70" t="n"/>
      <c r="S20" s="71" t="n"/>
      <c r="T20" s="72">
        <f>SUM(C20:S20)</f>
        <v/>
      </c>
      <c r="U20" s="73">
        <f>T20/T$7</f>
        <v/>
      </c>
      <c r="V20" s="280" t="n"/>
      <c r="W20" s="118" t="n"/>
      <c r="X20" s="280" t="n"/>
      <c r="Y20" s="118" t="n"/>
      <c r="Z20" s="281" t="n"/>
      <c r="AA20" s="118" t="n"/>
      <c r="AB20" s="280" t="n"/>
      <c r="AC20" s="118" t="n"/>
      <c r="AD20" s="282">
        <f>T20+V20+X20+AB20</f>
        <v/>
      </c>
      <c r="AE20" s="73">
        <f>AD20/AD$7</f>
        <v/>
      </c>
      <c r="AF20" s="74" t="n">
        <v>1</v>
      </c>
      <c r="AG20" s="76">
        <f>AD20*AF20</f>
        <v/>
      </c>
    </row>
    <row r="21" ht="14" customHeight="1">
      <c r="A21" s="65" t="n"/>
      <c r="B21" s="75" t="n"/>
      <c r="C21" s="67" t="n"/>
      <c r="D21" s="67" t="n"/>
      <c r="E21" s="67" t="n"/>
      <c r="F21" s="67" t="n"/>
      <c r="G21" s="67" t="n"/>
      <c r="H21" s="67" t="n"/>
      <c r="I21" s="67" t="n"/>
      <c r="J21" s="67" t="n"/>
      <c r="K21" s="69" t="n"/>
      <c r="L21" s="67" t="n"/>
      <c r="M21" s="67" t="n"/>
      <c r="N21" s="67" t="n"/>
      <c r="O21" s="67" t="n"/>
      <c r="P21" s="67" t="n"/>
      <c r="Q21" s="70" t="n"/>
      <c r="R21" s="70" t="n"/>
      <c r="S21" s="71" t="n"/>
      <c r="T21" s="72">
        <f>SUM(C21:S21)</f>
        <v/>
      </c>
      <c r="U21" s="73">
        <f>T21/T$7</f>
        <v/>
      </c>
      <c r="V21" s="280" t="n"/>
      <c r="W21" s="118" t="n"/>
      <c r="X21" s="280" t="n"/>
      <c r="Y21" s="118" t="n"/>
      <c r="Z21" s="281" t="n"/>
      <c r="AA21" s="118" t="n"/>
      <c r="AB21" s="280" t="n"/>
      <c r="AC21" s="118" t="n"/>
      <c r="AD21" s="282">
        <f>T21+V21+X21+AB21</f>
        <v/>
      </c>
      <c r="AE21" s="73">
        <f>AD21/AD$7</f>
        <v/>
      </c>
      <c r="AF21" s="74" t="n">
        <v>1</v>
      </c>
      <c r="AG21" s="76">
        <f>AD21*AF21</f>
        <v/>
      </c>
    </row>
    <row r="22" ht="14" customHeight="1">
      <c r="A22" s="65" t="n"/>
      <c r="B22" s="75" t="n"/>
      <c r="C22" s="67" t="n"/>
      <c r="D22" s="67" t="n"/>
      <c r="E22" s="67" t="n"/>
      <c r="F22" s="67" t="n"/>
      <c r="G22" s="67" t="n"/>
      <c r="H22" s="67" t="n"/>
      <c r="I22" s="67" t="n"/>
      <c r="J22" s="67" t="n"/>
      <c r="K22" s="69" t="n"/>
      <c r="L22" s="67" t="n"/>
      <c r="M22" s="67" t="n"/>
      <c r="N22" s="67" t="n"/>
      <c r="O22" s="67" t="n"/>
      <c r="P22" s="67" t="n"/>
      <c r="Q22" s="70" t="n"/>
      <c r="R22" s="70" t="n"/>
      <c r="S22" s="71" t="n"/>
      <c r="T22" s="72">
        <f>SUM(C22:S22)</f>
        <v/>
      </c>
      <c r="U22" s="73">
        <f>T22/T$7</f>
        <v/>
      </c>
      <c r="V22" s="280" t="n"/>
      <c r="W22" s="118" t="n"/>
      <c r="X22" s="280" t="n"/>
      <c r="Y22" s="118" t="n"/>
      <c r="Z22" s="281" t="n"/>
      <c r="AA22" s="118" t="n"/>
      <c r="AB22" s="280" t="n"/>
      <c r="AC22" s="118" t="n"/>
      <c r="AD22" s="282">
        <f>T22+V22+X22+AB22</f>
        <v/>
      </c>
      <c r="AE22" s="73">
        <f>AD22/AD$7</f>
        <v/>
      </c>
      <c r="AF22" s="74" t="n">
        <v>1</v>
      </c>
      <c r="AG22" s="76">
        <f>AD22*AF22</f>
        <v/>
      </c>
    </row>
    <row r="23" ht="14" customHeight="1">
      <c r="A23" s="140" t="inlineStr">
        <is>
          <t>Fonds monétaires</t>
        </is>
      </c>
      <c r="B23" s="141" t="n"/>
      <c r="C23" s="142">
        <f>SUM(C24:C42)</f>
        <v/>
      </c>
      <c r="D23" s="142">
        <f>SUM(D24:D42)</f>
        <v/>
      </c>
      <c r="E23" s="142">
        <f>SUM(E24:E42)</f>
        <v/>
      </c>
      <c r="F23" s="142">
        <f>SUM(F24:F42)</f>
        <v/>
      </c>
      <c r="G23" s="142">
        <f>SUM(G24:G42)</f>
        <v/>
      </c>
      <c r="H23" s="142">
        <f>SUM(H24:H42)</f>
        <v/>
      </c>
      <c r="I23" s="142">
        <f>SUM(I24:I42)</f>
        <v/>
      </c>
      <c r="J23" s="142">
        <f>SUM(J24:J42)</f>
        <v/>
      </c>
      <c r="K23" s="142">
        <f>SUM(K24:K42)</f>
        <v/>
      </c>
      <c r="L23" s="142">
        <f>SUM(L24:L42)</f>
        <v/>
      </c>
      <c r="M23" s="142">
        <f>SUM(M24:M42)</f>
        <v/>
      </c>
      <c r="N23" s="142">
        <f>SUM(N24:N42)</f>
        <v/>
      </c>
      <c r="O23" s="142">
        <f>SUM(O24:O42)</f>
        <v/>
      </c>
      <c r="P23" s="142">
        <f>SUM(P24:P42)</f>
        <v/>
      </c>
      <c r="Q23" s="142">
        <f>SUM(Q24:Q42)</f>
        <v/>
      </c>
      <c r="R23" s="142">
        <f>SUM(R24:R42)</f>
        <v/>
      </c>
      <c r="S23" s="142">
        <f>SUM(S24:S42)</f>
        <v/>
      </c>
      <c r="T23" s="143">
        <f>SUM(C23:S23)</f>
        <v/>
      </c>
      <c r="U23" s="144">
        <f>SUM(U24:U42)</f>
        <v/>
      </c>
      <c r="V23" s="283">
        <f>SUM(V24:V42)</f>
        <v/>
      </c>
      <c r="W23" s="180">
        <f>SUM(W24:W42)</f>
        <v/>
      </c>
      <c r="X23" s="283">
        <f>SUM(X24:X42)</f>
        <v/>
      </c>
      <c r="Y23" s="180">
        <f>SUM(Y24:Y42)</f>
        <v/>
      </c>
      <c r="Z23" s="283">
        <f>SUM(Z24:Z42)</f>
        <v/>
      </c>
      <c r="AA23" s="180">
        <f>SUM(AA24:AA42)</f>
        <v/>
      </c>
      <c r="AB23" s="283">
        <f>SUM(AB24:AB42)</f>
        <v/>
      </c>
      <c r="AC23" s="180">
        <f>SUM(AC24:AC42)</f>
        <v/>
      </c>
      <c r="AD23" s="279">
        <f>SUM(AD24:AD42)</f>
        <v/>
      </c>
      <c r="AE23" s="181">
        <f>SUM(AE24:AE42)</f>
        <v/>
      </c>
      <c r="AF23" s="145" t="n"/>
      <c r="AG23" s="139" t="n"/>
    </row>
    <row r="24" ht="14" customHeight="1">
      <c r="A24" s="65" t="inlineStr">
        <is>
          <t>Solde espèces</t>
        </is>
      </c>
      <c r="B24" s="66" t="inlineStr">
        <is>
          <t>/</t>
        </is>
      </c>
      <c r="C24" s="67" t="n"/>
      <c r="D24" s="67" t="n"/>
      <c r="E24" s="67" t="n"/>
      <c r="F24" s="67" t="n"/>
      <c r="G24" s="67" t="n"/>
      <c r="H24" s="67" t="n"/>
      <c r="I24" s="67" t="n"/>
      <c r="J24" s="67" t="n"/>
      <c r="K24" s="69" t="n"/>
      <c r="L24" s="67" t="n"/>
      <c r="M24" s="67" t="n"/>
      <c r="N24" s="67" t="n"/>
      <c r="O24" s="67" t="n"/>
      <c r="P24" s="67" t="n"/>
      <c r="Q24" s="70" t="n"/>
      <c r="R24" s="70" t="n"/>
      <c r="S24" s="71" t="n"/>
      <c r="T24" s="72">
        <f>SUM(C24:S24)</f>
        <v/>
      </c>
      <c r="U24" s="73">
        <f>T24/T$7</f>
        <v/>
      </c>
      <c r="V24" s="284">
        <f>W24*SUM(T$231:T$236)</f>
        <v/>
      </c>
      <c r="W24" s="130" t="n">
        <v>0.04</v>
      </c>
      <c r="X24" s="284">
        <f>Y24*SUM(T195+T197)</f>
        <v/>
      </c>
      <c r="Y24" s="130" t="n">
        <v>0.0594</v>
      </c>
      <c r="Z24" s="285">
        <f>AA24*SUM(T$196+T$198)</f>
        <v/>
      </c>
      <c r="AA24" s="130" t="n">
        <v>0.078</v>
      </c>
      <c r="AB24" s="280" t="n"/>
      <c r="AC24" s="118" t="n"/>
      <c r="AD24" s="282">
        <f>T24+V24+X24+AB24+Z24</f>
        <v/>
      </c>
      <c r="AE24" s="73">
        <f>AD24/AD$7</f>
        <v/>
      </c>
      <c r="AF24" s="74" t="n">
        <v>1</v>
      </c>
      <c r="AG24" s="76">
        <f>AD24*AF24</f>
        <v/>
      </c>
    </row>
    <row r="25" ht="14" customHeight="1">
      <c r="A25" s="65" t="inlineStr">
        <is>
          <t xml:space="preserve">BNP Paribas Insticash EUR 1D Short Terme </t>
        </is>
      </c>
      <c r="B25" s="66" t="inlineStr">
        <is>
          <t>LU0094219127</t>
        </is>
      </c>
      <c r="C25" s="67" t="n"/>
      <c r="D25" s="67" t="n"/>
      <c r="E25" s="67" t="n"/>
      <c r="F25" s="67" t="n"/>
      <c r="G25" s="67" t="n"/>
      <c r="H25" s="67" t="n"/>
      <c r="I25" s="67" t="n"/>
      <c r="J25" s="67" t="n"/>
      <c r="K25" s="69" t="n"/>
      <c r="L25" s="67" t="n"/>
      <c r="M25" s="67" t="n"/>
      <c r="N25" s="67" t="n"/>
      <c r="O25" s="67" t="n"/>
      <c r="P25" s="67" t="n"/>
      <c r="Q25" s="70" t="n"/>
      <c r="R25" s="70" t="n"/>
      <c r="S25" s="71" t="n"/>
      <c r="T25" s="72">
        <f>SUM(C25:S25)</f>
        <v/>
      </c>
      <c r="U25" s="73">
        <f>T25/T$7</f>
        <v/>
      </c>
      <c r="V25" s="280" t="n"/>
      <c r="W25" s="118" t="n"/>
      <c r="X25" s="280" t="n"/>
      <c r="Y25" s="118" t="n"/>
      <c r="Z25" s="281" t="n"/>
      <c r="AA25" s="118" t="n"/>
      <c r="AB25" s="280" t="n"/>
      <c r="AC25" s="118" t="n"/>
      <c r="AD25" s="282">
        <f>T25+V25+X25+AB25+Z25</f>
        <v/>
      </c>
      <c r="AE25" s="73">
        <f>AD25/AD$7</f>
        <v/>
      </c>
      <c r="AF25" s="74" t="n">
        <v>1</v>
      </c>
      <c r="AG25" s="76">
        <f>AD25*AF25</f>
        <v/>
      </c>
    </row>
    <row r="26" ht="14" customHeight="1">
      <c r="A26" s="65" t="inlineStr">
        <is>
          <t>BNP Paribas Mois ISR</t>
        </is>
      </c>
      <c r="B26" s="66" t="inlineStr">
        <is>
          <t>FR0007009808</t>
        </is>
      </c>
      <c r="C26" s="67" t="n"/>
      <c r="D26" s="67" t="n"/>
      <c r="E26" s="67" t="n"/>
      <c r="F26" s="67" t="n"/>
      <c r="G26" s="67" t="n"/>
      <c r="H26" s="67" t="n"/>
      <c r="I26" s="67" t="n"/>
      <c r="J26" s="67" t="n"/>
      <c r="K26" s="69" t="n"/>
      <c r="L26" s="67" t="n"/>
      <c r="M26" s="67" t="n"/>
      <c r="N26" s="67" t="n"/>
      <c r="O26" s="67" t="n"/>
      <c r="P26" s="67" t="n"/>
      <c r="Q26" s="70" t="n"/>
      <c r="R26" s="70" t="n"/>
      <c r="S26" s="71" t="n"/>
      <c r="T26" s="72">
        <f>SUM(C26:S26)</f>
        <v/>
      </c>
      <c r="U26" s="73">
        <f>T26/T$7</f>
        <v/>
      </c>
      <c r="V26" s="280" t="n"/>
      <c r="W26" s="118" t="n"/>
      <c r="X26" s="280" t="n"/>
      <c r="Y26" s="118" t="n"/>
      <c r="Z26" s="281" t="n"/>
      <c r="AA26" s="118" t="n"/>
      <c r="AB26" s="280" t="n"/>
      <c r="AC26" s="118" t="n"/>
      <c r="AD26" s="282">
        <f>T26+V26+X26+AB26+Z26</f>
        <v/>
      </c>
      <c r="AE26" s="73">
        <f>AD26/AD$7</f>
        <v/>
      </c>
      <c r="AF26" s="74" t="n">
        <v>1</v>
      </c>
      <c r="AG26" s="76">
        <f>AD26*AF26</f>
        <v/>
      </c>
    </row>
    <row r="27" ht="14" customHeight="1">
      <c r="A27" s="65" t="inlineStr">
        <is>
          <t>Amundi Funds Cash EUR A2 C</t>
        </is>
      </c>
      <c r="B27" s="66" t="inlineStr">
        <is>
          <t>LU0568620560</t>
        </is>
      </c>
      <c r="C27" s="67" t="n"/>
      <c r="D27" s="67" t="n"/>
      <c r="E27" s="67" t="n"/>
      <c r="F27" s="67" t="n"/>
      <c r="G27" s="67" t="n"/>
      <c r="H27" s="67" t="n"/>
      <c r="I27" s="67" t="n"/>
      <c r="J27" s="67" t="n"/>
      <c r="K27" s="69" t="n"/>
      <c r="L27" s="67" t="n"/>
      <c r="M27" s="67" t="n"/>
      <c r="N27" s="67" t="n"/>
      <c r="O27" s="67" t="n"/>
      <c r="P27" s="67" t="n"/>
      <c r="Q27" s="70" t="n"/>
      <c r="R27" s="70" t="n"/>
      <c r="S27" s="71" t="n"/>
      <c r="T27" s="72">
        <f>SUM(C27:S27)</f>
        <v/>
      </c>
      <c r="U27" s="73">
        <f>T27/T$7</f>
        <v/>
      </c>
      <c r="V27" s="280" t="n"/>
      <c r="W27" s="118" t="n"/>
      <c r="X27" s="280" t="n"/>
      <c r="Y27" s="118" t="n"/>
      <c r="Z27" s="281" t="n"/>
      <c r="AA27" s="118" t="n"/>
      <c r="AB27" s="280" t="n"/>
      <c r="AC27" s="118" t="n"/>
      <c r="AD27" s="282">
        <f>T27+V27+X27+AB27+Z27</f>
        <v/>
      </c>
      <c r="AE27" s="73">
        <f>AD27/AD$7</f>
        <v/>
      </c>
      <c r="AF27" s="74" t="n">
        <v>1</v>
      </c>
      <c r="AG27" s="76">
        <f>AD27*AF27</f>
        <v/>
      </c>
      <c r="AJ27" s="232" t="n"/>
    </row>
    <row r="28" ht="14" customHeight="1">
      <c r="A28" s="65" t="inlineStr">
        <is>
          <t>Allianz Securicash SRI I (C) EUR</t>
        </is>
      </c>
      <c r="B28" s="66" t="inlineStr">
        <is>
          <t>FR0010017731</t>
        </is>
      </c>
      <c r="C28" s="67" t="n"/>
      <c r="D28" s="67" t="n"/>
      <c r="E28" s="67" t="n"/>
      <c r="F28" s="67" t="n"/>
      <c r="G28" s="67" t="n"/>
      <c r="H28" s="67" t="n"/>
      <c r="I28" s="67" t="n"/>
      <c r="J28" s="67" t="n"/>
      <c r="K28" s="69" t="n"/>
      <c r="L28" s="67" t="n"/>
      <c r="M28" s="67" t="n"/>
      <c r="N28" s="67" t="n"/>
      <c r="O28" s="67" t="n"/>
      <c r="P28" s="67" t="n"/>
      <c r="Q28" s="70" t="n"/>
      <c r="R28" s="70" t="n"/>
      <c r="S28" s="71" t="n"/>
      <c r="T28" s="72">
        <f>SUM(C28:S28)</f>
        <v/>
      </c>
      <c r="U28" s="73">
        <f>T28/T$7</f>
        <v/>
      </c>
      <c r="V28" s="280" t="n"/>
      <c r="W28" s="118" t="n"/>
      <c r="X28" s="280" t="n"/>
      <c r="Y28" s="118" t="n"/>
      <c r="Z28" s="281" t="n"/>
      <c r="AA28" s="118" t="n"/>
      <c r="AB28" s="280" t="n"/>
      <c r="AC28" s="118" t="n"/>
      <c r="AD28" s="282">
        <f>T28+V28+X28+AB28+Z28</f>
        <v/>
      </c>
      <c r="AE28" s="73">
        <f>AD28/AD$7</f>
        <v/>
      </c>
      <c r="AF28" s="74" t="n">
        <v>1</v>
      </c>
      <c r="AG28" s="76">
        <f>AD28*AF28</f>
        <v/>
      </c>
    </row>
    <row r="29" ht="14" customHeight="1">
      <c r="A29" s="65" t="inlineStr">
        <is>
          <t>SG Monétaire Plus P-C</t>
        </is>
      </c>
      <c r="B29" s="66" t="inlineStr">
        <is>
          <t>FR0011362094</t>
        </is>
      </c>
      <c r="C29" s="67" t="n"/>
      <c r="D29" s="67" t="n"/>
      <c r="E29" s="67" t="n"/>
      <c r="F29" s="67" t="n"/>
      <c r="G29" s="67" t="n"/>
      <c r="H29" s="67" t="n"/>
      <c r="I29" s="67" t="n"/>
      <c r="J29" s="67" t="n"/>
      <c r="K29" s="69" t="n"/>
      <c r="L29" s="67" t="n"/>
      <c r="M29" s="67" t="n"/>
      <c r="N29" s="67" t="n"/>
      <c r="O29" s="67" t="n"/>
      <c r="P29" s="67" t="n"/>
      <c r="Q29" s="70" t="n"/>
      <c r="R29" s="70" t="n"/>
      <c r="S29" s="71" t="n"/>
      <c r="T29" s="72">
        <f>SUM(C29:S29)</f>
        <v/>
      </c>
      <c r="U29" s="73">
        <f>T29/T$7</f>
        <v/>
      </c>
      <c r="V29" s="280" t="n"/>
      <c r="W29" s="118" t="n"/>
      <c r="X29" s="280" t="n"/>
      <c r="Y29" s="118" t="n"/>
      <c r="Z29" s="281" t="n"/>
      <c r="AA29" s="118" t="n"/>
      <c r="AB29" s="280" t="n"/>
      <c r="AC29" s="118" t="n"/>
      <c r="AD29" s="282">
        <f>T29+V29+X29+AB29+Z29</f>
        <v/>
      </c>
      <c r="AE29" s="73">
        <f>AD29/AD$7</f>
        <v/>
      </c>
      <c r="AF29" s="74" t="n">
        <v>1</v>
      </c>
      <c r="AG29" s="76">
        <f>AD29*AF29</f>
        <v/>
      </c>
    </row>
    <row r="30" ht="14" customHeight="1">
      <c r="A30" s="65" t="inlineStr">
        <is>
          <t>SLF (F) Bond ESG 6M</t>
        </is>
      </c>
      <c r="B30" s="66" t="inlineStr">
        <is>
          <t>FR0010914358</t>
        </is>
      </c>
      <c r="C30" s="67" t="n"/>
      <c r="D30" s="67" t="n"/>
      <c r="E30" s="67" t="n"/>
      <c r="F30" s="67" t="n"/>
      <c r="G30" s="67" t="n"/>
      <c r="H30" s="67" t="n"/>
      <c r="I30" s="67" t="n"/>
      <c r="J30" s="67" t="n"/>
      <c r="K30" s="69" t="n"/>
      <c r="L30" s="67" t="n"/>
      <c r="M30" s="67" t="n"/>
      <c r="N30" s="67" t="n"/>
      <c r="O30" s="67" t="n"/>
      <c r="P30" s="67" t="n"/>
      <c r="Q30" s="70" t="n"/>
      <c r="R30" s="70" t="n"/>
      <c r="S30" s="71" t="n"/>
      <c r="T30" s="72">
        <f>SUM(C30:S30)</f>
        <v/>
      </c>
      <c r="U30" s="73">
        <f>T30/T$7</f>
        <v/>
      </c>
      <c r="V30" s="280" t="n"/>
      <c r="W30" s="118" t="n"/>
      <c r="X30" s="280" t="n"/>
      <c r="Y30" s="118" t="n"/>
      <c r="Z30" s="281" t="n"/>
      <c r="AA30" s="118" t="n"/>
      <c r="AB30" s="280" t="n"/>
      <c r="AC30" s="118" t="n"/>
      <c r="AD30" s="282">
        <f>T30+V30+X30+AB30+Z30</f>
        <v/>
      </c>
      <c r="AE30" s="73">
        <f>AD30/AD$7</f>
        <v/>
      </c>
      <c r="AF30" s="74" t="n">
        <v>1</v>
      </c>
      <c r="AG30" s="76">
        <f>AD30*AF30</f>
        <v/>
      </c>
      <c r="AJ30" s="232" t="n"/>
    </row>
    <row r="31" ht="14" customHeight="1">
      <c r="A31" s="65" t="inlineStr">
        <is>
          <t>Generali trésorerie B EUR C</t>
        </is>
      </c>
      <c r="B31" s="66" t="inlineStr">
        <is>
          <t>FR0010233726</t>
        </is>
      </c>
      <c r="C31" s="67" t="n"/>
      <c r="D31" s="67" t="n"/>
      <c r="E31" s="67" t="n"/>
      <c r="F31" s="67" t="n"/>
      <c r="G31" s="67" t="n"/>
      <c r="H31" s="67" t="n"/>
      <c r="I31" s="67" t="n"/>
      <c r="J31" s="67" t="n"/>
      <c r="K31" s="69" t="n"/>
      <c r="L31" s="67" t="n"/>
      <c r="M31" s="67" t="n"/>
      <c r="N31" s="67" t="n"/>
      <c r="O31" s="67" t="n"/>
      <c r="P31" s="67" t="n"/>
      <c r="Q31" s="70" t="n"/>
      <c r="R31" s="70" t="n"/>
      <c r="S31" s="71" t="n"/>
      <c r="T31" s="72">
        <f>SUM(C31:S31)</f>
        <v/>
      </c>
      <c r="U31" s="73">
        <f>T31/T$7</f>
        <v/>
      </c>
      <c r="V31" s="280" t="n"/>
      <c r="W31" s="118" t="n"/>
      <c r="X31" s="280" t="n"/>
      <c r="Y31" s="118" t="n"/>
      <c r="Z31" s="281" t="n"/>
      <c r="AA31" s="118" t="n"/>
      <c r="AB31" s="280" t="n"/>
      <c r="AC31" s="118" t="n"/>
      <c r="AD31" s="282">
        <f>T31+V31+X31+AB31+Z31</f>
        <v/>
      </c>
      <c r="AE31" s="73">
        <f>AD31/AD$7</f>
        <v/>
      </c>
      <c r="AF31" s="74" t="n">
        <v>1</v>
      </c>
      <c r="AG31" s="76">
        <f>AD31*AF31</f>
        <v/>
      </c>
      <c r="AJ31" s="232" t="n"/>
    </row>
    <row r="32" ht="14" customHeight="1">
      <c r="A32" s="65" t="inlineStr">
        <is>
          <t>Apicil Trésorerie P</t>
        </is>
      </c>
      <c r="B32" s="66" t="inlineStr">
        <is>
          <t>FR0013328317</t>
        </is>
      </c>
      <c r="C32" s="67" t="n"/>
      <c r="D32" s="67" t="n"/>
      <c r="E32" s="67" t="n"/>
      <c r="F32" s="67" t="n"/>
      <c r="G32" s="67" t="n"/>
      <c r="H32" s="67" t="n"/>
      <c r="I32" s="67" t="n"/>
      <c r="J32" s="67" t="n"/>
      <c r="K32" s="69" t="n"/>
      <c r="L32" s="67" t="n"/>
      <c r="M32" s="67" t="n"/>
      <c r="N32" s="67" t="n"/>
      <c r="O32" s="67" t="n"/>
      <c r="P32" s="67" t="n"/>
      <c r="Q32" s="70" t="n"/>
      <c r="R32" s="70" t="n"/>
      <c r="S32" s="71" t="n"/>
      <c r="T32" s="72">
        <f>SUM(C32:S32)</f>
        <v/>
      </c>
      <c r="U32" s="73">
        <f>T32/T$7</f>
        <v/>
      </c>
      <c r="V32" s="280" t="n"/>
      <c r="W32" s="118" t="n"/>
      <c r="X32" s="280" t="n"/>
      <c r="Y32" s="118" t="n"/>
      <c r="Z32" s="281" t="n"/>
      <c r="AA32" s="118" t="n"/>
      <c r="AB32" s="280" t="n"/>
      <c r="AC32" s="118" t="n"/>
      <c r="AD32" s="282">
        <f>T32+V32+X32+AB32+Z32</f>
        <v/>
      </c>
      <c r="AE32" s="73">
        <f>AD32/AD$7</f>
        <v/>
      </c>
      <c r="AF32" s="74" t="n">
        <v>1</v>
      </c>
      <c r="AG32" s="76">
        <f>AD32*AF32</f>
        <v/>
      </c>
      <c r="AJ32" s="232" t="n"/>
    </row>
    <row r="33" ht="14" customHeight="1">
      <c r="A33" s="65" t="inlineStr">
        <is>
          <t>AXA Court Terme AC</t>
        </is>
      </c>
      <c r="B33" s="66" t="inlineStr">
        <is>
          <t>FR0000288946</t>
        </is>
      </c>
      <c r="C33" s="67" t="n"/>
      <c r="D33" s="67" t="n"/>
      <c r="E33" s="67" t="n"/>
      <c r="F33" s="67" t="n"/>
      <c r="G33" s="67" t="n"/>
      <c r="H33" s="67" t="n"/>
      <c r="I33" s="67" t="n"/>
      <c r="J33" s="67" t="n"/>
      <c r="K33" s="69" t="n"/>
      <c r="L33" s="67" t="n"/>
      <c r="M33" s="67" t="n"/>
      <c r="N33" s="67" t="n"/>
      <c r="O33" s="67" t="n"/>
      <c r="P33" s="67" t="n"/>
      <c r="Q33" s="70" t="n"/>
      <c r="R33" s="70" t="n"/>
      <c r="S33" s="71" t="n"/>
      <c r="T33" s="72">
        <f>SUM(C33:S33)</f>
        <v/>
      </c>
      <c r="U33" s="73">
        <f>T33/T$7</f>
        <v/>
      </c>
      <c r="V33" s="280" t="n"/>
      <c r="W33" s="118" t="n"/>
      <c r="X33" s="280" t="n"/>
      <c r="Y33" s="118" t="n"/>
      <c r="Z33" s="281" t="n"/>
      <c r="AA33" s="118" t="n"/>
      <c r="AB33" s="280" t="n"/>
      <c r="AC33" s="118" t="n"/>
      <c r="AD33" s="282">
        <f>T33+V33+X33+AB33+Z33</f>
        <v/>
      </c>
      <c r="AE33" s="73">
        <f>AD33/AD$7</f>
        <v/>
      </c>
      <c r="AF33" s="74" t="n">
        <v>1</v>
      </c>
      <c r="AG33" s="76">
        <f>AD33*AF33</f>
        <v/>
      </c>
      <c r="AJ33" s="232" t="n"/>
    </row>
    <row r="34" ht="14" customHeight="1">
      <c r="A34" s="65" t="inlineStr">
        <is>
          <t>Liquidités fonds de fonds</t>
        </is>
      </c>
      <c r="B34" s="66" t="inlineStr">
        <is>
          <t>/</t>
        </is>
      </c>
      <c r="C34" s="67" t="n"/>
      <c r="D34" s="67" t="n"/>
      <c r="E34" s="67" t="n"/>
      <c r="F34" s="67" t="n"/>
      <c r="G34" s="67" t="n"/>
      <c r="H34" s="67" t="n"/>
      <c r="I34" s="67" t="n"/>
      <c r="J34" s="67" t="n"/>
      <c r="K34" s="69" t="n"/>
      <c r="L34" s="67" t="n"/>
      <c r="M34" s="67" t="n"/>
      <c r="N34" s="67" t="n"/>
      <c r="O34" s="67" t="n"/>
      <c r="P34" s="67" t="n"/>
      <c r="Q34" s="70" t="n"/>
      <c r="R34" s="70" t="n"/>
      <c r="S34" s="71" t="n"/>
      <c r="T34" s="72">
        <f>SUM(C34:S34)</f>
        <v/>
      </c>
      <c r="U34" s="73">
        <f>T34/T$7</f>
        <v/>
      </c>
      <c r="V34" s="280" t="n"/>
      <c r="W34" s="118" t="n"/>
      <c r="X34" s="280" t="n"/>
      <c r="Y34" s="118" t="n"/>
      <c r="Z34" s="281" t="n"/>
      <c r="AA34" s="118" t="n"/>
      <c r="AB34" s="280" t="n"/>
      <c r="AC34" s="118" t="n"/>
      <c r="AD34" s="282">
        <f>T34+V34+X34+AB34+Z34</f>
        <v/>
      </c>
      <c r="AE34" s="73">
        <f>AD34/AD$7</f>
        <v/>
      </c>
      <c r="AF34" s="74" t="n">
        <v>1</v>
      </c>
      <c r="AG34" s="76">
        <f>AD34*AF34</f>
        <v/>
      </c>
      <c r="AJ34" s="232" t="n"/>
    </row>
    <row r="35" ht="14" customHeight="1">
      <c r="A35" s="65" t="inlineStr">
        <is>
          <t>CIC Union Plus EUR</t>
        </is>
      </c>
      <c r="B35" s="66" t="inlineStr">
        <is>
          <t>/</t>
        </is>
      </c>
      <c r="C35" s="67" t="n"/>
      <c r="D35" s="67" t="n"/>
      <c r="E35" s="67" t="n"/>
      <c r="F35" s="67" t="n"/>
      <c r="G35" s="67" t="n"/>
      <c r="H35" s="67" t="n"/>
      <c r="I35" s="67" t="n"/>
      <c r="J35" s="67" t="n"/>
      <c r="K35" s="69" t="n"/>
      <c r="L35" s="67" t="n"/>
      <c r="M35" s="67" t="n"/>
      <c r="N35" s="67" t="n"/>
      <c r="O35" s="67" t="n"/>
      <c r="P35" s="67" t="n"/>
      <c r="Q35" s="70" t="n"/>
      <c r="R35" s="70" t="n"/>
      <c r="S35" s="71" t="n"/>
      <c r="T35" s="72">
        <f>SUM(C35:S35)</f>
        <v/>
      </c>
      <c r="U35" s="73">
        <f>T35/T$7</f>
        <v/>
      </c>
      <c r="V35" s="280" t="n"/>
      <c r="W35" s="118" t="n"/>
      <c r="X35" s="280" t="n"/>
      <c r="Y35" s="118" t="n"/>
      <c r="Z35" s="281" t="n"/>
      <c r="AA35" s="118" t="n"/>
      <c r="AB35" s="280" t="n"/>
      <c r="AC35" s="118" t="n"/>
      <c r="AD35" s="282">
        <f>T35+V35+X35+AB35+Z35</f>
        <v/>
      </c>
      <c r="AE35" s="73">
        <f>AD35/AD$7</f>
        <v/>
      </c>
      <c r="AF35" s="74" t="n">
        <v>1</v>
      </c>
      <c r="AG35" s="76">
        <f>AD35*AF35</f>
        <v/>
      </c>
    </row>
    <row r="36" ht="14" customHeight="1">
      <c r="A36" s="65" t="inlineStr">
        <is>
          <t>Union + TC CAP</t>
        </is>
      </c>
      <c r="B36" s="66" t="inlineStr">
        <is>
          <t>/</t>
        </is>
      </c>
      <c r="C36" s="67" t="n"/>
      <c r="D36" s="67" t="n"/>
      <c r="E36" s="67" t="n"/>
      <c r="F36" s="67" t="n"/>
      <c r="G36" s="67" t="n"/>
      <c r="H36" s="67" t="n"/>
      <c r="I36" s="67" t="n"/>
      <c r="J36" s="67" t="n"/>
      <c r="K36" s="69" t="n"/>
      <c r="L36" s="67" t="n"/>
      <c r="M36" s="67" t="n"/>
      <c r="N36" s="67" t="n"/>
      <c r="O36" s="67" t="n"/>
      <c r="P36" s="67" t="n"/>
      <c r="Q36" s="70" t="n"/>
      <c r="R36" s="70" t="n"/>
      <c r="S36" s="71" t="n"/>
      <c r="T36" s="72">
        <f>SUM(C36:S36)</f>
        <v/>
      </c>
      <c r="U36" s="73">
        <f>T36/T$7</f>
        <v/>
      </c>
      <c r="V36" s="280" t="n"/>
      <c r="W36" s="118" t="n"/>
      <c r="X36" s="280" t="n"/>
      <c r="Y36" s="118" t="n"/>
      <c r="Z36" s="281" t="n"/>
      <c r="AA36" s="118" t="n"/>
      <c r="AB36" s="280" t="n"/>
      <c r="AC36" s="118" t="n"/>
      <c r="AD36" s="282">
        <f>T36+V36+X36+AB36+Z36</f>
        <v/>
      </c>
      <c r="AE36" s="73">
        <f>AD36/AD$7</f>
        <v/>
      </c>
      <c r="AF36" s="74" t="n">
        <v>1</v>
      </c>
      <c r="AG36" s="76">
        <f>AD36*AF36</f>
        <v/>
      </c>
    </row>
    <row r="37" ht="14" customHeight="1">
      <c r="A37" s="65" t="n"/>
      <c r="B37" s="75" t="n"/>
      <c r="C37" s="67" t="n"/>
      <c r="D37" s="67" t="n"/>
      <c r="E37" s="67" t="n"/>
      <c r="F37" s="67" t="n"/>
      <c r="G37" s="67" t="n"/>
      <c r="H37" s="67" t="n"/>
      <c r="I37" s="67" t="n"/>
      <c r="J37" s="67" t="n"/>
      <c r="K37" s="69" t="n"/>
      <c r="L37" s="67" t="n"/>
      <c r="M37" s="67" t="n"/>
      <c r="N37" s="67" t="n"/>
      <c r="O37" s="67" t="n"/>
      <c r="P37" s="67" t="n"/>
      <c r="Q37" s="70" t="n"/>
      <c r="R37" s="70" t="n"/>
      <c r="S37" s="71" t="n"/>
      <c r="T37" s="72">
        <f>SUM(C37:S37)</f>
        <v/>
      </c>
      <c r="U37" s="73">
        <f>T37/T$7</f>
        <v/>
      </c>
      <c r="V37" s="280" t="n"/>
      <c r="W37" s="118" t="n"/>
      <c r="X37" s="280" t="n"/>
      <c r="Y37" s="118" t="n"/>
      <c r="Z37" s="281" t="n"/>
      <c r="AA37" s="118" t="n"/>
      <c r="AB37" s="280" t="n"/>
      <c r="AC37" s="118" t="n"/>
      <c r="AD37" s="282">
        <f>T37+V37+X37+AB37+Z37</f>
        <v/>
      </c>
      <c r="AE37" s="73">
        <f>AD37/AD$7</f>
        <v/>
      </c>
      <c r="AF37" s="74" t="n">
        <v>1</v>
      </c>
      <c r="AG37" s="76">
        <f>AD37*AF37</f>
        <v/>
      </c>
    </row>
    <row r="38" ht="14" customHeight="1">
      <c r="A38" s="65" t="n"/>
      <c r="B38" s="75" t="n"/>
      <c r="C38" s="67" t="n"/>
      <c r="D38" s="67" t="n"/>
      <c r="E38" s="67" t="n"/>
      <c r="F38" s="67" t="n"/>
      <c r="G38" s="67" t="n"/>
      <c r="H38" s="67" t="n"/>
      <c r="I38" s="67" t="n"/>
      <c r="J38" s="67" t="n"/>
      <c r="K38" s="69" t="n"/>
      <c r="L38" s="67" t="n"/>
      <c r="M38" s="67" t="n"/>
      <c r="N38" s="67" t="n"/>
      <c r="O38" s="67" t="n"/>
      <c r="P38" s="67" t="n"/>
      <c r="Q38" s="70" t="n"/>
      <c r="R38" s="70" t="n"/>
      <c r="S38" s="71" t="n"/>
      <c r="T38" s="72">
        <f>SUM(C38:S38)</f>
        <v/>
      </c>
      <c r="U38" s="73">
        <f>T38/T$7</f>
        <v/>
      </c>
      <c r="V38" s="280" t="n"/>
      <c r="W38" s="118" t="n"/>
      <c r="X38" s="280" t="n"/>
      <c r="Y38" s="118" t="n"/>
      <c r="Z38" s="281" t="n"/>
      <c r="AA38" s="118" t="n"/>
      <c r="AB38" s="280" t="n"/>
      <c r="AC38" s="118" t="n"/>
      <c r="AD38" s="282">
        <f>T38+V38+X38+AB38+Z38</f>
        <v/>
      </c>
      <c r="AE38" s="73">
        <f>AD38/AD$7</f>
        <v/>
      </c>
      <c r="AF38" s="74" t="n">
        <v>1</v>
      </c>
      <c r="AG38" s="76">
        <f>AD38*AF38</f>
        <v/>
      </c>
    </row>
    <row r="39" ht="14" customHeight="1">
      <c r="A39" s="65" t="n"/>
      <c r="B39" s="75" t="n"/>
      <c r="C39" s="67" t="n"/>
      <c r="D39" s="67" t="n"/>
      <c r="E39" s="67" t="n"/>
      <c r="F39" s="67" t="n"/>
      <c r="G39" s="67" t="n"/>
      <c r="H39" s="67" t="n"/>
      <c r="I39" s="67" t="n"/>
      <c r="J39" s="67" t="n"/>
      <c r="K39" s="69" t="n"/>
      <c r="L39" s="67" t="n"/>
      <c r="M39" s="67" t="n"/>
      <c r="N39" s="67" t="n"/>
      <c r="O39" s="67" t="n"/>
      <c r="P39" s="67" t="n"/>
      <c r="Q39" s="70" t="n"/>
      <c r="R39" s="70" t="n"/>
      <c r="S39" s="71" t="n"/>
      <c r="T39" s="72">
        <f>SUM(C39:S39)</f>
        <v/>
      </c>
      <c r="U39" s="73">
        <f>T39/T$7</f>
        <v/>
      </c>
      <c r="V39" s="280" t="n"/>
      <c r="W39" s="118" t="n"/>
      <c r="X39" s="280" t="n"/>
      <c r="Y39" s="118" t="n"/>
      <c r="Z39" s="281" t="n"/>
      <c r="AA39" s="118" t="n"/>
      <c r="AB39" s="280" t="n"/>
      <c r="AC39" s="118" t="n"/>
      <c r="AD39" s="282">
        <f>T39+V39+X39+AB39+Z39</f>
        <v/>
      </c>
      <c r="AE39" s="73">
        <f>AD39/AD$7</f>
        <v/>
      </c>
      <c r="AF39" s="74" t="n">
        <v>1</v>
      </c>
      <c r="AG39" s="76">
        <f>AD39*AF39</f>
        <v/>
      </c>
    </row>
    <row r="40" ht="14" customHeight="1">
      <c r="A40" s="65" t="n"/>
      <c r="B40" s="75" t="n"/>
      <c r="C40" s="67" t="n"/>
      <c r="D40" s="67" t="n"/>
      <c r="E40" s="67" t="n"/>
      <c r="F40" s="67" t="n"/>
      <c r="G40" s="67" t="n"/>
      <c r="H40" s="67" t="n"/>
      <c r="I40" s="67" t="n"/>
      <c r="J40" s="67" t="n"/>
      <c r="K40" s="69" t="n"/>
      <c r="L40" s="67" t="n"/>
      <c r="M40" s="67" t="n"/>
      <c r="N40" s="67" t="n"/>
      <c r="O40" s="67" t="n"/>
      <c r="P40" s="67" t="n"/>
      <c r="Q40" s="70" t="n"/>
      <c r="R40" s="70" t="n"/>
      <c r="S40" s="71" t="n"/>
      <c r="T40" s="72">
        <f>SUM(C40:S40)</f>
        <v/>
      </c>
      <c r="U40" s="73">
        <f>T40/T$7</f>
        <v/>
      </c>
      <c r="V40" s="280" t="n"/>
      <c r="W40" s="118" t="n"/>
      <c r="X40" s="280" t="n"/>
      <c r="Y40" s="118" t="n"/>
      <c r="Z40" s="281" t="n"/>
      <c r="AA40" s="118" t="n"/>
      <c r="AB40" s="280" t="n"/>
      <c r="AC40" s="118" t="n"/>
      <c r="AD40" s="282">
        <f>T40+V40+X40+AB40+Z40</f>
        <v/>
      </c>
      <c r="AE40" s="73">
        <f>AD40/AD$7</f>
        <v/>
      </c>
      <c r="AF40" s="74" t="n">
        <v>1</v>
      </c>
      <c r="AG40" s="76">
        <f>AD40*AF40</f>
        <v/>
      </c>
    </row>
    <row r="41" ht="14" customHeight="1">
      <c r="A41" s="65" t="n"/>
      <c r="B41" s="75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9" t="n"/>
      <c r="L41" s="67" t="n"/>
      <c r="M41" s="67" t="n"/>
      <c r="N41" s="67" t="n"/>
      <c r="O41" s="67" t="n"/>
      <c r="P41" s="67" t="n"/>
      <c r="Q41" s="70" t="n"/>
      <c r="R41" s="70" t="n"/>
      <c r="S41" s="71" t="n"/>
      <c r="T41" s="72">
        <f>SUM(C41:S41)</f>
        <v/>
      </c>
      <c r="U41" s="73">
        <f>T41/T$7</f>
        <v/>
      </c>
      <c r="V41" s="280" t="n"/>
      <c r="W41" s="118" t="n"/>
      <c r="X41" s="280" t="n"/>
      <c r="Y41" s="118" t="n"/>
      <c r="Z41" s="281" t="n"/>
      <c r="AA41" s="118" t="n"/>
      <c r="AB41" s="280" t="n"/>
      <c r="AC41" s="118" t="n"/>
      <c r="AD41" s="282">
        <f>T41+V41+X41+AB41+Z41</f>
        <v/>
      </c>
      <c r="AE41" s="73">
        <f>AD41/AD$7</f>
        <v/>
      </c>
      <c r="AF41" s="74" t="n">
        <v>1</v>
      </c>
      <c r="AG41" s="76">
        <f>AD41*AF41</f>
        <v/>
      </c>
    </row>
    <row r="42" ht="14" customHeight="1">
      <c r="A42" s="65" t="n"/>
      <c r="B42" s="75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9" t="n"/>
      <c r="L42" s="67" t="n"/>
      <c r="M42" s="67" t="n"/>
      <c r="N42" s="67" t="n"/>
      <c r="O42" s="67" t="n"/>
      <c r="P42" s="67" t="n"/>
      <c r="Q42" s="70" t="n"/>
      <c r="R42" s="70" t="n"/>
      <c r="S42" s="71" t="n"/>
      <c r="T42" s="72">
        <f>SUM(C42:S42)</f>
        <v/>
      </c>
      <c r="U42" s="73">
        <f>T42/T$7</f>
        <v/>
      </c>
      <c r="V42" s="280" t="n"/>
      <c r="W42" s="118" t="n"/>
      <c r="X42" s="280" t="n"/>
      <c r="Y42" s="118" t="n"/>
      <c r="Z42" s="281" t="n"/>
      <c r="AA42" s="118" t="n"/>
      <c r="AB42" s="280" t="n"/>
      <c r="AC42" s="118" t="n"/>
      <c r="AD42" s="282">
        <f>T42+V42+X42+AB42+Z42</f>
        <v/>
      </c>
      <c r="AE42" s="73">
        <f>AD42/AD$7</f>
        <v/>
      </c>
      <c r="AF42" s="74" t="n">
        <v>1</v>
      </c>
      <c r="AG42" s="76">
        <f>AD42*AF42</f>
        <v/>
      </c>
      <c r="AJ42" s="232" t="n"/>
    </row>
    <row r="43" ht="14" customHeight="1">
      <c r="A43" s="140" t="inlineStr">
        <is>
          <t>Fonds obligataires</t>
        </is>
      </c>
      <c r="B43" s="141" t="n"/>
      <c r="C43" s="142">
        <f>SUM(C44:C99)</f>
        <v/>
      </c>
      <c r="D43" s="142">
        <f>SUM(D44:D99)</f>
        <v/>
      </c>
      <c r="E43" s="142">
        <f>SUM(E44:E99)</f>
        <v/>
      </c>
      <c r="F43" s="142">
        <f>SUM(F44:F99)</f>
        <v/>
      </c>
      <c r="G43" s="142">
        <f>SUM(G44:G99)</f>
        <v/>
      </c>
      <c r="H43" s="142">
        <f>SUM(H44:H99)</f>
        <v/>
      </c>
      <c r="I43" s="142">
        <f>SUM(I44:I99)</f>
        <v/>
      </c>
      <c r="J43" s="142">
        <f>SUM(J44:J99)</f>
        <v/>
      </c>
      <c r="K43" s="142">
        <f>SUM(K44:K99)</f>
        <v/>
      </c>
      <c r="L43" s="142">
        <f>SUM(L44:L99)</f>
        <v/>
      </c>
      <c r="M43" s="142">
        <f>SUM(M44:M99)</f>
        <v/>
      </c>
      <c r="N43" s="142">
        <f>SUM(N44:N99)</f>
        <v/>
      </c>
      <c r="O43" s="142">
        <f>SUM(O44:O99)</f>
        <v/>
      </c>
      <c r="P43" s="142">
        <f>SUM(P44:P99)</f>
        <v/>
      </c>
      <c r="Q43" s="142">
        <f>SUM(Q44:Q99)</f>
        <v/>
      </c>
      <c r="R43" s="142">
        <f>SUM(R44:R99)</f>
        <v/>
      </c>
      <c r="S43" s="142">
        <f>SUM(S44:S99)</f>
        <v/>
      </c>
      <c r="T43" s="143">
        <f>SUM(C43:S43)</f>
        <v/>
      </c>
      <c r="U43" s="144">
        <f>SUM(U44:U99)</f>
        <v/>
      </c>
      <c r="V43" s="283" t="n"/>
      <c r="W43" s="180" t="n"/>
      <c r="X43" s="283" t="n"/>
      <c r="Y43" s="180" t="n"/>
      <c r="Z43" s="286" t="n"/>
      <c r="AA43" s="180" t="n"/>
      <c r="AB43" s="283" t="n"/>
      <c r="AC43" s="180" t="n"/>
      <c r="AD43" s="279">
        <f>SUM(AD44:AD99)</f>
        <v/>
      </c>
      <c r="AE43" s="181">
        <f>SUM(AE44:AE99)</f>
        <v/>
      </c>
      <c r="AF43" s="145" t="n"/>
      <c r="AG43" s="139" t="n"/>
    </row>
    <row r="44">
      <c r="A44" s="65" t="inlineStr">
        <is>
          <t>IVO Emerging Markets Corporate Debt EUR-I</t>
        </is>
      </c>
      <c r="B44" s="77" t="inlineStr">
        <is>
          <t>LU1165637460</t>
        </is>
      </c>
      <c r="C44" s="67" t="n"/>
      <c r="D44" s="68" t="n"/>
      <c r="E44" s="68" t="n"/>
      <c r="F44" s="68" t="n"/>
      <c r="G44" s="68" t="n"/>
      <c r="H44" s="68" t="n"/>
      <c r="I44" s="68" t="n"/>
      <c r="J44" s="68" t="n"/>
      <c r="K44" s="82" t="n"/>
      <c r="L44" s="68" t="n"/>
      <c r="M44" s="68" t="n"/>
      <c r="N44" s="68" t="n"/>
      <c r="O44" s="68" t="n"/>
      <c r="P44" s="68" t="n"/>
      <c r="Q44" s="83" t="n"/>
      <c r="R44" s="83" t="n"/>
      <c r="S44" s="84" t="n"/>
      <c r="T44" s="72">
        <f>SUM(C44:S44)</f>
        <v/>
      </c>
      <c r="U44" s="73">
        <f>T44/T$7</f>
        <v/>
      </c>
      <c r="V44" s="280" t="n"/>
      <c r="W44" s="118" t="n"/>
      <c r="X44" s="280" t="n"/>
      <c r="Y44" s="118" t="n"/>
      <c r="Z44" s="281" t="n"/>
      <c r="AA44" s="118" t="n"/>
      <c r="AB44" s="280" t="n"/>
      <c r="AC44" s="118" t="n"/>
      <c r="AD44" s="282">
        <f>T44+V44+X44+AB44+Z44</f>
        <v/>
      </c>
      <c r="AE44" s="73">
        <f>AD44/AD$7</f>
        <v/>
      </c>
      <c r="AF44" s="74" t="n">
        <v>2</v>
      </c>
      <c r="AG44" s="76">
        <f>AD44*AF44</f>
        <v/>
      </c>
      <c r="AJ44" s="230" t="n"/>
    </row>
    <row r="45" ht="19" customHeight="1">
      <c r="A45" s="65" t="inlineStr">
        <is>
          <t>IVO Emerging Markets Corporate Debt EUR-R</t>
        </is>
      </c>
      <c r="B45" s="66" t="inlineStr">
        <is>
          <t>LU1165644672</t>
        </is>
      </c>
      <c r="C45" s="67" t="n"/>
      <c r="D45" s="68" t="n"/>
      <c r="E45" s="68" t="n"/>
      <c r="F45" s="68" t="n"/>
      <c r="G45" s="68" t="n"/>
      <c r="H45" s="68" t="n"/>
      <c r="I45" s="68" t="n"/>
      <c r="J45" s="68" t="n"/>
      <c r="K45" s="82" t="n"/>
      <c r="L45" s="68" t="n"/>
      <c r="M45" s="68" t="n"/>
      <c r="N45" s="68" t="n"/>
      <c r="O45" s="68" t="n"/>
      <c r="P45" s="68" t="n"/>
      <c r="Q45" s="83" t="n"/>
      <c r="R45" s="83" t="n"/>
      <c r="S45" s="84" t="n"/>
      <c r="T45" s="72">
        <f>SUM(C45:S45)</f>
        <v/>
      </c>
      <c r="U45" s="73">
        <f>T45/T$7</f>
        <v/>
      </c>
      <c r="V45" s="280" t="n"/>
      <c r="W45" s="118" t="n"/>
      <c r="X45" s="280" t="n"/>
      <c r="Y45" s="118" t="n"/>
      <c r="Z45" s="281" t="n"/>
      <c r="AA45" s="118" t="n"/>
      <c r="AB45" s="280" t="n"/>
      <c r="AC45" s="118" t="n"/>
      <c r="AD45" s="282">
        <f>T45+V45+X45+AB45+Z45</f>
        <v/>
      </c>
      <c r="AE45" s="73">
        <f>AD45/AD$7</f>
        <v/>
      </c>
      <c r="AF45" s="74" t="n">
        <v>3</v>
      </c>
      <c r="AG45" s="76">
        <f>AD45*AF45</f>
        <v/>
      </c>
    </row>
    <row r="46" ht="25" customHeight="1">
      <c r="A46" s="65" t="inlineStr">
        <is>
          <t>IVO Emerging Markets Coporate Debt Short Duration SRI EUR</t>
        </is>
      </c>
      <c r="B46" s="77" t="inlineStr">
        <is>
          <t>LU2061939646</t>
        </is>
      </c>
      <c r="C46" s="67" t="n"/>
      <c r="D46" s="68" t="n"/>
      <c r="E46" s="68" t="n"/>
      <c r="F46" s="68" t="n"/>
      <c r="G46" s="68" t="n"/>
      <c r="H46" s="68" t="n"/>
      <c r="I46" s="68" t="n"/>
      <c r="J46" s="68" t="n"/>
      <c r="K46" s="82" t="n"/>
      <c r="L46" s="68" t="n"/>
      <c r="M46" s="68" t="n"/>
      <c r="N46" s="68" t="n"/>
      <c r="O46" s="68" t="n"/>
      <c r="P46" s="68" t="n"/>
      <c r="Q46" s="83" t="n"/>
      <c r="R46" s="83" t="n"/>
      <c r="S46" s="84" t="n"/>
      <c r="T46" s="72">
        <f>SUM(C46:S46)</f>
        <v/>
      </c>
      <c r="U46" s="73">
        <f>T46/T$7</f>
        <v/>
      </c>
      <c r="V46" s="280" t="n"/>
      <c r="W46" s="118" t="n"/>
      <c r="X46" s="280" t="n"/>
      <c r="Y46" s="118" t="n"/>
      <c r="Z46" s="281" t="n"/>
      <c r="AA46" s="118" t="n"/>
      <c r="AB46" s="280" t="n"/>
      <c r="AC46" s="118" t="n"/>
      <c r="AD46" s="282">
        <f>T46+V46+X46+AB46+Z46</f>
        <v/>
      </c>
      <c r="AE46" s="73">
        <f>AD46/AD$7</f>
        <v/>
      </c>
      <c r="AF46" s="74" t="n">
        <v>2</v>
      </c>
      <c r="AG46" s="76">
        <f>AD46*AF46</f>
        <v/>
      </c>
    </row>
    <row r="47" ht="23" customHeight="1">
      <c r="A47" s="65" t="inlineStr">
        <is>
          <t>Ivo Emerging Markets Corporate Debt Short Duration SRI Z</t>
        </is>
      </c>
      <c r="B47" s="77" t="inlineStr">
        <is>
          <t>LU2061940222</t>
        </is>
      </c>
      <c r="C47" s="67" t="n"/>
      <c r="D47" s="68" t="n"/>
      <c r="E47" s="68" t="n"/>
      <c r="F47" s="68" t="n"/>
      <c r="G47" s="68" t="n"/>
      <c r="H47" s="68" t="n"/>
      <c r="I47" s="68" t="n"/>
      <c r="J47" s="68" t="n"/>
      <c r="K47" s="82" t="n"/>
      <c r="L47" s="68" t="n"/>
      <c r="M47" s="68" t="n"/>
      <c r="N47" s="68" t="n"/>
      <c r="O47" s="68" t="n"/>
      <c r="P47" s="68" t="n"/>
      <c r="Q47" s="83" t="n"/>
      <c r="R47" s="83" t="n"/>
      <c r="S47" s="84" t="n"/>
      <c r="T47" s="72">
        <f>SUM(C47:S47)</f>
        <v/>
      </c>
      <c r="U47" s="73">
        <f>T47/T$7</f>
        <v/>
      </c>
      <c r="V47" s="280" t="n"/>
      <c r="W47" s="118" t="n"/>
      <c r="X47" s="280" t="n"/>
      <c r="Y47" s="118" t="n"/>
      <c r="Z47" s="281" t="n"/>
      <c r="AA47" s="118" t="n"/>
      <c r="AB47" s="280" t="n"/>
      <c r="AC47" s="118" t="n"/>
      <c r="AD47" s="282">
        <f>T47+V47+X47+AB47+Z47</f>
        <v/>
      </c>
      <c r="AE47" s="73">
        <f>AD47/AD$7</f>
        <v/>
      </c>
      <c r="AF47" s="74" t="n">
        <v>2</v>
      </c>
      <c r="AG47" s="76">
        <f>AD47*AF47</f>
        <v/>
      </c>
    </row>
    <row r="48" ht="25" customHeight="1">
      <c r="A48" s="65" t="inlineStr">
        <is>
          <t>IVO Emerging Markets Corporate Debt Short Duration SRI R</t>
        </is>
      </c>
      <c r="B48" s="77" t="inlineStr">
        <is>
          <t>LU2061939729</t>
        </is>
      </c>
      <c r="C48" s="67" t="n"/>
      <c r="D48" s="68" t="n"/>
      <c r="E48" s="68" t="n"/>
      <c r="F48" s="68" t="n"/>
      <c r="G48" s="68" t="n"/>
      <c r="H48" s="68" t="n"/>
      <c r="I48" s="68" t="n"/>
      <c r="J48" s="68" t="n"/>
      <c r="K48" s="82" t="n"/>
      <c r="L48" s="68" t="n"/>
      <c r="M48" s="68" t="n"/>
      <c r="N48" s="68" t="n"/>
      <c r="O48" s="68" t="n"/>
      <c r="P48" s="68" t="n"/>
      <c r="Q48" s="83" t="n"/>
      <c r="R48" s="83" t="n"/>
      <c r="S48" s="84" t="n"/>
      <c r="T48" s="72">
        <f>SUM(C48:S48)</f>
        <v/>
      </c>
      <c r="U48" s="73">
        <f>T48/T$7</f>
        <v/>
      </c>
      <c r="V48" s="280" t="n"/>
      <c r="W48" s="118" t="n"/>
      <c r="X48" s="280" t="n"/>
      <c r="Y48" s="118" t="n"/>
      <c r="Z48" s="281" t="n"/>
      <c r="AA48" s="118" t="n"/>
      <c r="AB48" s="280" t="n"/>
      <c r="AC48" s="118" t="n"/>
      <c r="AD48" s="282">
        <f>T48+V48+X48+AB48+Z48</f>
        <v/>
      </c>
      <c r="AE48" s="73">
        <f>AD48/AD$7</f>
        <v/>
      </c>
      <c r="AF48" s="74" t="n">
        <v>2</v>
      </c>
      <c r="AG48" s="76">
        <f>AD48*AF48</f>
        <v/>
      </c>
    </row>
    <row r="49" ht="14" customHeight="1">
      <c r="A49" s="65" t="inlineStr">
        <is>
          <t>IVO IG 2030 I</t>
        </is>
      </c>
      <c r="B49" s="77" t="inlineStr">
        <is>
          <t>FR001400SJC8</t>
        </is>
      </c>
      <c r="C49" s="67" t="n"/>
      <c r="D49" s="68" t="n"/>
      <c r="E49" s="68" t="n"/>
      <c r="F49" s="68" t="n"/>
      <c r="G49" s="68" t="n"/>
      <c r="H49" s="68" t="n"/>
      <c r="I49" s="68" t="n"/>
      <c r="J49" s="68" t="n"/>
      <c r="K49" s="82" t="n"/>
      <c r="L49" s="68" t="n"/>
      <c r="M49" s="68" t="n"/>
      <c r="N49" s="68" t="n"/>
      <c r="O49" s="68" t="n"/>
      <c r="P49" s="68" t="n"/>
      <c r="Q49" s="83" t="n"/>
      <c r="R49" s="83" t="n"/>
      <c r="S49" s="84" t="n"/>
      <c r="T49" s="72">
        <f>SUM(C49:S49)</f>
        <v/>
      </c>
      <c r="U49" s="73">
        <f>T49/T$7</f>
        <v/>
      </c>
      <c r="V49" s="280" t="n"/>
      <c r="W49" s="118" t="n"/>
      <c r="X49" s="280" t="n"/>
      <c r="Y49" s="118" t="n"/>
      <c r="Z49" s="281" t="n"/>
      <c r="AA49" s="118" t="n"/>
      <c r="AB49" s="280" t="n"/>
      <c r="AC49" s="118" t="n"/>
      <c r="AD49" s="282">
        <f>T49+V49+X49+AB49+Z49</f>
        <v/>
      </c>
      <c r="AE49" s="73">
        <f>AD49/AD$7</f>
        <v/>
      </c>
      <c r="AF49" s="74" t="n">
        <v>2</v>
      </c>
      <c r="AG49" s="76">
        <f>AD49*AF49</f>
        <v/>
      </c>
    </row>
    <row r="50" ht="14" customHeight="1">
      <c r="A50" s="65" t="inlineStr">
        <is>
          <t>IVO IG 2030 R</t>
        </is>
      </c>
      <c r="B50" s="77" t="inlineStr">
        <is>
          <t>FR001400SJA2</t>
        </is>
      </c>
      <c r="C50" s="67" t="n"/>
      <c r="D50" s="68" t="n"/>
      <c r="E50" s="68" t="n"/>
      <c r="F50" s="68" t="n"/>
      <c r="G50" s="68" t="n"/>
      <c r="H50" s="68" t="n"/>
      <c r="I50" s="68" t="n"/>
      <c r="J50" s="68" t="n"/>
      <c r="K50" s="82" t="n"/>
      <c r="L50" s="68" t="n"/>
      <c r="M50" s="68" t="n"/>
      <c r="N50" s="68" t="n"/>
      <c r="O50" s="68" t="n"/>
      <c r="P50" s="68" t="n"/>
      <c r="Q50" s="83" t="n"/>
      <c r="R50" s="83" t="n"/>
      <c r="S50" s="84" t="n"/>
      <c r="T50" s="72">
        <f>SUM(C50:S50)</f>
        <v/>
      </c>
      <c r="U50" s="73">
        <f>T50/T$7</f>
        <v/>
      </c>
      <c r="V50" s="280" t="n"/>
      <c r="W50" s="118" t="n"/>
      <c r="X50" s="280" t="n"/>
      <c r="Y50" s="118" t="n"/>
      <c r="Z50" s="281" t="n"/>
      <c r="AA50" s="118" t="n"/>
      <c r="AB50" s="280" t="n"/>
      <c r="AC50" s="118" t="n"/>
      <c r="AD50" s="282">
        <f>T50+V50+X50+AB50+Z50</f>
        <v/>
      </c>
      <c r="AE50" s="73">
        <f>AD50/AD$7</f>
        <v/>
      </c>
      <c r="AF50" s="74" t="n">
        <v>2</v>
      </c>
      <c r="AG50" s="76">
        <f>AD50*AF50</f>
        <v/>
      </c>
    </row>
    <row r="51" ht="14" customHeight="1">
      <c r="A51" s="65" t="inlineStr">
        <is>
          <t>IVO 2028 I</t>
        </is>
      </c>
      <c r="B51" s="77" t="inlineStr">
        <is>
          <t>FR001400BJV4</t>
        </is>
      </c>
      <c r="C51" s="67" t="n"/>
      <c r="D51" s="68" t="n"/>
      <c r="E51" s="68" t="n"/>
      <c r="F51" s="68" t="n"/>
      <c r="G51" s="68" t="n"/>
      <c r="H51" s="68" t="n"/>
      <c r="I51" s="68" t="n"/>
      <c r="J51" s="68" t="n"/>
      <c r="K51" s="82" t="n"/>
      <c r="L51" s="68" t="n"/>
      <c r="M51" s="68" t="n"/>
      <c r="N51" s="68" t="n"/>
      <c r="O51" s="68" t="n"/>
      <c r="P51" s="68" t="n"/>
      <c r="Q51" s="83" t="n"/>
      <c r="R51" s="83" t="n"/>
      <c r="S51" s="84" t="n"/>
      <c r="T51" s="72">
        <f>SUM(C51:S51)</f>
        <v/>
      </c>
      <c r="U51" s="73">
        <f>T51/T$7</f>
        <v/>
      </c>
      <c r="V51" s="280" t="n"/>
      <c r="W51" s="118" t="n"/>
      <c r="X51" s="280" t="n"/>
      <c r="Y51" s="118" t="n"/>
      <c r="Z51" s="281" t="n"/>
      <c r="AA51" s="118" t="n"/>
      <c r="AB51" s="280" t="n"/>
      <c r="AC51" s="118" t="n"/>
      <c r="AD51" s="282">
        <f>T51+V51+X51+AB51+Z51</f>
        <v/>
      </c>
      <c r="AE51" s="73">
        <f>AD51/AD$7</f>
        <v/>
      </c>
      <c r="AF51" s="74" t="n">
        <v>2</v>
      </c>
      <c r="AG51" s="76">
        <f>AD51*AF51</f>
        <v/>
      </c>
    </row>
    <row r="52" ht="14" customHeight="1">
      <c r="A52" s="65" t="inlineStr">
        <is>
          <t>IVO 2028 R</t>
        </is>
      </c>
      <c r="B52" s="77" t="inlineStr">
        <is>
          <t>FR001400BJT8</t>
        </is>
      </c>
      <c r="C52" s="67" t="n"/>
      <c r="D52" s="68" t="n"/>
      <c r="E52" s="68" t="n"/>
      <c r="F52" s="68" t="n"/>
      <c r="G52" s="68" t="n"/>
      <c r="H52" s="68" t="n"/>
      <c r="I52" s="68" t="n"/>
      <c r="J52" s="68" t="n"/>
      <c r="K52" s="82" t="n"/>
      <c r="L52" s="68" t="n"/>
      <c r="M52" s="68" t="n"/>
      <c r="N52" s="68" t="n"/>
      <c r="O52" s="68" t="n"/>
      <c r="P52" s="68" t="n"/>
      <c r="Q52" s="83" t="n"/>
      <c r="R52" s="83" t="n"/>
      <c r="S52" s="84" t="n"/>
      <c r="T52" s="72">
        <f>SUM(C52:S52)</f>
        <v/>
      </c>
      <c r="U52" s="73">
        <f>T52/T$7</f>
        <v/>
      </c>
      <c r="V52" s="280" t="n"/>
      <c r="W52" s="118" t="n"/>
      <c r="X52" s="280" t="n"/>
      <c r="Y52" s="118" t="n"/>
      <c r="Z52" s="281" t="n"/>
      <c r="AA52" s="118" t="n"/>
      <c r="AB52" s="280" t="n"/>
      <c r="AC52" s="118" t="n"/>
      <c r="AD52" s="282">
        <f>T52+V52+X52+AB52+Z52</f>
        <v/>
      </c>
      <c r="AE52" s="73">
        <f>AD52/AD$7</f>
        <v/>
      </c>
      <c r="AF52" s="74" t="n">
        <v>2</v>
      </c>
      <c r="AG52" s="76">
        <f>AD52*AF52</f>
        <v/>
      </c>
    </row>
    <row r="53" ht="14" customHeight="1">
      <c r="A53" s="65" t="inlineStr">
        <is>
          <t>Sycoyield 2030 RC</t>
        </is>
      </c>
      <c r="B53" s="77" t="inlineStr">
        <is>
          <t>FR001400MCQ6</t>
        </is>
      </c>
      <c r="C53" s="67" t="n"/>
      <c r="D53" s="68" t="n"/>
      <c r="E53" s="68" t="n"/>
      <c r="F53" s="68" t="n"/>
      <c r="G53" s="68" t="n"/>
      <c r="H53" s="68" t="n"/>
      <c r="I53" s="68" t="n"/>
      <c r="J53" s="68" t="n"/>
      <c r="K53" s="82" t="n"/>
      <c r="L53" s="68" t="n"/>
      <c r="M53" s="68" t="n"/>
      <c r="N53" s="68" t="n"/>
      <c r="O53" s="68" t="n"/>
      <c r="P53" s="68" t="n"/>
      <c r="Q53" s="83" t="n"/>
      <c r="R53" s="83" t="n"/>
      <c r="S53" s="84" t="n"/>
      <c r="T53" s="72">
        <f>SUM(C53:S53)</f>
        <v/>
      </c>
      <c r="U53" s="73">
        <f>T53/T$7</f>
        <v/>
      </c>
      <c r="V53" s="280" t="n"/>
      <c r="W53" s="118" t="n"/>
      <c r="X53" s="280" t="n"/>
      <c r="Y53" s="118" t="n"/>
      <c r="Z53" s="281" t="n"/>
      <c r="AA53" s="118" t="n"/>
      <c r="AB53" s="280" t="n"/>
      <c r="AC53" s="118" t="n"/>
      <c r="AD53" s="282">
        <f>T53+V53+X53+AB53+Z53</f>
        <v/>
      </c>
      <c r="AE53" s="73">
        <f>AD53/AD$7</f>
        <v/>
      </c>
      <c r="AF53" s="74" t="n">
        <v>2</v>
      </c>
      <c r="AG53" s="76">
        <f>AD53*AF53</f>
        <v/>
      </c>
    </row>
    <row r="54" ht="14" customHeight="1">
      <c r="A54" s="65" t="inlineStr">
        <is>
          <t>Sycoyield 2032 RC</t>
        </is>
      </c>
      <c r="B54" s="77" t="inlineStr">
        <is>
          <t>FR0014010IG3</t>
        </is>
      </c>
      <c r="C54" s="67" t="n"/>
      <c r="D54" s="68" t="n"/>
      <c r="E54" s="68" t="n"/>
      <c r="F54" s="68" t="n"/>
      <c r="G54" s="68" t="n"/>
      <c r="H54" s="68" t="n"/>
      <c r="I54" s="68" t="n"/>
      <c r="J54" s="68" t="n"/>
      <c r="K54" s="82" t="n"/>
      <c r="L54" s="68" t="n"/>
      <c r="M54" s="68" t="n"/>
      <c r="N54" s="68" t="n"/>
      <c r="O54" s="68" t="n"/>
      <c r="P54" s="68" t="n"/>
      <c r="Q54" s="83" t="n"/>
      <c r="R54" s="83" t="n"/>
      <c r="S54" s="84" t="n"/>
      <c r="T54" s="72">
        <f>SUM(C54:S54)</f>
        <v/>
      </c>
      <c r="U54" s="73">
        <f>T54/T$7</f>
        <v/>
      </c>
      <c r="V54" s="280" t="n"/>
      <c r="W54" s="118" t="n"/>
      <c r="X54" s="280" t="n"/>
      <c r="Y54" s="118" t="n"/>
      <c r="Z54" s="281" t="n"/>
      <c r="AA54" s="118" t="n"/>
      <c r="AB54" s="280" t="n"/>
      <c r="AC54" s="118" t="n"/>
      <c r="AD54" s="282">
        <f>T54+V54+X54+AB54+Z54</f>
        <v/>
      </c>
      <c r="AE54" s="73">
        <f>AD54/AD$7</f>
        <v/>
      </c>
      <c r="AF54" s="74" t="n">
        <v>2</v>
      </c>
      <c r="AG54" s="76">
        <f>AD54*AF54</f>
        <v/>
      </c>
    </row>
    <row r="55" ht="14" customHeight="1">
      <c r="A55" s="65" t="inlineStr">
        <is>
          <t>Sycoyield 2026 IC</t>
        </is>
      </c>
      <c r="B55" s="77" t="inlineStr">
        <is>
          <t>FR001400A6X2</t>
        </is>
      </c>
      <c r="C55" s="67" t="n"/>
      <c r="D55" s="68" t="n"/>
      <c r="E55" s="68" t="n"/>
      <c r="F55" s="68" t="n"/>
      <c r="G55" s="68" t="n"/>
      <c r="H55" s="68" t="n"/>
      <c r="I55" s="68" t="n"/>
      <c r="J55" s="68" t="n"/>
      <c r="K55" s="82" t="n"/>
      <c r="L55" s="68" t="n"/>
      <c r="M55" s="68" t="n"/>
      <c r="N55" s="68" t="n"/>
      <c r="O55" s="68" t="n"/>
      <c r="P55" s="68" t="n"/>
      <c r="Q55" s="83" t="n"/>
      <c r="R55" s="83" t="n"/>
      <c r="S55" s="84" t="n"/>
      <c r="T55" s="72">
        <f>SUM(C55:S55)</f>
        <v/>
      </c>
      <c r="U55" s="73">
        <f>T55/T$7</f>
        <v/>
      </c>
      <c r="V55" s="280" t="n"/>
      <c r="W55" s="118" t="n"/>
      <c r="X55" s="280" t="n"/>
      <c r="Y55" s="118" t="n"/>
      <c r="Z55" s="281" t="n"/>
      <c r="AA55" s="118" t="n"/>
      <c r="AB55" s="280" t="n"/>
      <c r="AC55" s="118" t="n"/>
      <c r="AD55" s="282">
        <f>T55+V55+X55+AB55+Z55</f>
        <v/>
      </c>
      <c r="AE55" s="73">
        <f>AD55/AD$7</f>
        <v/>
      </c>
      <c r="AF55" s="74" t="n">
        <v>2</v>
      </c>
      <c r="AG55" s="76">
        <f>AD55*AF55</f>
        <v/>
      </c>
    </row>
    <row r="56" ht="14" customHeight="1">
      <c r="A56" s="65" t="inlineStr">
        <is>
          <t>Tikehau Credit Court Terme A</t>
        </is>
      </c>
      <c r="B56" s="77" t="inlineStr">
        <is>
          <t>FR0011482728</t>
        </is>
      </c>
      <c r="C56" s="67" t="n"/>
      <c r="D56" s="68" t="n"/>
      <c r="E56" s="68" t="n"/>
      <c r="F56" s="68" t="n"/>
      <c r="G56" s="68" t="n"/>
      <c r="H56" s="68" t="n"/>
      <c r="I56" s="68" t="n"/>
      <c r="J56" s="68" t="n"/>
      <c r="K56" s="82" t="n"/>
      <c r="L56" s="68" t="n"/>
      <c r="M56" s="68" t="n"/>
      <c r="N56" s="68" t="n"/>
      <c r="O56" s="68" t="n"/>
      <c r="P56" s="68" t="n"/>
      <c r="Q56" s="83" t="n"/>
      <c r="R56" s="83" t="n"/>
      <c r="S56" s="84" t="n"/>
      <c r="T56" s="72">
        <f>SUM(C56:S56)</f>
        <v/>
      </c>
      <c r="U56" s="73">
        <f>T56/T$7</f>
        <v/>
      </c>
      <c r="V56" s="280" t="n"/>
      <c r="W56" s="118" t="n"/>
      <c r="X56" s="280" t="n"/>
      <c r="Y56" s="118" t="n"/>
      <c r="Z56" s="281" t="n"/>
      <c r="AA56" s="118" t="n"/>
      <c r="AB56" s="280" t="n"/>
      <c r="AC56" s="118" t="n"/>
      <c r="AD56" s="282">
        <f>T56+V56+X56+AB56+Z56</f>
        <v/>
      </c>
      <c r="AE56" s="73">
        <f>AD56/AD$7</f>
        <v/>
      </c>
      <c r="AF56" s="74" t="n">
        <v>2</v>
      </c>
      <c r="AG56" s="76">
        <f>AD56*AF56</f>
        <v/>
      </c>
      <c r="AJ56" s="230" t="n"/>
    </row>
    <row r="57" ht="14" customHeight="1">
      <c r="A57" s="65" t="inlineStr">
        <is>
          <t>Tikehau 2029 R-Acc-EUR</t>
        </is>
      </c>
      <c r="B57" s="77" t="inlineStr">
        <is>
          <t>FR001400K2B5</t>
        </is>
      </c>
      <c r="C57" s="67" t="n"/>
      <c r="D57" s="68" t="n"/>
      <c r="E57" s="68" t="n"/>
      <c r="F57" s="68" t="n"/>
      <c r="G57" s="68" t="n"/>
      <c r="H57" s="68" t="n"/>
      <c r="I57" s="68" t="n"/>
      <c r="J57" s="68" t="n"/>
      <c r="K57" s="82" t="n"/>
      <c r="L57" s="68" t="n"/>
      <c r="M57" s="68" t="n"/>
      <c r="N57" s="68" t="n"/>
      <c r="O57" s="68" t="n"/>
      <c r="P57" s="68" t="n"/>
      <c r="Q57" s="83" t="n"/>
      <c r="R57" s="83" t="n"/>
      <c r="S57" s="84" t="n"/>
      <c r="T57" s="72">
        <f>SUM(C57:S57)</f>
        <v/>
      </c>
      <c r="U57" s="73">
        <f>T57/T$7</f>
        <v/>
      </c>
      <c r="V57" s="280" t="n"/>
      <c r="W57" s="118" t="n"/>
      <c r="X57" s="280" t="n"/>
      <c r="Y57" s="118" t="n"/>
      <c r="Z57" s="281" t="n"/>
      <c r="AA57" s="118" t="n"/>
      <c r="AB57" s="280" t="n"/>
      <c r="AC57" s="118" t="n"/>
      <c r="AD57" s="282">
        <f>T57+V57+X57+AB57+Z57</f>
        <v/>
      </c>
      <c r="AE57" s="73">
        <f>AD57/AD$7</f>
        <v/>
      </c>
      <c r="AF57" s="74" t="n">
        <v>2</v>
      </c>
      <c r="AG57" s="76">
        <f>AD57*AF57</f>
        <v/>
      </c>
      <c r="AJ57" s="230" t="n"/>
    </row>
    <row r="58" ht="14" customHeight="1">
      <c r="A58" s="65" t="inlineStr">
        <is>
          <t>Sycomore Sélection Crédit I</t>
        </is>
      </c>
      <c r="B58" s="77" t="inlineStr">
        <is>
          <t>FR0011288489</t>
        </is>
      </c>
      <c r="C58" s="67" t="n"/>
      <c r="D58" s="68" t="n"/>
      <c r="E58" s="68" t="n"/>
      <c r="F58" s="68" t="n"/>
      <c r="G58" s="68" t="n"/>
      <c r="H58" s="68" t="n"/>
      <c r="I58" s="68" t="n"/>
      <c r="J58" s="68" t="n"/>
      <c r="K58" s="82" t="n"/>
      <c r="L58" s="68" t="n"/>
      <c r="M58" s="68" t="n"/>
      <c r="N58" s="68" t="n"/>
      <c r="O58" s="68" t="n"/>
      <c r="P58" s="68" t="n"/>
      <c r="Q58" s="83" t="n"/>
      <c r="R58" s="83" t="n"/>
      <c r="S58" s="84" t="n"/>
      <c r="T58" s="72">
        <f>SUM(C58:S58)</f>
        <v/>
      </c>
      <c r="U58" s="73">
        <f>T58/T$7</f>
        <v/>
      </c>
      <c r="V58" s="280" t="n"/>
      <c r="W58" s="118" t="n"/>
      <c r="X58" s="280" t="n"/>
      <c r="Y58" s="118" t="n"/>
      <c r="Z58" s="281" t="n"/>
      <c r="AA58" s="118" t="n"/>
      <c r="AB58" s="280" t="n"/>
      <c r="AC58" s="118" t="n"/>
      <c r="AD58" s="282">
        <f>T58+V58+X58+AB58+Z58</f>
        <v/>
      </c>
      <c r="AE58" s="73">
        <f>AD58/AD$7</f>
        <v/>
      </c>
      <c r="AF58" s="74" t="n">
        <v>2</v>
      </c>
      <c r="AG58" s="76">
        <f>AD58*AF58</f>
        <v/>
      </c>
    </row>
    <row r="59" ht="14" customHeight="1">
      <c r="A59" s="65" t="inlineStr">
        <is>
          <t xml:space="preserve">Sycomore Sélection Crédit R </t>
        </is>
      </c>
      <c r="B59" s="77" t="inlineStr">
        <is>
          <t>FR0011288513</t>
        </is>
      </c>
      <c r="C59" s="67" t="n"/>
      <c r="D59" s="68" t="n"/>
      <c r="E59" s="68" t="n"/>
      <c r="F59" s="68" t="n"/>
      <c r="G59" s="68" t="n"/>
      <c r="H59" s="68" t="n"/>
      <c r="I59" s="68" t="n"/>
      <c r="J59" s="68" t="n"/>
      <c r="K59" s="82" t="n"/>
      <c r="L59" s="68" t="n"/>
      <c r="M59" s="68" t="n"/>
      <c r="N59" s="68" t="n"/>
      <c r="O59" s="68" t="n"/>
      <c r="P59" s="68" t="n"/>
      <c r="Q59" s="83" t="n"/>
      <c r="R59" s="83" t="n"/>
      <c r="S59" s="84" t="n"/>
      <c r="T59" s="72">
        <f>SUM(C59:S59)</f>
        <v/>
      </c>
      <c r="U59" s="73">
        <f>T59/T$7</f>
        <v/>
      </c>
      <c r="V59" s="280" t="n"/>
      <c r="W59" s="118" t="n"/>
      <c r="X59" s="280" t="n"/>
      <c r="Y59" s="118" t="n"/>
      <c r="Z59" s="281" t="n"/>
      <c r="AA59" s="118" t="n"/>
      <c r="AB59" s="280" t="n"/>
      <c r="AC59" s="118" t="n"/>
      <c r="AD59" s="282">
        <f>T59+V59+X59+AB59+Z59</f>
        <v/>
      </c>
      <c r="AE59" s="73">
        <f>AD59/AD$7</f>
        <v/>
      </c>
      <c r="AF59" s="74" t="n">
        <v>2</v>
      </c>
      <c r="AG59" s="76">
        <f>AD59*AF59</f>
        <v/>
      </c>
    </row>
    <row r="60" ht="23" customHeight="1">
      <c r="A60" s="65" t="inlineStr">
        <is>
          <t>Edmond de Rothschild Fund Bond Allocation CR EUR</t>
        </is>
      </c>
      <c r="B60" s="77" t="inlineStr">
        <is>
          <t>LU1781816704</t>
        </is>
      </c>
      <c r="C60" s="67" t="n"/>
      <c r="D60" s="68" t="n"/>
      <c r="E60" s="68" t="n"/>
      <c r="F60" s="68" t="n"/>
      <c r="G60" s="68" t="n"/>
      <c r="H60" s="68" t="n"/>
      <c r="I60" s="68" t="n"/>
      <c r="J60" s="68" t="n"/>
      <c r="K60" s="82" t="n"/>
      <c r="L60" s="68" t="n"/>
      <c r="M60" s="68" t="n"/>
      <c r="N60" s="68" t="n"/>
      <c r="O60" s="68" t="n"/>
      <c r="P60" s="68" t="n"/>
      <c r="Q60" s="83" t="n"/>
      <c r="R60" s="83" t="n"/>
      <c r="S60" s="84" t="n"/>
      <c r="T60" s="72">
        <f>SUM(C60:S60)</f>
        <v/>
      </c>
      <c r="U60" s="73">
        <f>T60/T$7</f>
        <v/>
      </c>
      <c r="V60" s="280" t="n"/>
      <c r="W60" s="118" t="n"/>
      <c r="X60" s="280" t="n"/>
      <c r="Y60" s="118" t="n"/>
      <c r="Z60" s="281" t="n"/>
      <c r="AA60" s="118" t="n"/>
      <c r="AB60" s="280" t="n"/>
      <c r="AC60" s="118" t="n"/>
      <c r="AD60" s="282">
        <f>T60+V60+X60+AB60+Z60</f>
        <v/>
      </c>
      <c r="AE60" s="73">
        <f>AD60/AD$7</f>
        <v/>
      </c>
      <c r="AF60" s="74" t="n">
        <v>2</v>
      </c>
      <c r="AG60" s="76">
        <f>AD60*AF60</f>
        <v/>
      </c>
    </row>
    <row r="61" ht="14" customHeight="1">
      <c r="A61" s="65" t="inlineStr">
        <is>
          <t>BNP Paribas Bond 6M Privilege</t>
        </is>
      </c>
      <c r="B61" s="77" t="inlineStr">
        <is>
          <t>FR0013301686</t>
        </is>
      </c>
      <c r="C61" s="67" t="n"/>
      <c r="D61" s="68" t="n"/>
      <c r="E61" s="68" t="n"/>
      <c r="F61" s="68" t="n"/>
      <c r="G61" s="68" t="n"/>
      <c r="H61" s="68" t="n"/>
      <c r="I61" s="68" t="n"/>
      <c r="J61" s="68" t="n"/>
      <c r="K61" s="82" t="n"/>
      <c r="L61" s="68" t="n"/>
      <c r="M61" s="68" t="n"/>
      <c r="N61" s="68" t="n"/>
      <c r="O61" s="68" t="n"/>
      <c r="P61" s="68" t="n"/>
      <c r="Q61" s="83" t="n"/>
      <c r="R61" s="83" t="n"/>
      <c r="S61" s="84" t="n"/>
      <c r="T61" s="72">
        <f>SUM(C61:S61)</f>
        <v/>
      </c>
      <c r="U61" s="73">
        <f>T61/T$7</f>
        <v/>
      </c>
      <c r="V61" s="280" t="n"/>
      <c r="W61" s="118" t="n"/>
      <c r="X61" s="280" t="n"/>
      <c r="Y61" s="118" t="n"/>
      <c r="Z61" s="281" t="n"/>
      <c r="AA61" s="118" t="n"/>
      <c r="AB61" s="280" t="n"/>
      <c r="AC61" s="118" t="n"/>
      <c r="AD61" s="282">
        <f>T61+V61+X61+AB61+Z61</f>
        <v/>
      </c>
      <c r="AE61" s="73">
        <f>AD61/AD$7</f>
        <v/>
      </c>
      <c r="AF61" s="74" t="n">
        <v>2</v>
      </c>
      <c r="AG61" s="76">
        <f>AD61*AF61</f>
        <v/>
      </c>
    </row>
    <row r="62" ht="14" customHeight="1">
      <c r="A62" s="65" t="inlineStr">
        <is>
          <t>Aquila Solitaire Global Bond I</t>
        </is>
      </c>
      <c r="B62" s="77" t="inlineStr">
        <is>
          <t>LI0364281464</t>
        </is>
      </c>
      <c r="C62" s="67" t="n"/>
      <c r="D62" s="68" t="n"/>
      <c r="E62" s="68" t="n"/>
      <c r="F62" s="68" t="n"/>
      <c r="G62" s="68" t="n"/>
      <c r="H62" s="68" t="n"/>
      <c r="I62" s="68" t="n"/>
      <c r="J62" s="68" t="n"/>
      <c r="K62" s="82" t="n"/>
      <c r="L62" s="68" t="n"/>
      <c r="M62" s="68" t="n"/>
      <c r="N62" s="68" t="n"/>
      <c r="O62" s="68" t="n"/>
      <c r="P62" s="68" t="n"/>
      <c r="Q62" s="83" t="n"/>
      <c r="R62" s="83" t="n"/>
      <c r="S62" s="84" t="n"/>
      <c r="T62" s="72">
        <f>SUM(C62:S62)</f>
        <v/>
      </c>
      <c r="U62" s="73">
        <f>T62/T$7</f>
        <v/>
      </c>
      <c r="V62" s="280" t="n"/>
      <c r="W62" s="118" t="n"/>
      <c r="X62" s="280" t="n"/>
      <c r="Y62" s="118" t="n"/>
      <c r="Z62" s="281" t="n"/>
      <c r="AA62" s="118" t="n"/>
      <c r="AB62" s="280" t="n"/>
      <c r="AC62" s="118" t="n"/>
      <c r="AD62" s="282">
        <f>T62+V62+X62+AB62+Z62</f>
        <v/>
      </c>
      <c r="AE62" s="73">
        <f>AD62/AD$7</f>
        <v/>
      </c>
      <c r="AF62" s="74" t="n">
        <v>3</v>
      </c>
      <c r="AG62" s="76">
        <f>AD62*AF62</f>
        <v/>
      </c>
    </row>
    <row r="63" ht="14" customHeight="1">
      <c r="A63" s="65" t="inlineStr">
        <is>
          <t>DNCA Invest Alpha Bonds</t>
        </is>
      </c>
      <c r="B63" s="77" t="inlineStr">
        <is>
          <t>LU1694789378</t>
        </is>
      </c>
      <c r="C63" s="67" t="n"/>
      <c r="D63" s="68" t="n"/>
      <c r="E63" s="68" t="n"/>
      <c r="F63" s="68" t="n"/>
      <c r="G63" s="68" t="n"/>
      <c r="H63" s="68" t="n"/>
      <c r="I63" s="68" t="n"/>
      <c r="J63" s="68" t="n"/>
      <c r="K63" s="82" t="n"/>
      <c r="L63" s="68" t="n"/>
      <c r="M63" s="68" t="n"/>
      <c r="N63" s="68" t="n"/>
      <c r="O63" s="68" t="n"/>
      <c r="P63" s="68" t="n"/>
      <c r="Q63" s="83" t="n"/>
      <c r="R63" s="83" t="n"/>
      <c r="S63" s="84" t="n"/>
      <c r="T63" s="72">
        <f>SUM(C63:S63)</f>
        <v/>
      </c>
      <c r="U63" s="73">
        <f>T63/T$7</f>
        <v/>
      </c>
      <c r="V63" s="280" t="n"/>
      <c r="W63" s="118" t="n"/>
      <c r="X63" s="280" t="n"/>
      <c r="Y63" s="118" t="n"/>
      <c r="Z63" s="281" t="n"/>
      <c r="AA63" s="118" t="n"/>
      <c r="AB63" s="280" t="n"/>
      <c r="AC63" s="118" t="n"/>
      <c r="AD63" s="282">
        <f>T63+V63+X63+AB63+Z63</f>
        <v/>
      </c>
      <c r="AE63" s="73">
        <f>AD63/AD$7</f>
        <v/>
      </c>
      <c r="AF63" s="74" t="n">
        <v>2</v>
      </c>
      <c r="AG63" s="76">
        <f>AD63*AF63</f>
        <v/>
      </c>
    </row>
    <row r="64" ht="14" customHeight="1">
      <c r="A64" s="65" t="inlineStr">
        <is>
          <t>M&amp;G (Lux) Optimal Income Fund C EUR Acc</t>
        </is>
      </c>
      <c r="B64" s="77" t="inlineStr">
        <is>
          <t>LU1670724704</t>
        </is>
      </c>
      <c r="C64" s="67" t="n"/>
      <c r="D64" s="68" t="n"/>
      <c r="E64" s="68" t="n"/>
      <c r="F64" s="68" t="n"/>
      <c r="G64" s="68" t="n"/>
      <c r="H64" s="68" t="n"/>
      <c r="I64" s="68" t="n"/>
      <c r="J64" s="68" t="n"/>
      <c r="K64" s="82" t="n"/>
      <c r="L64" s="68" t="n"/>
      <c r="M64" s="68" t="n"/>
      <c r="N64" s="68" t="n"/>
      <c r="O64" s="68" t="n"/>
      <c r="P64" s="68" t="n"/>
      <c r="Q64" s="83" t="n"/>
      <c r="R64" s="83" t="n"/>
      <c r="S64" s="84" t="n"/>
      <c r="T64" s="72">
        <f>SUM(C64:S64)</f>
        <v/>
      </c>
      <c r="U64" s="73">
        <f>T64/T$7</f>
        <v/>
      </c>
      <c r="V64" s="280" t="n"/>
      <c r="W64" s="118" t="n"/>
      <c r="X64" s="280" t="n"/>
      <c r="Y64" s="118" t="n"/>
      <c r="Z64" s="281" t="n"/>
      <c r="AA64" s="118" t="n"/>
      <c r="AB64" s="280" t="n"/>
      <c r="AC64" s="118" t="n"/>
      <c r="AD64" s="282">
        <f>T64+V64+X64+AB64+Z64</f>
        <v/>
      </c>
      <c r="AE64" s="73">
        <f>AD64/AD$7</f>
        <v/>
      </c>
      <c r="AF64" s="74" t="n">
        <v>3</v>
      </c>
      <c r="AG64" s="76">
        <f>AD64*AF64</f>
        <v/>
      </c>
    </row>
    <row r="65" ht="14" customHeight="1">
      <c r="A65" s="65" t="inlineStr">
        <is>
          <t>Sextant Bond Picking N</t>
        </is>
      </c>
      <c r="B65" s="77" t="inlineStr">
        <is>
          <t>FR0013202140</t>
        </is>
      </c>
      <c r="C65" s="67" t="n"/>
      <c r="D65" s="68" t="n"/>
      <c r="E65" s="68" t="n"/>
      <c r="F65" s="68" t="n"/>
      <c r="G65" s="68" t="n"/>
      <c r="H65" s="68" t="n"/>
      <c r="I65" s="68" t="n"/>
      <c r="J65" s="68" t="n"/>
      <c r="K65" s="82" t="n"/>
      <c r="L65" s="68" t="n"/>
      <c r="M65" s="68" t="n"/>
      <c r="N65" s="68" t="n"/>
      <c r="O65" s="68" t="n"/>
      <c r="P65" s="68" t="n"/>
      <c r="Q65" s="83" t="n"/>
      <c r="R65" s="83" t="n"/>
      <c r="S65" s="84" t="n"/>
      <c r="T65" s="72">
        <f>SUM(C65:S65)</f>
        <v/>
      </c>
      <c r="U65" s="73">
        <f>T65/T$7</f>
        <v/>
      </c>
      <c r="V65" s="280" t="n"/>
      <c r="W65" s="118" t="n"/>
      <c r="X65" s="280" t="n"/>
      <c r="Y65" s="118" t="n"/>
      <c r="Z65" s="281" t="n"/>
      <c r="AA65" s="118" t="n"/>
      <c r="AB65" s="280" t="n"/>
      <c r="AC65" s="118" t="n"/>
      <c r="AD65" s="282">
        <f>T65+V65+X65+AB65+Z65</f>
        <v/>
      </c>
      <c r="AE65" s="73">
        <f>AD65/AD$7</f>
        <v/>
      </c>
      <c r="AF65" s="74" t="n">
        <v>2</v>
      </c>
      <c r="AG65" s="76">
        <f>AD65*AF65</f>
        <v/>
      </c>
    </row>
    <row r="66" ht="14" customHeight="1">
      <c r="A66" s="65" t="inlineStr">
        <is>
          <t>Octo Crédit ISR Court Terme A</t>
        </is>
      </c>
      <c r="B66" s="77" t="inlineStr">
        <is>
          <t>FR0011299411</t>
        </is>
      </c>
      <c r="C66" s="67" t="n"/>
      <c r="D66" s="68" t="n"/>
      <c r="E66" s="68" t="n"/>
      <c r="F66" s="68" t="n"/>
      <c r="G66" s="68" t="n"/>
      <c r="H66" s="68" t="n"/>
      <c r="I66" s="68" t="n"/>
      <c r="J66" s="68" t="n"/>
      <c r="K66" s="82" t="n"/>
      <c r="L66" s="68" t="n"/>
      <c r="M66" s="68" t="n"/>
      <c r="N66" s="68" t="n"/>
      <c r="O66" s="68" t="n"/>
      <c r="P66" s="68" t="n"/>
      <c r="Q66" s="83" t="n"/>
      <c r="R66" s="83" t="n"/>
      <c r="S66" s="84" t="n"/>
      <c r="T66" s="72">
        <f>SUM(C66:S66)</f>
        <v/>
      </c>
      <c r="U66" s="73">
        <f>T66/T$7</f>
        <v/>
      </c>
      <c r="V66" s="280" t="n"/>
      <c r="W66" s="118" t="n"/>
      <c r="X66" s="280" t="n"/>
      <c r="Y66" s="118" t="n"/>
      <c r="Z66" s="281" t="n"/>
      <c r="AA66" s="118" t="n"/>
      <c r="AB66" s="280" t="n"/>
      <c r="AC66" s="118" t="n"/>
      <c r="AD66" s="282">
        <f>T66+V66+X66+AB66+Z66</f>
        <v/>
      </c>
      <c r="AE66" s="73">
        <f>AD66/AD$7</f>
        <v/>
      </c>
      <c r="AF66" s="74" t="n">
        <v>2</v>
      </c>
      <c r="AG66" s="76">
        <f>AD66*AF66</f>
        <v/>
      </c>
    </row>
    <row r="67" ht="14" customHeight="1">
      <c r="A67" s="65" t="inlineStr">
        <is>
          <t>Octo Rendement 2029 AC</t>
        </is>
      </c>
      <c r="B67" s="77" t="inlineStr">
        <is>
          <t>FR001400PXV5</t>
        </is>
      </c>
      <c r="C67" s="67" t="n"/>
      <c r="D67" s="68" t="n"/>
      <c r="E67" s="68" t="n"/>
      <c r="F67" s="68" t="n"/>
      <c r="G67" s="68" t="n"/>
      <c r="H67" s="68" t="n"/>
      <c r="I67" s="68" t="n"/>
      <c r="J67" s="68" t="n"/>
      <c r="K67" s="82" t="n"/>
      <c r="L67" s="68" t="n"/>
      <c r="M67" s="68" t="n"/>
      <c r="N67" s="68" t="n"/>
      <c r="O67" s="68" t="n"/>
      <c r="P67" s="68" t="n"/>
      <c r="Q67" s="83" t="n"/>
      <c r="R67" s="83" t="n"/>
      <c r="S67" s="84" t="n"/>
      <c r="T67" s="72">
        <f>SUM(C67:S67)</f>
        <v/>
      </c>
      <c r="U67" s="73">
        <f>T67/T$7</f>
        <v/>
      </c>
      <c r="V67" s="280" t="n"/>
      <c r="W67" s="118" t="n"/>
      <c r="X67" s="280" t="n"/>
      <c r="Y67" s="118" t="n"/>
      <c r="Z67" s="281" t="n"/>
      <c r="AA67" s="118" t="n"/>
      <c r="AB67" s="280" t="n"/>
      <c r="AC67" s="118" t="n"/>
      <c r="AD67" s="282">
        <f>T67+V67+X67+AB67+Z67</f>
        <v/>
      </c>
      <c r="AE67" s="73">
        <f>AD67/AD$7</f>
        <v/>
      </c>
      <c r="AF67" s="74" t="n">
        <v>2</v>
      </c>
      <c r="AG67" s="76">
        <f>AD67*AF67</f>
        <v/>
      </c>
    </row>
    <row r="68" ht="14" customHeight="1">
      <c r="A68" s="65" t="inlineStr">
        <is>
          <t>Octo Rendement 2028 AC</t>
        </is>
      </c>
      <c r="B68" s="77" t="inlineStr">
        <is>
          <t>FR001400CP04</t>
        </is>
      </c>
      <c r="C68" s="67" t="n"/>
      <c r="D68" s="68" t="n"/>
      <c r="E68" s="68" t="n"/>
      <c r="F68" s="68" t="n"/>
      <c r="G68" s="68" t="n"/>
      <c r="H68" s="68" t="n"/>
      <c r="I68" s="68" t="n"/>
      <c r="J68" s="68" t="n"/>
      <c r="K68" s="82" t="n"/>
      <c r="L68" s="68" t="n"/>
      <c r="M68" s="68" t="n"/>
      <c r="N68" s="68" t="n"/>
      <c r="O68" s="68" t="n"/>
      <c r="P68" s="68" t="n"/>
      <c r="Q68" s="83" t="n"/>
      <c r="R68" s="83" t="n"/>
      <c r="S68" s="84" t="n"/>
      <c r="T68" s="72">
        <f>SUM(C68:S68)</f>
        <v/>
      </c>
      <c r="U68" s="73">
        <f>T68/T$7</f>
        <v/>
      </c>
      <c r="V68" s="280" t="n"/>
      <c r="W68" s="118" t="n"/>
      <c r="X68" s="280" t="n"/>
      <c r="Y68" s="118" t="n"/>
      <c r="Z68" s="281" t="n"/>
      <c r="AA68" s="118" t="n"/>
      <c r="AB68" s="280" t="n"/>
      <c r="AC68" s="118" t="n"/>
      <c r="AD68" s="282">
        <f>T68+V68+X68+AB68+Z68</f>
        <v/>
      </c>
      <c r="AE68" s="73">
        <f>AD68/AD$7</f>
        <v/>
      </c>
      <c r="AF68" s="74" t="n">
        <v>2</v>
      </c>
      <c r="AG68" s="76">
        <f>AD68*AF68</f>
        <v/>
      </c>
    </row>
    <row r="69" ht="14" customHeight="1">
      <c r="A69" s="65" t="inlineStr">
        <is>
          <t xml:space="preserve">Sanso Objectif Rendement 2031 I </t>
        </is>
      </c>
      <c r="B69" s="77" t="inlineStr">
        <is>
          <t>FR0010804005</t>
        </is>
      </c>
      <c r="C69" s="67" t="n"/>
      <c r="D69" s="68" t="n"/>
      <c r="E69" s="68" t="n"/>
      <c r="F69" s="68" t="n"/>
      <c r="G69" s="68" t="n"/>
      <c r="H69" s="68" t="n"/>
      <c r="I69" s="68" t="n"/>
      <c r="J69" s="68" t="n"/>
      <c r="K69" s="82" t="n"/>
      <c r="L69" s="68" t="n"/>
      <c r="M69" s="68" t="n"/>
      <c r="N69" s="68" t="n"/>
      <c r="O69" s="68" t="n"/>
      <c r="P69" s="68" t="n"/>
      <c r="Q69" s="83" t="n"/>
      <c r="R69" s="83" t="n"/>
      <c r="S69" s="84" t="n"/>
      <c r="T69" s="72">
        <f>SUM(C69:S69)</f>
        <v/>
      </c>
      <c r="U69" s="73">
        <f>T69/T$7</f>
        <v/>
      </c>
      <c r="V69" s="280" t="n"/>
      <c r="W69" s="118" t="n"/>
      <c r="X69" s="280" t="n"/>
      <c r="Y69" s="118" t="n"/>
      <c r="Z69" s="281" t="n"/>
      <c r="AA69" s="118" t="n"/>
      <c r="AB69" s="280" t="n"/>
      <c r="AC69" s="118" t="n"/>
      <c r="AD69" s="282">
        <f>T69+V69+X69+AB69+Z69</f>
        <v/>
      </c>
      <c r="AE69" s="73">
        <f>AD69/AD$7</f>
        <v/>
      </c>
      <c r="AF69" s="74" t="n">
        <v>2</v>
      </c>
      <c r="AG69" s="76">
        <f>AD69*AF69</f>
        <v/>
      </c>
    </row>
    <row r="70" ht="14" customHeight="1">
      <c r="A70" s="65" t="inlineStr">
        <is>
          <t>Schelder Global Yield 2028</t>
        </is>
      </c>
      <c r="B70" s="77" t="inlineStr">
        <is>
          <t>FR001400EZY8</t>
        </is>
      </c>
      <c r="C70" s="67" t="n"/>
      <c r="D70" s="68" t="n"/>
      <c r="E70" s="68" t="n"/>
      <c r="F70" s="68" t="n"/>
      <c r="G70" s="68" t="n"/>
      <c r="H70" s="68" t="n"/>
      <c r="I70" s="68" t="n"/>
      <c r="J70" s="68" t="n"/>
      <c r="K70" s="82" t="n"/>
      <c r="L70" s="68" t="n"/>
      <c r="M70" s="68" t="n"/>
      <c r="N70" s="68" t="n"/>
      <c r="O70" s="68" t="n"/>
      <c r="P70" s="68" t="n"/>
      <c r="Q70" s="83" t="n"/>
      <c r="R70" s="83" t="n"/>
      <c r="S70" s="84" t="n"/>
      <c r="T70" s="72">
        <f>SUM(C70:S70)</f>
        <v/>
      </c>
      <c r="U70" s="73">
        <f>T70/T$7</f>
        <v/>
      </c>
      <c r="V70" s="280" t="n"/>
      <c r="W70" s="118" t="n"/>
      <c r="X70" s="280" t="n"/>
      <c r="Y70" s="118" t="n"/>
      <c r="Z70" s="281" t="n"/>
      <c r="AA70" s="118" t="n"/>
      <c r="AB70" s="280" t="n"/>
      <c r="AC70" s="118" t="n"/>
      <c r="AD70" s="282">
        <f>T70+V70+X70+AB70+Z70</f>
        <v/>
      </c>
      <c r="AE70" s="73">
        <f>AD70/AD$7</f>
        <v/>
      </c>
      <c r="AF70" s="74" t="n">
        <v>3</v>
      </c>
      <c r="AG70" s="76">
        <f>AD70*AF70</f>
        <v/>
      </c>
    </row>
    <row r="71" ht="14" customHeight="1">
      <c r="A71" s="65" t="inlineStr">
        <is>
          <t>Carmignac Credit 2029 A EUR Acc</t>
        </is>
      </c>
      <c r="B71" s="77" t="inlineStr">
        <is>
          <t>FR001400KAV4</t>
        </is>
      </c>
      <c r="C71" s="67" t="n"/>
      <c r="D71" s="68" t="n"/>
      <c r="E71" s="68" t="n"/>
      <c r="F71" s="68" t="n"/>
      <c r="G71" s="68" t="n"/>
      <c r="H71" s="68" t="n"/>
      <c r="I71" s="68" t="n"/>
      <c r="J71" s="68" t="n"/>
      <c r="K71" s="82" t="n"/>
      <c r="L71" s="68" t="n"/>
      <c r="M71" s="68" t="n"/>
      <c r="N71" s="68" t="n"/>
      <c r="O71" s="68" t="n"/>
      <c r="P71" s="68" t="n"/>
      <c r="Q71" s="83" t="n"/>
      <c r="R71" s="83" t="n"/>
      <c r="S71" s="84" t="n"/>
      <c r="T71" s="72">
        <f>SUM(C71:S71)</f>
        <v/>
      </c>
      <c r="U71" s="73">
        <f>T71/T$7</f>
        <v/>
      </c>
      <c r="V71" s="280" t="n"/>
      <c r="W71" s="118" t="n"/>
      <c r="X71" s="280" t="n"/>
      <c r="Y71" s="118" t="n"/>
      <c r="Z71" s="281" t="n"/>
      <c r="AA71" s="118" t="n"/>
      <c r="AB71" s="280" t="n"/>
      <c r="AC71" s="118" t="n"/>
      <c r="AD71" s="282">
        <f>T71+V71+X71+AB71+Z71</f>
        <v/>
      </c>
      <c r="AE71" s="73">
        <f>AD71/AD$7</f>
        <v/>
      </c>
      <c r="AF71" s="74" t="n">
        <v>2</v>
      </c>
      <c r="AG71" s="76">
        <f>AD71*AF71</f>
        <v/>
      </c>
    </row>
    <row r="72" ht="14" customHeight="1">
      <c r="A72" s="65" t="inlineStr">
        <is>
          <t>H2O Multibonds IC</t>
        </is>
      </c>
      <c r="B72" s="77" t="inlineStr">
        <is>
          <t>FR0010930438</t>
        </is>
      </c>
      <c r="C72" s="67" t="n"/>
      <c r="D72" s="67" t="n"/>
      <c r="E72" s="67" t="n"/>
      <c r="F72" s="67" t="n"/>
      <c r="G72" s="67" t="n"/>
      <c r="H72" s="67" t="n"/>
      <c r="I72" s="67" t="n"/>
      <c r="J72" s="67" t="n"/>
      <c r="K72" s="69" t="n"/>
      <c r="L72" s="67" t="n"/>
      <c r="M72" s="67" t="n"/>
      <c r="N72" s="67" t="n"/>
      <c r="O72" s="67" t="n"/>
      <c r="P72" s="67" t="n"/>
      <c r="Q72" s="70" t="n"/>
      <c r="R72" s="70" t="n"/>
      <c r="S72" s="71" t="n"/>
      <c r="T72" s="72">
        <f>SUM(C72:S72)</f>
        <v/>
      </c>
      <c r="U72" s="73">
        <f>T72/T$7</f>
        <v/>
      </c>
      <c r="V72" s="280" t="n"/>
      <c r="W72" s="118" t="n"/>
      <c r="X72" s="280" t="n"/>
      <c r="Y72" s="118" t="n"/>
      <c r="Z72" s="281" t="n"/>
      <c r="AA72" s="118" t="n"/>
      <c r="AB72" s="280" t="n"/>
      <c r="AC72" s="118" t="n"/>
      <c r="AD72" s="282">
        <f>T72+V72+X72+AB72+Z72</f>
        <v/>
      </c>
      <c r="AE72" s="73">
        <f>AD72/AD$7</f>
        <v/>
      </c>
      <c r="AF72" s="74" t="n">
        <v>6</v>
      </c>
      <c r="AG72" s="76">
        <f>AD72*AF72</f>
        <v/>
      </c>
    </row>
    <row r="73" ht="14" customHeight="1">
      <c r="A73" s="65" t="inlineStr">
        <is>
          <t>H2O Multibonds N</t>
        </is>
      </c>
      <c r="B73" s="77" t="inlineStr">
        <is>
          <t>FR0013186707</t>
        </is>
      </c>
      <c r="C73" s="67" t="n"/>
      <c r="D73" s="67" t="n"/>
      <c r="E73" s="67" t="n"/>
      <c r="F73" s="67" t="n"/>
      <c r="G73" s="67" t="n"/>
      <c r="H73" s="67" t="n"/>
      <c r="I73" s="67" t="n"/>
      <c r="J73" s="67" t="n"/>
      <c r="K73" s="69" t="n"/>
      <c r="L73" s="67" t="n"/>
      <c r="M73" s="67" t="n"/>
      <c r="N73" s="67" t="n"/>
      <c r="O73" s="67" t="n"/>
      <c r="P73" s="67" t="n"/>
      <c r="Q73" s="70" t="n"/>
      <c r="R73" s="70" t="n"/>
      <c r="S73" s="71" t="n"/>
      <c r="T73" s="72">
        <f>SUM(C73:S73)</f>
        <v/>
      </c>
      <c r="U73" s="73">
        <f>T73/T$7</f>
        <v/>
      </c>
      <c r="V73" s="280" t="n"/>
      <c r="W73" s="118" t="n"/>
      <c r="X73" s="280" t="n"/>
      <c r="Y73" s="118" t="n"/>
      <c r="Z73" s="281" t="n"/>
      <c r="AA73" s="118" t="n"/>
      <c r="AB73" s="280" t="n"/>
      <c r="AC73" s="118" t="n"/>
      <c r="AD73" s="282">
        <f>T73+V73+X73+AB73+Z73</f>
        <v/>
      </c>
      <c r="AE73" s="73">
        <f>AD73/AD$7</f>
        <v/>
      </c>
      <c r="AF73" s="74" t="n">
        <v>7</v>
      </c>
      <c r="AG73" s="76">
        <f>AD73*AF73</f>
        <v/>
      </c>
    </row>
    <row r="74" ht="14" customHeight="1">
      <c r="A74" s="65" t="inlineStr">
        <is>
          <t>H2O Multibonds REUR C</t>
        </is>
      </c>
      <c r="B74" s="77" t="inlineStr">
        <is>
          <t>FR0010923375</t>
        </is>
      </c>
      <c r="C74" s="67" t="n"/>
      <c r="D74" s="67" t="n"/>
      <c r="E74" s="67" t="n"/>
      <c r="F74" s="67" t="n"/>
      <c r="G74" s="67" t="n"/>
      <c r="H74" s="67" t="n"/>
      <c r="I74" s="67" t="n"/>
      <c r="J74" s="67" t="n"/>
      <c r="K74" s="69" t="n"/>
      <c r="L74" s="67" t="n"/>
      <c r="M74" s="67" t="n"/>
      <c r="N74" s="67" t="n"/>
      <c r="O74" s="67" t="n"/>
      <c r="P74" s="67" t="n"/>
      <c r="Q74" s="70" t="n"/>
      <c r="R74" s="70" t="n"/>
      <c r="S74" s="71" t="n"/>
      <c r="T74" s="72">
        <f>SUM(C74:S74)</f>
        <v/>
      </c>
      <c r="U74" s="73">
        <f>T74/T$7</f>
        <v/>
      </c>
      <c r="V74" s="280" t="n"/>
      <c r="W74" s="118" t="n"/>
      <c r="X74" s="280" t="n"/>
      <c r="Y74" s="118" t="n"/>
      <c r="Z74" s="281" t="n"/>
      <c r="AA74" s="118" t="n"/>
      <c r="AB74" s="280" t="n"/>
      <c r="AC74" s="118" t="n"/>
      <c r="AD74" s="282">
        <f>T74+V74+X74+AB74+Z74</f>
        <v/>
      </c>
      <c r="AE74" s="73">
        <f>AD74/AD$7</f>
        <v/>
      </c>
      <c r="AF74" s="74" t="n">
        <v>6</v>
      </c>
      <c r="AG74" s="76">
        <f>AD74*AF74</f>
        <v/>
      </c>
    </row>
    <row r="75" ht="14" customHeight="1">
      <c r="A75" s="65" t="inlineStr">
        <is>
          <t>H2O Multibonds SR</t>
        </is>
      </c>
      <c r="B75" s="77" t="inlineStr">
        <is>
          <t>FR0013393329</t>
        </is>
      </c>
      <c r="C75" s="67" t="n"/>
      <c r="D75" s="67" t="n"/>
      <c r="E75" s="67" t="n"/>
      <c r="F75" s="67" t="n"/>
      <c r="G75" s="67" t="n"/>
      <c r="H75" s="67" t="n"/>
      <c r="I75" s="67" t="n"/>
      <c r="J75" s="67" t="n"/>
      <c r="K75" s="69" t="n"/>
      <c r="L75" s="67" t="n"/>
      <c r="M75" s="67" t="n"/>
      <c r="N75" s="67" t="n"/>
      <c r="O75" s="67" t="n"/>
      <c r="P75" s="67" t="n"/>
      <c r="Q75" s="70" t="n"/>
      <c r="R75" s="70" t="n"/>
      <c r="S75" s="71" t="n"/>
      <c r="T75" s="72">
        <f>SUM(C75:S75)</f>
        <v/>
      </c>
      <c r="U75" s="73">
        <f>T75/T$7</f>
        <v/>
      </c>
      <c r="V75" s="280" t="n"/>
      <c r="W75" s="118" t="n"/>
      <c r="X75" s="280" t="n"/>
      <c r="Y75" s="118" t="n"/>
      <c r="Z75" s="281" t="n"/>
      <c r="AA75" s="118" t="n"/>
      <c r="AB75" s="280" t="n"/>
      <c r="AC75" s="118" t="n"/>
      <c r="AD75" s="282">
        <f>T75+V75+X75+AB75+Z75</f>
        <v/>
      </c>
      <c r="AE75" s="73">
        <f>AD75/AD$7</f>
        <v/>
      </c>
      <c r="AF75" s="74" t="n">
        <v>6</v>
      </c>
      <c r="AG75" s="76">
        <f>AD75*AF75</f>
        <v/>
      </c>
    </row>
    <row r="76" ht="14" customHeight="1">
      <c r="A76" s="65" t="inlineStr">
        <is>
          <t>H2O Multibonds SP R©</t>
        </is>
      </c>
      <c r="B76" s="77" t="inlineStr">
        <is>
          <t>FR0013535952</t>
        </is>
      </c>
      <c r="C76" s="67" t="n"/>
      <c r="D76" s="67" t="n"/>
      <c r="E76" s="67" t="n"/>
      <c r="F76" s="67" t="n"/>
      <c r="G76" s="67" t="n"/>
      <c r="H76" s="67" t="n"/>
      <c r="I76" s="67" t="n"/>
      <c r="J76" s="67" t="n"/>
      <c r="K76" s="69" t="n"/>
      <c r="L76" s="67" t="n"/>
      <c r="M76" s="67" t="n"/>
      <c r="N76" s="67" t="n"/>
      <c r="O76" s="67" t="n"/>
      <c r="P76" s="67" t="n"/>
      <c r="Q76" s="70" t="n"/>
      <c r="R76" s="70" t="n"/>
      <c r="S76" s="71" t="n"/>
      <c r="T76" s="72">
        <f>SUM(C76:S76)</f>
        <v/>
      </c>
      <c r="U76" s="73">
        <f>T76/T$7</f>
        <v/>
      </c>
      <c r="V76" s="280" t="n"/>
      <c r="W76" s="118" t="n"/>
      <c r="X76" s="280" t="n"/>
      <c r="Y76" s="118" t="n"/>
      <c r="Z76" s="281" t="n"/>
      <c r="AA76" s="118" t="n"/>
      <c r="AB76" s="280" t="n"/>
      <c r="AC76" s="118" t="n"/>
      <c r="AD76" s="282">
        <f>T76+V76+X76+AB76+Z76</f>
        <v/>
      </c>
      <c r="AE76" s="73">
        <f>AD76/AD$7</f>
        <v/>
      </c>
      <c r="AF76" s="74" t="n">
        <v>7</v>
      </c>
      <c r="AG76" s="76">
        <f>AD76*AF76</f>
        <v/>
      </c>
    </row>
    <row r="77" ht="14" customHeight="1">
      <c r="A77" s="65" t="inlineStr">
        <is>
          <t>H2O Multibonds SP SR©</t>
        </is>
      </c>
      <c r="B77" s="77" t="inlineStr">
        <is>
          <t>FR0013536109</t>
        </is>
      </c>
      <c r="C77" s="67" t="n"/>
      <c r="D77" s="67" t="n"/>
      <c r="E77" s="67" t="n"/>
      <c r="F77" s="67" t="n"/>
      <c r="G77" s="67" t="n"/>
      <c r="H77" s="67" t="n"/>
      <c r="I77" s="67" t="n"/>
      <c r="J77" s="67" t="n"/>
      <c r="K77" s="69" t="n"/>
      <c r="L77" s="67" t="n"/>
      <c r="M77" s="67" t="n"/>
      <c r="N77" s="67" t="n"/>
      <c r="O77" s="67" t="n"/>
      <c r="P77" s="67" t="n"/>
      <c r="Q77" s="70" t="n"/>
      <c r="R77" s="70" t="n"/>
      <c r="S77" s="71" t="n"/>
      <c r="T77" s="72">
        <f>SUM(C77:S77)</f>
        <v/>
      </c>
      <c r="U77" s="73">
        <f>T77/T$7</f>
        <v/>
      </c>
      <c r="V77" s="280" t="n"/>
      <c r="W77" s="118" t="n"/>
      <c r="X77" s="280" t="n"/>
      <c r="Y77" s="118" t="n"/>
      <c r="Z77" s="281" t="n"/>
      <c r="AA77" s="118" t="n"/>
      <c r="AB77" s="280" t="n"/>
      <c r="AC77" s="118" t="n"/>
      <c r="AD77" s="282">
        <f>T77+V77+X77+AB77+Z77</f>
        <v/>
      </c>
      <c r="AE77" s="73">
        <f>AD77/AD$7</f>
        <v/>
      </c>
      <c r="AF77" s="74" t="n">
        <v>7</v>
      </c>
      <c r="AG77" s="76">
        <f>AD77*AF77</f>
        <v/>
      </c>
    </row>
    <row r="78" ht="14" customHeight="1">
      <c r="A78" s="65" t="inlineStr">
        <is>
          <t>H2O Multibonds SP I EUR ACC</t>
        </is>
      </c>
      <c r="B78" s="77" t="inlineStr">
        <is>
          <t>FR0013535960</t>
        </is>
      </c>
      <c r="C78" s="67" t="n"/>
      <c r="D78" s="67" t="n"/>
      <c r="E78" s="67" t="n"/>
      <c r="F78" s="67" t="n"/>
      <c r="G78" s="67" t="n"/>
      <c r="H78" s="67" t="n"/>
      <c r="I78" s="67" t="n"/>
      <c r="J78" s="67" t="n"/>
      <c r="K78" s="69" t="n"/>
      <c r="L78" s="67" t="n"/>
      <c r="M78" s="67" t="n"/>
      <c r="N78" s="67" t="n"/>
      <c r="O78" s="67" t="n"/>
      <c r="P78" s="67" t="n"/>
      <c r="Q78" s="70" t="n"/>
      <c r="R78" s="70" t="n"/>
      <c r="S78" s="71" t="n"/>
      <c r="T78" s="72">
        <f>SUM(C78:S78)</f>
        <v/>
      </c>
      <c r="U78" s="73">
        <f>T78/T$7</f>
        <v/>
      </c>
      <c r="V78" s="280" t="n"/>
      <c r="W78" s="118" t="n"/>
      <c r="X78" s="280" t="n"/>
      <c r="Y78" s="118" t="n"/>
      <c r="Z78" s="281" t="n"/>
      <c r="AA78" s="118" t="n"/>
      <c r="AB78" s="280" t="n"/>
      <c r="AC78" s="118" t="n"/>
      <c r="AD78" s="282">
        <f>T78+V78+X78+AB78+Z78</f>
        <v/>
      </c>
      <c r="AE78" s="73">
        <f>AD78/AD$7</f>
        <v/>
      </c>
      <c r="AF78" s="74" t="n">
        <v>7</v>
      </c>
      <c r="AG78" s="76">
        <f>AD78*AF78</f>
        <v/>
      </c>
    </row>
    <row r="79" ht="14" customHeight="1">
      <c r="A79" s="65" t="inlineStr">
        <is>
          <t>H2O Multibonds SP NEUR ©</t>
        </is>
      </c>
      <c r="B79" s="77" t="inlineStr">
        <is>
          <t xml:space="preserve">FR0013536083 </t>
        </is>
      </c>
      <c r="C79" s="67" t="n"/>
      <c r="D79" s="67" t="n"/>
      <c r="E79" s="67" t="n"/>
      <c r="F79" s="67" t="n"/>
      <c r="G79" s="67" t="n"/>
      <c r="H79" s="67" t="n"/>
      <c r="I79" s="67" t="n"/>
      <c r="J79" s="67" t="n"/>
      <c r="K79" s="69" t="n"/>
      <c r="L79" s="67" t="n"/>
      <c r="M79" s="67" t="n"/>
      <c r="N79" s="67" t="n"/>
      <c r="O79" s="67" t="n"/>
      <c r="P79" s="67" t="n"/>
      <c r="Q79" s="70" t="n"/>
      <c r="R79" s="70" t="n"/>
      <c r="S79" s="71" t="n"/>
      <c r="T79" s="72">
        <f>SUM(C79:S79)</f>
        <v/>
      </c>
      <c r="U79" s="73">
        <f>T79/T$7</f>
        <v/>
      </c>
      <c r="V79" s="280" t="n"/>
      <c r="W79" s="118" t="n"/>
      <c r="X79" s="280" t="n"/>
      <c r="Y79" s="118" t="n"/>
      <c r="Z79" s="281" t="n"/>
      <c r="AA79" s="118" t="n"/>
      <c r="AB79" s="280" t="n"/>
      <c r="AC79" s="118" t="n"/>
      <c r="AD79" s="282">
        <f>T79+V79+X79+AB79+Z79</f>
        <v/>
      </c>
      <c r="AE79" s="73">
        <f>AD79/AD$7</f>
        <v/>
      </c>
      <c r="AF79" s="74" t="n">
        <v>7</v>
      </c>
      <c r="AG79" s="76">
        <f>AD79*AF79</f>
        <v/>
      </c>
    </row>
    <row r="80" ht="14" customHeight="1">
      <c r="A80" s="65" t="inlineStr">
        <is>
          <t>Allianz Euro Hight Yield RC</t>
        </is>
      </c>
      <c r="B80" s="77" t="inlineStr">
        <is>
          <t>FR0010032326</t>
        </is>
      </c>
      <c r="C80" s="67" t="n"/>
      <c r="D80" s="68" t="n"/>
      <c r="E80" s="68" t="n"/>
      <c r="F80" s="68" t="n"/>
      <c r="G80" s="68" t="n"/>
      <c r="H80" s="68" t="n"/>
      <c r="I80" s="68" t="n"/>
      <c r="J80" s="68" t="n"/>
      <c r="K80" s="82" t="n"/>
      <c r="L80" s="68" t="n"/>
      <c r="M80" s="68" t="n"/>
      <c r="N80" s="68" t="n"/>
      <c r="O80" s="68" t="n"/>
      <c r="P80" s="68" t="n"/>
      <c r="Q80" s="83" t="n"/>
      <c r="R80" s="83" t="n"/>
      <c r="S80" s="84" t="n"/>
      <c r="T80" s="72">
        <f>SUM(C80:S80)</f>
        <v/>
      </c>
      <c r="U80" s="73">
        <f>T80/T$7</f>
        <v/>
      </c>
      <c r="V80" s="280" t="n"/>
      <c r="W80" s="118" t="n"/>
      <c r="X80" s="280" t="n"/>
      <c r="Y80" s="118" t="n"/>
      <c r="Z80" s="281" t="n"/>
      <c r="AA80" s="118" t="n"/>
      <c r="AB80" s="280" t="n"/>
      <c r="AC80" s="118" t="n"/>
      <c r="AD80" s="282">
        <f>T80+V80+X80+AB80+Z80</f>
        <v/>
      </c>
      <c r="AE80" s="73">
        <f>AD80/AD$7</f>
        <v/>
      </c>
      <c r="AF80" s="74" t="n">
        <v>2</v>
      </c>
      <c r="AG80" s="76">
        <f>AD80*AF80</f>
        <v/>
      </c>
    </row>
    <row r="81" ht="14" customHeight="1">
      <c r="A81" s="65" t="inlineStr">
        <is>
          <t>Omnibond R</t>
        </is>
      </c>
      <c r="B81" s="77" t="inlineStr">
        <is>
          <t>FR0011147594</t>
        </is>
      </c>
      <c r="C81" s="67" t="n"/>
      <c r="D81" s="68" t="n"/>
      <c r="E81" s="68" t="n"/>
      <c r="F81" s="68" t="n"/>
      <c r="G81" s="68" t="n"/>
      <c r="H81" s="68" t="n"/>
      <c r="I81" s="68" t="n"/>
      <c r="J81" s="68" t="n"/>
      <c r="K81" s="82" t="n"/>
      <c r="L81" s="68" t="n"/>
      <c r="M81" s="68" t="n"/>
      <c r="N81" s="68" t="n"/>
      <c r="O81" s="68" t="n"/>
      <c r="P81" s="68" t="n"/>
      <c r="Q81" s="83" t="n"/>
      <c r="R81" s="83" t="n"/>
      <c r="S81" s="84" t="n"/>
      <c r="T81" s="72">
        <f>SUM(C81:S81)</f>
        <v/>
      </c>
      <c r="U81" s="73">
        <f>T81/T$7</f>
        <v/>
      </c>
      <c r="V81" s="280" t="n"/>
      <c r="W81" s="118" t="n"/>
      <c r="X81" s="280" t="n"/>
      <c r="Y81" s="118" t="n"/>
      <c r="Z81" s="281" t="n"/>
      <c r="AA81" s="118" t="n"/>
      <c r="AB81" s="280" t="n"/>
      <c r="AC81" s="118" t="n"/>
      <c r="AD81" s="282">
        <f>T81+V81+X81+AB81+Z81</f>
        <v/>
      </c>
      <c r="AE81" s="73">
        <f>AD81/AD$7</f>
        <v/>
      </c>
      <c r="AF81" s="74" t="n">
        <v>2</v>
      </c>
      <c r="AG81" s="76">
        <f>AD81*AF81</f>
        <v/>
      </c>
    </row>
    <row r="82" ht="14" customHeight="1">
      <c r="A82" s="65" t="n"/>
      <c r="B82" s="79" t="n"/>
      <c r="C82" s="67" t="n"/>
      <c r="D82" s="68" t="n"/>
      <c r="E82" s="68" t="n"/>
      <c r="F82" s="68" t="n"/>
      <c r="G82" s="68" t="n"/>
      <c r="H82" s="68" t="n"/>
      <c r="I82" s="68" t="n"/>
      <c r="J82" s="68" t="n"/>
      <c r="K82" s="82" t="n"/>
      <c r="L82" s="68" t="n"/>
      <c r="M82" s="68" t="n"/>
      <c r="N82" s="68" t="n"/>
      <c r="O82" s="68" t="n"/>
      <c r="P82" s="68" t="n"/>
      <c r="Q82" s="83" t="n"/>
      <c r="R82" s="83" t="n"/>
      <c r="S82" s="84" t="n"/>
      <c r="T82" s="72">
        <f>SUM(C82:S82)</f>
        <v/>
      </c>
      <c r="U82" s="73">
        <f>T82/T$7</f>
        <v/>
      </c>
      <c r="V82" s="280" t="n"/>
      <c r="W82" s="118" t="n"/>
      <c r="X82" s="280" t="n"/>
      <c r="Y82" s="118" t="n"/>
      <c r="Z82" s="281" t="n"/>
      <c r="AA82" s="118" t="n"/>
      <c r="AB82" s="280" t="n"/>
      <c r="AC82" s="118" t="n"/>
      <c r="AD82" s="282">
        <f>T82+V82+X82+AB82+Z82</f>
        <v/>
      </c>
      <c r="AE82" s="73">
        <f>AD82/AD$7</f>
        <v/>
      </c>
      <c r="AF82" s="74" t="n"/>
      <c r="AG82" s="76">
        <f>AD82*AF82</f>
        <v/>
      </c>
    </row>
    <row r="83" ht="14" customHeight="1">
      <c r="A83" s="65" t="n"/>
      <c r="B83" s="79" t="n"/>
      <c r="C83" s="67" t="n"/>
      <c r="D83" s="68" t="n"/>
      <c r="E83" s="68" t="n"/>
      <c r="F83" s="68" t="n"/>
      <c r="G83" s="68" t="n"/>
      <c r="H83" s="68" t="n"/>
      <c r="I83" s="68" t="n"/>
      <c r="J83" s="68" t="n"/>
      <c r="K83" s="82" t="n"/>
      <c r="L83" s="68" t="n"/>
      <c r="M83" s="68" t="n"/>
      <c r="N83" s="68" t="n"/>
      <c r="O83" s="68" t="n"/>
      <c r="P83" s="68" t="n"/>
      <c r="Q83" s="83" t="n"/>
      <c r="R83" s="83" t="n"/>
      <c r="S83" s="84" t="n"/>
      <c r="T83" s="72" t="n"/>
      <c r="U83" s="73" t="n"/>
      <c r="V83" s="280" t="n"/>
      <c r="W83" s="118" t="n"/>
      <c r="X83" s="280" t="n"/>
      <c r="Y83" s="118" t="n"/>
      <c r="Z83" s="281" t="n"/>
      <c r="AA83" s="118" t="n"/>
      <c r="AB83" s="280" t="n"/>
      <c r="AC83" s="118" t="n"/>
      <c r="AD83" s="282">
        <f>T83+V83+X83+AB83+Z83</f>
        <v/>
      </c>
      <c r="AE83" s="73">
        <f>AD83/AD$7</f>
        <v/>
      </c>
      <c r="AF83" s="74" t="n"/>
      <c r="AG83" s="76">
        <f>AD83*AF83</f>
        <v/>
      </c>
    </row>
    <row r="84" ht="14" customHeight="1">
      <c r="A84" s="65" t="n"/>
      <c r="B84" s="79" t="n"/>
      <c r="C84" s="67" t="n"/>
      <c r="D84" s="68" t="n"/>
      <c r="E84" s="68" t="n"/>
      <c r="F84" s="68" t="n"/>
      <c r="G84" s="68" t="n"/>
      <c r="H84" s="68" t="n"/>
      <c r="I84" s="68" t="n"/>
      <c r="J84" s="68" t="n"/>
      <c r="K84" s="82" t="n"/>
      <c r="L84" s="68" t="n"/>
      <c r="M84" s="68" t="n"/>
      <c r="N84" s="68" t="n"/>
      <c r="O84" s="68" t="n"/>
      <c r="P84" s="68" t="n"/>
      <c r="Q84" s="83" t="n"/>
      <c r="R84" s="83" t="n"/>
      <c r="S84" s="84" t="n"/>
      <c r="T84" s="72" t="n"/>
      <c r="U84" s="73" t="n"/>
      <c r="V84" s="280" t="n"/>
      <c r="W84" s="118" t="n"/>
      <c r="X84" s="280" t="n"/>
      <c r="Y84" s="118" t="n"/>
      <c r="Z84" s="281" t="n"/>
      <c r="AA84" s="118" t="n"/>
      <c r="AB84" s="280" t="n"/>
      <c r="AC84" s="118" t="n"/>
      <c r="AD84" s="282">
        <f>T84+V84+X84+AB84+Z84</f>
        <v/>
      </c>
      <c r="AE84" s="73">
        <f>AD84/AD$7</f>
        <v/>
      </c>
      <c r="AF84" s="74" t="n"/>
      <c r="AG84" s="76">
        <f>AD84*AF84</f>
        <v/>
      </c>
    </row>
    <row r="85" ht="14" customHeight="1">
      <c r="A85" s="65" t="n"/>
      <c r="B85" s="79" t="n"/>
      <c r="C85" s="67" t="n"/>
      <c r="D85" s="68" t="n"/>
      <c r="E85" s="68" t="n"/>
      <c r="F85" s="68" t="n"/>
      <c r="G85" s="68" t="n"/>
      <c r="H85" s="68" t="n"/>
      <c r="I85" s="68" t="n"/>
      <c r="J85" s="68" t="n"/>
      <c r="K85" s="82" t="n"/>
      <c r="L85" s="68" t="n"/>
      <c r="M85" s="68" t="n"/>
      <c r="N85" s="68" t="n"/>
      <c r="O85" s="68" t="n"/>
      <c r="P85" s="68" t="n"/>
      <c r="Q85" s="83" t="n"/>
      <c r="R85" s="83" t="n"/>
      <c r="S85" s="84" t="n"/>
      <c r="T85" s="72" t="n"/>
      <c r="U85" s="73" t="n"/>
      <c r="V85" s="280" t="n"/>
      <c r="W85" s="118" t="n"/>
      <c r="X85" s="280" t="n"/>
      <c r="Y85" s="118" t="n"/>
      <c r="Z85" s="281" t="n"/>
      <c r="AA85" s="118" t="n"/>
      <c r="AB85" s="280" t="n"/>
      <c r="AC85" s="118" t="n"/>
      <c r="AD85" s="282">
        <f>T85+V85+X85+AB85+Z85</f>
        <v/>
      </c>
      <c r="AE85" s="73">
        <f>AD85/AD$7</f>
        <v/>
      </c>
      <c r="AF85" s="74" t="n"/>
      <c r="AG85" s="76">
        <f>AD85*AF85</f>
        <v/>
      </c>
    </row>
    <row r="86" ht="14" customHeight="1">
      <c r="A86" s="65" t="n"/>
      <c r="B86" s="79" t="n"/>
      <c r="C86" s="67" t="n"/>
      <c r="D86" s="68" t="n"/>
      <c r="E86" s="68" t="n"/>
      <c r="F86" s="68" t="n"/>
      <c r="G86" s="68" t="n"/>
      <c r="H86" s="68" t="n"/>
      <c r="I86" s="68" t="n"/>
      <c r="J86" s="68" t="n"/>
      <c r="K86" s="82" t="n"/>
      <c r="L86" s="68" t="n"/>
      <c r="M86" s="68" t="n"/>
      <c r="N86" s="68" t="n"/>
      <c r="O86" s="68" t="n"/>
      <c r="P86" s="68" t="n"/>
      <c r="Q86" s="83" t="n"/>
      <c r="R86" s="83" t="n"/>
      <c r="S86" s="84" t="n"/>
      <c r="T86" s="72" t="n"/>
      <c r="U86" s="73" t="n"/>
      <c r="V86" s="280" t="n"/>
      <c r="W86" s="118" t="n"/>
      <c r="X86" s="280" t="n"/>
      <c r="Y86" s="118" t="n"/>
      <c r="Z86" s="281" t="n"/>
      <c r="AA86" s="118" t="n"/>
      <c r="AB86" s="280" t="n"/>
      <c r="AC86" s="118" t="n"/>
      <c r="AD86" s="282">
        <f>T86+V86+X86+AB86+Z86</f>
        <v/>
      </c>
      <c r="AE86" s="73">
        <f>AD86/AD$7</f>
        <v/>
      </c>
      <c r="AF86" s="74" t="n"/>
      <c r="AG86" s="76">
        <f>AD86*AF86</f>
        <v/>
      </c>
    </row>
    <row r="87" ht="14" customHeight="1">
      <c r="A87" s="65" t="n"/>
      <c r="B87" s="79" t="n"/>
      <c r="C87" s="67" t="n"/>
      <c r="D87" s="68" t="n"/>
      <c r="E87" s="68" t="n"/>
      <c r="F87" s="68" t="n"/>
      <c r="G87" s="68" t="n"/>
      <c r="H87" s="68" t="n"/>
      <c r="I87" s="68" t="n"/>
      <c r="J87" s="68" t="n"/>
      <c r="K87" s="82" t="n"/>
      <c r="L87" s="68" t="n"/>
      <c r="M87" s="68" t="n"/>
      <c r="N87" s="68" t="n"/>
      <c r="O87" s="68" t="n"/>
      <c r="P87" s="68" t="n"/>
      <c r="Q87" s="83" t="n"/>
      <c r="R87" s="83" t="n"/>
      <c r="S87" s="84" t="n"/>
      <c r="T87" s="72" t="n"/>
      <c r="U87" s="73" t="n"/>
      <c r="V87" s="280" t="n"/>
      <c r="W87" s="118" t="n"/>
      <c r="X87" s="280" t="n"/>
      <c r="Y87" s="118" t="n"/>
      <c r="Z87" s="281" t="n"/>
      <c r="AA87" s="118" t="n"/>
      <c r="AB87" s="280" t="n"/>
      <c r="AC87" s="118" t="n"/>
      <c r="AD87" s="282">
        <f>T87+V87+X87+AB87+Z87</f>
        <v/>
      </c>
      <c r="AE87" s="73">
        <f>AD87/AD$7</f>
        <v/>
      </c>
      <c r="AF87" s="74" t="n"/>
      <c r="AG87" s="76">
        <f>AD87*AF87</f>
        <v/>
      </c>
    </row>
    <row r="88" ht="14" customHeight="1">
      <c r="A88" s="65" t="n"/>
      <c r="B88" s="79" t="n"/>
      <c r="C88" s="67" t="n"/>
      <c r="D88" s="68" t="n"/>
      <c r="E88" s="68" t="n"/>
      <c r="F88" s="68" t="n"/>
      <c r="G88" s="68" t="n"/>
      <c r="H88" s="68" t="n"/>
      <c r="I88" s="68" t="n"/>
      <c r="J88" s="68" t="n"/>
      <c r="K88" s="82" t="n"/>
      <c r="L88" s="68" t="n"/>
      <c r="M88" s="68" t="n"/>
      <c r="N88" s="68" t="n"/>
      <c r="O88" s="68" t="n"/>
      <c r="P88" s="68" t="n"/>
      <c r="Q88" s="83" t="n"/>
      <c r="R88" s="83" t="n"/>
      <c r="S88" s="84" t="n"/>
      <c r="T88" s="72" t="n"/>
      <c r="U88" s="73" t="n"/>
      <c r="V88" s="280" t="n"/>
      <c r="W88" s="118" t="n"/>
      <c r="X88" s="280" t="n"/>
      <c r="Y88" s="118" t="n"/>
      <c r="Z88" s="281" t="n"/>
      <c r="AA88" s="118" t="n"/>
      <c r="AB88" s="280" t="n"/>
      <c r="AC88" s="118" t="n"/>
      <c r="AD88" s="282">
        <f>T88+V88+X88+AB88+Z88</f>
        <v/>
      </c>
      <c r="AE88" s="73">
        <f>AD88/AD$7</f>
        <v/>
      </c>
      <c r="AF88" s="74" t="n"/>
      <c r="AG88" s="76">
        <f>AD88*AF88</f>
        <v/>
      </c>
    </row>
    <row r="89" ht="14" customHeight="1">
      <c r="A89" s="65" t="n"/>
      <c r="B89" s="79" t="n"/>
      <c r="C89" s="67" t="n"/>
      <c r="D89" s="68" t="n"/>
      <c r="E89" s="68" t="n"/>
      <c r="F89" s="68" t="n"/>
      <c r="G89" s="68" t="n"/>
      <c r="H89" s="68" t="n"/>
      <c r="I89" s="68" t="n"/>
      <c r="J89" s="68" t="n"/>
      <c r="K89" s="82" t="n"/>
      <c r="L89" s="68" t="n"/>
      <c r="M89" s="68" t="n"/>
      <c r="N89" s="68" t="n"/>
      <c r="O89" s="68" t="n"/>
      <c r="P89" s="68" t="n"/>
      <c r="Q89" s="83" t="n"/>
      <c r="R89" s="83" t="n"/>
      <c r="S89" s="84" t="n"/>
      <c r="T89" s="72" t="n"/>
      <c r="U89" s="73" t="n"/>
      <c r="V89" s="280" t="n"/>
      <c r="W89" s="118" t="n"/>
      <c r="X89" s="280" t="n"/>
      <c r="Y89" s="118" t="n"/>
      <c r="Z89" s="281" t="n"/>
      <c r="AA89" s="118" t="n"/>
      <c r="AB89" s="280" t="n"/>
      <c r="AC89" s="118" t="n"/>
      <c r="AD89" s="282">
        <f>T89+V89+X89+AB89+Z89</f>
        <v/>
      </c>
      <c r="AE89" s="73">
        <f>AD89/AD$7</f>
        <v/>
      </c>
      <c r="AF89" s="74" t="n"/>
      <c r="AG89" s="76">
        <f>AD89*AF89</f>
        <v/>
      </c>
    </row>
    <row r="90" ht="14" customHeight="1">
      <c r="A90" s="65" t="n"/>
      <c r="B90" s="79" t="n"/>
      <c r="C90" s="67" t="n"/>
      <c r="D90" s="68" t="n"/>
      <c r="E90" s="68" t="n"/>
      <c r="F90" s="68" t="n"/>
      <c r="G90" s="68" t="n"/>
      <c r="H90" s="68" t="n"/>
      <c r="I90" s="68" t="n"/>
      <c r="J90" s="68" t="n"/>
      <c r="K90" s="82" t="n"/>
      <c r="L90" s="68" t="n"/>
      <c r="M90" s="68" t="n"/>
      <c r="N90" s="68" t="n"/>
      <c r="O90" s="68" t="n"/>
      <c r="P90" s="68" t="n"/>
      <c r="Q90" s="83" t="n"/>
      <c r="R90" s="83" t="n"/>
      <c r="S90" s="84" t="n"/>
      <c r="T90" s="72" t="n"/>
      <c r="U90" s="73" t="n"/>
      <c r="V90" s="280" t="n"/>
      <c r="W90" s="118" t="n"/>
      <c r="X90" s="280" t="n"/>
      <c r="Y90" s="118" t="n"/>
      <c r="Z90" s="281" t="n"/>
      <c r="AA90" s="118" t="n"/>
      <c r="AB90" s="280" t="n"/>
      <c r="AC90" s="118" t="n"/>
      <c r="AD90" s="282">
        <f>T90+V90+X90+AB90+Z90</f>
        <v/>
      </c>
      <c r="AE90" s="73">
        <f>AD90/AD$7</f>
        <v/>
      </c>
      <c r="AF90" s="74" t="n"/>
      <c r="AG90" s="76">
        <f>AD90*AF90</f>
        <v/>
      </c>
    </row>
    <row r="91" ht="14" customHeight="1">
      <c r="A91" s="65" t="n"/>
      <c r="B91" s="79" t="n"/>
      <c r="C91" s="67" t="n"/>
      <c r="D91" s="68" t="n"/>
      <c r="E91" s="68" t="n"/>
      <c r="F91" s="68" t="n"/>
      <c r="G91" s="68" t="n"/>
      <c r="H91" s="68" t="n"/>
      <c r="I91" s="68" t="n"/>
      <c r="J91" s="68" t="n"/>
      <c r="K91" s="82" t="n"/>
      <c r="L91" s="68" t="n"/>
      <c r="M91" s="68" t="n"/>
      <c r="N91" s="68" t="n"/>
      <c r="O91" s="68" t="n"/>
      <c r="P91" s="68" t="n"/>
      <c r="Q91" s="83" t="n"/>
      <c r="R91" s="83" t="n"/>
      <c r="S91" s="84" t="n"/>
      <c r="T91" s="72">
        <f>SUM(C91:S91)</f>
        <v/>
      </c>
      <c r="U91" s="73">
        <f>T91/T$7</f>
        <v/>
      </c>
      <c r="V91" s="280" t="n"/>
      <c r="W91" s="118" t="n"/>
      <c r="X91" s="280" t="n"/>
      <c r="Y91" s="118" t="n"/>
      <c r="Z91" s="281" t="n"/>
      <c r="AA91" s="118" t="n"/>
      <c r="AB91" s="280" t="n"/>
      <c r="AC91" s="118" t="n"/>
      <c r="AD91" s="282">
        <f>T91+V91+X91+AB91+Z91</f>
        <v/>
      </c>
      <c r="AE91" s="73">
        <f>AD91/AD$7</f>
        <v/>
      </c>
      <c r="AF91" s="74" t="n"/>
      <c r="AG91" s="76">
        <f>AD91*AF91</f>
        <v/>
      </c>
    </row>
    <row r="92" ht="14" customHeight="1">
      <c r="A92" s="65" t="n"/>
      <c r="B92" s="79" t="n"/>
      <c r="C92" s="67" t="n"/>
      <c r="D92" s="68" t="n"/>
      <c r="E92" s="68" t="n"/>
      <c r="F92" s="68" t="n"/>
      <c r="G92" s="68" t="n"/>
      <c r="H92" s="68" t="n"/>
      <c r="I92" s="68" t="n"/>
      <c r="J92" s="68" t="n"/>
      <c r="K92" s="82" t="n"/>
      <c r="L92" s="68" t="n"/>
      <c r="M92" s="68" t="n"/>
      <c r="N92" s="68" t="n"/>
      <c r="O92" s="68" t="n"/>
      <c r="P92" s="68" t="n"/>
      <c r="Q92" s="83" t="n"/>
      <c r="R92" s="83" t="n"/>
      <c r="S92" s="84" t="n"/>
      <c r="T92" s="72">
        <f>SUM(C92:S92)</f>
        <v/>
      </c>
      <c r="U92" s="73">
        <f>T92/T$7</f>
        <v/>
      </c>
      <c r="V92" s="280" t="n"/>
      <c r="W92" s="118" t="n"/>
      <c r="X92" s="280" t="n"/>
      <c r="Y92" s="118" t="n"/>
      <c r="Z92" s="281" t="n"/>
      <c r="AA92" s="118" t="n"/>
      <c r="AB92" s="280" t="n"/>
      <c r="AC92" s="118" t="n"/>
      <c r="AD92" s="282">
        <f>T92+V92+X92+AB92+Z92</f>
        <v/>
      </c>
      <c r="AE92" s="73">
        <f>AD92/AD$7</f>
        <v/>
      </c>
      <c r="AF92" s="74" t="n"/>
      <c r="AG92" s="76">
        <f>AD92*AF92</f>
        <v/>
      </c>
    </row>
    <row r="93" ht="14" customHeight="1">
      <c r="A93" s="65" t="n"/>
      <c r="B93" s="79" t="n"/>
      <c r="C93" s="67" t="n"/>
      <c r="D93" s="68" t="n"/>
      <c r="E93" s="68" t="n"/>
      <c r="F93" s="68" t="n"/>
      <c r="G93" s="68" t="n"/>
      <c r="H93" s="68" t="n"/>
      <c r="I93" s="68" t="n"/>
      <c r="J93" s="68" t="n"/>
      <c r="K93" s="82" t="n"/>
      <c r="L93" s="68" t="n"/>
      <c r="M93" s="68" t="n"/>
      <c r="N93" s="68" t="n"/>
      <c r="O93" s="68" t="n"/>
      <c r="P93" s="68" t="n"/>
      <c r="Q93" s="83" t="n"/>
      <c r="R93" s="83" t="n"/>
      <c r="S93" s="84" t="n"/>
      <c r="T93" s="72">
        <f>SUM(C93:S93)</f>
        <v/>
      </c>
      <c r="U93" s="73">
        <f>T93/T$7</f>
        <v/>
      </c>
      <c r="V93" s="280" t="n"/>
      <c r="W93" s="118" t="n"/>
      <c r="X93" s="280" t="n"/>
      <c r="Y93" s="118" t="n"/>
      <c r="Z93" s="281" t="n"/>
      <c r="AA93" s="118" t="n"/>
      <c r="AB93" s="280" t="n"/>
      <c r="AC93" s="118" t="n"/>
      <c r="AD93" s="282">
        <f>T93+V93+X93+AB93+Z93</f>
        <v/>
      </c>
      <c r="AE93" s="73">
        <f>AD93/AD$7</f>
        <v/>
      </c>
      <c r="AF93" s="74" t="n"/>
      <c r="AG93" s="76">
        <f>AD93*AF93</f>
        <v/>
      </c>
    </row>
    <row r="94" ht="14" customHeight="1">
      <c r="A94" s="65" t="n"/>
      <c r="B94" s="79" t="n"/>
      <c r="C94" s="67" t="n"/>
      <c r="D94" s="68" t="n"/>
      <c r="E94" s="68" t="n"/>
      <c r="F94" s="68" t="n"/>
      <c r="G94" s="68" t="n"/>
      <c r="H94" s="68" t="n"/>
      <c r="I94" s="68" t="n"/>
      <c r="J94" s="68" t="n"/>
      <c r="K94" s="82" t="n"/>
      <c r="L94" s="68" t="n"/>
      <c r="M94" s="68" t="n"/>
      <c r="N94" s="68" t="n"/>
      <c r="O94" s="68" t="n"/>
      <c r="P94" s="68" t="n"/>
      <c r="Q94" s="83" t="n"/>
      <c r="R94" s="83" t="n"/>
      <c r="S94" s="84" t="n"/>
      <c r="T94" s="72">
        <f>SUM(C94:S94)</f>
        <v/>
      </c>
      <c r="U94" s="73">
        <f>T94/T$7</f>
        <v/>
      </c>
      <c r="V94" s="280" t="n"/>
      <c r="W94" s="118" t="n"/>
      <c r="X94" s="280" t="n"/>
      <c r="Y94" s="118" t="n"/>
      <c r="Z94" s="281" t="n"/>
      <c r="AA94" s="118" t="n"/>
      <c r="AB94" s="280" t="n"/>
      <c r="AC94" s="118" t="n"/>
      <c r="AD94" s="282">
        <f>T94+V94+X94+AB94+Z94</f>
        <v/>
      </c>
      <c r="AE94" s="73">
        <f>AD94/AD$7</f>
        <v/>
      </c>
      <c r="AF94" s="74" t="n"/>
      <c r="AG94" s="76">
        <f>AD94*AF94</f>
        <v/>
      </c>
    </row>
    <row r="95" ht="14" customHeight="1">
      <c r="A95" s="65" t="n"/>
      <c r="B95" s="79" t="n"/>
      <c r="C95" s="67" t="n"/>
      <c r="D95" s="68" t="n"/>
      <c r="E95" s="68" t="n"/>
      <c r="F95" s="68" t="n"/>
      <c r="G95" s="68" t="n"/>
      <c r="H95" s="68" t="n"/>
      <c r="I95" s="68" t="n"/>
      <c r="J95" s="68" t="n"/>
      <c r="K95" s="82" t="n"/>
      <c r="L95" s="68" t="n"/>
      <c r="M95" s="68" t="n"/>
      <c r="N95" s="68" t="n"/>
      <c r="O95" s="68" t="n"/>
      <c r="P95" s="68" t="n"/>
      <c r="Q95" s="83" t="n"/>
      <c r="R95" s="83" t="n"/>
      <c r="S95" s="84" t="n"/>
      <c r="T95" s="72">
        <f>SUM(C95:S95)</f>
        <v/>
      </c>
      <c r="U95" s="73">
        <f>T95/T$7</f>
        <v/>
      </c>
      <c r="V95" s="280" t="n"/>
      <c r="W95" s="118" t="n"/>
      <c r="X95" s="280" t="n"/>
      <c r="Y95" s="118" t="n"/>
      <c r="Z95" s="281" t="n"/>
      <c r="AA95" s="118" t="n"/>
      <c r="AB95" s="280" t="n"/>
      <c r="AC95" s="118" t="n"/>
      <c r="AD95" s="282">
        <f>T95+V95+X95+AB95+Z95</f>
        <v/>
      </c>
      <c r="AE95" s="73">
        <f>AD95/AD$7</f>
        <v/>
      </c>
      <c r="AF95" s="74" t="n"/>
      <c r="AG95" s="76">
        <f>AD95*AF95</f>
        <v/>
      </c>
    </row>
    <row r="96" ht="14" customHeight="1">
      <c r="A96" s="65" t="n"/>
      <c r="B96" s="79" t="n"/>
      <c r="C96" s="67" t="n"/>
      <c r="D96" s="67" t="n"/>
      <c r="E96" s="67" t="n"/>
      <c r="F96" s="67" t="n"/>
      <c r="G96" s="67" t="n"/>
      <c r="H96" s="67" t="n"/>
      <c r="I96" s="67" t="n"/>
      <c r="J96" s="67" t="n"/>
      <c r="K96" s="69" t="n"/>
      <c r="L96" s="67" t="n"/>
      <c r="M96" s="67" t="n"/>
      <c r="N96" s="67" t="n"/>
      <c r="O96" s="67" t="n"/>
      <c r="P96" s="67" t="n"/>
      <c r="Q96" s="70" t="n"/>
      <c r="R96" s="70" t="n"/>
      <c r="S96" s="71" t="n"/>
      <c r="T96" s="72">
        <f>SUM(C96:S96)</f>
        <v/>
      </c>
      <c r="U96" s="73">
        <f>T96/T$7</f>
        <v/>
      </c>
      <c r="V96" s="280" t="n"/>
      <c r="W96" s="118" t="n"/>
      <c r="X96" s="280" t="n"/>
      <c r="Y96" s="118" t="n"/>
      <c r="Z96" s="281" t="n"/>
      <c r="AA96" s="118" t="n"/>
      <c r="AB96" s="280" t="n"/>
      <c r="AC96" s="118" t="n"/>
      <c r="AD96" s="282">
        <f>T96+V96+X96+AB96+Z96</f>
        <v/>
      </c>
      <c r="AE96" s="73">
        <f>AD96/AD$7</f>
        <v/>
      </c>
      <c r="AF96" s="74" t="n"/>
      <c r="AG96" s="76">
        <f>AD96*AF96</f>
        <v/>
      </c>
    </row>
    <row r="97" ht="14" customHeight="1">
      <c r="A97" s="65" t="n"/>
      <c r="B97" s="79" t="n"/>
      <c r="C97" s="67" t="n"/>
      <c r="D97" s="67" t="n"/>
      <c r="E97" s="67" t="n"/>
      <c r="F97" s="67" t="n"/>
      <c r="G97" s="67" t="n"/>
      <c r="H97" s="67" t="n"/>
      <c r="I97" s="67" t="n"/>
      <c r="J97" s="67" t="n"/>
      <c r="K97" s="69" t="n"/>
      <c r="L97" s="67" t="n"/>
      <c r="M97" s="67" t="n"/>
      <c r="N97" s="67" t="n"/>
      <c r="O97" s="67" t="n"/>
      <c r="P97" s="67" t="n"/>
      <c r="Q97" s="70" t="n"/>
      <c r="R97" s="70" t="n"/>
      <c r="S97" s="71" t="n"/>
      <c r="T97" s="72">
        <f>SUM(C97:S97)</f>
        <v/>
      </c>
      <c r="U97" s="73">
        <f>T97/T$7</f>
        <v/>
      </c>
      <c r="V97" s="280" t="n"/>
      <c r="W97" s="118" t="n"/>
      <c r="X97" s="280" t="n"/>
      <c r="Y97" s="118" t="n"/>
      <c r="Z97" s="281" t="n"/>
      <c r="AA97" s="118" t="n"/>
      <c r="AB97" s="280" t="n"/>
      <c r="AC97" s="118" t="n"/>
      <c r="AD97" s="282">
        <f>T97+V97+X97+AB97+Z97</f>
        <v/>
      </c>
      <c r="AE97" s="73">
        <f>AD97/AD$7</f>
        <v/>
      </c>
      <c r="AF97" s="74" t="n"/>
      <c r="AG97" s="76">
        <f>AD97*AF97</f>
        <v/>
      </c>
    </row>
    <row r="98" ht="14" customHeight="1">
      <c r="A98" s="65" t="n"/>
      <c r="B98" s="79" t="n"/>
      <c r="C98" s="67" t="n"/>
      <c r="D98" s="67" t="n"/>
      <c r="E98" s="67" t="n"/>
      <c r="F98" s="67" t="n"/>
      <c r="G98" s="67" t="n"/>
      <c r="H98" s="67" t="n"/>
      <c r="I98" s="67" t="n"/>
      <c r="J98" s="67" t="n"/>
      <c r="K98" s="69" t="n"/>
      <c r="L98" s="67" t="n"/>
      <c r="M98" s="67" t="n"/>
      <c r="N98" s="67" t="n"/>
      <c r="O98" s="67" t="n"/>
      <c r="P98" s="67" t="n"/>
      <c r="Q98" s="70" t="n"/>
      <c r="R98" s="70" t="n"/>
      <c r="S98" s="71" t="n"/>
      <c r="T98" s="72">
        <f>SUM(C98:S98)</f>
        <v/>
      </c>
      <c r="U98" s="73">
        <f>T98/T$7</f>
        <v/>
      </c>
      <c r="V98" s="280" t="n"/>
      <c r="W98" s="118" t="n"/>
      <c r="X98" s="280" t="n"/>
      <c r="Y98" s="118" t="n"/>
      <c r="Z98" s="281" t="n"/>
      <c r="AA98" s="118" t="n"/>
      <c r="AB98" s="280" t="n"/>
      <c r="AC98" s="118" t="n"/>
      <c r="AD98" s="282">
        <f>T98+V98+X98+AB98+Z98</f>
        <v/>
      </c>
      <c r="AE98" s="73">
        <f>AD98/AD$7</f>
        <v/>
      </c>
      <c r="AF98" s="74" t="n"/>
      <c r="AG98" s="76">
        <f>AD98*AF98</f>
        <v/>
      </c>
    </row>
    <row r="99" ht="14" customHeight="1">
      <c r="A99" s="65" t="n"/>
      <c r="B99" s="79" t="n"/>
      <c r="C99" s="67" t="n"/>
      <c r="D99" s="68" t="n"/>
      <c r="E99" s="68" t="n"/>
      <c r="F99" s="68" t="n"/>
      <c r="G99" s="68" t="n"/>
      <c r="H99" s="68" t="n"/>
      <c r="I99" s="68" t="n"/>
      <c r="J99" s="68" t="n"/>
      <c r="K99" s="82" t="n"/>
      <c r="L99" s="68" t="n"/>
      <c r="M99" s="68" t="n"/>
      <c r="N99" s="68" t="n"/>
      <c r="O99" s="68" t="n"/>
      <c r="P99" s="68" t="n"/>
      <c r="Q99" s="83" t="n"/>
      <c r="R99" s="83" t="n"/>
      <c r="S99" s="84" t="n"/>
      <c r="T99" s="72">
        <f>SUM(C99:S99)</f>
        <v/>
      </c>
      <c r="U99" s="73">
        <f>T99/T$7</f>
        <v/>
      </c>
      <c r="V99" s="280" t="n"/>
      <c r="W99" s="118" t="n"/>
      <c r="X99" s="280" t="n"/>
      <c r="Y99" s="118" t="n"/>
      <c r="Z99" s="281" t="n"/>
      <c r="AA99" s="118" t="n"/>
      <c r="AB99" s="280" t="n"/>
      <c r="AC99" s="118" t="n"/>
      <c r="AD99" s="282">
        <f>T99+V99+X99+AB99+Z99</f>
        <v/>
      </c>
      <c r="AE99" s="73">
        <f>AD99/AD$7</f>
        <v/>
      </c>
      <c r="AF99" s="74" t="n"/>
      <c r="AG99" s="76">
        <f>AD99*AF99</f>
        <v/>
      </c>
    </row>
    <row r="100" ht="14" customHeight="1">
      <c r="A100" s="22" t="inlineStr">
        <is>
          <t>Hedge Fund</t>
        </is>
      </c>
      <c r="B100" s="23" t="n"/>
      <c r="C100" s="24">
        <f>SUM(C101:C138)</f>
        <v/>
      </c>
      <c r="D100" s="24">
        <f>SUM(D101:D138)</f>
        <v/>
      </c>
      <c r="E100" s="24">
        <f>SUM(E101:E138)</f>
        <v/>
      </c>
      <c r="F100" s="24">
        <f>SUM(F101:F138)</f>
        <v/>
      </c>
      <c r="G100" s="24">
        <f>SUM(G101:G138)</f>
        <v/>
      </c>
      <c r="H100" s="24">
        <f>SUM(H101:H138)</f>
        <v/>
      </c>
      <c r="I100" s="24">
        <f>SUM(I101:I138)</f>
        <v/>
      </c>
      <c r="J100" s="24">
        <f>SUM(J101:J138)</f>
        <v/>
      </c>
      <c r="K100" s="24">
        <f>SUM(K101:K138)</f>
        <v/>
      </c>
      <c r="L100" s="24">
        <f>SUM(L101:L138)</f>
        <v/>
      </c>
      <c r="M100" s="24">
        <f>SUM(M101:M138)</f>
        <v/>
      </c>
      <c r="N100" s="24">
        <f>SUM(N101:N138)</f>
        <v/>
      </c>
      <c r="O100" s="24">
        <f>SUM(O101:O138)</f>
        <v/>
      </c>
      <c r="P100" s="24">
        <f>SUM(P101:P138)</f>
        <v/>
      </c>
      <c r="Q100" s="24">
        <f>SUM(Q101:Q138)</f>
        <v/>
      </c>
      <c r="R100" s="24">
        <f>SUM(R101:R138)</f>
        <v/>
      </c>
      <c r="S100" s="24">
        <f>SUM(S101:S138)</f>
        <v/>
      </c>
      <c r="T100" s="25">
        <f>SUM(C100:S100)</f>
        <v/>
      </c>
      <c r="U100" s="55">
        <f>SUM(U101:U138)</f>
        <v/>
      </c>
      <c r="V100" s="287" t="n"/>
      <c r="W100" s="119" t="n"/>
      <c r="X100" s="287" t="n"/>
      <c r="Y100" s="119" t="n"/>
      <c r="Z100" s="288" t="n"/>
      <c r="AA100" s="119" t="n"/>
      <c r="AB100" s="287" t="n"/>
      <c r="AC100" s="119" t="n"/>
      <c r="AD100" s="289">
        <f>SUM(AD101:AD138)</f>
        <v/>
      </c>
      <c r="AE100" s="60">
        <f>SUM(AE101:AE138)</f>
        <v/>
      </c>
      <c r="AF100" s="26" t="n"/>
      <c r="AG100" s="27" t="n"/>
    </row>
    <row r="101" ht="14" customHeight="1">
      <c r="A101" s="65" t="inlineStr">
        <is>
          <t>Helium Performance A EUR</t>
        </is>
      </c>
      <c r="B101" s="77" t="inlineStr">
        <is>
          <t>LU0912261970</t>
        </is>
      </c>
      <c r="C101" s="67" t="n"/>
      <c r="D101" s="67" t="n"/>
      <c r="E101" s="67" t="n"/>
      <c r="F101" s="67" t="n"/>
      <c r="G101" s="67" t="n"/>
      <c r="H101" s="67" t="n"/>
      <c r="I101" s="67" t="n"/>
      <c r="J101" s="67" t="n"/>
      <c r="K101" s="69" t="n"/>
      <c r="L101" s="67" t="n"/>
      <c r="M101" s="67" t="n"/>
      <c r="N101" s="67" t="n"/>
      <c r="O101" s="67" t="n"/>
      <c r="P101" s="67" t="n"/>
      <c r="Q101" s="70" t="n"/>
      <c r="R101" s="70" t="n"/>
      <c r="S101" s="71" t="n"/>
      <c r="T101" s="72">
        <f>SUM(C101:S101)</f>
        <v/>
      </c>
      <c r="U101" s="73">
        <f>T101/T$7</f>
        <v/>
      </c>
      <c r="V101" s="280" t="n"/>
      <c r="W101" s="118" t="n"/>
      <c r="X101" s="280" t="n"/>
      <c r="Y101" s="118" t="n"/>
      <c r="Z101" s="281" t="n"/>
      <c r="AA101" s="118" t="n"/>
      <c r="AB101" s="280" t="n"/>
      <c r="AC101" s="118" t="n"/>
      <c r="AD101" s="282">
        <f>T101+V101+X101+AB101+Z101</f>
        <v/>
      </c>
      <c r="AE101" s="73">
        <f>AD101/AD$7</f>
        <v/>
      </c>
      <c r="AF101" s="74" t="n">
        <v>2</v>
      </c>
      <c r="AG101" s="76">
        <f>AD101*AF101</f>
        <v/>
      </c>
    </row>
    <row r="102" ht="14" customHeight="1">
      <c r="A102" s="65" t="inlineStr">
        <is>
          <t>Helium Sélection A EUR</t>
        </is>
      </c>
      <c r="B102" s="77" t="inlineStr">
        <is>
          <t>LU1112771255</t>
        </is>
      </c>
      <c r="C102" s="67" t="n"/>
      <c r="D102" s="68" t="n"/>
      <c r="E102" s="68" t="n"/>
      <c r="F102" s="68" t="n"/>
      <c r="G102" s="68" t="n"/>
      <c r="H102" s="68" t="n"/>
      <c r="I102" s="68" t="n"/>
      <c r="J102" s="67" t="n"/>
      <c r="K102" s="69" t="n"/>
      <c r="L102" s="67" t="n"/>
      <c r="M102" s="67" t="n"/>
      <c r="N102" s="67" t="n"/>
      <c r="O102" s="67" t="n"/>
      <c r="P102" s="67" t="n"/>
      <c r="Q102" s="70" t="n"/>
      <c r="R102" s="70" t="n"/>
      <c r="S102" s="71" t="n"/>
      <c r="T102" s="72">
        <f>SUM(C102:S102)</f>
        <v/>
      </c>
      <c r="U102" s="73">
        <f>T102/T$7</f>
        <v/>
      </c>
      <c r="V102" s="280" t="n"/>
      <c r="W102" s="118" t="n"/>
      <c r="X102" s="280" t="n"/>
      <c r="Y102" s="118" t="n"/>
      <c r="Z102" s="281" t="n"/>
      <c r="AA102" s="118" t="n"/>
      <c r="AB102" s="280" t="n"/>
      <c r="AC102" s="118" t="n"/>
      <c r="AD102" s="282">
        <f>T102+V102+X102+AB102+Z102</f>
        <v/>
      </c>
      <c r="AE102" s="73">
        <f>AD102/AD$7</f>
        <v/>
      </c>
      <c r="AF102" s="74" t="n">
        <v>2</v>
      </c>
      <c r="AG102" s="76">
        <f>AD102*AF102</f>
        <v/>
      </c>
    </row>
    <row r="103" ht="14" customHeight="1">
      <c r="A103" s="65" t="inlineStr">
        <is>
          <t>Helium Sélection B clean EUR</t>
        </is>
      </c>
      <c r="B103" s="77" t="inlineStr">
        <is>
          <t>LU1734046979</t>
        </is>
      </c>
      <c r="C103" s="67" t="n"/>
      <c r="D103" s="68" t="n"/>
      <c r="E103" s="68" t="n"/>
      <c r="F103" s="68" t="n"/>
      <c r="G103" s="68" t="n"/>
      <c r="H103" s="68" t="n"/>
      <c r="I103" s="68" t="n"/>
      <c r="J103" s="67" t="n"/>
      <c r="K103" s="69" t="n"/>
      <c r="L103" s="67" t="n"/>
      <c r="M103" s="67" t="n"/>
      <c r="N103" s="67" t="n"/>
      <c r="O103" s="67" t="n"/>
      <c r="P103" s="67" t="n"/>
      <c r="Q103" s="70" t="n"/>
      <c r="R103" s="70" t="n"/>
      <c r="S103" s="71" t="n"/>
      <c r="T103" s="72">
        <f>SUM(C103:S103)</f>
        <v/>
      </c>
      <c r="U103" s="73">
        <f>T103/T$7</f>
        <v/>
      </c>
      <c r="V103" s="280" t="n"/>
      <c r="W103" s="118" t="n"/>
      <c r="X103" s="280" t="n"/>
      <c r="Y103" s="118" t="n"/>
      <c r="Z103" s="281" t="n"/>
      <c r="AA103" s="118" t="n"/>
      <c r="AB103" s="280" t="n"/>
      <c r="AC103" s="118" t="n"/>
      <c r="AD103" s="282">
        <f>T103+V103+X103+AB103+Z103</f>
        <v/>
      </c>
      <c r="AE103" s="73">
        <f>AD103/AD$7</f>
        <v/>
      </c>
      <c r="AF103" s="74" t="n">
        <v>2</v>
      </c>
      <c r="AG103" s="76">
        <f>AD103*AF103</f>
        <v/>
      </c>
    </row>
    <row r="104" ht="14" customHeight="1">
      <c r="A104" s="65" t="inlineStr">
        <is>
          <t>Helium Fund B EUR</t>
        </is>
      </c>
      <c r="B104" s="77" t="inlineStr">
        <is>
          <t>LU0912261624</t>
        </is>
      </c>
      <c r="C104" s="67" t="n"/>
      <c r="D104" s="68" t="n"/>
      <c r="E104" s="68" t="n"/>
      <c r="F104" s="68" t="n"/>
      <c r="G104" s="68" t="n"/>
      <c r="H104" s="68" t="n"/>
      <c r="I104" s="68" t="n"/>
      <c r="J104" s="67" t="n"/>
      <c r="K104" s="69" t="n"/>
      <c r="L104" s="67" t="n"/>
      <c r="M104" s="67" t="n"/>
      <c r="N104" s="67" t="n"/>
      <c r="O104" s="67" t="n"/>
      <c r="P104" s="67" t="n"/>
      <c r="Q104" s="70" t="n"/>
      <c r="R104" s="70" t="n"/>
      <c r="S104" s="71" t="n"/>
      <c r="T104" s="72">
        <f>SUM(C104:S104)</f>
        <v/>
      </c>
      <c r="U104" s="73">
        <f>T104/T$7</f>
        <v/>
      </c>
      <c r="V104" s="280" t="n"/>
      <c r="W104" s="118" t="n"/>
      <c r="X104" s="280" t="n"/>
      <c r="Y104" s="118" t="n"/>
      <c r="Z104" s="281" t="n"/>
      <c r="AA104" s="118" t="n"/>
      <c r="AB104" s="280" t="n"/>
      <c r="AC104" s="118" t="n"/>
      <c r="AD104" s="282">
        <f>T104+V104+X104+AB104+Z104</f>
        <v/>
      </c>
      <c r="AE104" s="73">
        <f>AD104/AD$7</f>
        <v/>
      </c>
      <c r="AF104" s="74" t="n">
        <v>2</v>
      </c>
      <c r="AG104" s="76">
        <f>AD104*AF104</f>
        <v/>
      </c>
    </row>
    <row r="105" ht="14" customHeight="1">
      <c r="A105" s="65" t="inlineStr">
        <is>
          <t>Helium Global S EUR</t>
        </is>
      </c>
      <c r="B105" s="77" t="inlineStr">
        <is>
          <t>IE000F31HWX5</t>
        </is>
      </c>
      <c r="C105" s="67" t="n"/>
      <c r="D105" s="68" t="n"/>
      <c r="E105" s="68" t="n"/>
      <c r="F105" s="68" t="n"/>
      <c r="G105" s="68" t="n"/>
      <c r="H105" s="68" t="n"/>
      <c r="I105" s="68" t="n"/>
      <c r="J105" s="67" t="n"/>
      <c r="K105" s="69" t="n"/>
      <c r="L105" s="67" t="n"/>
      <c r="M105" s="67" t="n"/>
      <c r="N105" s="67" t="n"/>
      <c r="O105" s="67" t="n"/>
      <c r="P105" s="67" t="n"/>
      <c r="Q105" s="70" t="n"/>
      <c r="R105" s="70" t="n"/>
      <c r="S105" s="71" t="n"/>
      <c r="T105" s="72">
        <f>SUM(C105:S105)</f>
        <v/>
      </c>
      <c r="U105" s="73">
        <f>T105/T$7</f>
        <v/>
      </c>
      <c r="V105" s="280" t="n"/>
      <c r="W105" s="118" t="n"/>
      <c r="X105" s="280" t="n"/>
      <c r="Y105" s="118" t="n"/>
      <c r="Z105" s="281" t="n"/>
      <c r="AA105" s="118" t="n"/>
      <c r="AB105" s="280" t="n"/>
      <c r="AC105" s="118" t="n"/>
      <c r="AD105" s="282">
        <f>T105+V105+X105+AB105+Z105</f>
        <v/>
      </c>
      <c r="AE105" s="73">
        <f>AD105/AD$7</f>
        <v/>
      </c>
      <c r="AF105" s="74" t="n">
        <v>5</v>
      </c>
      <c r="AG105" s="76">
        <f>AD105*AF105</f>
        <v/>
      </c>
    </row>
    <row r="106" ht="14" customHeight="1">
      <c r="A106" s="65" t="inlineStr">
        <is>
          <t>Helium Selection B-EUR</t>
        </is>
      </c>
      <c r="B106" s="77" t="inlineStr">
        <is>
          <t>LU1112771503</t>
        </is>
      </c>
      <c r="C106" s="67" t="n"/>
      <c r="D106" s="67" t="n"/>
      <c r="E106" s="67" t="n"/>
      <c r="F106" s="67" t="n"/>
      <c r="G106" s="67" t="n"/>
      <c r="H106" s="67" t="n"/>
      <c r="I106" s="67" t="n"/>
      <c r="J106" s="67" t="n"/>
      <c r="K106" s="69" t="n"/>
      <c r="L106" s="67" t="n"/>
      <c r="M106" s="67" t="n"/>
      <c r="N106" s="67" t="n"/>
      <c r="O106" s="67" t="n"/>
      <c r="P106" s="67" t="n"/>
      <c r="Q106" s="70" t="n"/>
      <c r="R106" s="70" t="n"/>
      <c r="S106" s="71" t="n"/>
      <c r="T106" s="72">
        <f>SUM(C106:S106)</f>
        <v/>
      </c>
      <c r="U106" s="73">
        <f>T106/T$7</f>
        <v/>
      </c>
      <c r="V106" s="280" t="n"/>
      <c r="W106" s="118" t="n"/>
      <c r="X106" s="280" t="n"/>
      <c r="Y106" s="118" t="n"/>
      <c r="Z106" s="281" t="n"/>
      <c r="AA106" s="118" t="n"/>
      <c r="AB106" s="280" t="n"/>
      <c r="AC106" s="118" t="n"/>
      <c r="AD106" s="282">
        <f>T106+V106+X106+AB106+Z106</f>
        <v/>
      </c>
      <c r="AE106" s="73">
        <f>AD106/AD$7</f>
        <v/>
      </c>
      <c r="AF106" s="74" t="n">
        <v>2</v>
      </c>
      <c r="AG106" s="76">
        <f>AD106*AF106</f>
        <v/>
      </c>
    </row>
    <row r="107" ht="14" customHeight="1">
      <c r="A107" s="65" t="inlineStr">
        <is>
          <t>Helium Performance B EUR</t>
        </is>
      </c>
      <c r="B107" s="77" t="inlineStr">
        <is>
          <t>LU0912262275</t>
        </is>
      </c>
      <c r="C107" s="67" t="n"/>
      <c r="D107" s="67" t="n"/>
      <c r="E107" s="67" t="n"/>
      <c r="F107" s="67" t="n"/>
      <c r="G107" s="67" t="n"/>
      <c r="H107" s="67" t="n"/>
      <c r="I107" s="67" t="n"/>
      <c r="J107" s="67" t="n"/>
      <c r="K107" s="69" t="n"/>
      <c r="L107" s="67" t="n"/>
      <c r="M107" s="67" t="n"/>
      <c r="N107" s="67" t="n"/>
      <c r="O107" s="67" t="n"/>
      <c r="P107" s="67" t="n"/>
      <c r="Q107" s="70" t="n"/>
      <c r="R107" s="70" t="n"/>
      <c r="S107" s="71" t="n"/>
      <c r="T107" s="72">
        <f>SUM(C107:S107)</f>
        <v/>
      </c>
      <c r="U107" s="73">
        <f>T107/T$7</f>
        <v/>
      </c>
      <c r="V107" s="280" t="n"/>
      <c r="W107" s="118" t="n"/>
      <c r="X107" s="280" t="n"/>
      <c r="Y107" s="118" t="n"/>
      <c r="Z107" s="281" t="n"/>
      <c r="AA107" s="118" t="n"/>
      <c r="AB107" s="280" t="n"/>
      <c r="AC107" s="118" t="n"/>
      <c r="AD107" s="282">
        <f>T107+V107+X107+AB107+Z107</f>
        <v/>
      </c>
      <c r="AE107" s="73">
        <f>AD107/AD$7</f>
        <v/>
      </c>
      <c r="AF107" s="74" t="n">
        <v>2</v>
      </c>
      <c r="AG107" s="76">
        <f>AD107*AF107</f>
        <v/>
      </c>
    </row>
    <row r="108" ht="14" customHeight="1">
      <c r="A108" s="65" t="inlineStr">
        <is>
          <t>Cypanga Diversified Portfolio A</t>
        </is>
      </c>
      <c r="B108" s="77" t="inlineStr">
        <is>
          <t>LU0672299830</t>
        </is>
      </c>
      <c r="C108" s="67" t="n"/>
      <c r="D108" s="67" t="n"/>
      <c r="E108" s="67" t="n"/>
      <c r="F108" s="67" t="n"/>
      <c r="G108" s="67" t="n"/>
      <c r="H108" s="67" t="n"/>
      <c r="I108" s="67" t="n"/>
      <c r="J108" s="67" t="n"/>
      <c r="K108" s="69" t="n"/>
      <c r="L108" s="67" t="n"/>
      <c r="M108" s="67" t="n"/>
      <c r="N108" s="67" t="n"/>
      <c r="O108" s="67" t="n"/>
      <c r="P108" s="67" t="n"/>
      <c r="Q108" s="70" t="n"/>
      <c r="R108" s="70" t="n"/>
      <c r="S108" s="71" t="n"/>
      <c r="T108" s="72">
        <f>SUM(C108:S108)</f>
        <v/>
      </c>
      <c r="U108" s="73">
        <f>T108/T$7</f>
        <v/>
      </c>
      <c r="V108" s="280" t="n"/>
      <c r="W108" s="118" t="n"/>
      <c r="X108" s="280" t="n"/>
      <c r="Y108" s="118" t="n"/>
      <c r="Z108" s="281" t="n"/>
      <c r="AA108" s="118" t="n"/>
      <c r="AB108" s="280" t="n"/>
      <c r="AC108" s="118" t="n"/>
      <c r="AD108" s="282">
        <f>T108+V108+X108+AB108+Z108</f>
        <v/>
      </c>
      <c r="AE108" s="73">
        <f>AD108/AD$7</f>
        <v/>
      </c>
      <c r="AF108" s="74" t="n">
        <v>4</v>
      </c>
      <c r="AG108" s="76">
        <f>AD108*AF108</f>
        <v/>
      </c>
    </row>
    <row r="109" ht="21.5" customHeight="1">
      <c r="A109" s="65" t="inlineStr">
        <is>
          <t>Tikehau International Cross Assets R Acc EUR</t>
        </is>
      </c>
      <c r="B109" s="77" t="inlineStr">
        <is>
          <t>LU2147879543</t>
        </is>
      </c>
      <c r="C109" s="67" t="n"/>
      <c r="D109" s="67" t="n"/>
      <c r="E109" s="67" t="n"/>
      <c r="F109" s="67" t="n"/>
      <c r="G109" s="67" t="n"/>
      <c r="H109" s="67" t="n"/>
      <c r="I109" s="67" t="n"/>
      <c r="J109" s="67" t="n"/>
      <c r="K109" s="69" t="n"/>
      <c r="L109" s="67" t="n"/>
      <c r="M109" s="67" t="n"/>
      <c r="N109" s="67" t="n"/>
      <c r="O109" s="67" t="n"/>
      <c r="P109" s="67" t="n"/>
      <c r="Q109" s="70" t="n"/>
      <c r="R109" s="70" t="n"/>
      <c r="S109" s="71" t="n"/>
      <c r="T109" s="72">
        <f>SUM(C109:S109)</f>
        <v/>
      </c>
      <c r="U109" s="73">
        <f>T109/T$7</f>
        <v/>
      </c>
      <c r="V109" s="280" t="n"/>
      <c r="W109" s="118" t="n"/>
      <c r="X109" s="280" t="n"/>
      <c r="Y109" s="118" t="n"/>
      <c r="Z109" s="281" t="n"/>
      <c r="AA109" s="118" t="n"/>
      <c r="AB109" s="280" t="n"/>
      <c r="AC109" s="118" t="n"/>
      <c r="AD109" s="282">
        <f>T109+V109+X109+AB109+Z109</f>
        <v/>
      </c>
      <c r="AE109" s="73">
        <f>AD109/AD$7</f>
        <v/>
      </c>
      <c r="AF109" s="74" t="n">
        <v>3</v>
      </c>
      <c r="AG109" s="76">
        <f>AD109*AF109</f>
        <v/>
      </c>
    </row>
    <row r="110" ht="14" customHeight="1">
      <c r="A110" s="65" t="inlineStr">
        <is>
          <t>H2O Adagio I</t>
        </is>
      </c>
      <c r="B110" s="77" t="inlineStr">
        <is>
          <t>FR0010929794</t>
        </is>
      </c>
      <c r="C110" s="67" t="n"/>
      <c r="D110" s="67" t="n"/>
      <c r="E110" s="67" t="n"/>
      <c r="F110" s="67" t="n"/>
      <c r="G110" s="67" t="n"/>
      <c r="H110" s="67" t="n"/>
      <c r="I110" s="67" t="n"/>
      <c r="J110" s="67" t="n"/>
      <c r="K110" s="69" t="n"/>
      <c r="L110" s="67" t="n"/>
      <c r="M110" s="67" t="n"/>
      <c r="N110" s="67" t="n"/>
      <c r="O110" s="67" t="n"/>
      <c r="P110" s="67" t="n"/>
      <c r="Q110" s="70" t="n"/>
      <c r="R110" s="70" t="n"/>
      <c r="S110" s="71" t="n"/>
      <c r="T110" s="72">
        <f>SUM(C110:S110)</f>
        <v/>
      </c>
      <c r="U110" s="73">
        <f>T110/T$7</f>
        <v/>
      </c>
      <c r="V110" s="280" t="n"/>
      <c r="W110" s="118" t="n"/>
      <c r="X110" s="280" t="n"/>
      <c r="Y110" s="118" t="n"/>
      <c r="Z110" s="281" t="n"/>
      <c r="AA110" s="118" t="n"/>
      <c r="AB110" s="280" t="n"/>
      <c r="AC110" s="118" t="n"/>
      <c r="AD110" s="282">
        <f>T110+V110+X110+AB110+Z110</f>
        <v/>
      </c>
      <c r="AE110" s="73">
        <f>AD110/AD$7</f>
        <v/>
      </c>
      <c r="AF110" s="74" t="n">
        <v>3</v>
      </c>
      <c r="AG110" s="76">
        <f>AD110*AF110</f>
        <v/>
      </c>
    </row>
    <row r="111" ht="14" customHeight="1">
      <c r="A111" s="65" t="inlineStr">
        <is>
          <t>H2O Adagio NC</t>
        </is>
      </c>
      <c r="B111" s="77" t="inlineStr">
        <is>
          <t xml:space="preserve">FR0013186772 </t>
        </is>
      </c>
      <c r="C111" s="67" t="n"/>
      <c r="D111" s="67" t="n"/>
      <c r="E111" s="67" t="n"/>
      <c r="F111" s="67" t="n"/>
      <c r="G111" s="67" t="n"/>
      <c r="H111" s="67" t="n"/>
      <c r="I111" s="67" t="n"/>
      <c r="J111" s="67" t="n"/>
      <c r="K111" s="69" t="n"/>
      <c r="L111" s="67" t="n"/>
      <c r="M111" s="67" t="n"/>
      <c r="N111" s="67" t="n"/>
      <c r="O111" s="67" t="n"/>
      <c r="P111" s="67" t="n"/>
      <c r="Q111" s="70" t="n"/>
      <c r="R111" s="70" t="n"/>
      <c r="S111" s="71" t="n"/>
      <c r="T111" s="72">
        <f>SUM(C111:S111)</f>
        <v/>
      </c>
      <c r="U111" s="73">
        <f>T111/T$7</f>
        <v/>
      </c>
      <c r="V111" s="280" t="n"/>
      <c r="W111" s="118" t="n"/>
      <c r="X111" s="280" t="n"/>
      <c r="Y111" s="118" t="n"/>
      <c r="Z111" s="281" t="n"/>
      <c r="AA111" s="118" t="n"/>
      <c r="AB111" s="280" t="n"/>
      <c r="AC111" s="118" t="n"/>
      <c r="AD111" s="282">
        <f>T111+V111+X111+AB111+Z111</f>
        <v/>
      </c>
      <c r="AE111" s="73">
        <f>AD111/AD$7</f>
        <v/>
      </c>
      <c r="AF111" s="74" t="n">
        <v>3</v>
      </c>
      <c r="AG111" s="76">
        <f>AD111*AF111</f>
        <v/>
      </c>
    </row>
    <row r="112" ht="14" customHeight="1">
      <c r="A112" s="65" t="inlineStr">
        <is>
          <t>H2O Adagio RC</t>
        </is>
      </c>
      <c r="B112" s="77" t="inlineStr">
        <is>
          <t xml:space="preserve">FR0010923359 </t>
        </is>
      </c>
      <c r="C112" s="67" t="n"/>
      <c r="D112" s="67" t="n"/>
      <c r="E112" s="67" t="n"/>
      <c r="F112" s="67" t="n"/>
      <c r="G112" s="67" t="n"/>
      <c r="H112" s="67" t="n"/>
      <c r="I112" s="67" t="n"/>
      <c r="J112" s="67" t="n"/>
      <c r="K112" s="69" t="n"/>
      <c r="L112" s="67" t="n"/>
      <c r="M112" s="67" t="n"/>
      <c r="N112" s="67" t="n"/>
      <c r="O112" s="67" t="n"/>
      <c r="P112" s="67" t="n"/>
      <c r="Q112" s="70" t="n"/>
      <c r="R112" s="70" t="n"/>
      <c r="S112" s="71" t="n"/>
      <c r="T112" s="72">
        <f>SUM(C112:S112)</f>
        <v/>
      </c>
      <c r="U112" s="73">
        <f>T112/T$7</f>
        <v/>
      </c>
      <c r="V112" s="280" t="n"/>
      <c r="W112" s="118" t="n"/>
      <c r="X112" s="280" t="n"/>
      <c r="Y112" s="118" t="n"/>
      <c r="Z112" s="281" t="n"/>
      <c r="AA112" s="118" t="n"/>
      <c r="AB112" s="280" t="n"/>
      <c r="AC112" s="118" t="n"/>
      <c r="AD112" s="282">
        <f>T112+V112+X112+AB112+Z112</f>
        <v/>
      </c>
      <c r="AE112" s="73">
        <f>AD112/AD$7</f>
        <v/>
      </c>
      <c r="AF112" s="74" t="n">
        <v>3</v>
      </c>
      <c r="AG112" s="76">
        <f>AD112*AF112</f>
        <v/>
      </c>
    </row>
    <row r="113" ht="14" customHeight="1">
      <c r="A113" s="65" t="inlineStr">
        <is>
          <t>H2O Adagio SR</t>
        </is>
      </c>
      <c r="B113" s="77" t="inlineStr">
        <is>
          <t>FR0013393188</t>
        </is>
      </c>
      <c r="C113" s="67" t="n"/>
      <c r="D113" s="67" t="n"/>
      <c r="E113" s="67" t="n"/>
      <c r="F113" s="67" t="n"/>
      <c r="G113" s="67" t="n"/>
      <c r="H113" s="67" t="n"/>
      <c r="I113" s="67" t="n"/>
      <c r="J113" s="67" t="n"/>
      <c r="K113" s="69" t="n"/>
      <c r="L113" s="67" t="n"/>
      <c r="M113" s="67" t="n"/>
      <c r="N113" s="67" t="n"/>
      <c r="O113" s="67" t="n"/>
      <c r="P113" s="67" t="n"/>
      <c r="Q113" s="70" t="n"/>
      <c r="R113" s="70" t="n"/>
      <c r="S113" s="71" t="n"/>
      <c r="T113" s="72">
        <f>SUM(C113:S113)</f>
        <v/>
      </c>
      <c r="U113" s="73">
        <f>T113/T$7</f>
        <v/>
      </c>
      <c r="V113" s="280" t="n"/>
      <c r="W113" s="118" t="n"/>
      <c r="X113" s="280" t="n"/>
      <c r="Y113" s="118" t="n"/>
      <c r="Z113" s="281" t="n"/>
      <c r="AA113" s="118" t="n"/>
      <c r="AB113" s="280" t="n"/>
      <c r="AC113" s="118" t="n"/>
      <c r="AD113" s="282">
        <f>T113+V113+X113+AB113+Z113</f>
        <v/>
      </c>
      <c r="AE113" s="73">
        <f>AD113/AD$7</f>
        <v/>
      </c>
      <c r="AF113" s="74" t="n">
        <v>3</v>
      </c>
      <c r="AG113" s="76">
        <f>AD113*AF113</f>
        <v/>
      </c>
    </row>
    <row r="114" ht="14" customHeight="1">
      <c r="A114" s="65" t="inlineStr">
        <is>
          <t>H2O Moderato N</t>
        </is>
      </c>
      <c r="B114" s="77" t="inlineStr">
        <is>
          <t>FR0013185196</t>
        </is>
      </c>
      <c r="C114" s="67" t="n"/>
      <c r="D114" s="67" t="n"/>
      <c r="E114" s="67" t="n"/>
      <c r="F114" s="67" t="n"/>
      <c r="G114" s="67" t="n"/>
      <c r="H114" s="67" t="n"/>
      <c r="I114" s="67" t="n"/>
      <c r="J114" s="67" t="n"/>
      <c r="K114" s="69" t="n"/>
      <c r="L114" s="67" t="n"/>
      <c r="M114" s="67" t="n"/>
      <c r="N114" s="67" t="n"/>
      <c r="O114" s="67" t="n"/>
      <c r="P114" s="67" t="n"/>
      <c r="Q114" s="70" t="n"/>
      <c r="R114" s="70" t="n"/>
      <c r="S114" s="71" t="n"/>
      <c r="T114" s="72">
        <f>SUM(C114:S114)</f>
        <v/>
      </c>
      <c r="U114" s="73">
        <f>T114/T$7</f>
        <v/>
      </c>
      <c r="V114" s="280" t="n"/>
      <c r="W114" s="118" t="n"/>
      <c r="X114" s="280" t="n"/>
      <c r="Y114" s="118" t="n"/>
      <c r="Z114" s="281" t="n"/>
      <c r="AA114" s="118" t="n"/>
      <c r="AB114" s="280" t="n"/>
      <c r="AC114" s="118" t="n"/>
      <c r="AD114" s="282">
        <f>T114+V114+X114+AB114+Z114</f>
        <v/>
      </c>
      <c r="AE114" s="73">
        <f>AD114/AD$7</f>
        <v/>
      </c>
      <c r="AF114" s="74" t="n">
        <v>4</v>
      </c>
      <c r="AG114" s="76">
        <f>AD114*AF114</f>
        <v/>
      </c>
    </row>
    <row r="115" ht="14" customHeight="1">
      <c r="A115" s="65" t="inlineStr">
        <is>
          <t>H2O Moderato R</t>
        </is>
      </c>
      <c r="B115" s="77" t="inlineStr">
        <is>
          <t>FR0010923367</t>
        </is>
      </c>
      <c r="C115" s="67" t="n"/>
      <c r="D115" s="67" t="n"/>
      <c r="E115" s="67" t="n"/>
      <c r="F115" s="67" t="n"/>
      <c r="G115" s="67" t="n"/>
      <c r="H115" s="67" t="n"/>
      <c r="I115" s="67" t="n"/>
      <c r="J115" s="67" t="n"/>
      <c r="K115" s="69" t="n"/>
      <c r="L115" s="67" t="n"/>
      <c r="M115" s="67" t="n"/>
      <c r="N115" s="67" t="n"/>
      <c r="O115" s="67" t="n"/>
      <c r="P115" s="67" t="n"/>
      <c r="Q115" s="70" t="n"/>
      <c r="R115" s="70" t="n"/>
      <c r="S115" s="71" t="n"/>
      <c r="T115" s="72">
        <f>SUM(C115:S115)</f>
        <v/>
      </c>
      <c r="U115" s="73">
        <f>T115/T$7</f>
        <v/>
      </c>
      <c r="V115" s="280" t="n"/>
      <c r="W115" s="118" t="n"/>
      <c r="X115" s="280" t="n"/>
      <c r="Y115" s="118" t="n"/>
      <c r="Z115" s="281" t="n"/>
      <c r="AA115" s="118" t="n"/>
      <c r="AB115" s="280" t="n"/>
      <c r="AC115" s="118" t="n"/>
      <c r="AD115" s="282">
        <f>T115+V115+X115+AB115+Z115</f>
        <v/>
      </c>
      <c r="AE115" s="73">
        <f>AD115/AD$7</f>
        <v/>
      </c>
      <c r="AF115" s="74" t="n">
        <v>5</v>
      </c>
      <c r="AG115" s="76">
        <f>AD115*AF115</f>
        <v/>
      </c>
    </row>
    <row r="116" ht="14" customHeight="1">
      <c r="A116" s="65" t="inlineStr">
        <is>
          <t>H2O Moderato SR</t>
        </is>
      </c>
      <c r="B116" s="77" t="inlineStr">
        <is>
          <t>FR0013393295</t>
        </is>
      </c>
      <c r="C116" s="67" t="n"/>
      <c r="D116" s="67" t="n"/>
      <c r="E116" s="67" t="n"/>
      <c r="F116" s="67" t="n"/>
      <c r="G116" s="67" t="n"/>
      <c r="H116" s="67" t="n"/>
      <c r="I116" s="67" t="n"/>
      <c r="J116" s="67" t="n"/>
      <c r="K116" s="69" t="n"/>
      <c r="L116" s="67" t="n"/>
      <c r="M116" s="67" t="n"/>
      <c r="N116" s="67" t="n"/>
      <c r="O116" s="67" t="n"/>
      <c r="P116" s="67" t="n"/>
      <c r="Q116" s="70" t="n"/>
      <c r="R116" s="70" t="n"/>
      <c r="S116" s="71" t="n"/>
      <c r="T116" s="72">
        <f>SUM(C116:S116)</f>
        <v/>
      </c>
      <c r="U116" s="73">
        <f>T116/T$7</f>
        <v/>
      </c>
      <c r="V116" s="280" t="n"/>
      <c r="W116" s="118" t="n"/>
      <c r="X116" s="280" t="n"/>
      <c r="Y116" s="118" t="n"/>
      <c r="Z116" s="281" t="n"/>
      <c r="AA116" s="118" t="n"/>
      <c r="AB116" s="280" t="n"/>
      <c r="AC116" s="118" t="n"/>
      <c r="AD116" s="282">
        <f>T116+V116+X116+AB116+Z116</f>
        <v/>
      </c>
      <c r="AE116" s="73">
        <f>AD116/AD$7</f>
        <v/>
      </c>
      <c r="AF116" s="74" t="n">
        <v>5</v>
      </c>
      <c r="AG116" s="76">
        <f>AD116*AF116</f>
        <v/>
      </c>
    </row>
    <row r="117" ht="14" customHeight="1">
      <c r="A117" s="65" t="inlineStr">
        <is>
          <t>H2O Multistrategies N C</t>
        </is>
      </c>
      <c r="B117" s="77" t="inlineStr">
        <is>
          <t>FR0013186749</t>
        </is>
      </c>
      <c r="C117" s="67" t="n"/>
      <c r="D117" s="67" t="n"/>
      <c r="E117" s="67" t="n"/>
      <c r="F117" s="67" t="n"/>
      <c r="G117" s="67" t="n"/>
      <c r="H117" s="67" t="n"/>
      <c r="I117" s="67" t="n"/>
      <c r="J117" s="67" t="n"/>
      <c r="K117" s="69" t="n"/>
      <c r="L117" s="67" t="n"/>
      <c r="M117" s="67" t="n"/>
      <c r="N117" s="67" t="n"/>
      <c r="O117" s="67" t="n"/>
      <c r="P117" s="67" t="n"/>
      <c r="Q117" s="70" t="n"/>
      <c r="R117" s="70" t="n"/>
      <c r="S117" s="71" t="n"/>
      <c r="T117" s="72">
        <f>SUM(C117:S117)</f>
        <v/>
      </c>
      <c r="U117" s="73">
        <f>T117/T$7</f>
        <v/>
      </c>
      <c r="V117" s="280" t="n"/>
      <c r="W117" s="118" t="n"/>
      <c r="X117" s="280" t="n"/>
      <c r="Y117" s="118" t="n"/>
      <c r="Z117" s="281" t="n"/>
      <c r="AA117" s="118" t="n"/>
      <c r="AB117" s="280" t="n"/>
      <c r="AC117" s="118" t="n"/>
      <c r="AD117" s="282">
        <f>T117+V117+X117+AB117+Z117</f>
        <v/>
      </c>
      <c r="AE117" s="73">
        <f>AD117/AD$7</f>
        <v/>
      </c>
      <c r="AF117" s="74" t="n">
        <v>7</v>
      </c>
      <c r="AG117" s="76">
        <f>AD117*AF117</f>
        <v/>
      </c>
    </row>
    <row r="118" ht="14" customHeight="1">
      <c r="A118" s="65" t="inlineStr">
        <is>
          <t>H2O Multistrategies R C</t>
        </is>
      </c>
      <c r="B118" s="77" t="inlineStr">
        <is>
          <t>FR0010923383</t>
        </is>
      </c>
      <c r="C118" s="67" t="n"/>
      <c r="D118" s="67" t="n"/>
      <c r="E118" s="67" t="n"/>
      <c r="F118" s="67" t="n"/>
      <c r="G118" s="67" t="n"/>
      <c r="H118" s="67" t="n"/>
      <c r="I118" s="67" t="n"/>
      <c r="J118" s="67" t="n"/>
      <c r="K118" s="69" t="n"/>
      <c r="L118" s="67" t="n"/>
      <c r="M118" s="67" t="n"/>
      <c r="N118" s="67" t="n"/>
      <c r="O118" s="67" t="n"/>
      <c r="P118" s="67" t="n"/>
      <c r="Q118" s="70" t="n"/>
      <c r="R118" s="70" t="n"/>
      <c r="S118" s="71" t="n"/>
      <c r="T118" s="72">
        <f>SUM(C118:S118)</f>
        <v/>
      </c>
      <c r="U118" s="73">
        <f>T118/T$7</f>
        <v/>
      </c>
      <c r="V118" s="280" t="n"/>
      <c r="W118" s="118" t="n"/>
      <c r="X118" s="280" t="n"/>
      <c r="Y118" s="118" t="n"/>
      <c r="Z118" s="281" t="n"/>
      <c r="AA118" s="118" t="n"/>
      <c r="AB118" s="280" t="n"/>
      <c r="AC118" s="118" t="n"/>
      <c r="AD118" s="282">
        <f>T118+V118+X118+AB118+Z118</f>
        <v/>
      </c>
      <c r="AE118" s="73">
        <f>AD118/AD$7</f>
        <v/>
      </c>
      <c r="AF118" s="74" t="n">
        <v>7</v>
      </c>
      <c r="AG118" s="76">
        <f>AD118*AF118</f>
        <v/>
      </c>
    </row>
    <row r="119" ht="14" customHeight="1">
      <c r="A119" s="65" t="inlineStr">
        <is>
          <t>H2O Moderato SP N ©</t>
        </is>
      </c>
      <c r="B119" s="77" t="inlineStr">
        <is>
          <t>FR0013535242</t>
        </is>
      </c>
      <c r="C119" s="67" t="n"/>
      <c r="D119" s="67" t="n"/>
      <c r="E119" s="67" t="n"/>
      <c r="F119" s="67" t="n"/>
      <c r="G119" s="67" t="n"/>
      <c r="H119" s="67" t="n"/>
      <c r="I119" s="67" t="n"/>
      <c r="J119" s="67" t="n"/>
      <c r="K119" s="69" t="n"/>
      <c r="L119" s="67" t="n"/>
      <c r="M119" s="67" t="n"/>
      <c r="N119" s="67" t="n"/>
      <c r="O119" s="67" t="n"/>
      <c r="P119" s="67" t="n"/>
      <c r="Q119" s="70" t="n"/>
      <c r="R119" s="70" t="n"/>
      <c r="S119" s="71" t="n"/>
      <c r="T119" s="72">
        <f>SUM(C119:S119)</f>
        <v/>
      </c>
      <c r="U119" s="73">
        <f>T119/T$7</f>
        <v/>
      </c>
      <c r="V119" s="280" t="n"/>
      <c r="W119" s="118" t="n"/>
      <c r="X119" s="280" t="n"/>
      <c r="Y119" s="118" t="n"/>
      <c r="Z119" s="281" t="n"/>
      <c r="AA119" s="118" t="n"/>
      <c r="AB119" s="280" t="n"/>
      <c r="AC119" s="118" t="n"/>
      <c r="AD119" s="282">
        <f>T119+V119+X119+AB119+Z119</f>
        <v/>
      </c>
      <c r="AE119" s="73">
        <f>AD119/AD$7</f>
        <v/>
      </c>
      <c r="AF119" s="74" t="n">
        <v>7</v>
      </c>
      <c r="AG119" s="76">
        <f>AD119*AF119</f>
        <v/>
      </c>
    </row>
    <row r="120" ht="14" customHeight="1">
      <c r="A120" s="65" t="inlineStr">
        <is>
          <t>H2O Multistrategies SP R ©</t>
        </is>
      </c>
      <c r="B120" s="77" t="inlineStr">
        <is>
          <t>FR0013535408</t>
        </is>
      </c>
      <c r="C120" s="67" t="n"/>
      <c r="D120" s="67" t="n"/>
      <c r="E120" s="67" t="n"/>
      <c r="F120" s="67" t="n"/>
      <c r="G120" s="67" t="n"/>
      <c r="H120" s="67" t="n"/>
      <c r="I120" s="67" t="n"/>
      <c r="J120" s="67" t="n"/>
      <c r="K120" s="69" t="n"/>
      <c r="L120" s="67" t="n"/>
      <c r="M120" s="67" t="n"/>
      <c r="N120" s="67" t="n"/>
      <c r="O120" s="67" t="n"/>
      <c r="P120" s="67" t="n"/>
      <c r="Q120" s="70" t="n"/>
      <c r="R120" s="70" t="n"/>
      <c r="S120" s="71" t="n"/>
      <c r="T120" s="72">
        <f>SUM(C120:S120)</f>
        <v/>
      </c>
      <c r="U120" s="73">
        <f>T120/T$7</f>
        <v/>
      </c>
      <c r="V120" s="280" t="n"/>
      <c r="W120" s="118" t="n"/>
      <c r="X120" s="280" t="n"/>
      <c r="Y120" s="118" t="n"/>
      <c r="Z120" s="281" t="n"/>
      <c r="AA120" s="118" t="n"/>
      <c r="AB120" s="280" t="n"/>
      <c r="AC120" s="118" t="n"/>
      <c r="AD120" s="282">
        <f>T120+V120+X120+AB120+Z120</f>
        <v/>
      </c>
      <c r="AE120" s="73">
        <f>AD120/AD$7</f>
        <v/>
      </c>
      <c r="AF120" s="74" t="n">
        <v>7</v>
      </c>
      <c r="AG120" s="76">
        <f>AD120*AF120</f>
        <v/>
      </c>
    </row>
    <row r="121" ht="14" customHeight="1">
      <c r="A121" s="65" t="inlineStr">
        <is>
          <t xml:space="preserve">H2O Multistrategies </t>
        </is>
      </c>
      <c r="B121" s="77" t="inlineStr">
        <is>
          <t>/</t>
        </is>
      </c>
      <c r="C121" s="67" t="n"/>
      <c r="D121" s="67" t="n"/>
      <c r="E121" s="67" t="n"/>
      <c r="F121" s="67" t="n"/>
      <c r="G121" s="67" t="n"/>
      <c r="H121" s="67" t="n"/>
      <c r="I121" s="67" t="n"/>
      <c r="J121" s="67" t="n"/>
      <c r="K121" s="69" t="n"/>
      <c r="L121" s="67" t="n"/>
      <c r="M121" s="67" t="n"/>
      <c r="N121" s="67" t="n"/>
      <c r="O121" s="67" t="n"/>
      <c r="P121" s="67" t="n"/>
      <c r="Q121" s="70" t="n"/>
      <c r="R121" s="70" t="n"/>
      <c r="S121" s="71" t="n"/>
      <c r="T121" s="72">
        <f>SUM(C121:S121)</f>
        <v/>
      </c>
      <c r="U121" s="73">
        <f>T121/T$7</f>
        <v/>
      </c>
      <c r="V121" s="280" t="n"/>
      <c r="W121" s="118" t="n"/>
      <c r="X121" s="280" t="n"/>
      <c r="Y121" s="118" t="n"/>
      <c r="Z121" s="281" t="n"/>
      <c r="AA121" s="118" t="n"/>
      <c r="AB121" s="280" t="n"/>
      <c r="AC121" s="118" t="n"/>
      <c r="AD121" s="282">
        <f>T121+V121+X121+AB121+Z121</f>
        <v/>
      </c>
      <c r="AE121" s="73">
        <f>AD121/AD$7</f>
        <v/>
      </c>
      <c r="AF121" s="74" t="n">
        <v>6</v>
      </c>
      <c r="AG121" s="76">
        <f>AD121*AF121</f>
        <v/>
      </c>
    </row>
    <row r="122" ht="14" customHeight="1">
      <c r="A122" s="78" t="inlineStr">
        <is>
          <t>JPMorgan Funds Europe Equity Absolute Alpha fund A</t>
        </is>
      </c>
      <c r="B122" s="79" t="inlineStr">
        <is>
          <t>LU1001747408</t>
        </is>
      </c>
      <c r="C122" s="67" t="n"/>
      <c r="D122" s="67" t="n"/>
      <c r="E122" s="67" t="n"/>
      <c r="F122" s="67" t="n"/>
      <c r="G122" s="67" t="n"/>
      <c r="H122" s="67" t="n"/>
      <c r="I122" s="67" t="n"/>
      <c r="J122" s="67" t="n"/>
      <c r="K122" s="69" t="n"/>
      <c r="L122" s="67" t="n"/>
      <c r="M122" s="67" t="n"/>
      <c r="N122" s="67" t="n"/>
      <c r="O122" s="67" t="n"/>
      <c r="P122" s="67" t="n"/>
      <c r="Q122" s="70" t="n"/>
      <c r="R122" s="70" t="n"/>
      <c r="S122" s="71" t="n"/>
      <c r="T122" s="80">
        <f>SUM(C122:S122)</f>
        <v/>
      </c>
      <c r="U122" s="73">
        <f>T122/T$7</f>
        <v/>
      </c>
      <c r="V122" s="280" t="n"/>
      <c r="W122" s="118" t="n"/>
      <c r="X122" s="280" t="n"/>
      <c r="Y122" s="118" t="n"/>
      <c r="Z122" s="281" t="n"/>
      <c r="AA122" s="118" t="n"/>
      <c r="AB122" s="280" t="n"/>
      <c r="AC122" s="118" t="n"/>
      <c r="AD122" s="282">
        <f>T122+V122+X122+AB122+Z122</f>
        <v/>
      </c>
      <c r="AE122" s="73">
        <f>AD122/AD$7</f>
        <v/>
      </c>
      <c r="AF122" s="81" t="n">
        <v>3</v>
      </c>
      <c r="AG122" s="76">
        <f>AD122*AF122</f>
        <v/>
      </c>
      <c r="AH122" s="28" t="n"/>
      <c r="AI122" s="28" t="n"/>
    </row>
    <row r="123" ht="14" customHeight="1">
      <c r="A123" s="65" t="n"/>
      <c r="B123" s="79" t="n"/>
      <c r="C123" s="67" t="n"/>
      <c r="D123" s="67" t="n"/>
      <c r="E123" s="67" t="n"/>
      <c r="F123" s="67" t="n"/>
      <c r="G123" s="67" t="n"/>
      <c r="H123" s="67" t="n"/>
      <c r="I123" s="67" t="n"/>
      <c r="J123" s="67" t="n"/>
      <c r="K123" s="69" t="n"/>
      <c r="L123" s="67" t="n"/>
      <c r="M123" s="67" t="n"/>
      <c r="N123" s="67" t="n"/>
      <c r="O123" s="67" t="n"/>
      <c r="P123" s="67" t="n"/>
      <c r="Q123" s="70" t="n"/>
      <c r="R123" s="70" t="n"/>
      <c r="S123" s="71" t="n"/>
      <c r="T123" s="72">
        <f>SUM(C123:S123)</f>
        <v/>
      </c>
      <c r="U123" s="73">
        <f>T123/T$7</f>
        <v/>
      </c>
      <c r="V123" s="280" t="n"/>
      <c r="W123" s="118" t="n"/>
      <c r="X123" s="280" t="n"/>
      <c r="Y123" s="118" t="n"/>
      <c r="Z123" s="281" t="n"/>
      <c r="AA123" s="118" t="n"/>
      <c r="AB123" s="280" t="n"/>
      <c r="AC123" s="118" t="n"/>
      <c r="AD123" s="282">
        <f>T123+V123+X123+AB123+Z123</f>
        <v/>
      </c>
      <c r="AE123" s="73">
        <f>AD123/AD$7</f>
        <v/>
      </c>
      <c r="AF123" s="74" t="n"/>
      <c r="AG123" s="76">
        <f>AD123*AF123</f>
        <v/>
      </c>
    </row>
    <row r="124" ht="14" customHeight="1">
      <c r="A124" s="65" t="n"/>
      <c r="B124" s="79" t="n"/>
      <c r="C124" s="67" t="n"/>
      <c r="D124" s="67" t="n"/>
      <c r="E124" s="67" t="n"/>
      <c r="F124" s="67" t="n"/>
      <c r="G124" s="67" t="n"/>
      <c r="H124" s="67" t="n"/>
      <c r="I124" s="67" t="n"/>
      <c r="J124" s="67" t="n"/>
      <c r="K124" s="69" t="n"/>
      <c r="L124" s="67" t="n"/>
      <c r="M124" s="67" t="n"/>
      <c r="N124" s="67" t="n"/>
      <c r="O124" s="67" t="n"/>
      <c r="P124" s="67" t="n"/>
      <c r="Q124" s="70" t="n"/>
      <c r="R124" s="70" t="n"/>
      <c r="S124" s="71" t="n"/>
      <c r="T124" s="72" t="n"/>
      <c r="U124" s="73" t="n"/>
      <c r="V124" s="280" t="n"/>
      <c r="W124" s="118" t="n"/>
      <c r="X124" s="280" t="n"/>
      <c r="Y124" s="118" t="n"/>
      <c r="Z124" s="281" t="n"/>
      <c r="AA124" s="118" t="n"/>
      <c r="AB124" s="280" t="n"/>
      <c r="AC124" s="118" t="n"/>
      <c r="AD124" s="282">
        <f>T124+V124+X124+AB124+Z124</f>
        <v/>
      </c>
      <c r="AE124" s="73">
        <f>AD124/AD$7</f>
        <v/>
      </c>
      <c r="AF124" s="74" t="n"/>
      <c r="AG124" s="76">
        <f>AD124*AF124</f>
        <v/>
      </c>
    </row>
    <row r="125" ht="14" customHeight="1">
      <c r="A125" s="65" t="n"/>
      <c r="B125" s="79" t="n"/>
      <c r="C125" s="67" t="n"/>
      <c r="D125" s="67" t="n"/>
      <c r="E125" s="67" t="n"/>
      <c r="F125" s="67" t="n"/>
      <c r="G125" s="67" t="n"/>
      <c r="H125" s="67" t="n"/>
      <c r="I125" s="67" t="n"/>
      <c r="J125" s="67" t="n"/>
      <c r="K125" s="69" t="n"/>
      <c r="L125" s="67" t="n"/>
      <c r="M125" s="67" t="n"/>
      <c r="N125" s="67" t="n"/>
      <c r="O125" s="67" t="n"/>
      <c r="P125" s="67" t="n"/>
      <c r="Q125" s="70" t="n"/>
      <c r="R125" s="70" t="n"/>
      <c r="S125" s="71" t="n"/>
      <c r="T125" s="72" t="n"/>
      <c r="U125" s="73" t="n"/>
      <c r="V125" s="280" t="n"/>
      <c r="W125" s="118" t="n"/>
      <c r="X125" s="280" t="n"/>
      <c r="Y125" s="118" t="n"/>
      <c r="Z125" s="281" t="n"/>
      <c r="AA125" s="118" t="n"/>
      <c r="AB125" s="280" t="n"/>
      <c r="AC125" s="118" t="n"/>
      <c r="AD125" s="282">
        <f>T125+V125+X125+AB125+Z125</f>
        <v/>
      </c>
      <c r="AE125" s="73">
        <f>AD125/AD$7</f>
        <v/>
      </c>
      <c r="AF125" s="74" t="n"/>
      <c r="AG125" s="76">
        <f>AD125*AF125</f>
        <v/>
      </c>
    </row>
    <row r="126" ht="14" customHeight="1">
      <c r="A126" s="65" t="n"/>
      <c r="B126" s="79" t="n"/>
      <c r="C126" s="67" t="n"/>
      <c r="D126" s="67" t="n"/>
      <c r="E126" s="67" t="n"/>
      <c r="F126" s="67" t="n"/>
      <c r="G126" s="67" t="n"/>
      <c r="H126" s="67" t="n"/>
      <c r="I126" s="67" t="n"/>
      <c r="J126" s="67" t="n"/>
      <c r="K126" s="69" t="n"/>
      <c r="L126" s="67" t="n"/>
      <c r="M126" s="67" t="n"/>
      <c r="N126" s="67" t="n"/>
      <c r="O126" s="67" t="n"/>
      <c r="P126" s="67" t="n"/>
      <c r="Q126" s="70" t="n"/>
      <c r="R126" s="70" t="n"/>
      <c r="S126" s="71" t="n"/>
      <c r="T126" s="72" t="n"/>
      <c r="U126" s="73" t="n"/>
      <c r="V126" s="280" t="n"/>
      <c r="W126" s="118" t="n"/>
      <c r="X126" s="280" t="n"/>
      <c r="Y126" s="118" t="n"/>
      <c r="Z126" s="281" t="n"/>
      <c r="AA126" s="118" t="n"/>
      <c r="AB126" s="280" t="n"/>
      <c r="AC126" s="118" t="n"/>
      <c r="AD126" s="282">
        <f>T126+V126+X126+AB126+Z126</f>
        <v/>
      </c>
      <c r="AE126" s="73">
        <f>AD126/AD$7</f>
        <v/>
      </c>
      <c r="AF126" s="74" t="n"/>
      <c r="AG126" s="76">
        <f>AD126*AF126</f>
        <v/>
      </c>
    </row>
    <row r="127" ht="14" customHeight="1">
      <c r="A127" s="65" t="n"/>
      <c r="B127" s="79" t="n"/>
      <c r="C127" s="67" t="n"/>
      <c r="D127" s="67" t="n"/>
      <c r="E127" s="67" t="n"/>
      <c r="F127" s="67" t="n"/>
      <c r="G127" s="67" t="n"/>
      <c r="H127" s="67" t="n"/>
      <c r="I127" s="67" t="n"/>
      <c r="J127" s="67" t="n"/>
      <c r="K127" s="69" t="n"/>
      <c r="L127" s="67" t="n"/>
      <c r="M127" s="67" t="n"/>
      <c r="N127" s="67" t="n"/>
      <c r="O127" s="67" t="n"/>
      <c r="P127" s="67" t="n"/>
      <c r="Q127" s="70" t="n"/>
      <c r="R127" s="70" t="n"/>
      <c r="S127" s="71" t="n"/>
      <c r="T127" s="72" t="n"/>
      <c r="U127" s="73" t="n"/>
      <c r="V127" s="280" t="n"/>
      <c r="W127" s="118" t="n"/>
      <c r="X127" s="280" t="n"/>
      <c r="Y127" s="118" t="n"/>
      <c r="Z127" s="281" t="n"/>
      <c r="AA127" s="118" t="n"/>
      <c r="AB127" s="280" t="n"/>
      <c r="AC127" s="118" t="n"/>
      <c r="AD127" s="282">
        <f>T127+V127+X127+AB127+Z127</f>
        <v/>
      </c>
      <c r="AE127" s="73">
        <f>AD127/AD$7</f>
        <v/>
      </c>
      <c r="AF127" s="74" t="n"/>
      <c r="AG127" s="76">
        <f>AD127*AF127</f>
        <v/>
      </c>
    </row>
    <row r="128" ht="14" customHeight="1">
      <c r="A128" s="65" t="n"/>
      <c r="B128" s="79" t="n"/>
      <c r="C128" s="67" t="n"/>
      <c r="D128" s="67" t="n"/>
      <c r="E128" s="67" t="n"/>
      <c r="F128" s="67" t="n"/>
      <c r="G128" s="67" t="n"/>
      <c r="H128" s="67" t="n"/>
      <c r="I128" s="67" t="n"/>
      <c r="J128" s="67" t="n"/>
      <c r="K128" s="69" t="n"/>
      <c r="L128" s="67" t="n"/>
      <c r="M128" s="67" t="n"/>
      <c r="N128" s="67" t="n"/>
      <c r="O128" s="67" t="n"/>
      <c r="P128" s="67" t="n"/>
      <c r="Q128" s="70" t="n"/>
      <c r="R128" s="70" t="n"/>
      <c r="S128" s="71" t="n"/>
      <c r="T128" s="72" t="n"/>
      <c r="U128" s="73" t="n"/>
      <c r="V128" s="280" t="n"/>
      <c r="W128" s="118" t="n"/>
      <c r="X128" s="280" t="n"/>
      <c r="Y128" s="118" t="n"/>
      <c r="Z128" s="281" t="n"/>
      <c r="AA128" s="118" t="n"/>
      <c r="AB128" s="280" t="n"/>
      <c r="AC128" s="118" t="n"/>
      <c r="AD128" s="282">
        <f>T128+V128+X128+AB128+Z128</f>
        <v/>
      </c>
      <c r="AE128" s="73">
        <f>AD128/AD$7</f>
        <v/>
      </c>
      <c r="AF128" s="74" t="n"/>
      <c r="AG128" s="76">
        <f>AD128*AF128</f>
        <v/>
      </c>
    </row>
    <row r="129" ht="14" customHeight="1">
      <c r="A129" s="65" t="n"/>
      <c r="B129" s="79" t="n"/>
      <c r="C129" s="67" t="n"/>
      <c r="D129" s="67" t="n"/>
      <c r="E129" s="67" t="n"/>
      <c r="F129" s="67" t="n"/>
      <c r="G129" s="67" t="n"/>
      <c r="H129" s="67" t="n"/>
      <c r="I129" s="67" t="n"/>
      <c r="J129" s="67" t="n"/>
      <c r="K129" s="69" t="n"/>
      <c r="L129" s="67" t="n"/>
      <c r="M129" s="67" t="n"/>
      <c r="N129" s="67" t="n"/>
      <c r="O129" s="67" t="n"/>
      <c r="P129" s="67" t="n"/>
      <c r="Q129" s="70" t="n"/>
      <c r="R129" s="70" t="n"/>
      <c r="S129" s="71" t="n"/>
      <c r="T129" s="72" t="n"/>
      <c r="U129" s="73" t="n"/>
      <c r="V129" s="280" t="n"/>
      <c r="W129" s="118" t="n"/>
      <c r="X129" s="280" t="n"/>
      <c r="Y129" s="118" t="n"/>
      <c r="Z129" s="281" t="n"/>
      <c r="AA129" s="118" t="n"/>
      <c r="AB129" s="280" t="n"/>
      <c r="AC129" s="118" t="n"/>
      <c r="AD129" s="282">
        <f>T129+V129+X129+AB129+Z129</f>
        <v/>
      </c>
      <c r="AE129" s="73">
        <f>AD129/AD$7</f>
        <v/>
      </c>
      <c r="AF129" s="74" t="n"/>
      <c r="AG129" s="76">
        <f>AD129*AF129</f>
        <v/>
      </c>
    </row>
    <row r="130" ht="14" customHeight="1">
      <c r="A130" s="65" t="n"/>
      <c r="B130" s="79" t="n"/>
      <c r="C130" s="67" t="n"/>
      <c r="D130" s="67" t="n"/>
      <c r="E130" s="67" t="n"/>
      <c r="F130" s="67" t="n"/>
      <c r="G130" s="67" t="n"/>
      <c r="H130" s="67" t="n"/>
      <c r="I130" s="67" t="n"/>
      <c r="J130" s="67" t="n"/>
      <c r="K130" s="69" t="n"/>
      <c r="L130" s="67" t="n"/>
      <c r="M130" s="67" t="n"/>
      <c r="N130" s="67" t="n"/>
      <c r="O130" s="67" t="n"/>
      <c r="P130" s="67" t="n"/>
      <c r="Q130" s="70" t="n"/>
      <c r="R130" s="70" t="n"/>
      <c r="S130" s="71" t="n"/>
      <c r="T130" s="72" t="n"/>
      <c r="U130" s="73" t="n"/>
      <c r="V130" s="280" t="n"/>
      <c r="W130" s="118" t="n"/>
      <c r="X130" s="280" t="n"/>
      <c r="Y130" s="118" t="n"/>
      <c r="Z130" s="281" t="n"/>
      <c r="AA130" s="118" t="n"/>
      <c r="AB130" s="280" t="n"/>
      <c r="AC130" s="118" t="n"/>
      <c r="AD130" s="282">
        <f>T130+V130+X130+AB130+Z130</f>
        <v/>
      </c>
      <c r="AE130" s="73">
        <f>AD130/AD$7</f>
        <v/>
      </c>
      <c r="AF130" s="74" t="n"/>
      <c r="AG130" s="76">
        <f>AD130*AF130</f>
        <v/>
      </c>
    </row>
    <row r="131" ht="14" customHeight="1">
      <c r="A131" s="65" t="n"/>
      <c r="B131" s="79" t="n"/>
      <c r="C131" s="67" t="n"/>
      <c r="D131" s="67" t="n"/>
      <c r="E131" s="67" t="n"/>
      <c r="F131" s="67" t="n"/>
      <c r="G131" s="67" t="n"/>
      <c r="H131" s="67" t="n"/>
      <c r="I131" s="67" t="n"/>
      <c r="J131" s="67" t="n"/>
      <c r="K131" s="69" t="n"/>
      <c r="L131" s="67" t="n"/>
      <c r="M131" s="67" t="n"/>
      <c r="N131" s="67" t="n"/>
      <c r="O131" s="67" t="n"/>
      <c r="P131" s="67" t="n"/>
      <c r="Q131" s="70" t="n"/>
      <c r="R131" s="70" t="n"/>
      <c r="S131" s="71" t="n"/>
      <c r="T131" s="72">
        <f>SUM(C131:S131)</f>
        <v/>
      </c>
      <c r="U131" s="73">
        <f>T131/T$7</f>
        <v/>
      </c>
      <c r="V131" s="280" t="n"/>
      <c r="W131" s="118" t="n"/>
      <c r="X131" s="280" t="n"/>
      <c r="Y131" s="118" t="n"/>
      <c r="Z131" s="281" t="n"/>
      <c r="AA131" s="118" t="n"/>
      <c r="AB131" s="280" t="n"/>
      <c r="AC131" s="118" t="n"/>
      <c r="AD131" s="282">
        <f>T131+V131+X131+AB131+Z131</f>
        <v/>
      </c>
      <c r="AE131" s="73">
        <f>AD131/AD$7</f>
        <v/>
      </c>
      <c r="AF131" s="74" t="n"/>
      <c r="AG131" s="76">
        <f>AD131*AF131</f>
        <v/>
      </c>
    </row>
    <row r="132" ht="14" customHeight="1">
      <c r="A132" s="65" t="n"/>
      <c r="B132" s="79" t="n"/>
      <c r="C132" s="67" t="n"/>
      <c r="D132" s="67" t="n"/>
      <c r="E132" s="67" t="n"/>
      <c r="F132" s="67" t="n"/>
      <c r="G132" s="67" t="n"/>
      <c r="H132" s="67" t="n"/>
      <c r="I132" s="67" t="n"/>
      <c r="J132" s="67" t="n"/>
      <c r="K132" s="69" t="n"/>
      <c r="L132" s="67" t="n"/>
      <c r="M132" s="67" t="n"/>
      <c r="N132" s="67" t="n"/>
      <c r="O132" s="67" t="n"/>
      <c r="P132" s="67" t="n"/>
      <c r="Q132" s="70" t="n"/>
      <c r="R132" s="70" t="n"/>
      <c r="S132" s="71" t="n"/>
      <c r="T132" s="72">
        <f>SUM(C132:S132)</f>
        <v/>
      </c>
      <c r="U132" s="73">
        <f>T132/T$7</f>
        <v/>
      </c>
      <c r="V132" s="280" t="n"/>
      <c r="W132" s="118" t="n"/>
      <c r="X132" s="280" t="n"/>
      <c r="Y132" s="118" t="n"/>
      <c r="Z132" s="281" t="n"/>
      <c r="AA132" s="118" t="n"/>
      <c r="AB132" s="280" t="n"/>
      <c r="AC132" s="118" t="n"/>
      <c r="AD132" s="282">
        <f>T132+V132+X132+AB132+Z132</f>
        <v/>
      </c>
      <c r="AE132" s="73">
        <f>AD132/AD$7</f>
        <v/>
      </c>
      <c r="AF132" s="74" t="n"/>
      <c r="AG132" s="76">
        <f>AD132*AF132</f>
        <v/>
      </c>
    </row>
    <row r="133" ht="14" customHeight="1">
      <c r="A133" s="65" t="n"/>
      <c r="B133" s="79" t="n"/>
      <c r="C133" s="67" t="n"/>
      <c r="D133" s="67" t="n"/>
      <c r="E133" s="67" t="n"/>
      <c r="F133" s="67" t="n"/>
      <c r="G133" s="67" t="n"/>
      <c r="H133" s="67" t="n"/>
      <c r="I133" s="67" t="n"/>
      <c r="J133" s="67" t="n"/>
      <c r="K133" s="69" t="n"/>
      <c r="L133" s="67" t="n"/>
      <c r="M133" s="67" t="n"/>
      <c r="N133" s="67" t="n"/>
      <c r="O133" s="67" t="n"/>
      <c r="P133" s="67" t="n"/>
      <c r="Q133" s="70" t="n"/>
      <c r="R133" s="70" t="n"/>
      <c r="S133" s="71" t="n"/>
      <c r="T133" s="72">
        <f>SUM(C133:S133)</f>
        <v/>
      </c>
      <c r="U133" s="73">
        <f>T133/T$7</f>
        <v/>
      </c>
      <c r="V133" s="280" t="n"/>
      <c r="W133" s="118" t="n"/>
      <c r="X133" s="280" t="n"/>
      <c r="Y133" s="118" t="n"/>
      <c r="Z133" s="281" t="n"/>
      <c r="AA133" s="118" t="n"/>
      <c r="AB133" s="280" t="n"/>
      <c r="AC133" s="118" t="n"/>
      <c r="AD133" s="282">
        <f>T133+V133+X133+AB133+Z133</f>
        <v/>
      </c>
      <c r="AE133" s="73">
        <f>AD133/AD$7</f>
        <v/>
      </c>
      <c r="AF133" s="74" t="n"/>
      <c r="AG133" s="76">
        <f>AD133*AF133</f>
        <v/>
      </c>
    </row>
    <row r="134" ht="14" customHeight="1">
      <c r="A134" s="65" t="n"/>
      <c r="B134" s="79" t="n"/>
      <c r="C134" s="67" t="n"/>
      <c r="D134" s="67" t="n"/>
      <c r="E134" s="67" t="n"/>
      <c r="F134" s="67" t="n"/>
      <c r="G134" s="67" t="n"/>
      <c r="H134" s="67" t="n"/>
      <c r="I134" s="67" t="n"/>
      <c r="J134" s="67" t="n"/>
      <c r="K134" s="69" t="n"/>
      <c r="L134" s="67" t="n"/>
      <c r="M134" s="67" t="n"/>
      <c r="N134" s="67" t="n"/>
      <c r="O134" s="67" t="n"/>
      <c r="P134" s="67" t="n"/>
      <c r="Q134" s="70" t="n"/>
      <c r="R134" s="70" t="n"/>
      <c r="S134" s="71" t="n"/>
      <c r="T134" s="72">
        <f>SUM(C134:S134)</f>
        <v/>
      </c>
      <c r="U134" s="73">
        <f>T134/T$7</f>
        <v/>
      </c>
      <c r="V134" s="280" t="n"/>
      <c r="W134" s="118" t="n"/>
      <c r="X134" s="280" t="n"/>
      <c r="Y134" s="118" t="n"/>
      <c r="Z134" s="281" t="n"/>
      <c r="AA134" s="118" t="n"/>
      <c r="AB134" s="280" t="n"/>
      <c r="AC134" s="118" t="n"/>
      <c r="AD134" s="282">
        <f>T134+V134+X134+AB134+Z134</f>
        <v/>
      </c>
      <c r="AE134" s="73">
        <f>AD134/AD$7</f>
        <v/>
      </c>
      <c r="AF134" s="74" t="n"/>
      <c r="AG134" s="76">
        <f>AD134*AF134</f>
        <v/>
      </c>
    </row>
    <row r="135" ht="14" customHeight="1">
      <c r="A135" s="65" t="n"/>
      <c r="B135" s="79" t="n"/>
      <c r="C135" s="67" t="n"/>
      <c r="D135" s="67" t="n"/>
      <c r="E135" s="67" t="n"/>
      <c r="F135" s="67" t="n"/>
      <c r="G135" s="67" t="n"/>
      <c r="H135" s="67" t="n"/>
      <c r="I135" s="67" t="n"/>
      <c r="J135" s="67" t="n"/>
      <c r="K135" s="69" t="n"/>
      <c r="L135" s="67" t="n"/>
      <c r="M135" s="67" t="n"/>
      <c r="N135" s="67" t="n"/>
      <c r="O135" s="67" t="n"/>
      <c r="P135" s="67" t="n"/>
      <c r="Q135" s="70" t="n"/>
      <c r="R135" s="70" t="n"/>
      <c r="S135" s="71" t="n"/>
      <c r="T135" s="72">
        <f>SUM(C135:S135)</f>
        <v/>
      </c>
      <c r="U135" s="73">
        <f>T135/T$7</f>
        <v/>
      </c>
      <c r="V135" s="280" t="n"/>
      <c r="W135" s="118" t="n"/>
      <c r="X135" s="280" t="n"/>
      <c r="Y135" s="118" t="n"/>
      <c r="Z135" s="281" t="n"/>
      <c r="AA135" s="118" t="n"/>
      <c r="AB135" s="280" t="n"/>
      <c r="AC135" s="118" t="n"/>
      <c r="AD135" s="282">
        <f>T135+V135+X135+AB135+Z135</f>
        <v/>
      </c>
      <c r="AE135" s="73">
        <f>AD135/AD$7</f>
        <v/>
      </c>
      <c r="AF135" s="74" t="n"/>
      <c r="AG135" s="76">
        <f>AD135*AF135</f>
        <v/>
      </c>
    </row>
    <row r="136" ht="14" customHeight="1">
      <c r="A136" s="65" t="n"/>
      <c r="B136" s="79" t="n"/>
      <c r="C136" s="67" t="n"/>
      <c r="D136" s="67" t="n"/>
      <c r="E136" s="67" t="n"/>
      <c r="F136" s="67" t="n"/>
      <c r="G136" s="67" t="n"/>
      <c r="H136" s="67" t="n"/>
      <c r="I136" s="67" t="n"/>
      <c r="J136" s="67" t="n"/>
      <c r="K136" s="69" t="n"/>
      <c r="L136" s="67" t="n"/>
      <c r="M136" s="67" t="n"/>
      <c r="N136" s="67" t="n"/>
      <c r="O136" s="67" t="n"/>
      <c r="P136" s="67" t="n"/>
      <c r="Q136" s="70" t="n"/>
      <c r="R136" s="70" t="n"/>
      <c r="S136" s="71" t="n"/>
      <c r="T136" s="72">
        <f>SUM(C136:S136)</f>
        <v/>
      </c>
      <c r="U136" s="73">
        <f>T136/T$7</f>
        <v/>
      </c>
      <c r="V136" s="280" t="n"/>
      <c r="W136" s="118" t="n"/>
      <c r="X136" s="280" t="n"/>
      <c r="Y136" s="118" t="n"/>
      <c r="Z136" s="281" t="n"/>
      <c r="AA136" s="118" t="n"/>
      <c r="AB136" s="280" t="n"/>
      <c r="AC136" s="118" t="n"/>
      <c r="AD136" s="282">
        <f>T136+V136+X136+AB136+Z136</f>
        <v/>
      </c>
      <c r="AE136" s="73">
        <f>AD136/AD$7</f>
        <v/>
      </c>
      <c r="AF136" s="74" t="n"/>
      <c r="AG136" s="76">
        <f>AD136*AF136</f>
        <v/>
      </c>
    </row>
    <row r="137" ht="14" customHeight="1">
      <c r="A137" s="65" t="n"/>
      <c r="B137" s="79" t="n"/>
      <c r="C137" s="67" t="n"/>
      <c r="D137" s="67" t="n"/>
      <c r="E137" s="67" t="n"/>
      <c r="F137" s="67" t="n"/>
      <c r="G137" s="67" t="n"/>
      <c r="H137" s="67" t="n"/>
      <c r="I137" s="67" t="n"/>
      <c r="J137" s="67" t="n"/>
      <c r="K137" s="69" t="n"/>
      <c r="L137" s="67" t="n"/>
      <c r="M137" s="67" t="n"/>
      <c r="N137" s="67" t="n"/>
      <c r="O137" s="67" t="n"/>
      <c r="P137" s="67" t="n"/>
      <c r="Q137" s="70" t="n"/>
      <c r="R137" s="70" t="n"/>
      <c r="S137" s="71" t="n"/>
      <c r="T137" s="72">
        <f>SUM(C137:S137)</f>
        <v/>
      </c>
      <c r="U137" s="73">
        <f>T137/T$7</f>
        <v/>
      </c>
      <c r="V137" s="280" t="n"/>
      <c r="W137" s="118" t="n"/>
      <c r="X137" s="280" t="n"/>
      <c r="Y137" s="118" t="n"/>
      <c r="Z137" s="281" t="n"/>
      <c r="AA137" s="118" t="n"/>
      <c r="AB137" s="280" t="n"/>
      <c r="AC137" s="118" t="n"/>
      <c r="AD137" s="282">
        <f>T137+V137+X137+AB137+Z137</f>
        <v/>
      </c>
      <c r="AE137" s="73">
        <f>AD137/AD$7</f>
        <v/>
      </c>
      <c r="AF137" s="74" t="n"/>
      <c r="AG137" s="76">
        <f>AD137*AF137</f>
        <v/>
      </c>
    </row>
    <row r="138" ht="14" customHeight="1">
      <c r="A138" s="65" t="n"/>
      <c r="B138" s="79" t="n"/>
      <c r="C138" s="67" t="n"/>
      <c r="D138" s="67" t="n"/>
      <c r="E138" s="67" t="n"/>
      <c r="F138" s="67" t="n"/>
      <c r="G138" s="67" t="n"/>
      <c r="H138" s="67" t="n"/>
      <c r="I138" s="67" t="n"/>
      <c r="J138" s="67" t="n"/>
      <c r="K138" s="69" t="n"/>
      <c r="L138" s="67" t="n"/>
      <c r="M138" s="67" t="n"/>
      <c r="N138" s="67" t="n"/>
      <c r="O138" s="67" t="n"/>
      <c r="P138" s="67" t="n"/>
      <c r="Q138" s="70" t="n"/>
      <c r="R138" s="70" t="n"/>
      <c r="S138" s="71" t="n"/>
      <c r="T138" s="72">
        <f>SUM(C138:S138)</f>
        <v/>
      </c>
      <c r="U138" s="73">
        <f>T138/T$7</f>
        <v/>
      </c>
      <c r="V138" s="280" t="n"/>
      <c r="W138" s="118" t="n"/>
      <c r="X138" s="280" t="n"/>
      <c r="Y138" s="118" t="n"/>
      <c r="Z138" s="281" t="n"/>
      <c r="AA138" s="118" t="n"/>
      <c r="AB138" s="280" t="n"/>
      <c r="AC138" s="118" t="n"/>
      <c r="AD138" s="282">
        <f>T138+V138+X138+AB138+Z138</f>
        <v/>
      </c>
      <c r="AE138" s="73">
        <f>AD138/AD$7</f>
        <v/>
      </c>
      <c r="AF138" s="74" t="n"/>
      <c r="AG138" s="76">
        <f>AD138*AF138</f>
        <v/>
      </c>
    </row>
    <row r="139" ht="14" customHeight="1">
      <c r="A139" s="257" t="inlineStr">
        <is>
          <t>Immobilier</t>
        </is>
      </c>
      <c r="C139" s="16">
        <f>SUM(C140:C172)</f>
        <v/>
      </c>
      <c r="D139" s="16">
        <f>SUM(D140:D172)</f>
        <v/>
      </c>
      <c r="E139" s="16">
        <f>SUM(E140:E172)</f>
        <v/>
      </c>
      <c r="F139" s="16">
        <f>SUM(F140:F172)</f>
        <v/>
      </c>
      <c r="G139" s="16">
        <f>SUM(G140:G172)</f>
        <v/>
      </c>
      <c r="H139" s="16">
        <f>SUM(H140:H172)</f>
        <v/>
      </c>
      <c r="I139" s="16">
        <f>SUM(I140:I172)</f>
        <v/>
      </c>
      <c r="J139" s="16">
        <f>SUM(J140:J172)</f>
        <v/>
      </c>
      <c r="K139" s="16">
        <f>SUM(K140:K172)</f>
        <v/>
      </c>
      <c r="L139" s="16">
        <f>SUM(L140:L172)</f>
        <v/>
      </c>
      <c r="M139" s="16">
        <f>SUM(M140:M172)</f>
        <v/>
      </c>
      <c r="N139" s="16">
        <f>SUM(N140:N172)</f>
        <v/>
      </c>
      <c r="O139" s="16">
        <f>SUM(O140:O172)</f>
        <v/>
      </c>
      <c r="P139" s="16">
        <f>SUM(P140:P172)</f>
        <v/>
      </c>
      <c r="Q139" s="16">
        <f>SUM(Q140:Q172)</f>
        <v/>
      </c>
      <c r="R139" s="16">
        <f>SUM(R140:R172)</f>
        <v/>
      </c>
      <c r="S139" s="16">
        <f>SUM(S140:S172)</f>
        <v/>
      </c>
      <c r="T139" s="17">
        <f>SUM(C139:S139)</f>
        <v/>
      </c>
      <c r="U139" s="54">
        <f>SUM(U140:U172)</f>
        <v/>
      </c>
      <c r="V139" s="287" t="n"/>
      <c r="W139" s="120" t="n"/>
      <c r="X139" s="287" t="n"/>
      <c r="Y139" s="120" t="n"/>
      <c r="Z139" s="290" t="n"/>
      <c r="AA139" s="120" t="n"/>
      <c r="AB139" s="287" t="n"/>
      <c r="AC139" s="120" t="n"/>
      <c r="AD139" s="289">
        <f>SUM(AD140:AD172)</f>
        <v/>
      </c>
      <c r="AE139" s="60">
        <f>SUM(AE140:AE172)</f>
        <v/>
      </c>
      <c r="AF139" s="18" t="n"/>
      <c r="AG139" s="19" t="n"/>
    </row>
    <row r="140" ht="13.5" customHeight="1">
      <c r="A140" s="65" t="inlineStr">
        <is>
          <t>BK OPCI A</t>
        </is>
      </c>
      <c r="B140" s="66" t="inlineStr">
        <is>
          <t>FR0013144094</t>
        </is>
      </c>
      <c r="C140" s="67" t="n"/>
      <c r="D140" s="67" t="n"/>
      <c r="E140" s="67" t="n"/>
      <c r="F140" s="67" t="n"/>
      <c r="G140" s="67" t="n"/>
      <c r="H140" s="67" t="n"/>
      <c r="I140" s="67" t="n"/>
      <c r="J140" s="67" t="n"/>
      <c r="K140" s="69" t="n"/>
      <c r="L140" s="67" t="n"/>
      <c r="M140" s="67" t="n"/>
      <c r="N140" s="67" t="n"/>
      <c r="O140" s="67" t="n"/>
      <c r="P140" s="67" t="n"/>
      <c r="Q140" s="70" t="n"/>
      <c r="R140" s="70" t="n"/>
      <c r="S140" s="71" t="n"/>
      <c r="T140" s="72">
        <f>SUM(C140:S140)</f>
        <v/>
      </c>
      <c r="U140" s="73">
        <f>T140/T$7</f>
        <v/>
      </c>
      <c r="V140" s="280" t="n"/>
      <c r="W140" s="118" t="n"/>
      <c r="X140" s="280" t="n"/>
      <c r="Y140" s="118" t="n"/>
      <c r="Z140" s="281" t="n"/>
      <c r="AA140" s="118" t="n"/>
      <c r="AB140" s="280" t="n"/>
      <c r="AC140" s="118" t="n"/>
      <c r="AD140" s="282">
        <f>T140+V140+X140+AB140+Z140</f>
        <v/>
      </c>
      <c r="AE140" s="73">
        <f>AD140/AD$7</f>
        <v/>
      </c>
      <c r="AF140" s="74" t="n">
        <v>4</v>
      </c>
      <c r="AG140" s="76">
        <f>AD140*AF140</f>
        <v/>
      </c>
    </row>
    <row r="141" ht="13.5" customHeight="1">
      <c r="A141" s="65" t="inlineStr">
        <is>
          <t>BK OPCI B</t>
        </is>
      </c>
      <c r="B141" s="66" t="inlineStr">
        <is>
          <t>FR0013182664</t>
        </is>
      </c>
      <c r="C141" s="67" t="n"/>
      <c r="D141" s="67" t="n"/>
      <c r="E141" s="67" t="n"/>
      <c r="F141" s="67" t="n"/>
      <c r="G141" s="67" t="n"/>
      <c r="H141" s="67" t="n"/>
      <c r="I141" s="67" t="n"/>
      <c r="J141" s="67" t="n"/>
      <c r="K141" s="69" t="n"/>
      <c r="L141" s="67" t="n"/>
      <c r="M141" s="67" t="n"/>
      <c r="N141" s="67" t="n"/>
      <c r="O141" s="67" t="n"/>
      <c r="P141" s="67" t="n"/>
      <c r="Q141" s="70" t="n"/>
      <c r="R141" s="70" t="n"/>
      <c r="S141" s="71" t="n"/>
      <c r="T141" s="72">
        <f>SUM(C141:S141)</f>
        <v/>
      </c>
      <c r="U141" s="73">
        <f>T141/T$7</f>
        <v/>
      </c>
      <c r="V141" s="280" t="n"/>
      <c r="W141" s="118" t="n"/>
      <c r="X141" s="280" t="n"/>
      <c r="Y141" s="118" t="n"/>
      <c r="Z141" s="281" t="n"/>
      <c r="AA141" s="118" t="n"/>
      <c r="AB141" s="280" t="n"/>
      <c r="AC141" s="118" t="n"/>
      <c r="AD141" s="282">
        <f>T141+V141+X141+AB141+Z141</f>
        <v/>
      </c>
      <c r="AE141" s="73">
        <f>AD141/AD$7</f>
        <v/>
      </c>
      <c r="AF141" s="74" t="n">
        <v>4</v>
      </c>
      <c r="AG141" s="76">
        <f>AD141*AF141</f>
        <v/>
      </c>
    </row>
    <row r="142" ht="13.5" customHeight="1">
      <c r="A142" s="65" t="inlineStr">
        <is>
          <t>FIC PPG Retail</t>
        </is>
      </c>
      <c r="B142" s="66" t="inlineStr">
        <is>
          <t>ALZ013324662</t>
        </is>
      </c>
      <c r="C142" s="67" t="n"/>
      <c r="D142" s="67" t="n"/>
      <c r="E142" s="67" t="n"/>
      <c r="F142" s="67" t="n"/>
      <c r="G142" s="67" t="n"/>
      <c r="H142" s="67" t="n"/>
      <c r="I142" s="67" t="n"/>
      <c r="J142" s="67" t="n"/>
      <c r="K142" s="69" t="n"/>
      <c r="L142" s="67" t="n"/>
      <c r="M142" s="67" t="n"/>
      <c r="N142" s="67" t="n"/>
      <c r="O142" s="67" t="n"/>
      <c r="P142" s="67" t="n"/>
      <c r="Q142" s="70" t="n"/>
      <c r="R142" s="70" t="n"/>
      <c r="S142" s="71" t="n"/>
      <c r="T142" s="72">
        <f>SUM(C142:S142)</f>
        <v/>
      </c>
      <c r="U142" s="73">
        <f>T142/T$7</f>
        <v/>
      </c>
      <c r="V142" s="280" t="n"/>
      <c r="W142" s="118" t="n"/>
      <c r="X142" s="280" t="n"/>
      <c r="Y142" s="118" t="n"/>
      <c r="Z142" s="281" t="n"/>
      <c r="AA142" s="118" t="n"/>
      <c r="AB142" s="280" t="n"/>
      <c r="AC142" s="118" t="n"/>
      <c r="AD142" s="282">
        <f>T142+V142+X142+AB142+Z142</f>
        <v/>
      </c>
      <c r="AE142" s="73">
        <f>AD142/AD$7</f>
        <v/>
      </c>
      <c r="AF142" s="74" t="n">
        <v>4</v>
      </c>
      <c r="AG142" s="76">
        <f>AD142*AF142</f>
        <v/>
      </c>
    </row>
    <row r="143" ht="13.5" customHeight="1">
      <c r="A143" s="65" t="inlineStr">
        <is>
          <t>OPPCI PPG Retail A</t>
        </is>
      </c>
      <c r="B143" s="66" t="inlineStr">
        <is>
          <t>FR0013324662</t>
        </is>
      </c>
      <c r="C143" s="67" t="n"/>
      <c r="D143" s="67" t="n"/>
      <c r="E143" s="67" t="n"/>
      <c r="F143" s="67" t="n"/>
      <c r="G143" s="67" t="n"/>
      <c r="H143" s="67" t="n"/>
      <c r="I143" s="67" t="n"/>
      <c r="J143" s="67" t="n"/>
      <c r="K143" s="69" t="n"/>
      <c r="L143" s="67" t="n"/>
      <c r="M143" s="67" t="n"/>
      <c r="N143" s="67" t="n"/>
      <c r="O143" s="67" t="n"/>
      <c r="P143" s="67" t="n"/>
      <c r="Q143" s="70" t="n"/>
      <c r="R143" s="70" t="n"/>
      <c r="S143" s="71" t="n"/>
      <c r="T143" s="72">
        <f>SUM(C143:S143)</f>
        <v/>
      </c>
      <c r="U143" s="73">
        <f>T143/T$7</f>
        <v/>
      </c>
      <c r="V143" s="280" t="n"/>
      <c r="W143" s="118" t="n"/>
      <c r="X143" s="280" t="n"/>
      <c r="Y143" s="118" t="n"/>
      <c r="Z143" s="281" t="n"/>
      <c r="AA143" s="118" t="n"/>
      <c r="AB143" s="280" t="n"/>
      <c r="AC143" s="118" t="n"/>
      <c r="AD143" s="282">
        <f>T143+V143+X143+AB143+Z143</f>
        <v/>
      </c>
      <c r="AE143" s="73">
        <f>AD143/AD$7</f>
        <v/>
      </c>
      <c r="AF143" s="74" t="n">
        <v>4</v>
      </c>
      <c r="AG143" s="76">
        <f>AD143*AF143</f>
        <v/>
      </c>
    </row>
    <row r="144" ht="13.5" customHeight="1">
      <c r="A144" s="65" t="inlineStr">
        <is>
          <t>OPPCI PPG Retail B</t>
        </is>
      </c>
      <c r="B144" s="66" t="inlineStr">
        <is>
          <t>FR0013324670</t>
        </is>
      </c>
      <c r="C144" s="67" t="n"/>
      <c r="D144" s="67" t="n"/>
      <c r="E144" s="67" t="n"/>
      <c r="F144" s="67" t="n"/>
      <c r="G144" s="67" t="n"/>
      <c r="H144" s="67" t="n"/>
      <c r="I144" s="67" t="n"/>
      <c r="J144" s="67" t="n"/>
      <c r="K144" s="69" t="n"/>
      <c r="L144" s="67" t="n"/>
      <c r="M144" s="67" t="n"/>
      <c r="N144" s="67" t="n"/>
      <c r="O144" s="67" t="n"/>
      <c r="P144" s="67" t="n"/>
      <c r="Q144" s="70" t="n"/>
      <c r="R144" s="70" t="n"/>
      <c r="S144" s="71" t="n"/>
      <c r="T144" s="72">
        <f>SUM(C144:S144)</f>
        <v/>
      </c>
      <c r="U144" s="73">
        <f>T144/T$7</f>
        <v/>
      </c>
      <c r="V144" s="280" t="n"/>
      <c r="W144" s="118" t="n"/>
      <c r="X144" s="280" t="n"/>
      <c r="Y144" s="118" t="n"/>
      <c r="Z144" s="281" t="n"/>
      <c r="AA144" s="118" t="n"/>
      <c r="AB144" s="280" t="n"/>
      <c r="AC144" s="118" t="n"/>
      <c r="AD144" s="282">
        <f>T144+V144+X144+AB144+Z144</f>
        <v/>
      </c>
      <c r="AE144" s="73">
        <f>AD144/AD$7</f>
        <v/>
      </c>
      <c r="AF144" s="74" t="n">
        <v>4</v>
      </c>
      <c r="AG144" s="76">
        <f>AD144*AF144</f>
        <v/>
      </c>
    </row>
    <row r="145" ht="13.5" customHeight="1">
      <c r="A145" s="65" t="inlineStr">
        <is>
          <t>PPG Croissance A</t>
        </is>
      </c>
      <c r="B145" s="66" t="inlineStr">
        <is>
          <t>FR0013265683</t>
        </is>
      </c>
      <c r="C145" s="67" t="n"/>
      <c r="D145" s="67" t="n"/>
      <c r="E145" s="67" t="n"/>
      <c r="F145" s="67" t="n"/>
      <c r="G145" s="67" t="n"/>
      <c r="H145" s="67" t="n"/>
      <c r="I145" s="67" t="n"/>
      <c r="J145" s="67" t="n"/>
      <c r="K145" s="69" t="n"/>
      <c r="L145" s="67" t="n"/>
      <c r="M145" s="67" t="n"/>
      <c r="N145" s="67" t="n"/>
      <c r="O145" s="67" t="n"/>
      <c r="P145" s="67" t="n"/>
      <c r="Q145" s="70" t="n"/>
      <c r="R145" s="70" t="n"/>
      <c r="S145" s="71" t="n"/>
      <c r="T145" s="72">
        <f>SUM(C145:S145)</f>
        <v/>
      </c>
      <c r="U145" s="73">
        <f>T145/T$7</f>
        <v/>
      </c>
      <c r="V145" s="280" t="n"/>
      <c r="W145" s="118" t="n"/>
      <c r="X145" s="280" t="n"/>
      <c r="Y145" s="118" t="n"/>
      <c r="Z145" s="281" t="n"/>
      <c r="AA145" s="118" t="n"/>
      <c r="AB145" s="280" t="n"/>
      <c r="AC145" s="118" t="n"/>
      <c r="AD145" s="282">
        <f>T145+V145+X145+AB145+Z145</f>
        <v/>
      </c>
      <c r="AE145" s="73">
        <f>AD145/AD$7</f>
        <v/>
      </c>
      <c r="AF145" s="74" t="n">
        <v>4</v>
      </c>
      <c r="AG145" s="76">
        <f>AD145*AF145</f>
        <v/>
      </c>
    </row>
    <row r="146" ht="13.5" customHeight="1">
      <c r="A146" s="65" t="inlineStr">
        <is>
          <t>PPG Croissance B</t>
        </is>
      </c>
      <c r="B146" s="66" t="inlineStr">
        <is>
          <t>FR001400LW94</t>
        </is>
      </c>
      <c r="C146" s="67" t="n"/>
      <c r="D146" s="67" t="n"/>
      <c r="E146" s="67" t="n"/>
      <c r="F146" s="67" t="n"/>
      <c r="G146" s="67" t="n"/>
      <c r="H146" s="67" t="n"/>
      <c r="I146" s="67" t="n"/>
      <c r="J146" s="67" t="n"/>
      <c r="K146" s="69" t="n"/>
      <c r="L146" s="67" t="n"/>
      <c r="M146" s="67" t="n"/>
      <c r="N146" s="67" t="n"/>
      <c r="O146" s="67" t="n"/>
      <c r="P146" s="67" t="n"/>
      <c r="Q146" s="70" t="n"/>
      <c r="R146" s="70" t="n"/>
      <c r="S146" s="71" t="n"/>
      <c r="T146" s="72">
        <f>SUM(C146:S146)</f>
        <v/>
      </c>
      <c r="U146" s="73">
        <f>T146/T$7</f>
        <v/>
      </c>
      <c r="V146" s="280" t="n"/>
      <c r="W146" s="118" t="n"/>
      <c r="X146" s="280" t="n"/>
      <c r="Y146" s="118" t="n"/>
      <c r="Z146" s="281" t="n"/>
      <c r="AA146" s="118" t="n"/>
      <c r="AB146" s="280" t="n"/>
      <c r="AC146" s="118" t="n"/>
      <c r="AD146" s="282">
        <f>T146+V146+X146+AB146+Z146</f>
        <v/>
      </c>
      <c r="AE146" s="73">
        <f>AD146/AD$7</f>
        <v/>
      </c>
      <c r="AF146" s="74" t="n">
        <v>4</v>
      </c>
      <c r="AG146" s="76">
        <f>AD146*AF146</f>
        <v/>
      </c>
    </row>
    <row r="147" ht="13.5" customHeight="1">
      <c r="A147" s="65" t="inlineStr">
        <is>
          <t>FCPR PPG Valeur Immo - Part A - EUR</t>
        </is>
      </c>
      <c r="B147" s="66" t="inlineStr">
        <is>
          <t>FR001400C5U8</t>
        </is>
      </c>
      <c r="C147" s="67" t="n"/>
      <c r="D147" s="67" t="n"/>
      <c r="E147" s="67" t="n"/>
      <c r="F147" s="67" t="n"/>
      <c r="G147" s="67" t="n"/>
      <c r="H147" s="67" t="n"/>
      <c r="I147" s="67" t="n"/>
      <c r="J147" s="67" t="n"/>
      <c r="K147" s="69" t="n"/>
      <c r="L147" s="67" t="n"/>
      <c r="M147" s="67" t="n"/>
      <c r="N147" s="67" t="n"/>
      <c r="O147" s="67" t="n"/>
      <c r="P147" s="67" t="n"/>
      <c r="Q147" s="70" t="n"/>
      <c r="R147" s="70" t="n"/>
      <c r="S147" s="71" t="n"/>
      <c r="T147" s="72">
        <f>SUM(C147:S147)</f>
        <v/>
      </c>
      <c r="U147" s="73">
        <f>T147/T$7</f>
        <v/>
      </c>
      <c r="V147" s="280" t="n"/>
      <c r="W147" s="118" t="n"/>
      <c r="X147" s="280" t="n"/>
      <c r="Y147" s="118" t="n"/>
      <c r="Z147" s="281" t="n"/>
      <c r="AA147" s="118" t="n"/>
      <c r="AB147" s="280" t="n"/>
      <c r="AC147" s="118" t="n"/>
      <c r="AD147" s="282">
        <f>T147+V147+X147+AB147+Z147</f>
        <v/>
      </c>
      <c r="AE147" s="73">
        <f>AD147/AD$7</f>
        <v/>
      </c>
      <c r="AF147" s="74" t="n">
        <v>6</v>
      </c>
      <c r="AG147" s="76">
        <f>AD147*AF147</f>
        <v/>
      </c>
    </row>
    <row r="148" ht="13.5" customHeight="1">
      <c r="A148" s="65" t="inlineStr">
        <is>
          <t>FCPR PPG Valeur Immo - Part B</t>
        </is>
      </c>
      <c r="B148" s="66" t="inlineStr">
        <is>
          <t>FR001400C5V6</t>
        </is>
      </c>
      <c r="C148" s="67" t="n"/>
      <c r="D148" s="67" t="n"/>
      <c r="E148" s="67" t="n"/>
      <c r="F148" s="67" t="n"/>
      <c r="G148" s="67" t="n"/>
      <c r="H148" s="67" t="n"/>
      <c r="I148" s="67" t="n"/>
      <c r="J148" s="67" t="n"/>
      <c r="K148" s="69" t="n"/>
      <c r="L148" s="67" t="n"/>
      <c r="M148" s="67" t="n"/>
      <c r="N148" s="67" t="n"/>
      <c r="O148" s="67" t="n"/>
      <c r="P148" s="67" t="n"/>
      <c r="Q148" s="70" t="n"/>
      <c r="R148" s="70" t="n"/>
      <c r="S148" s="71" t="n"/>
      <c r="T148" s="72">
        <f>SUM(C148:S148)</f>
        <v/>
      </c>
      <c r="U148" s="73">
        <f>T148/T$7</f>
        <v/>
      </c>
      <c r="V148" s="280" t="n"/>
      <c r="W148" s="118" t="n"/>
      <c r="X148" s="280" t="n"/>
      <c r="Y148" s="118" t="n"/>
      <c r="Z148" s="281" t="n"/>
      <c r="AA148" s="118" t="n"/>
      <c r="AB148" s="280" t="n"/>
      <c r="AC148" s="118" t="n"/>
      <c r="AD148" s="282">
        <f>T148+V148+X148+AB148+Z148</f>
        <v/>
      </c>
      <c r="AE148" s="73">
        <f>AD148/AD$7</f>
        <v/>
      </c>
      <c r="AF148" s="74" t="n">
        <v>6</v>
      </c>
      <c r="AG148" s="76">
        <f>AD148*AF148</f>
        <v/>
      </c>
    </row>
    <row r="149" ht="13.5" customHeight="1">
      <c r="A149" s="65" t="inlineStr">
        <is>
          <t>PPG Valeur Immo I</t>
        </is>
      </c>
      <c r="B149" s="66" t="inlineStr">
        <is>
          <t>FR001400C5W4</t>
        </is>
      </c>
      <c r="C149" s="67" t="n"/>
      <c r="D149" s="67" t="n"/>
      <c r="E149" s="67" t="n"/>
      <c r="F149" s="67" t="n"/>
      <c r="G149" s="67" t="n"/>
      <c r="H149" s="67" t="n"/>
      <c r="I149" s="67" t="n"/>
      <c r="J149" s="67" t="n"/>
      <c r="K149" s="69" t="n"/>
      <c r="L149" s="67" t="n"/>
      <c r="M149" s="67" t="n"/>
      <c r="N149" s="67" t="n"/>
      <c r="O149" s="67" t="n"/>
      <c r="P149" s="67" t="n"/>
      <c r="Q149" s="70" t="n"/>
      <c r="R149" s="70" t="n"/>
      <c r="S149" s="71" t="n"/>
      <c r="T149" s="72">
        <f>SUM(C149:S149)</f>
        <v/>
      </c>
      <c r="U149" s="73">
        <f>T149/T$7</f>
        <v/>
      </c>
      <c r="V149" s="280" t="n"/>
      <c r="W149" s="118" t="n"/>
      <c r="X149" s="280" t="n"/>
      <c r="Y149" s="118" t="n"/>
      <c r="Z149" s="281" t="n"/>
      <c r="AA149" s="118" t="n"/>
      <c r="AB149" s="280" t="n"/>
      <c r="AC149" s="118" t="n"/>
      <c r="AD149" s="282">
        <f>T149+V149+X149+AB149+Z149</f>
        <v/>
      </c>
      <c r="AE149" s="73">
        <f>AD149/AD$7</f>
        <v/>
      </c>
      <c r="AF149" s="74" t="n">
        <v>6</v>
      </c>
      <c r="AG149" s="76">
        <f>AD149*AF149</f>
        <v/>
      </c>
    </row>
    <row r="150" ht="13.5" customHeight="1">
      <c r="A150" s="65" t="inlineStr">
        <is>
          <t>Iroko Zen</t>
        </is>
      </c>
      <c r="B150" s="66" t="inlineStr">
        <is>
          <t>/</t>
        </is>
      </c>
      <c r="C150" s="67" t="n"/>
      <c r="D150" s="67" t="n"/>
      <c r="E150" s="67" t="n"/>
      <c r="F150" s="67" t="n"/>
      <c r="G150" s="67" t="n"/>
      <c r="H150" s="67" t="n"/>
      <c r="I150" s="67" t="n"/>
      <c r="J150" s="67" t="n"/>
      <c r="K150" s="69" t="n"/>
      <c r="L150" s="67" t="n"/>
      <c r="M150" s="67" t="n"/>
      <c r="N150" s="67" t="n"/>
      <c r="O150" s="67" t="n"/>
      <c r="P150" s="67" t="n"/>
      <c r="Q150" s="70" t="n"/>
      <c r="R150" s="70" t="n"/>
      <c r="S150" s="71" t="n"/>
      <c r="T150" s="72">
        <f>SUM(C150:S150)</f>
        <v/>
      </c>
      <c r="U150" s="73">
        <f>T150/T$7</f>
        <v/>
      </c>
      <c r="V150" s="280" t="n"/>
      <c r="W150" s="118" t="n"/>
      <c r="X150" s="280" t="n"/>
      <c r="Y150" s="118" t="n"/>
      <c r="Z150" s="281" t="n"/>
      <c r="AA150" s="118" t="n"/>
      <c r="AB150" s="280" t="n"/>
      <c r="AC150" s="118" t="n"/>
      <c r="AD150" s="282">
        <f>T150+V150+X150+AB150+Z150</f>
        <v/>
      </c>
      <c r="AE150" s="73">
        <f>AD150/AD$7</f>
        <v/>
      </c>
      <c r="AF150" s="74" t="n">
        <v>3</v>
      </c>
      <c r="AG150" s="76">
        <f>AD150*AF150</f>
        <v/>
      </c>
    </row>
    <row r="151" ht="13.5" customHeight="1">
      <c r="A151" s="65" t="inlineStr">
        <is>
          <t>Iroko Atlas</t>
        </is>
      </c>
      <c r="B151" s="66" t="inlineStr">
        <is>
          <t>/</t>
        </is>
      </c>
      <c r="C151" s="67" t="n"/>
      <c r="D151" s="67" t="n"/>
      <c r="E151" s="67" t="n"/>
      <c r="F151" s="67" t="n"/>
      <c r="G151" s="67" t="n"/>
      <c r="H151" s="67" t="n"/>
      <c r="I151" s="67" t="n"/>
      <c r="J151" s="67" t="n"/>
      <c r="K151" s="69" t="n"/>
      <c r="L151" s="67" t="n"/>
      <c r="M151" s="67" t="n"/>
      <c r="N151" s="67" t="n"/>
      <c r="O151" s="67" t="n"/>
      <c r="P151" s="67" t="n"/>
      <c r="Q151" s="70" t="n"/>
      <c r="R151" s="70" t="n"/>
      <c r="S151" s="71" t="n"/>
      <c r="T151" s="72">
        <f>SUM(C151:S151)</f>
        <v/>
      </c>
      <c r="U151" s="73">
        <f>T151/T$7</f>
        <v/>
      </c>
      <c r="V151" s="280" t="n"/>
      <c r="W151" s="118" t="n"/>
      <c r="X151" s="280" t="n"/>
      <c r="Y151" s="118" t="n"/>
      <c r="Z151" s="281" t="n"/>
      <c r="AA151" s="118" t="n"/>
      <c r="AB151" s="280" t="n"/>
      <c r="AC151" s="118" t="n"/>
      <c r="AD151" s="282">
        <f>T151+V151+X151+AB151+Z151</f>
        <v/>
      </c>
      <c r="AE151" s="73">
        <f>AD151/AD$7</f>
        <v/>
      </c>
      <c r="AF151" s="74" t="n">
        <v>4</v>
      </c>
      <c r="AG151" s="76">
        <f>AD151*AF151</f>
        <v/>
      </c>
    </row>
    <row r="152" ht="13.5" customHeight="1">
      <c r="A152" s="65" t="inlineStr">
        <is>
          <t>Remake Live</t>
        </is>
      </c>
      <c r="B152" s="66" t="inlineStr">
        <is>
          <t>SCPI00004799</t>
        </is>
      </c>
      <c r="C152" s="67" t="n"/>
      <c r="D152" s="67" t="n"/>
      <c r="E152" s="67" t="n"/>
      <c r="F152" s="67" t="n"/>
      <c r="G152" s="67" t="n"/>
      <c r="H152" s="67" t="n"/>
      <c r="I152" s="67" t="n"/>
      <c r="J152" s="67" t="n"/>
      <c r="K152" s="69" t="n"/>
      <c r="L152" s="67" t="n"/>
      <c r="M152" s="67" t="n"/>
      <c r="N152" s="67" t="n"/>
      <c r="O152" s="67" t="n"/>
      <c r="P152" s="67" t="n"/>
      <c r="Q152" s="70" t="n"/>
      <c r="R152" s="70" t="n"/>
      <c r="S152" s="71" t="n"/>
      <c r="T152" s="72">
        <f>SUM(C152:S152)</f>
        <v/>
      </c>
      <c r="U152" s="73">
        <f>T152/T$7</f>
        <v/>
      </c>
      <c r="V152" s="280" t="n"/>
      <c r="W152" s="118" t="n"/>
      <c r="X152" s="280" t="n"/>
      <c r="Y152" s="118" t="n"/>
      <c r="Z152" s="281" t="n"/>
      <c r="AA152" s="118" t="n"/>
      <c r="AB152" s="280" t="n"/>
      <c r="AC152" s="118" t="n"/>
      <c r="AD152" s="282">
        <f>T152+V152+X152+AB152+Z152</f>
        <v/>
      </c>
      <c r="AE152" s="73">
        <f>AD152/AD$7</f>
        <v/>
      </c>
      <c r="AF152" s="74" t="n">
        <v>3</v>
      </c>
      <c r="AG152" s="76">
        <f>AD152*AF152</f>
        <v/>
      </c>
    </row>
    <row r="153" ht="13.5" customHeight="1">
      <c r="A153" s="65" t="inlineStr">
        <is>
          <t>SCPI Remake Live - Part D</t>
        </is>
      </c>
      <c r="B153" s="66" t="inlineStr">
        <is>
          <t>FR001400E052</t>
        </is>
      </c>
      <c r="C153" s="67" t="n"/>
      <c r="D153" s="67" t="n"/>
      <c r="E153" s="67" t="n"/>
      <c r="F153" s="67" t="n"/>
      <c r="G153" s="67" t="n"/>
      <c r="H153" s="67" t="n"/>
      <c r="I153" s="67" t="n"/>
      <c r="J153" s="67" t="n"/>
      <c r="K153" s="69" t="n"/>
      <c r="L153" s="67" t="n"/>
      <c r="M153" s="67" t="n"/>
      <c r="N153" s="67" t="n"/>
      <c r="O153" s="67" t="n"/>
      <c r="P153" s="67" t="n"/>
      <c r="Q153" s="70" t="n"/>
      <c r="R153" s="70" t="n"/>
      <c r="S153" s="71" t="n"/>
      <c r="T153" s="72">
        <f>SUM(C153:S153)</f>
        <v/>
      </c>
      <c r="U153" s="73">
        <f>T153/T$7</f>
        <v/>
      </c>
      <c r="V153" s="280" t="n"/>
      <c r="W153" s="118" t="n"/>
      <c r="X153" s="280" t="n"/>
      <c r="Y153" s="118" t="n"/>
      <c r="Z153" s="281" t="n"/>
      <c r="AA153" s="118" t="n"/>
      <c r="AB153" s="280" t="n"/>
      <c r="AC153" s="118" t="n"/>
      <c r="AD153" s="282">
        <f>T153+V153+X153+AB153+Z153</f>
        <v/>
      </c>
      <c r="AE153" s="73">
        <f>AD153/AD$7</f>
        <v/>
      </c>
      <c r="AF153" s="74" t="n">
        <v>3</v>
      </c>
      <c r="AG153" s="76">
        <f>AD153*AF153</f>
        <v/>
      </c>
    </row>
    <row r="154" ht="13.5" customHeight="1">
      <c r="A154" s="65" t="inlineStr">
        <is>
          <t>Partners Group Global Real Estate FCP I</t>
        </is>
      </c>
      <c r="B154" s="66" t="inlineStr">
        <is>
          <t>LU1346205443</t>
        </is>
      </c>
      <c r="C154" s="67" t="n"/>
      <c r="D154" s="67" t="n"/>
      <c r="E154" s="67" t="n"/>
      <c r="F154" s="67" t="n"/>
      <c r="G154" s="67" t="n"/>
      <c r="H154" s="67" t="n"/>
      <c r="I154" s="67" t="n"/>
      <c r="J154" s="67" t="n"/>
      <c r="K154" s="69" t="n"/>
      <c r="L154" s="67" t="n"/>
      <c r="M154" s="67" t="n"/>
      <c r="N154" s="67" t="n"/>
      <c r="O154" s="67" t="n"/>
      <c r="P154" s="67" t="n"/>
      <c r="Q154" s="70" t="n"/>
      <c r="R154" s="70" t="n"/>
      <c r="S154" s="71" t="n"/>
      <c r="T154" s="72">
        <f>SUM(C154:S154)</f>
        <v/>
      </c>
      <c r="U154" s="73">
        <f>T154/T$7</f>
        <v/>
      </c>
      <c r="V154" s="280" t="n"/>
      <c r="W154" s="118" t="n"/>
      <c r="X154" s="280" t="n"/>
      <c r="Y154" s="118" t="n"/>
      <c r="Z154" s="281" t="n"/>
      <c r="AA154" s="118" t="n"/>
      <c r="AB154" s="280" t="n"/>
      <c r="AC154" s="118" t="n"/>
      <c r="AD154" s="282">
        <f>T154+V154+X154+AB154+Z154</f>
        <v/>
      </c>
      <c r="AE154" s="73">
        <f>AD154/AD$7</f>
        <v/>
      </c>
      <c r="AF154" s="74" t="n">
        <v>4</v>
      </c>
      <c r="AG154" s="76">
        <f>AD154*AF154</f>
        <v/>
      </c>
    </row>
    <row r="155" ht="13.5" customHeight="1">
      <c r="A155" s="65" t="inlineStr">
        <is>
          <t>Schroder Global Real Estate Total Return</t>
        </is>
      </c>
      <c r="B155" s="66" t="inlineStr">
        <is>
          <t>LU2658265710</t>
        </is>
      </c>
      <c r="C155" s="67" t="n"/>
      <c r="D155" s="67" t="n"/>
      <c r="E155" s="67" t="n"/>
      <c r="F155" s="67" t="n"/>
      <c r="G155" s="67" t="n"/>
      <c r="H155" s="67" t="n"/>
      <c r="I155" s="67" t="n"/>
      <c r="J155" s="67" t="n"/>
      <c r="K155" s="69" t="n"/>
      <c r="L155" s="67" t="n"/>
      <c r="M155" s="67" t="n"/>
      <c r="N155" s="67" t="n"/>
      <c r="O155" s="67" t="n"/>
      <c r="P155" s="67" t="n"/>
      <c r="Q155" s="70" t="n"/>
      <c r="R155" s="70" t="n"/>
      <c r="S155" s="71" t="n"/>
      <c r="T155" s="72">
        <f>SUM(C155:S155)</f>
        <v/>
      </c>
      <c r="U155" s="73">
        <f>T155/T$7</f>
        <v/>
      </c>
      <c r="V155" s="280" t="n"/>
      <c r="W155" s="118" t="n"/>
      <c r="X155" s="280" t="n"/>
      <c r="Y155" s="118" t="n"/>
      <c r="Z155" s="281" t="n"/>
      <c r="AA155" s="118" t="n"/>
      <c r="AB155" s="280" t="n"/>
      <c r="AC155" s="118" t="n"/>
      <c r="AD155" s="282">
        <f>T155+V155+X155+AB155+Z155</f>
        <v/>
      </c>
      <c r="AE155" s="73">
        <f>AD155/AD$7</f>
        <v/>
      </c>
      <c r="AF155" s="74" t="n">
        <v>4</v>
      </c>
      <c r="AG155" s="76">
        <f>AD155*AF155</f>
        <v/>
      </c>
    </row>
    <row r="156" ht="13.5" customHeight="1">
      <c r="A156" s="65" t="inlineStr">
        <is>
          <t>SLP June Opportunity</t>
        </is>
      </c>
      <c r="B156" s="66" t="inlineStr">
        <is>
          <t>FR00140001C5</t>
        </is>
      </c>
      <c r="C156" s="67" t="n"/>
      <c r="D156" s="67" t="n"/>
      <c r="E156" s="67" t="n"/>
      <c r="F156" s="67" t="n"/>
      <c r="G156" s="67" t="n"/>
      <c r="H156" s="67" t="n"/>
      <c r="I156" s="67" t="n"/>
      <c r="J156" s="67" t="n"/>
      <c r="K156" s="69" t="n"/>
      <c r="L156" s="67" t="n"/>
      <c r="M156" s="67" t="n"/>
      <c r="N156" s="67" t="n"/>
      <c r="O156" s="67" t="n"/>
      <c r="P156" s="67" t="n"/>
      <c r="Q156" s="70" t="n"/>
      <c r="R156" s="70" t="n"/>
      <c r="S156" s="71" t="n"/>
      <c r="T156" s="72">
        <f>SUM(C156:S156)</f>
        <v/>
      </c>
      <c r="U156" s="73">
        <f>T156/T$7</f>
        <v/>
      </c>
      <c r="V156" s="280" t="n"/>
      <c r="W156" s="118" t="n"/>
      <c r="X156" s="280" t="n"/>
      <c r="Y156" s="118" t="n"/>
      <c r="Z156" s="281" t="n"/>
      <c r="AA156" s="118" t="n"/>
      <c r="AB156" s="280" t="n"/>
      <c r="AC156" s="118" t="n"/>
      <c r="AD156" s="282">
        <f>T156+V156+X156+AB156+Z156</f>
        <v/>
      </c>
      <c r="AE156" s="73">
        <f>AD156/AD$7</f>
        <v/>
      </c>
      <c r="AF156" s="74" t="n">
        <v>4</v>
      </c>
      <c r="AG156" s="76">
        <f>AD156*AF156</f>
        <v/>
      </c>
    </row>
    <row r="157" ht="13.5" customFormat="1" customHeight="1" s="29">
      <c r="A157" s="65" t="inlineStr">
        <is>
          <t>White Stone Value</t>
        </is>
      </c>
      <c r="B157" s="66" t="inlineStr">
        <is>
          <t>FR0013324993</t>
        </is>
      </c>
      <c r="C157" s="67" t="n"/>
      <c r="D157" s="67" t="n"/>
      <c r="E157" s="68" t="n"/>
      <c r="F157" s="67" t="n"/>
      <c r="G157" s="68" t="n"/>
      <c r="H157" s="67" t="n"/>
      <c r="I157" s="67" t="n"/>
      <c r="J157" s="67" t="n"/>
      <c r="K157" s="69" t="n"/>
      <c r="L157" s="67" t="n"/>
      <c r="M157" s="67" t="n"/>
      <c r="N157" s="67" t="n"/>
      <c r="O157" s="67" t="n"/>
      <c r="P157" s="67" t="n"/>
      <c r="Q157" s="70" t="n"/>
      <c r="R157" s="70" t="n"/>
      <c r="S157" s="71" t="n"/>
      <c r="T157" s="72">
        <f>SUM(C157:S157)</f>
        <v/>
      </c>
      <c r="U157" s="73">
        <f>T157/T$7</f>
        <v/>
      </c>
      <c r="V157" s="280" t="n"/>
      <c r="W157" s="118" t="n"/>
      <c r="X157" s="280" t="n"/>
      <c r="Y157" s="118" t="n"/>
      <c r="Z157" s="281" t="n"/>
      <c r="AA157" s="118" t="n"/>
      <c r="AB157" s="280" t="n"/>
      <c r="AC157" s="118" t="n"/>
      <c r="AD157" s="282">
        <f>T157+V157+X157+AB157+Z157</f>
        <v/>
      </c>
      <c r="AE157" s="73">
        <f>AD157/AD$7</f>
        <v/>
      </c>
      <c r="AF157" s="74" t="n">
        <v>6</v>
      </c>
      <c r="AG157" s="76">
        <f>AD157*AF157</f>
        <v/>
      </c>
    </row>
    <row r="158" ht="13.5" customFormat="1" customHeight="1" s="29">
      <c r="A158" s="65" t="inlineStr">
        <is>
          <t>Vadora</t>
        </is>
      </c>
      <c r="B158" s="66" t="inlineStr">
        <is>
          <t>FR00140047N5</t>
        </is>
      </c>
      <c r="C158" s="67" t="n"/>
      <c r="D158" s="67" t="n"/>
      <c r="E158" s="68" t="n"/>
      <c r="F158" s="67" t="n"/>
      <c r="G158" s="68" t="n"/>
      <c r="H158" s="67" t="n"/>
      <c r="I158" s="67" t="n"/>
      <c r="J158" s="67" t="n"/>
      <c r="K158" s="69" t="n"/>
      <c r="L158" s="67" t="n"/>
      <c r="M158" s="67" t="n"/>
      <c r="N158" s="67" t="n"/>
      <c r="O158" s="67" t="n"/>
      <c r="P158" s="67" t="n"/>
      <c r="Q158" s="70" t="n"/>
      <c r="R158" s="70" t="n"/>
      <c r="S158" s="71" t="n"/>
      <c r="T158" s="72">
        <f>SUM(C158:S158)</f>
        <v/>
      </c>
      <c r="U158" s="73">
        <f>T158/T$7</f>
        <v/>
      </c>
      <c r="V158" s="280" t="n"/>
      <c r="W158" s="118" t="n"/>
      <c r="X158" s="280" t="n"/>
      <c r="Y158" s="118" t="n"/>
      <c r="Z158" s="281" t="n"/>
      <c r="AA158" s="118" t="n"/>
      <c r="AB158" s="280" t="n"/>
      <c r="AC158" s="118" t="n"/>
      <c r="AD158" s="282">
        <f>T158+V158+X158+AB158+Z158</f>
        <v/>
      </c>
      <c r="AE158" s="73">
        <f>AD158/AD$7</f>
        <v/>
      </c>
      <c r="AF158" s="74" t="n">
        <v>6</v>
      </c>
      <c r="AG158" s="76">
        <f>AD158*AF158</f>
        <v/>
      </c>
    </row>
    <row r="159" ht="13.5" customHeight="1">
      <c r="A159" s="65" t="inlineStr">
        <is>
          <t>Club OSAE Real Estate 2 A</t>
        </is>
      </c>
      <c r="B159" s="66" t="inlineStr">
        <is>
          <t>/</t>
        </is>
      </c>
      <c r="C159" s="67" t="n"/>
      <c r="D159" s="67" t="n"/>
      <c r="E159" s="67" t="n"/>
      <c r="F159" s="67" t="n"/>
      <c r="G159" s="67" t="n"/>
      <c r="H159" s="67" t="n"/>
      <c r="I159" s="67" t="n"/>
      <c r="J159" s="67" t="n"/>
      <c r="K159" s="69" t="n"/>
      <c r="L159" s="67" t="n"/>
      <c r="M159" s="67" t="n"/>
      <c r="N159" s="67" t="n"/>
      <c r="O159" s="67" t="n"/>
      <c r="P159" s="67" t="n"/>
      <c r="Q159" s="70" t="n"/>
      <c r="R159" s="70" t="n"/>
      <c r="S159" s="71" t="n"/>
      <c r="T159" s="72">
        <f>SUM(C159:S159)</f>
        <v/>
      </c>
      <c r="U159" s="73">
        <f>T159/T$7</f>
        <v/>
      </c>
      <c r="V159" s="280" t="n"/>
      <c r="W159" s="118" t="n"/>
      <c r="X159" s="280" t="n"/>
      <c r="Y159" s="118" t="n"/>
      <c r="Z159" s="281" t="n"/>
      <c r="AA159" s="118" t="n"/>
      <c r="AB159" s="280" t="n"/>
      <c r="AC159" s="118" t="n"/>
      <c r="AD159" s="282">
        <f>T159+V159+X159+AB159+Z159</f>
        <v/>
      </c>
      <c r="AE159" s="73">
        <f>AD159/AD$7</f>
        <v/>
      </c>
      <c r="AF159" s="74" t="n">
        <v>4</v>
      </c>
      <c r="AG159" s="76">
        <f>AD159*AF159</f>
        <v/>
      </c>
    </row>
    <row r="160" ht="13.5" customHeight="1">
      <c r="A160" s="65" t="inlineStr">
        <is>
          <t>SAS Palladium</t>
        </is>
      </c>
      <c r="B160" s="66" t="inlineStr">
        <is>
          <t>/</t>
        </is>
      </c>
      <c r="C160" s="67" t="n"/>
      <c r="D160" s="67" t="n"/>
      <c r="E160" s="67" t="n"/>
      <c r="F160" s="67" t="n"/>
      <c r="G160" s="67" t="n"/>
      <c r="H160" s="67" t="n"/>
      <c r="I160" s="67" t="n"/>
      <c r="J160" s="67" t="n"/>
      <c r="K160" s="69" t="n"/>
      <c r="L160" s="67" t="n"/>
      <c r="M160" s="67" t="n"/>
      <c r="N160" s="67" t="n"/>
      <c r="O160" s="67" t="n"/>
      <c r="P160" s="67" t="n"/>
      <c r="Q160" s="70" t="n"/>
      <c r="R160" s="70" t="n"/>
      <c r="S160" s="71" t="n"/>
      <c r="T160" s="72">
        <f>SUM(C160:S160)</f>
        <v/>
      </c>
      <c r="U160" s="73">
        <f>T160/T$7</f>
        <v/>
      </c>
      <c r="V160" s="280" t="n"/>
      <c r="W160" s="118" t="n"/>
      <c r="X160" s="280" t="n"/>
      <c r="Y160" s="118" t="n"/>
      <c r="Z160" s="281" t="n"/>
      <c r="AA160" s="118" t="n"/>
      <c r="AB160" s="280" t="n"/>
      <c r="AC160" s="118" t="n"/>
      <c r="AD160" s="282">
        <f>T160+V160+X160+AB160+Z160</f>
        <v/>
      </c>
      <c r="AE160" s="73">
        <f>AD160/AD$7</f>
        <v/>
      </c>
      <c r="AF160" s="74" t="n">
        <v>7</v>
      </c>
      <c r="AG160" s="76">
        <f>AD160*AF160</f>
        <v/>
      </c>
    </row>
    <row r="161" ht="13.5" customHeight="1">
      <c r="A161" s="65" t="inlineStr">
        <is>
          <t>SCPI Allianz Pierre</t>
        </is>
      </c>
      <c r="B161" s="66" t="inlineStr">
        <is>
          <t>/</t>
        </is>
      </c>
      <c r="C161" s="67" t="n"/>
      <c r="D161" s="67" t="n"/>
      <c r="E161" s="67" t="n"/>
      <c r="F161" s="67" t="n"/>
      <c r="G161" s="67" t="n"/>
      <c r="H161" s="67" t="n"/>
      <c r="I161" s="67" t="n"/>
      <c r="J161" s="67" t="n"/>
      <c r="K161" s="69" t="n"/>
      <c r="L161" s="67" t="n"/>
      <c r="M161" s="67" t="n"/>
      <c r="N161" s="67" t="n"/>
      <c r="O161" s="67" t="n"/>
      <c r="P161" s="67" t="n"/>
      <c r="Q161" s="70" t="n"/>
      <c r="R161" s="70" t="n"/>
      <c r="S161" s="71" t="n"/>
      <c r="T161" s="72">
        <f>SUM(C161:S161)</f>
        <v/>
      </c>
      <c r="U161" s="73">
        <f>T161/T$7</f>
        <v/>
      </c>
      <c r="V161" s="280" t="n"/>
      <c r="W161" s="118" t="n"/>
      <c r="X161" s="280" t="n"/>
      <c r="Y161" s="118" t="n"/>
      <c r="Z161" s="281" t="n"/>
      <c r="AA161" s="118" t="n"/>
      <c r="AB161" s="280" t="n"/>
      <c r="AC161" s="118" t="n"/>
      <c r="AD161" s="282">
        <f>T161+V161+X161+AB161+Z161</f>
        <v/>
      </c>
      <c r="AE161" s="73">
        <f>AD161/AD$7</f>
        <v/>
      </c>
      <c r="AF161" s="74" t="n"/>
      <c r="AG161" s="76">
        <f>AD161*AF161</f>
        <v/>
      </c>
    </row>
    <row r="162" ht="13.5" customHeight="1">
      <c r="A162" s="65" t="inlineStr">
        <is>
          <t>SCPI Neo</t>
        </is>
      </c>
      <c r="B162" s="66" t="inlineStr">
        <is>
          <t>/</t>
        </is>
      </c>
      <c r="C162" s="67" t="n"/>
      <c r="D162" s="67" t="n"/>
      <c r="E162" s="67" t="n"/>
      <c r="F162" s="67" t="n"/>
      <c r="G162" s="67" t="n"/>
      <c r="H162" s="67" t="n"/>
      <c r="I162" s="67" t="n"/>
      <c r="J162" s="67" t="n"/>
      <c r="K162" s="69" t="n"/>
      <c r="L162" s="67" t="n"/>
      <c r="M162" s="67" t="n"/>
      <c r="N162" s="67" t="n"/>
      <c r="O162" s="67" t="n"/>
      <c r="P162" s="67" t="n"/>
      <c r="Q162" s="70" t="n"/>
      <c r="R162" s="70" t="n"/>
      <c r="S162" s="71" t="n"/>
      <c r="T162" s="72">
        <f>SUM(C162:S162)</f>
        <v/>
      </c>
      <c r="U162" s="73">
        <f>T162/T$7</f>
        <v/>
      </c>
      <c r="V162" s="280" t="n"/>
      <c r="W162" s="118" t="n"/>
      <c r="X162" s="280" t="n"/>
      <c r="Y162" s="118" t="n"/>
      <c r="Z162" s="281" t="n"/>
      <c r="AA162" s="118" t="n"/>
      <c r="AB162" s="280" t="n"/>
      <c r="AC162" s="118" t="n"/>
      <c r="AD162" s="282">
        <f>T162+V162+X162+AB162+Z162</f>
        <v/>
      </c>
      <c r="AE162" s="73">
        <f>AD162/AD$7</f>
        <v/>
      </c>
      <c r="AF162" s="74" t="n">
        <v>3</v>
      </c>
      <c r="AG162" s="76">
        <f>AD162*AF162</f>
        <v/>
      </c>
    </row>
    <row r="163" ht="13.5" customHeight="1">
      <c r="A163" s="65" t="inlineStr">
        <is>
          <t>SCI Primonial Capimmo</t>
        </is>
      </c>
      <c r="B163" s="66" t="inlineStr">
        <is>
          <t>/</t>
        </is>
      </c>
      <c r="C163" s="67" t="n"/>
      <c r="D163" s="67" t="n"/>
      <c r="E163" s="67" t="n"/>
      <c r="F163" s="67" t="n"/>
      <c r="G163" s="67" t="n"/>
      <c r="H163" s="67" t="n"/>
      <c r="I163" s="67" t="n"/>
      <c r="J163" s="67" t="n"/>
      <c r="K163" s="69" t="n"/>
      <c r="L163" s="67" t="n"/>
      <c r="M163" s="67" t="n"/>
      <c r="N163" s="67" t="n"/>
      <c r="O163" s="67" t="n"/>
      <c r="P163" s="67" t="n"/>
      <c r="Q163" s="70" t="n"/>
      <c r="R163" s="70" t="n"/>
      <c r="S163" s="71" t="n"/>
      <c r="T163" s="72">
        <f>SUM(C163:S163)</f>
        <v/>
      </c>
      <c r="U163" s="73">
        <f>T163/T$7</f>
        <v/>
      </c>
      <c r="V163" s="280" t="n"/>
      <c r="W163" s="118" t="n"/>
      <c r="X163" s="280" t="n"/>
      <c r="Y163" s="118" t="n"/>
      <c r="Z163" s="281" t="n"/>
      <c r="AA163" s="118" t="n"/>
      <c r="AB163" s="280" t="n"/>
      <c r="AC163" s="118" t="n"/>
      <c r="AD163" s="282">
        <f>T163+V163+X163+AB163+Z163</f>
        <v/>
      </c>
      <c r="AE163" s="73">
        <f>AD163/AD$7</f>
        <v/>
      </c>
      <c r="AF163" s="74" t="n"/>
      <c r="AG163" s="76">
        <f>AD163*AF163</f>
        <v/>
      </c>
    </row>
    <row r="164" ht="13.5" customHeight="1">
      <c r="A164" s="65" t="inlineStr">
        <is>
          <t>SCI Convictions Immobilières</t>
        </is>
      </c>
      <c r="B164" s="66" t="inlineStr">
        <is>
          <t>/</t>
        </is>
      </c>
      <c r="C164" s="67" t="n"/>
      <c r="D164" s="67" t="n"/>
      <c r="E164" s="67" t="n"/>
      <c r="F164" s="67" t="n"/>
      <c r="G164" s="67" t="n"/>
      <c r="H164" s="67" t="n"/>
      <c r="I164" s="67" t="n"/>
      <c r="J164" s="67" t="n"/>
      <c r="K164" s="69" t="n"/>
      <c r="L164" s="67" t="n"/>
      <c r="M164" s="67" t="n"/>
      <c r="N164" s="67" t="n"/>
      <c r="O164" s="67" t="n"/>
      <c r="P164" s="67" t="n"/>
      <c r="Q164" s="70" t="n"/>
      <c r="R164" s="70" t="n"/>
      <c r="S164" s="71" t="n"/>
      <c r="T164" s="72">
        <f>SUM(C164:S164)</f>
        <v/>
      </c>
      <c r="U164" s="73">
        <f>T164/T$7</f>
        <v/>
      </c>
      <c r="V164" s="280" t="n"/>
      <c r="W164" s="118" t="n"/>
      <c r="X164" s="280" t="n"/>
      <c r="Y164" s="118" t="n"/>
      <c r="Z164" s="281" t="n"/>
      <c r="AA164" s="118" t="n"/>
      <c r="AB164" s="280" t="n"/>
      <c r="AC164" s="118" t="n"/>
      <c r="AD164" s="282">
        <f>T164+V164+X164+AB164+Z164</f>
        <v/>
      </c>
      <c r="AE164" s="73">
        <f>AD164/AD$7</f>
        <v/>
      </c>
      <c r="AF164" s="74" t="n"/>
      <c r="AG164" s="76">
        <f>AD164*AF164</f>
        <v/>
      </c>
    </row>
    <row r="165" ht="13.5" customHeight="1">
      <c r="A165" s="65" t="n"/>
      <c r="B165" s="75" t="n"/>
      <c r="C165" s="67" t="n"/>
      <c r="D165" s="67" t="n"/>
      <c r="E165" s="67" t="n"/>
      <c r="F165" s="67" t="n"/>
      <c r="G165" s="67" t="n"/>
      <c r="H165" s="67" t="n"/>
      <c r="I165" s="67" t="n"/>
      <c r="J165" s="67" t="n"/>
      <c r="K165" s="69" t="n"/>
      <c r="L165" s="67" t="n"/>
      <c r="M165" s="67" t="n"/>
      <c r="N165" s="67" t="n"/>
      <c r="O165" s="67" t="n"/>
      <c r="P165" s="67" t="n"/>
      <c r="Q165" s="70" t="n"/>
      <c r="R165" s="70" t="n"/>
      <c r="S165" s="71" t="n"/>
      <c r="T165" s="72">
        <f>SUM(C165:S165)</f>
        <v/>
      </c>
      <c r="U165" s="73">
        <f>T165/T$7</f>
        <v/>
      </c>
      <c r="V165" s="280" t="n"/>
      <c r="W165" s="118" t="n"/>
      <c r="X165" s="280" t="n"/>
      <c r="Y165" s="118" t="n"/>
      <c r="Z165" s="281" t="n"/>
      <c r="AA165" s="118" t="n"/>
      <c r="AB165" s="280" t="n"/>
      <c r="AC165" s="118" t="n"/>
      <c r="AD165" s="282">
        <f>T165+V165+X165+AB165+Z165</f>
        <v/>
      </c>
      <c r="AE165" s="73">
        <f>AD165/AD$7</f>
        <v/>
      </c>
      <c r="AF165" s="74" t="n"/>
      <c r="AG165" s="76">
        <f>AD165*AF165</f>
        <v/>
      </c>
    </row>
    <row r="166" ht="13.5" customHeight="1">
      <c r="A166" s="65" t="n"/>
      <c r="B166" s="75" t="n"/>
      <c r="C166" s="67" t="n"/>
      <c r="D166" s="67" t="n"/>
      <c r="E166" s="67" t="n"/>
      <c r="F166" s="67" t="n"/>
      <c r="G166" s="67" t="n"/>
      <c r="H166" s="67" t="n"/>
      <c r="I166" s="67" t="n"/>
      <c r="J166" s="67" t="n"/>
      <c r="K166" s="69" t="n"/>
      <c r="L166" s="67" t="n"/>
      <c r="M166" s="67" t="n"/>
      <c r="N166" s="67" t="n"/>
      <c r="O166" s="67" t="n"/>
      <c r="P166" s="67" t="n"/>
      <c r="Q166" s="70" t="n"/>
      <c r="R166" s="70" t="n"/>
      <c r="S166" s="71" t="n"/>
      <c r="T166" s="72" t="n"/>
      <c r="U166" s="73" t="n"/>
      <c r="V166" s="280" t="n"/>
      <c r="W166" s="118" t="n"/>
      <c r="X166" s="280" t="n"/>
      <c r="Y166" s="118" t="n"/>
      <c r="Z166" s="281" t="n"/>
      <c r="AA166" s="118" t="n"/>
      <c r="AB166" s="280" t="n"/>
      <c r="AC166" s="118" t="n"/>
      <c r="AD166" s="282">
        <f>T166+V166+X166+AB166+Z166</f>
        <v/>
      </c>
      <c r="AE166" s="73">
        <f>AD166/AD$7</f>
        <v/>
      </c>
      <c r="AF166" s="74" t="n"/>
      <c r="AG166" s="76">
        <f>AD166*AF166</f>
        <v/>
      </c>
    </row>
    <row r="167" ht="13.5" customHeight="1">
      <c r="A167" s="65" t="n"/>
      <c r="B167" s="75" t="n"/>
      <c r="C167" s="67" t="n"/>
      <c r="D167" s="67" t="n"/>
      <c r="E167" s="67" t="n"/>
      <c r="F167" s="67" t="n"/>
      <c r="G167" s="67" t="n"/>
      <c r="H167" s="67" t="n"/>
      <c r="I167" s="67" t="n"/>
      <c r="J167" s="67" t="n"/>
      <c r="K167" s="69" t="n"/>
      <c r="L167" s="67" t="n"/>
      <c r="M167" s="67" t="n"/>
      <c r="N167" s="67" t="n"/>
      <c r="O167" s="67" t="n"/>
      <c r="P167" s="67" t="n"/>
      <c r="Q167" s="70" t="n"/>
      <c r="R167" s="70" t="n"/>
      <c r="S167" s="71" t="n"/>
      <c r="T167" s="72" t="n"/>
      <c r="U167" s="73" t="n"/>
      <c r="V167" s="280" t="n"/>
      <c r="W167" s="118" t="n"/>
      <c r="X167" s="280" t="n"/>
      <c r="Y167" s="118" t="n"/>
      <c r="Z167" s="281" t="n"/>
      <c r="AA167" s="118" t="n"/>
      <c r="AB167" s="280" t="n"/>
      <c r="AC167" s="118" t="n"/>
      <c r="AD167" s="282">
        <f>T167+V167+X167+AB167+Z167</f>
        <v/>
      </c>
      <c r="AE167" s="73">
        <f>AD167/AD$7</f>
        <v/>
      </c>
      <c r="AF167" s="74" t="n"/>
      <c r="AG167" s="76">
        <f>AD167*AF167</f>
        <v/>
      </c>
    </row>
    <row r="168" ht="13.5" customHeight="1">
      <c r="A168" s="65" t="n"/>
      <c r="B168" s="75" t="n"/>
      <c r="C168" s="67" t="n"/>
      <c r="D168" s="67" t="n"/>
      <c r="E168" s="67" t="n"/>
      <c r="F168" s="67" t="n"/>
      <c r="G168" s="67" t="n"/>
      <c r="H168" s="67" t="n"/>
      <c r="I168" s="67" t="n"/>
      <c r="J168" s="67" t="n"/>
      <c r="K168" s="69" t="n"/>
      <c r="L168" s="67" t="n"/>
      <c r="M168" s="67" t="n"/>
      <c r="N168" s="67" t="n"/>
      <c r="O168" s="67" t="n"/>
      <c r="P168" s="67" t="n"/>
      <c r="Q168" s="70" t="n"/>
      <c r="R168" s="70" t="n"/>
      <c r="S168" s="71" t="n"/>
      <c r="T168" s="72" t="n"/>
      <c r="U168" s="73" t="n"/>
      <c r="V168" s="280" t="n"/>
      <c r="W168" s="118" t="n"/>
      <c r="X168" s="280" t="n"/>
      <c r="Y168" s="118" t="n"/>
      <c r="Z168" s="281" t="n"/>
      <c r="AA168" s="118" t="n"/>
      <c r="AB168" s="280" t="n"/>
      <c r="AC168" s="118" t="n"/>
      <c r="AD168" s="282">
        <f>T168+V168+X168+AB168+Z168</f>
        <v/>
      </c>
      <c r="AE168" s="73">
        <f>AD168/AD$7</f>
        <v/>
      </c>
      <c r="AF168" s="74" t="n"/>
      <c r="AG168" s="76">
        <f>AD168*AF168</f>
        <v/>
      </c>
    </row>
    <row r="169" ht="13.5" customHeight="1">
      <c r="A169" s="65" t="n"/>
      <c r="B169" s="75" t="n"/>
      <c r="C169" s="67" t="n"/>
      <c r="D169" s="67" t="n"/>
      <c r="E169" s="67" t="n"/>
      <c r="F169" s="67" t="n"/>
      <c r="G169" s="67" t="n"/>
      <c r="H169" s="67" t="n"/>
      <c r="I169" s="67" t="n"/>
      <c r="J169" s="67" t="n"/>
      <c r="K169" s="69" t="n"/>
      <c r="L169" s="67" t="n"/>
      <c r="M169" s="67" t="n"/>
      <c r="N169" s="67" t="n"/>
      <c r="O169" s="67" t="n"/>
      <c r="P169" s="67" t="n"/>
      <c r="Q169" s="70" t="n"/>
      <c r="R169" s="70" t="n"/>
      <c r="S169" s="71" t="n"/>
      <c r="T169" s="72">
        <f>SUM(C169:S169)</f>
        <v/>
      </c>
      <c r="U169" s="73">
        <f>T169/T$7</f>
        <v/>
      </c>
      <c r="V169" s="280" t="n"/>
      <c r="W169" s="118" t="n"/>
      <c r="X169" s="280" t="n"/>
      <c r="Y169" s="118" t="n"/>
      <c r="Z169" s="281" t="n"/>
      <c r="AA169" s="118" t="n"/>
      <c r="AB169" s="280" t="n"/>
      <c r="AC169" s="118" t="n"/>
      <c r="AD169" s="282">
        <f>T169+V169+X169+AB169+Z169</f>
        <v/>
      </c>
      <c r="AE169" s="73">
        <f>AD169/AD$7</f>
        <v/>
      </c>
      <c r="AF169" s="74" t="n"/>
      <c r="AG169" s="76">
        <f>AD169*AF169</f>
        <v/>
      </c>
    </row>
    <row r="170" ht="13.5" customHeight="1">
      <c r="A170" s="65" t="n"/>
      <c r="B170" s="75" t="n"/>
      <c r="C170" s="67" t="n"/>
      <c r="D170" s="67" t="n"/>
      <c r="E170" s="67" t="n"/>
      <c r="F170" s="67" t="n"/>
      <c r="G170" s="67" t="n"/>
      <c r="H170" s="67" t="n"/>
      <c r="I170" s="67" t="n"/>
      <c r="J170" s="67" t="n"/>
      <c r="K170" s="69" t="n"/>
      <c r="L170" s="67" t="n"/>
      <c r="M170" s="67" t="n"/>
      <c r="N170" s="67" t="n"/>
      <c r="O170" s="67" t="n"/>
      <c r="P170" s="67" t="n"/>
      <c r="Q170" s="70" t="n"/>
      <c r="R170" s="70" t="n"/>
      <c r="S170" s="71" t="n"/>
      <c r="T170" s="72">
        <f>SUM(C170:S170)</f>
        <v/>
      </c>
      <c r="U170" s="73">
        <f>T170/T$7</f>
        <v/>
      </c>
      <c r="V170" s="280" t="n"/>
      <c r="W170" s="118" t="n"/>
      <c r="X170" s="280" t="n"/>
      <c r="Y170" s="118" t="n"/>
      <c r="Z170" s="281" t="n"/>
      <c r="AA170" s="118" t="n"/>
      <c r="AB170" s="280" t="n"/>
      <c r="AC170" s="118" t="n"/>
      <c r="AD170" s="282">
        <f>T170+V170+X170+AB170+Z170</f>
        <v/>
      </c>
      <c r="AE170" s="73">
        <f>AD170/AD$7</f>
        <v/>
      </c>
      <c r="AF170" s="74" t="n"/>
      <c r="AG170" s="76">
        <f>AD170*AF170</f>
        <v/>
      </c>
    </row>
    <row r="171" ht="13.5" customHeight="1">
      <c r="A171" s="65" t="n"/>
      <c r="B171" s="75" t="n"/>
      <c r="C171" s="67" t="n"/>
      <c r="D171" s="67" t="n"/>
      <c r="E171" s="67" t="n"/>
      <c r="F171" s="67" t="n"/>
      <c r="G171" s="67" t="n"/>
      <c r="H171" s="67" t="n"/>
      <c r="I171" s="67" t="n"/>
      <c r="J171" s="67" t="n"/>
      <c r="K171" s="69" t="n"/>
      <c r="L171" s="67" t="n"/>
      <c r="M171" s="67" t="n"/>
      <c r="N171" s="67" t="n"/>
      <c r="O171" s="67" t="n"/>
      <c r="P171" s="67" t="n"/>
      <c r="Q171" s="70" t="n"/>
      <c r="R171" s="70" t="n"/>
      <c r="S171" s="71" t="n"/>
      <c r="T171" s="72">
        <f>SUM(C171:S171)</f>
        <v/>
      </c>
      <c r="U171" s="73">
        <f>T171/T$7</f>
        <v/>
      </c>
      <c r="V171" s="280" t="n"/>
      <c r="W171" s="118" t="n"/>
      <c r="X171" s="280" t="n"/>
      <c r="Y171" s="118" t="n"/>
      <c r="Z171" s="281" t="n"/>
      <c r="AA171" s="118" t="n"/>
      <c r="AB171" s="280" t="n"/>
      <c r="AC171" s="118" t="n"/>
      <c r="AD171" s="282">
        <f>T171+V171+X171+AB171+Z171</f>
        <v/>
      </c>
      <c r="AE171" s="73">
        <f>AD171/AD$7</f>
        <v/>
      </c>
      <c r="AF171" s="74" t="n"/>
      <c r="AG171" s="76">
        <f>AD171*AF171</f>
        <v/>
      </c>
    </row>
    <row r="172" ht="13.5" customHeight="1">
      <c r="A172" s="65" t="n"/>
      <c r="B172" s="75" t="n"/>
      <c r="C172" s="67" t="n"/>
      <c r="D172" s="67" t="n"/>
      <c r="E172" s="67" t="n"/>
      <c r="F172" s="67" t="n"/>
      <c r="G172" s="67" t="n"/>
      <c r="H172" s="67" t="n"/>
      <c r="I172" s="67" t="n"/>
      <c r="J172" s="67" t="n"/>
      <c r="K172" s="69" t="n"/>
      <c r="L172" s="67" t="n"/>
      <c r="M172" s="67" t="n"/>
      <c r="N172" s="67" t="n"/>
      <c r="O172" s="67" t="n"/>
      <c r="P172" s="67" t="n"/>
      <c r="Q172" s="70" t="n"/>
      <c r="R172" s="70" t="n"/>
      <c r="S172" s="71" t="n"/>
      <c r="T172" s="72">
        <f>SUM(C172:S172)</f>
        <v/>
      </c>
      <c r="U172" s="73">
        <f>T172/T$7</f>
        <v/>
      </c>
      <c r="V172" s="280" t="n"/>
      <c r="W172" s="118" t="n"/>
      <c r="X172" s="280" t="n"/>
      <c r="Y172" s="118" t="n"/>
      <c r="Z172" s="281" t="n"/>
      <c r="AA172" s="118" t="n"/>
      <c r="AB172" s="280" t="n"/>
      <c r="AC172" s="118" t="n"/>
      <c r="AD172" s="282">
        <f>T172+V172+X172+AB172+Z172</f>
        <v/>
      </c>
      <c r="AE172" s="73">
        <f>AD172/AD$7</f>
        <v/>
      </c>
      <c r="AF172" s="74" t="n"/>
      <c r="AG172" s="76">
        <f>AD172*AF172</f>
        <v/>
      </c>
    </row>
    <row r="173" ht="14" customHeight="1">
      <c r="A173" s="257" t="inlineStr">
        <is>
          <t>Infrastructures non cotées</t>
        </is>
      </c>
      <c r="C173" s="16">
        <f>SUM(C174:C193)</f>
        <v/>
      </c>
      <c r="D173" s="16">
        <f>SUM(D174:D193)</f>
        <v/>
      </c>
      <c r="E173" s="16">
        <f>SUM(E174:E193)</f>
        <v/>
      </c>
      <c r="F173" s="16">
        <f>SUM(F174:F193)</f>
        <v/>
      </c>
      <c r="G173" s="16">
        <f>SUM(G174:G193)</f>
        <v/>
      </c>
      <c r="H173" s="16">
        <f>SUM(H174:H193)</f>
        <v/>
      </c>
      <c r="I173" s="16">
        <f>SUM(I174:I193)</f>
        <v/>
      </c>
      <c r="J173" s="16">
        <f>SUM(J174:J193)</f>
        <v/>
      </c>
      <c r="K173" s="16">
        <f>SUM(K174:K193)</f>
        <v/>
      </c>
      <c r="L173" s="16">
        <f>SUM(L174:L193)</f>
        <v/>
      </c>
      <c r="M173" s="16">
        <f>SUM(M174:M193)</f>
        <v/>
      </c>
      <c r="N173" s="16">
        <f>SUM(N174:N193)</f>
        <v/>
      </c>
      <c r="O173" s="16">
        <f>SUM(O174:O193)</f>
        <v/>
      </c>
      <c r="P173" s="16">
        <f>SUM(P174:P193)</f>
        <v/>
      </c>
      <c r="Q173" s="16">
        <f>SUM(Q174:Q193)</f>
        <v/>
      </c>
      <c r="R173" s="16">
        <f>SUM(R174:R193)</f>
        <v/>
      </c>
      <c r="S173" s="16">
        <f>SUM(S174:S193)</f>
        <v/>
      </c>
      <c r="T173" s="17">
        <f>SUM(C173:S173)</f>
        <v/>
      </c>
      <c r="U173" s="54">
        <f>SUM(U174:U193)</f>
        <v/>
      </c>
      <c r="V173" s="291" t="n"/>
      <c r="W173" s="120" t="n"/>
      <c r="X173" s="291" t="n"/>
      <c r="Y173" s="120" t="n"/>
      <c r="Z173" s="290" t="n"/>
      <c r="AA173" s="120" t="n"/>
      <c r="AB173" s="291">
        <f>SUM(AB174:AB193)</f>
        <v/>
      </c>
      <c r="AC173" s="120">
        <f>SUM(AC174:AC193)</f>
        <v/>
      </c>
      <c r="AD173" s="276">
        <f>SUM(AD175:AD193)</f>
        <v/>
      </c>
      <c r="AE173" s="61">
        <f>SUM(AE174:AE193)</f>
        <v/>
      </c>
      <c r="AF173" s="18" t="n"/>
      <c r="AG173" s="19" t="n"/>
    </row>
    <row r="174" ht="13.5" customHeight="1">
      <c r="A174" s="65" t="inlineStr">
        <is>
          <t>Antheor Private Infrastructure part F</t>
        </is>
      </c>
      <c r="B174" s="66" t="inlineStr">
        <is>
          <t>FR001400ZM09</t>
        </is>
      </c>
      <c r="C174" s="67" t="n"/>
      <c r="D174" s="67" t="n"/>
      <c r="E174" s="67" t="n"/>
      <c r="F174" s="67" t="n"/>
      <c r="G174" s="68" t="n"/>
      <c r="H174" s="67" t="n"/>
      <c r="I174" s="67" t="n"/>
      <c r="J174" s="67" t="n"/>
      <c r="K174" s="69" t="n"/>
      <c r="L174" s="67" t="n"/>
      <c r="M174" s="67" t="n"/>
      <c r="N174" s="67" t="n"/>
      <c r="O174" s="67" t="n"/>
      <c r="P174" s="67" t="n"/>
      <c r="Q174" s="70" t="n"/>
      <c r="R174" s="70" t="n"/>
      <c r="S174" s="71" t="n"/>
      <c r="T174" s="72">
        <f>SUM(C174:S174)</f>
        <v/>
      </c>
      <c r="U174" s="73">
        <f>T174/T$7</f>
        <v/>
      </c>
      <c r="V174" s="280" t="n"/>
      <c r="W174" s="118" t="n"/>
      <c r="X174" s="280" t="n"/>
      <c r="Y174" s="118" t="n"/>
      <c r="Z174" s="281" t="n"/>
      <c r="AA174" s="118" t="n"/>
      <c r="AB174" s="292" t="n"/>
      <c r="AC174" s="118" t="n"/>
      <c r="AD174" s="282" t="n"/>
      <c r="AE174" s="73">
        <f>AD174/AD$7</f>
        <v/>
      </c>
      <c r="AF174" s="74" t="n">
        <v>6</v>
      </c>
      <c r="AG174" s="76">
        <f>AD174*AF174</f>
        <v/>
      </c>
      <c r="AI174" s="232" t="n"/>
    </row>
    <row r="175" ht="13.5" customHeight="1">
      <c r="A175" s="65" t="inlineStr">
        <is>
          <t>Antheor Private Infrastructure part A</t>
        </is>
      </c>
      <c r="B175" s="66" t="inlineStr">
        <is>
          <t>FR001400ZLZ0</t>
        </is>
      </c>
      <c r="C175" s="67" t="n"/>
      <c r="D175" s="67" t="n"/>
      <c r="E175" s="67" t="n"/>
      <c r="F175" s="67" t="n"/>
      <c r="G175" s="68" t="n"/>
      <c r="H175" s="67" t="n"/>
      <c r="I175" s="67" t="n"/>
      <c r="J175" s="67" t="n"/>
      <c r="K175" s="69" t="n"/>
      <c r="L175" s="67" t="n"/>
      <c r="M175" s="67" t="n"/>
      <c r="N175" s="67" t="n"/>
      <c r="O175" s="67" t="n"/>
      <c r="P175" s="67" t="n"/>
      <c r="Q175" s="70" t="n"/>
      <c r="R175" s="70" t="n"/>
      <c r="S175" s="71" t="n"/>
      <c r="T175" s="72">
        <f>SUM(C175:S175)</f>
        <v/>
      </c>
      <c r="U175" s="73">
        <f>T175/T$7</f>
        <v/>
      </c>
      <c r="V175" s="280" t="n"/>
      <c r="W175" s="118" t="n"/>
      <c r="X175" s="280" t="n"/>
      <c r="Y175" s="118" t="n"/>
      <c r="Z175" s="281" t="n"/>
      <c r="AA175" s="118" t="n"/>
      <c r="AB175" s="293" t="n"/>
      <c r="AC175" s="127" t="n"/>
      <c r="AD175" s="282" t="n"/>
      <c r="AE175" s="73">
        <f>AD175/AD$7</f>
        <v/>
      </c>
      <c r="AF175" s="74" t="n">
        <v>6</v>
      </c>
      <c r="AG175" s="76">
        <f>AD175*AF175</f>
        <v/>
      </c>
    </row>
    <row r="176" ht="13.5" customHeight="1">
      <c r="A176" s="65" t="inlineStr">
        <is>
          <t>Antheor Private Infrastructure part B</t>
        </is>
      </c>
      <c r="B176" s="66" t="inlineStr">
        <is>
          <t>FR001400ZM58</t>
        </is>
      </c>
      <c r="C176" s="67" t="n"/>
      <c r="D176" s="67" t="n"/>
      <c r="E176" s="67" t="n"/>
      <c r="F176" s="67" t="n"/>
      <c r="G176" s="67" t="n"/>
      <c r="H176" s="67" t="n"/>
      <c r="I176" s="67" t="n"/>
      <c r="J176" s="67" t="n"/>
      <c r="K176" s="69" t="n"/>
      <c r="L176" s="67" t="n"/>
      <c r="M176" s="67" t="n"/>
      <c r="N176" s="67" t="n"/>
      <c r="O176" s="67" t="n"/>
      <c r="P176" s="67" t="n"/>
      <c r="Q176" s="70" t="n"/>
      <c r="R176" s="70" t="n"/>
      <c r="S176" s="71" t="n"/>
      <c r="T176" s="72">
        <f>SUM(C176:S176)</f>
        <v/>
      </c>
      <c r="U176" s="73">
        <f>T176/T$7</f>
        <v/>
      </c>
      <c r="V176" s="280" t="n"/>
      <c r="W176" s="118" t="n"/>
      <c r="X176" s="280" t="n"/>
      <c r="Y176" s="118" t="n"/>
      <c r="Z176" s="281" t="n"/>
      <c r="AA176" s="118" t="n"/>
      <c r="AB176" s="293" t="n"/>
      <c r="AC176" s="127" t="n"/>
      <c r="AD176" s="282" t="n"/>
      <c r="AE176" s="73">
        <f>AD176/AD$7</f>
        <v/>
      </c>
      <c r="AF176" s="74" t="n">
        <v>6</v>
      </c>
      <c r="AG176" s="76">
        <f>AD176*AF176</f>
        <v/>
      </c>
    </row>
    <row r="177" ht="13.5" customHeight="1">
      <c r="A177" s="65" t="inlineStr">
        <is>
          <t>StepStone Structure</t>
        </is>
      </c>
      <c r="B177" s="66" t="inlineStr">
        <is>
          <t>LU3084311938</t>
        </is>
      </c>
      <c r="C177" s="67" t="n"/>
      <c r="D177" s="67" t="n"/>
      <c r="E177" s="67" t="n"/>
      <c r="F177" s="67" t="n"/>
      <c r="G177" s="67" t="n"/>
      <c r="H177" s="67" t="n"/>
      <c r="I177" s="67" t="n"/>
      <c r="J177" s="67" t="n"/>
      <c r="K177" s="69" t="n"/>
      <c r="L177" s="67" t="n"/>
      <c r="M177" s="67" t="n"/>
      <c r="N177" s="67" t="n"/>
      <c r="O177" s="67" t="n"/>
      <c r="P177" s="67" t="n"/>
      <c r="Q177" s="70" t="n"/>
      <c r="R177" s="70" t="n"/>
      <c r="S177" s="71" t="n"/>
      <c r="T177" s="72">
        <f>SUM(C177:S177)</f>
        <v/>
      </c>
      <c r="U177" s="73">
        <f>T177/T$7</f>
        <v/>
      </c>
      <c r="V177" s="280" t="n"/>
      <c r="W177" s="118" t="n"/>
      <c r="X177" s="280" t="n"/>
      <c r="Y177" s="118" t="n"/>
      <c r="Z177" s="281" t="n"/>
      <c r="AA177" s="118" t="n"/>
      <c r="AB177" s="294">
        <f>AC177*SUM(T$174:T$176)</f>
        <v/>
      </c>
      <c r="AC177" s="132" t="n">
        <v>0.367</v>
      </c>
      <c r="AD177" s="282">
        <f>T177+V177+X177+AB177+Z177</f>
        <v/>
      </c>
      <c r="AE177" s="73">
        <f>AD177/AD$7</f>
        <v/>
      </c>
      <c r="AF177" s="74" t="n">
        <v>6</v>
      </c>
      <c r="AG177" s="76">
        <f>AD177*AF177</f>
        <v/>
      </c>
    </row>
    <row r="178" ht="13.5" customHeight="1">
      <c r="A178" s="65" t="inlineStr">
        <is>
          <t>EQT Nexus Infrastructure</t>
        </is>
      </c>
      <c r="B178" s="66" t="inlineStr">
        <is>
          <t>LU2984100870</t>
        </is>
      </c>
      <c r="C178" s="67" t="n"/>
      <c r="D178" s="67" t="n"/>
      <c r="E178" s="67" t="n"/>
      <c r="F178" s="67" t="n"/>
      <c r="G178" s="68" t="n"/>
      <c r="H178" s="67" t="n"/>
      <c r="I178" s="67" t="n"/>
      <c r="J178" s="67" t="n"/>
      <c r="K178" s="69" t="n"/>
      <c r="L178" s="67" t="n"/>
      <c r="M178" s="67" t="n"/>
      <c r="N178" s="67" t="n"/>
      <c r="O178" s="67" t="n"/>
      <c r="P178" s="67" t="n"/>
      <c r="Q178" s="70" t="n"/>
      <c r="R178" s="70" t="n"/>
      <c r="S178" s="71" t="n"/>
      <c r="T178" s="72">
        <f>SUM(C178:S178)</f>
        <v/>
      </c>
      <c r="U178" s="73">
        <f>T178/T$7</f>
        <v/>
      </c>
      <c r="V178" s="280" t="n"/>
      <c r="W178" s="118" t="n"/>
      <c r="X178" s="280" t="n"/>
      <c r="Y178" s="118" t="n"/>
      <c r="Z178" s="281" t="n"/>
      <c r="AA178" s="118" t="n"/>
      <c r="AB178" s="294">
        <f>AC178*SUM(T$174:T$176)</f>
        <v/>
      </c>
      <c r="AC178" s="132" t="n">
        <v>0.32</v>
      </c>
      <c r="AD178" s="282">
        <f>T178+V178+X178+AB178+Z178</f>
        <v/>
      </c>
      <c r="AE178" s="73">
        <f>AD178/AD$7</f>
        <v/>
      </c>
      <c r="AF178" s="74" t="n">
        <v>5</v>
      </c>
      <c r="AG178" s="76">
        <f>AD178*AF178</f>
        <v/>
      </c>
      <c r="AI178" s="232" t="n"/>
    </row>
    <row r="179" ht="13.5" customHeight="1">
      <c r="A179" s="65" t="inlineStr">
        <is>
          <t xml:space="preserve">Partners Group Next Generation Infrastructure </t>
        </is>
      </c>
      <c r="B179" s="66" t="inlineStr">
        <is>
          <t>LU2710930046</t>
        </is>
      </c>
      <c r="C179" s="67" t="n"/>
      <c r="D179" s="67" t="n"/>
      <c r="E179" s="67" t="n"/>
      <c r="F179" s="67" t="n"/>
      <c r="G179" s="68" t="n"/>
      <c r="H179" s="67" t="n"/>
      <c r="I179" s="67" t="n"/>
      <c r="J179" s="67" t="n"/>
      <c r="K179" s="69" t="n"/>
      <c r="L179" s="67" t="n"/>
      <c r="M179" s="67" t="n"/>
      <c r="N179" s="67" t="n"/>
      <c r="O179" s="67" t="n"/>
      <c r="P179" s="67" t="n"/>
      <c r="Q179" s="70" t="n"/>
      <c r="R179" s="70" t="n"/>
      <c r="S179" s="71" t="n"/>
      <c r="T179" s="72">
        <f>SUM(C179:S179)</f>
        <v/>
      </c>
      <c r="U179" s="73">
        <f>T179/T$7</f>
        <v/>
      </c>
      <c r="V179" s="280" t="n"/>
      <c r="W179" s="118" t="n"/>
      <c r="X179" s="280" t="n"/>
      <c r="Y179" s="118" t="n"/>
      <c r="Z179" s="281" t="n"/>
      <c r="AA179" s="118" t="n"/>
      <c r="AB179" s="294">
        <f>AC179*SUM(T$174:T$176)</f>
        <v/>
      </c>
      <c r="AC179" s="132" t="n">
        <v>0.313</v>
      </c>
      <c r="AD179" s="282">
        <f>T179+V179+X179+AB179+Z179</f>
        <v/>
      </c>
      <c r="AE179" s="73">
        <f>AD179/AD$7</f>
        <v/>
      </c>
      <c r="AF179" s="74" t="n">
        <v>4</v>
      </c>
      <c r="AG179" s="76">
        <f>AD179*AF179</f>
        <v/>
      </c>
    </row>
    <row r="180" ht="13.5" customHeight="1">
      <c r="A180" s="65" t="inlineStr">
        <is>
          <t>Brookfield Infrastructure Income</t>
        </is>
      </c>
      <c r="B180" s="66" t="inlineStr">
        <is>
          <t>LU2571548820</t>
        </is>
      </c>
      <c r="C180" s="67" t="n"/>
      <c r="D180" s="67" t="n"/>
      <c r="E180" s="67" t="n"/>
      <c r="F180" s="67" t="n"/>
      <c r="G180" s="67" t="n"/>
      <c r="H180" s="67" t="n"/>
      <c r="I180" s="67" t="n"/>
      <c r="J180" s="67" t="n"/>
      <c r="K180" s="69" t="n"/>
      <c r="L180" s="67" t="n"/>
      <c r="M180" s="67" t="n"/>
      <c r="N180" s="67" t="n"/>
      <c r="O180" s="67" t="n"/>
      <c r="P180" s="67" t="n"/>
      <c r="Q180" s="70" t="n"/>
      <c r="R180" s="70" t="n"/>
      <c r="S180" s="71" t="n"/>
      <c r="T180" s="72">
        <f>SUM(C180:S180)</f>
        <v/>
      </c>
      <c r="U180" s="73">
        <f>T180/T$7</f>
        <v/>
      </c>
      <c r="V180" s="280" t="n"/>
      <c r="W180" s="118" t="n"/>
      <c r="X180" s="280" t="n"/>
      <c r="Y180" s="118" t="n"/>
      <c r="Z180" s="281" t="n"/>
      <c r="AA180" s="118" t="n"/>
      <c r="AB180" s="293" t="n"/>
      <c r="AC180" s="127" t="n"/>
      <c r="AD180" s="282">
        <f>T180+V180+X180+AB180+Z180</f>
        <v/>
      </c>
      <c r="AE180" s="73">
        <f>AD180/AD$7</f>
        <v/>
      </c>
      <c r="AF180" s="74" t="n">
        <v>6</v>
      </c>
      <c r="AG180" s="76">
        <f>AD180*AF180</f>
        <v/>
      </c>
    </row>
    <row r="181" ht="13.5" customHeight="1">
      <c r="A181" s="65" t="inlineStr">
        <is>
          <t>Stepstone Priv Infra A</t>
        </is>
      </c>
      <c r="B181" s="66" t="inlineStr">
        <is>
          <t>LU2677665254</t>
        </is>
      </c>
      <c r="C181" s="67" t="n"/>
      <c r="D181" s="67" t="n"/>
      <c r="E181" s="67" t="n"/>
      <c r="F181" s="67" t="n"/>
      <c r="G181" s="67" t="n"/>
      <c r="H181" s="67" t="n"/>
      <c r="I181" s="67" t="n"/>
      <c r="J181" s="67" t="n"/>
      <c r="K181" s="69" t="n"/>
      <c r="L181" s="67" t="n"/>
      <c r="M181" s="67" t="n"/>
      <c r="N181" s="67" t="n"/>
      <c r="O181" s="67" t="n"/>
      <c r="P181" s="67" t="n"/>
      <c r="Q181" s="70" t="n"/>
      <c r="R181" s="70" t="n"/>
      <c r="S181" s="71" t="n"/>
      <c r="T181" s="72">
        <f>SUM(C181:S181)</f>
        <v/>
      </c>
      <c r="U181" s="73">
        <f>T181/T$7</f>
        <v/>
      </c>
      <c r="V181" s="280" t="n"/>
      <c r="W181" s="118" t="n"/>
      <c r="X181" s="280" t="n"/>
      <c r="Y181" s="118" t="n"/>
      <c r="Z181" s="281" t="n"/>
      <c r="AA181" s="118" t="n"/>
      <c r="AB181" s="292" t="n"/>
      <c r="AC181" s="126" t="n"/>
      <c r="AD181" s="282">
        <f>T181+V181+X181+AB181+Z181</f>
        <v/>
      </c>
      <c r="AE181" s="73">
        <f>AD181/AD$7</f>
        <v/>
      </c>
      <c r="AF181" s="74" t="n">
        <v>6</v>
      </c>
      <c r="AG181" s="76">
        <f>AD181*AF181</f>
        <v/>
      </c>
    </row>
    <row r="182" ht="13.5" customHeight="1">
      <c r="A182" s="65" t="inlineStr">
        <is>
          <t>FCPR Eiffel Infrastructures Vertes C</t>
        </is>
      </c>
      <c r="B182" s="66" t="inlineStr">
        <is>
          <t>FR001400BCG0</t>
        </is>
      </c>
      <c r="C182" s="67" t="n"/>
      <c r="D182" s="67" t="n"/>
      <c r="E182" s="67" t="n"/>
      <c r="F182" s="67" t="n"/>
      <c r="G182" s="67" t="n"/>
      <c r="H182" s="67" t="n"/>
      <c r="I182" s="67" t="n"/>
      <c r="J182" s="67" t="n"/>
      <c r="K182" s="69" t="n"/>
      <c r="L182" s="67" t="n"/>
      <c r="M182" s="67" t="n"/>
      <c r="N182" s="67" t="n"/>
      <c r="O182" s="67" t="n"/>
      <c r="P182" s="67" t="n"/>
      <c r="Q182" s="70" t="n"/>
      <c r="R182" s="70" t="n"/>
      <c r="S182" s="71" t="n"/>
      <c r="T182" s="72">
        <f>SUM(C182:S182)</f>
        <v/>
      </c>
      <c r="U182" s="73">
        <f>T182/T$7</f>
        <v/>
      </c>
      <c r="V182" s="280" t="n"/>
      <c r="W182" s="118" t="n"/>
      <c r="X182" s="280" t="n"/>
      <c r="Y182" s="118" t="n"/>
      <c r="Z182" s="281" t="n"/>
      <c r="AA182" s="118" t="n"/>
      <c r="AB182" s="292" t="n"/>
      <c r="AC182" s="118" t="n"/>
      <c r="AD182" s="282">
        <f>T182+V182+X182+AB182+Z182</f>
        <v/>
      </c>
      <c r="AE182" s="73">
        <f>AD182/AD$7</f>
        <v/>
      </c>
      <c r="AF182" s="74" t="n">
        <v>3</v>
      </c>
      <c r="AG182" s="76">
        <f>AD182*AF182</f>
        <v/>
      </c>
    </row>
    <row r="183" ht="13.5" customHeight="1">
      <c r="A183" s="65" t="inlineStr">
        <is>
          <t>Rive Tangible Assets Income Fund</t>
        </is>
      </c>
      <c r="B183" s="66" t="inlineStr">
        <is>
          <t>LU2441620379</t>
        </is>
      </c>
      <c r="C183" s="67" t="n"/>
      <c r="D183" s="67" t="n"/>
      <c r="E183" s="67" t="n"/>
      <c r="F183" s="67" t="n"/>
      <c r="G183" s="67" t="n"/>
      <c r="H183" s="67" t="n"/>
      <c r="I183" s="67" t="n"/>
      <c r="J183" s="67" t="n"/>
      <c r="K183" s="69" t="n"/>
      <c r="L183" s="67" t="n"/>
      <c r="M183" s="67" t="n"/>
      <c r="N183" s="67" t="n"/>
      <c r="O183" s="67" t="n"/>
      <c r="P183" s="67" t="n"/>
      <c r="Q183" s="70" t="n"/>
      <c r="R183" s="70" t="n"/>
      <c r="S183" s="71" t="n"/>
      <c r="T183" s="72">
        <f>SUM(C183:S183)</f>
        <v/>
      </c>
      <c r="U183" s="73">
        <f>T183/T$7</f>
        <v/>
      </c>
      <c r="V183" s="280" t="n"/>
      <c r="W183" s="118" t="n"/>
      <c r="X183" s="280" t="n"/>
      <c r="Y183" s="118" t="n"/>
      <c r="Z183" s="281" t="n"/>
      <c r="AA183" s="118" t="n"/>
      <c r="AB183" s="292" t="n"/>
      <c r="AC183" s="118" t="n"/>
      <c r="AD183" s="282">
        <f>T183+V183+X183+AB183+Z183</f>
        <v/>
      </c>
      <c r="AE183" s="73">
        <f>AD183/AD$7</f>
        <v/>
      </c>
      <c r="AF183" s="74" t="n">
        <v>7</v>
      </c>
      <c r="AG183" s="76">
        <f>AD183*AF183</f>
        <v/>
      </c>
    </row>
    <row r="184" ht="13.5" customHeight="1">
      <c r="A184" s="65" t="inlineStr">
        <is>
          <t>FCPR AXA Avenir Infrastructures Parts T</t>
        </is>
      </c>
      <c r="B184" s="75" t="inlineStr">
        <is>
          <t>FR001400BZG1</t>
        </is>
      </c>
      <c r="C184" s="67" t="n"/>
      <c r="D184" s="67" t="n"/>
      <c r="E184" s="67" t="n"/>
      <c r="F184" s="67" t="n"/>
      <c r="G184" s="67" t="n"/>
      <c r="H184" s="67" t="n"/>
      <c r="I184" s="67" t="n"/>
      <c r="J184" s="67" t="n"/>
      <c r="K184" s="69" t="n"/>
      <c r="L184" s="67" t="n"/>
      <c r="M184" s="67" t="n"/>
      <c r="N184" s="67" t="n"/>
      <c r="O184" s="67" t="n"/>
      <c r="P184" s="67" t="n"/>
      <c r="Q184" s="70" t="n"/>
      <c r="R184" s="70" t="n"/>
      <c r="S184" s="71" t="n"/>
      <c r="T184" s="72">
        <f>SUM(C184:S184)</f>
        <v/>
      </c>
      <c r="U184" s="73">
        <f>T184/T$7</f>
        <v/>
      </c>
      <c r="V184" s="280" t="n"/>
      <c r="W184" s="118" t="n"/>
      <c r="X184" s="280" t="n"/>
      <c r="Y184" s="118" t="n"/>
      <c r="Z184" s="281" t="n"/>
      <c r="AA184" s="118" t="n"/>
      <c r="AB184" s="280" t="n"/>
      <c r="AC184" s="118" t="n"/>
      <c r="AD184" s="282">
        <f>T184+V184+X184+AB184+Z184</f>
        <v/>
      </c>
      <c r="AE184" s="73">
        <f>AD184/AD$7</f>
        <v/>
      </c>
      <c r="AF184" s="74" t="n">
        <v>2</v>
      </c>
      <c r="AG184" s="76">
        <f>AD184*AF184</f>
        <v/>
      </c>
    </row>
    <row r="185" ht="13.5" customHeight="1">
      <c r="A185" s="65" t="inlineStr">
        <is>
          <t>GF Infrastructures Durables</t>
        </is>
      </c>
      <c r="B185" s="75" t="inlineStr">
        <is>
          <t>FR0013473667</t>
        </is>
      </c>
      <c r="C185" s="67" t="n"/>
      <c r="D185" s="67" t="n"/>
      <c r="E185" s="67" t="n"/>
      <c r="F185" s="67" t="n"/>
      <c r="G185" s="67" t="n"/>
      <c r="H185" s="67" t="n"/>
      <c r="I185" s="67" t="n"/>
      <c r="J185" s="67" t="n"/>
      <c r="K185" s="69" t="n"/>
      <c r="L185" s="67" t="n"/>
      <c r="M185" s="67" t="n"/>
      <c r="N185" s="67" t="n"/>
      <c r="O185" s="67" t="n"/>
      <c r="P185" s="67" t="n"/>
      <c r="Q185" s="70" t="n"/>
      <c r="R185" s="70" t="n"/>
      <c r="S185" s="71" t="n"/>
      <c r="T185" s="72">
        <f>SUM(C185:S185)</f>
        <v/>
      </c>
      <c r="U185" s="73">
        <f>T185/T$7</f>
        <v/>
      </c>
      <c r="V185" s="280" t="n"/>
      <c r="W185" s="118" t="n"/>
      <c r="X185" s="280" t="n"/>
      <c r="Y185" s="118" t="n"/>
      <c r="Z185" s="281" t="n"/>
      <c r="AA185" s="118" t="n"/>
      <c r="AB185" s="280" t="n"/>
      <c r="AC185" s="118" t="n"/>
      <c r="AD185" s="282">
        <f>T185+V185+X185+AB185+Z185</f>
        <v/>
      </c>
      <c r="AE185" s="73">
        <f>AD185/AD$7</f>
        <v/>
      </c>
      <c r="AF185" s="74" t="n">
        <v>3</v>
      </c>
      <c r="AG185" s="76">
        <f>AD185*AF185</f>
        <v/>
      </c>
    </row>
    <row r="186" ht="13.5" customHeight="1">
      <c r="A186" s="65" t="inlineStr">
        <is>
          <t>Rive Tangible Assets Income Fund</t>
        </is>
      </c>
      <c r="B186" s="75" t="inlineStr">
        <is>
          <t>LU2842989936</t>
        </is>
      </c>
      <c r="C186" s="67" t="n"/>
      <c r="D186" s="67" t="n"/>
      <c r="E186" s="67" t="n"/>
      <c r="F186" s="67" t="n"/>
      <c r="G186" s="67" t="n"/>
      <c r="H186" s="67" t="n"/>
      <c r="I186" s="67" t="n"/>
      <c r="J186" s="67" t="n"/>
      <c r="K186" s="69" t="n"/>
      <c r="L186" s="67" t="n"/>
      <c r="M186" s="67" t="n"/>
      <c r="N186" s="67" t="n"/>
      <c r="O186" s="67" t="n"/>
      <c r="P186" s="67" t="n"/>
      <c r="Q186" s="70" t="n"/>
      <c r="R186" s="70" t="n"/>
      <c r="S186" s="71" t="n"/>
      <c r="T186" s="72">
        <f>SUM(C186:S186)</f>
        <v/>
      </c>
      <c r="U186" s="73">
        <f>T186/T$7</f>
        <v/>
      </c>
      <c r="V186" s="280" t="n"/>
      <c r="W186" s="118" t="n"/>
      <c r="X186" s="280" t="n"/>
      <c r="Y186" s="118" t="n"/>
      <c r="Z186" s="281" t="n"/>
      <c r="AA186" s="118" t="n"/>
      <c r="AB186" s="280" t="n"/>
      <c r="AC186" s="118" t="n"/>
      <c r="AD186" s="282">
        <f>T186+V186+X186+AB186+Z186</f>
        <v/>
      </c>
      <c r="AE186" s="73">
        <f>AD186/AD$7</f>
        <v/>
      </c>
      <c r="AF186" s="74" t="n"/>
      <c r="AG186" s="76">
        <f>AD186*AF186</f>
        <v/>
      </c>
    </row>
    <row r="187" ht="13.5" customHeight="1">
      <c r="A187" s="65" t="inlineStr">
        <is>
          <t>Rive Tangible Assets Income Fund AS3</t>
        </is>
      </c>
      <c r="B187" s="75" t="inlineStr">
        <is>
          <t>LU2563800726</t>
        </is>
      </c>
      <c r="C187" s="67" t="n"/>
      <c r="D187" s="67" t="n"/>
      <c r="E187" s="67" t="n"/>
      <c r="F187" s="67" t="n"/>
      <c r="G187" s="67" t="n"/>
      <c r="H187" s="67" t="n"/>
      <c r="I187" s="67" t="n"/>
      <c r="J187" s="67" t="n"/>
      <c r="K187" s="69" t="n"/>
      <c r="L187" s="67" t="n"/>
      <c r="M187" s="67" t="n"/>
      <c r="N187" s="67" t="n"/>
      <c r="O187" s="67" t="n"/>
      <c r="P187" s="67" t="n"/>
      <c r="Q187" s="70" t="n"/>
      <c r="R187" s="70" t="n"/>
      <c r="S187" s="71" t="n"/>
      <c r="T187" s="72">
        <f>SUM(C187:S187)</f>
        <v/>
      </c>
      <c r="U187" s="73">
        <f>T187/T$7</f>
        <v/>
      </c>
      <c r="V187" s="280" t="n"/>
      <c r="W187" s="118" t="n"/>
      <c r="X187" s="280" t="n"/>
      <c r="Y187" s="118" t="n"/>
      <c r="Z187" s="281" t="n"/>
      <c r="AA187" s="118" t="n"/>
      <c r="AB187" s="280" t="n"/>
      <c r="AC187" s="118" t="n"/>
      <c r="AD187" s="282">
        <f>T187+V187+X187+AB187+Z187</f>
        <v/>
      </c>
      <c r="AE187" s="73">
        <f>AD187/AD$7</f>
        <v/>
      </c>
      <c r="AF187" s="74" t="n"/>
      <c r="AG187" s="76">
        <f>AD187*AF187</f>
        <v/>
      </c>
    </row>
    <row r="188" ht="13.5" customHeight="1">
      <c r="A188" s="65" t="n"/>
      <c r="B188" s="75" t="n"/>
      <c r="C188" s="67" t="n"/>
      <c r="D188" s="67" t="n"/>
      <c r="E188" s="67" t="n"/>
      <c r="F188" s="67" t="n"/>
      <c r="G188" s="67" t="n"/>
      <c r="H188" s="67" t="n"/>
      <c r="I188" s="67" t="n"/>
      <c r="J188" s="67" t="n"/>
      <c r="K188" s="69" t="n"/>
      <c r="L188" s="67" t="n"/>
      <c r="M188" s="67" t="n"/>
      <c r="N188" s="67" t="n"/>
      <c r="O188" s="67" t="n"/>
      <c r="P188" s="67" t="n"/>
      <c r="Q188" s="70" t="n"/>
      <c r="R188" s="70" t="n"/>
      <c r="S188" s="71" t="n"/>
      <c r="T188" s="72">
        <f>SUM(C188:S188)</f>
        <v/>
      </c>
      <c r="U188" s="73">
        <f>T188/T$7</f>
        <v/>
      </c>
      <c r="V188" s="280" t="n"/>
      <c r="W188" s="118" t="n"/>
      <c r="X188" s="280" t="n"/>
      <c r="Y188" s="118" t="n"/>
      <c r="Z188" s="281" t="n"/>
      <c r="AA188" s="118" t="n"/>
      <c r="AB188" s="280" t="n"/>
      <c r="AC188" s="118" t="n"/>
      <c r="AD188" s="282">
        <f>T188+V188+X188+AB188+Z188</f>
        <v/>
      </c>
      <c r="AE188" s="73">
        <f>AD188/AD$7</f>
        <v/>
      </c>
      <c r="AF188" s="74" t="n"/>
      <c r="AG188" s="76">
        <f>AD188*AF188</f>
        <v/>
      </c>
    </row>
    <row r="189" ht="13.5" customHeight="1">
      <c r="A189" s="65" t="n"/>
      <c r="B189" s="75" t="n"/>
      <c r="C189" s="67" t="n"/>
      <c r="D189" s="67" t="n"/>
      <c r="E189" s="67" t="n"/>
      <c r="F189" s="67" t="n"/>
      <c r="G189" s="67" t="n"/>
      <c r="H189" s="67" t="n"/>
      <c r="I189" s="67" t="n"/>
      <c r="J189" s="67" t="n"/>
      <c r="K189" s="69" t="n"/>
      <c r="L189" s="67" t="n"/>
      <c r="M189" s="67" t="n"/>
      <c r="N189" s="67" t="n"/>
      <c r="O189" s="67" t="n"/>
      <c r="P189" s="67" t="n"/>
      <c r="Q189" s="70" t="n"/>
      <c r="R189" s="70" t="n"/>
      <c r="S189" s="71" t="n"/>
      <c r="T189" s="72" t="n"/>
      <c r="U189" s="73" t="n"/>
      <c r="V189" s="280" t="n"/>
      <c r="W189" s="118" t="n"/>
      <c r="X189" s="280" t="n"/>
      <c r="Y189" s="118" t="n"/>
      <c r="Z189" s="281" t="n"/>
      <c r="AA189" s="118" t="n"/>
      <c r="AB189" s="280" t="n"/>
      <c r="AC189" s="118" t="n"/>
      <c r="AD189" s="282">
        <f>T189+V189+X189+AB189+Z189</f>
        <v/>
      </c>
      <c r="AE189" s="73">
        <f>AD189/AD$7</f>
        <v/>
      </c>
      <c r="AF189" s="74" t="n"/>
      <c r="AG189" s="76">
        <f>AD189*AF189</f>
        <v/>
      </c>
    </row>
    <row r="190" ht="13.5" customHeight="1">
      <c r="A190" s="65" t="n"/>
      <c r="B190" s="75" t="n"/>
      <c r="C190" s="67" t="n"/>
      <c r="D190" s="67" t="n"/>
      <c r="E190" s="67" t="n"/>
      <c r="F190" s="67" t="n"/>
      <c r="G190" s="67" t="n"/>
      <c r="H190" s="67" t="n"/>
      <c r="I190" s="67" t="n"/>
      <c r="J190" s="67" t="n"/>
      <c r="K190" s="69" t="n"/>
      <c r="L190" s="67" t="n"/>
      <c r="M190" s="67" t="n"/>
      <c r="N190" s="67" t="n"/>
      <c r="O190" s="67" t="n"/>
      <c r="P190" s="67" t="n"/>
      <c r="Q190" s="70" t="n"/>
      <c r="R190" s="70" t="n"/>
      <c r="S190" s="71" t="n"/>
      <c r="T190" s="72" t="n"/>
      <c r="U190" s="73" t="n"/>
      <c r="V190" s="280" t="n"/>
      <c r="W190" s="118" t="n"/>
      <c r="X190" s="280" t="n"/>
      <c r="Y190" s="118" t="n"/>
      <c r="Z190" s="281" t="n"/>
      <c r="AA190" s="118" t="n"/>
      <c r="AB190" s="280" t="n"/>
      <c r="AC190" s="118" t="n"/>
      <c r="AD190" s="282">
        <f>T190+V190+X190+AB190+Z190</f>
        <v/>
      </c>
      <c r="AE190" s="73">
        <f>AD190/AD$7</f>
        <v/>
      </c>
      <c r="AF190" s="74" t="n"/>
      <c r="AG190" s="76">
        <f>AD190*AF190</f>
        <v/>
      </c>
    </row>
    <row r="191" ht="13.5" customHeight="1">
      <c r="A191" s="65" t="n"/>
      <c r="B191" s="75" t="n"/>
      <c r="C191" s="67" t="n"/>
      <c r="D191" s="67" t="n"/>
      <c r="E191" s="67" t="n"/>
      <c r="F191" s="67" t="n"/>
      <c r="G191" s="67" t="n"/>
      <c r="H191" s="67" t="n"/>
      <c r="I191" s="67" t="n"/>
      <c r="J191" s="67" t="n"/>
      <c r="K191" s="69" t="n"/>
      <c r="L191" s="67" t="n"/>
      <c r="M191" s="67" t="n"/>
      <c r="N191" s="67" t="n"/>
      <c r="O191" s="67" t="n"/>
      <c r="P191" s="67" t="n"/>
      <c r="Q191" s="70" t="n"/>
      <c r="R191" s="70" t="n"/>
      <c r="S191" s="71" t="n"/>
      <c r="T191" s="72">
        <f>SUM(C191:S191)</f>
        <v/>
      </c>
      <c r="U191" s="73">
        <f>T191/T$7</f>
        <v/>
      </c>
      <c r="V191" s="280" t="n"/>
      <c r="W191" s="118" t="n"/>
      <c r="X191" s="280" t="n"/>
      <c r="Y191" s="118" t="n"/>
      <c r="Z191" s="281" t="n"/>
      <c r="AA191" s="118" t="n"/>
      <c r="AB191" s="280" t="n"/>
      <c r="AC191" s="118" t="n"/>
      <c r="AD191" s="282">
        <f>T191+V191+X191+AB191+Z191</f>
        <v/>
      </c>
      <c r="AE191" s="73">
        <f>AD191/AD$7</f>
        <v/>
      </c>
      <c r="AF191" s="74" t="n"/>
      <c r="AG191" s="76">
        <f>AD191*AF191</f>
        <v/>
      </c>
    </row>
    <row r="192" ht="13.5" customHeight="1">
      <c r="A192" s="65" t="n"/>
      <c r="B192" s="75" t="n"/>
      <c r="C192" s="67" t="n"/>
      <c r="D192" s="67" t="n"/>
      <c r="E192" s="67" t="n"/>
      <c r="F192" s="67" t="n"/>
      <c r="G192" s="67" t="n"/>
      <c r="H192" s="67" t="n"/>
      <c r="I192" s="67" t="n"/>
      <c r="J192" s="67" t="n"/>
      <c r="K192" s="69" t="n"/>
      <c r="L192" s="67" t="n"/>
      <c r="M192" s="67" t="n"/>
      <c r="N192" s="67" t="n"/>
      <c r="O192" s="67" t="n"/>
      <c r="P192" s="67" t="n"/>
      <c r="Q192" s="70" t="n"/>
      <c r="R192" s="70" t="n"/>
      <c r="S192" s="71" t="n"/>
      <c r="T192" s="72">
        <f>SUM(C192:S192)</f>
        <v/>
      </c>
      <c r="U192" s="73">
        <f>T192/T$7</f>
        <v/>
      </c>
      <c r="V192" s="280" t="n"/>
      <c r="W192" s="118" t="n"/>
      <c r="X192" s="280" t="n"/>
      <c r="Y192" s="118" t="n"/>
      <c r="Z192" s="281" t="n"/>
      <c r="AA192" s="118" t="n"/>
      <c r="AB192" s="280" t="n"/>
      <c r="AC192" s="118" t="n"/>
      <c r="AD192" s="282">
        <f>T192+V192+X192+AB192+Z192</f>
        <v/>
      </c>
      <c r="AE192" s="73">
        <f>AD192/AD$7</f>
        <v/>
      </c>
      <c r="AF192" s="74" t="n"/>
      <c r="AG192" s="76">
        <f>AD192*AF192</f>
        <v/>
      </c>
    </row>
    <row r="193" ht="13.5" customHeight="1">
      <c r="A193" s="65" t="n"/>
      <c r="B193" s="75" t="n"/>
      <c r="C193" s="67" t="n"/>
      <c r="D193" s="67" t="n"/>
      <c r="E193" s="67" t="n"/>
      <c r="F193" s="67" t="n"/>
      <c r="G193" s="67" t="n"/>
      <c r="H193" s="67" t="n"/>
      <c r="I193" s="67" t="n"/>
      <c r="J193" s="67" t="n"/>
      <c r="K193" s="69" t="n"/>
      <c r="L193" s="67" t="n"/>
      <c r="M193" s="67" t="n"/>
      <c r="N193" s="67" t="n"/>
      <c r="O193" s="67" t="n"/>
      <c r="P193" s="67" t="n"/>
      <c r="Q193" s="70" t="n"/>
      <c r="R193" s="70" t="n"/>
      <c r="S193" s="71" t="n"/>
      <c r="T193" s="72">
        <f>SUM(C193:S193)</f>
        <v/>
      </c>
      <c r="U193" s="73">
        <f>T193/T$7</f>
        <v/>
      </c>
      <c r="V193" s="280" t="n"/>
      <c r="W193" s="118" t="n"/>
      <c r="X193" s="280" t="n"/>
      <c r="Y193" s="118" t="n"/>
      <c r="Z193" s="281" t="n"/>
      <c r="AA193" s="118" t="n"/>
      <c r="AB193" s="280" t="n"/>
      <c r="AC193" s="118" t="n"/>
      <c r="AD193" s="282">
        <f>T193+V193+X193+AB193+Z193</f>
        <v/>
      </c>
      <c r="AE193" s="73">
        <f>AD193/AD$7</f>
        <v/>
      </c>
      <c r="AF193" s="74" t="n"/>
      <c r="AG193" s="76">
        <f>AD193*AF193</f>
        <v/>
      </c>
    </row>
    <row r="194" ht="14" customFormat="1" customHeight="1" s="258">
      <c r="A194" s="257" t="inlineStr">
        <is>
          <t>Dette privée</t>
        </is>
      </c>
      <c r="C194" s="16">
        <f>SUM(C195:C229)</f>
        <v/>
      </c>
      <c r="D194" s="16">
        <f>SUM(D195:D229)</f>
        <v/>
      </c>
      <c r="E194" s="16">
        <f>SUM(E195:E229)</f>
        <v/>
      </c>
      <c r="F194" s="16">
        <f>SUM(F195:F229)</f>
        <v/>
      </c>
      <c r="G194" s="16">
        <f>SUM(G195:G229)</f>
        <v/>
      </c>
      <c r="H194" s="16">
        <f>SUM(H195:H229)</f>
        <v/>
      </c>
      <c r="I194" s="16">
        <f>SUM(I195:I229)</f>
        <v/>
      </c>
      <c r="J194" s="16">
        <f>SUM(J195:J229)</f>
        <v/>
      </c>
      <c r="K194" s="16">
        <f>SUM(K195:K229)</f>
        <v/>
      </c>
      <c r="L194" s="16">
        <f>SUM(L195:L229)</f>
        <v/>
      </c>
      <c r="M194" s="16">
        <f>SUM(M195:M229)</f>
        <v/>
      </c>
      <c r="N194" s="16">
        <f>SUM(N195:N229)</f>
        <v/>
      </c>
      <c r="O194" s="16">
        <f>SUM(O195:O229)</f>
        <v/>
      </c>
      <c r="P194" s="16">
        <f>SUM(P195:P229)</f>
        <v/>
      </c>
      <c r="Q194" s="16">
        <f>SUM(Q195:Q229)</f>
        <v/>
      </c>
      <c r="R194" s="16">
        <f>SUM(R195:R229)</f>
        <v/>
      </c>
      <c r="S194" s="16">
        <f>SUM(S195:S229)</f>
        <v/>
      </c>
      <c r="T194" s="30">
        <f>SUM(C194:S194)</f>
        <v/>
      </c>
      <c r="U194" s="54">
        <f>SUM(U195:U229)</f>
        <v/>
      </c>
      <c r="V194" s="291" t="n"/>
      <c r="W194" s="120" t="n"/>
      <c r="X194" s="291">
        <f>SUM(X195:X229)</f>
        <v/>
      </c>
      <c r="Y194" s="120">
        <f>SUM(Y195:Y229)</f>
        <v/>
      </c>
      <c r="Z194" s="291">
        <f>SUM(Z195:Z229)</f>
        <v/>
      </c>
      <c r="AA194" s="120">
        <f>SUM(AA195:AA229)</f>
        <v/>
      </c>
      <c r="AB194" s="291" t="n"/>
      <c r="AC194" s="120" t="n"/>
      <c r="AD194" s="276">
        <f>SUM(AD197:AD229)</f>
        <v/>
      </c>
      <c r="AE194" s="61">
        <f>SUM(AE195:AE229)</f>
        <v/>
      </c>
      <c r="AF194" s="18" t="n"/>
      <c r="AG194" s="19" t="n"/>
    </row>
    <row r="195" ht="13.5" customHeight="1">
      <c r="A195" s="65" t="inlineStr">
        <is>
          <t>Althos Private Credit part F  - Capitalisante</t>
        </is>
      </c>
      <c r="B195" s="66" t="inlineStr">
        <is>
          <t>FR001400XGV4</t>
        </is>
      </c>
      <c r="C195" s="67" t="n"/>
      <c r="D195" s="67" t="n"/>
      <c r="E195" s="67" t="n"/>
      <c r="F195" s="67" t="n"/>
      <c r="G195" s="67" t="n"/>
      <c r="H195" s="67" t="n"/>
      <c r="I195" s="67" t="n"/>
      <c r="J195" s="67" t="n"/>
      <c r="K195" s="69" t="n"/>
      <c r="L195" s="67" t="n"/>
      <c r="M195" s="67" t="n"/>
      <c r="N195" s="67" t="n"/>
      <c r="O195" s="67" t="n"/>
      <c r="P195" s="67" t="n"/>
      <c r="Q195" s="70" t="n"/>
      <c r="R195" s="70" t="n"/>
      <c r="S195" s="71" t="n"/>
      <c r="T195" s="72">
        <f>SUM(C195:S195)</f>
        <v/>
      </c>
      <c r="U195" s="73">
        <f>T195/T$7</f>
        <v/>
      </c>
      <c r="V195" s="280" t="n"/>
      <c r="W195" s="118" t="n"/>
      <c r="X195" s="295" t="n"/>
      <c r="Y195" s="118" t="n"/>
      <c r="Z195" s="281" t="n"/>
      <c r="AA195" s="118" t="n"/>
      <c r="AB195" s="280" t="n"/>
      <c r="AC195" s="118" t="n"/>
      <c r="AD195" s="282" t="n"/>
      <c r="AE195" s="73">
        <f>AD195/AD$7</f>
        <v/>
      </c>
      <c r="AF195" s="74" t="n">
        <v>6</v>
      </c>
      <c r="AG195" s="76">
        <f>AD195*AF195</f>
        <v/>
      </c>
    </row>
    <row r="196" ht="13.5" customHeight="1">
      <c r="A196" s="65" t="inlineStr">
        <is>
          <t>Althos Private Credit part F  - Distribuant</t>
        </is>
      </c>
      <c r="B196" s="66" t="inlineStr">
        <is>
          <t>FR001400XGQ4</t>
        </is>
      </c>
      <c r="C196" s="67" t="n"/>
      <c r="D196" s="67" t="n"/>
      <c r="E196" s="67" t="n"/>
      <c r="F196" s="67" t="n"/>
      <c r="G196" s="68" t="n"/>
      <c r="H196" s="67" t="n"/>
      <c r="I196" s="67" t="n"/>
      <c r="J196" s="67" t="n"/>
      <c r="K196" s="69" t="n"/>
      <c r="L196" s="67" t="n"/>
      <c r="M196" s="67" t="n"/>
      <c r="N196" s="67" t="n"/>
      <c r="O196" s="67" t="n"/>
      <c r="P196" s="67" t="n"/>
      <c r="Q196" s="70" t="n"/>
      <c r="R196" s="70" t="n"/>
      <c r="S196" s="71" t="n"/>
      <c r="T196" s="72">
        <f>SUM(C196:S196)</f>
        <v/>
      </c>
      <c r="U196" s="73">
        <f>T196/T$7</f>
        <v/>
      </c>
      <c r="V196" s="280" t="n"/>
      <c r="W196" s="118" t="n"/>
      <c r="X196" s="295" t="n"/>
      <c r="Y196" s="118" t="n"/>
      <c r="Z196" s="281" t="n"/>
      <c r="AA196" s="118" t="n"/>
      <c r="AB196" s="280" t="n"/>
      <c r="AC196" s="118" t="n"/>
      <c r="AD196" s="282" t="n"/>
      <c r="AE196" s="73">
        <f>AD196/AD$7</f>
        <v/>
      </c>
      <c r="AF196" s="74" t="n">
        <v>6</v>
      </c>
      <c r="AG196" s="76">
        <f>AD196*AF196</f>
        <v/>
      </c>
    </row>
    <row r="197" ht="13.5" customHeight="1">
      <c r="A197" s="65" t="inlineStr">
        <is>
          <t>Althos Private Credit part A  - Capitalisante</t>
        </is>
      </c>
      <c r="B197" s="66" t="inlineStr">
        <is>
          <t>FR001400XGO9</t>
        </is>
      </c>
      <c r="C197" s="67" t="n"/>
      <c r="D197" s="67" t="n"/>
      <c r="E197" s="67" t="n"/>
      <c r="F197" s="67" t="n"/>
      <c r="G197" s="68" t="n"/>
      <c r="H197" s="67" t="n"/>
      <c r="I197" s="67" t="n"/>
      <c r="J197" s="67" t="n"/>
      <c r="K197" s="69" t="n"/>
      <c r="L197" s="67" t="n"/>
      <c r="M197" s="67" t="n"/>
      <c r="N197" s="67" t="n"/>
      <c r="O197" s="67" t="n"/>
      <c r="P197" s="67" t="n"/>
      <c r="Q197" s="70" t="n"/>
      <c r="R197" s="70" t="n"/>
      <c r="S197" s="71" t="n"/>
      <c r="T197" s="72">
        <f>SUM(C197:S197)</f>
        <v/>
      </c>
      <c r="U197" s="73">
        <f>T197/T$7</f>
        <v/>
      </c>
      <c r="V197" s="280" t="n"/>
      <c r="W197" s="118" t="n"/>
      <c r="X197" s="296" t="n"/>
      <c r="Y197" s="123" t="n"/>
      <c r="Z197" s="296" t="n"/>
      <c r="AA197" s="123" t="n"/>
      <c r="AB197" s="280" t="n"/>
      <c r="AC197" s="118" t="n"/>
      <c r="AD197" s="282" t="n"/>
      <c r="AE197" s="73">
        <f>AD197/AD$7</f>
        <v/>
      </c>
      <c r="AF197" s="74" t="n">
        <v>6</v>
      </c>
      <c r="AG197" s="76">
        <f>AD197*AF197</f>
        <v/>
      </c>
    </row>
    <row r="198" ht="13.5" customHeight="1">
      <c r="A198" s="65" t="inlineStr">
        <is>
          <t>Althos Private Credit part A  - Distribuant</t>
        </is>
      </c>
      <c r="B198" s="66" t="inlineStr">
        <is>
          <t>FR001400XGM3</t>
        </is>
      </c>
      <c r="C198" s="67" t="n"/>
      <c r="D198" s="67" t="n"/>
      <c r="E198" s="67" t="n"/>
      <c r="F198" s="67" t="n"/>
      <c r="G198" s="68" t="n"/>
      <c r="H198" s="67" t="n"/>
      <c r="I198" s="67" t="n"/>
      <c r="J198" s="67" t="n"/>
      <c r="K198" s="69" t="n"/>
      <c r="L198" s="67" t="n"/>
      <c r="M198" s="67" t="n"/>
      <c r="N198" s="67" t="n"/>
      <c r="O198" s="67" t="n"/>
      <c r="P198" s="67" t="n"/>
      <c r="Q198" s="70" t="n"/>
      <c r="R198" s="70" t="n"/>
      <c r="S198" s="71" t="n"/>
      <c r="T198" s="72">
        <f>SUM(C198:S198)</f>
        <v/>
      </c>
      <c r="U198" s="73">
        <f>T198/T$7</f>
        <v/>
      </c>
      <c r="V198" s="280" t="n"/>
      <c r="W198" s="118" t="n"/>
      <c r="X198" s="296" t="n"/>
      <c r="Y198" s="123" t="n"/>
      <c r="Z198" s="296" t="n"/>
      <c r="AA198" s="123" t="n"/>
      <c r="AB198" s="280" t="n"/>
      <c r="AC198" s="118" t="n"/>
      <c r="AD198" s="282" t="n"/>
      <c r="AE198" s="73">
        <f>AD198/AD$7</f>
        <v/>
      </c>
      <c r="AF198" s="74" t="n">
        <v>6</v>
      </c>
      <c r="AG198" s="76">
        <f>AD198*AF198</f>
        <v/>
      </c>
    </row>
    <row r="199" ht="13.5" customHeight="1">
      <c r="A199" s="65" t="inlineStr">
        <is>
          <t xml:space="preserve">Morgan Stanley EPIF </t>
        </is>
      </c>
      <c r="B199" s="66" t="inlineStr">
        <is>
          <t>LU2860459879</t>
        </is>
      </c>
      <c r="C199" s="67" t="n"/>
      <c r="D199" s="67" t="n"/>
      <c r="E199" s="67" t="n"/>
      <c r="F199" s="67" t="n"/>
      <c r="G199" s="68" t="n"/>
      <c r="H199" s="67" t="n"/>
      <c r="I199" s="67" t="n"/>
      <c r="J199" s="67" t="n"/>
      <c r="K199" s="69" t="n"/>
      <c r="L199" s="67" t="n"/>
      <c r="M199" s="67" t="n"/>
      <c r="N199" s="67" t="n"/>
      <c r="O199" s="67" t="n"/>
      <c r="P199" s="67" t="n"/>
      <c r="Q199" s="70" t="n"/>
      <c r="R199" s="70" t="n"/>
      <c r="S199" s="71" t="n"/>
      <c r="T199" s="72">
        <f>SUM(C199:S199)</f>
        <v/>
      </c>
      <c r="U199" s="73">
        <f>T199/T$7</f>
        <v/>
      </c>
      <c r="V199" s="280" t="n"/>
      <c r="W199" s="118" t="n"/>
      <c r="X199" s="285">
        <f>Y199*SUM(T$195+T$197)</f>
        <v/>
      </c>
      <c r="Y199" s="130" t="n">
        <v>0.2442</v>
      </c>
      <c r="Z199" s="285">
        <f>AA199*SUM(T$196+T$198)</f>
        <v/>
      </c>
      <c r="AA199" s="130" t="n">
        <v>0.38</v>
      </c>
      <c r="AB199" s="280" t="n"/>
      <c r="AC199" s="118" t="n"/>
      <c r="AD199" s="282">
        <f>T199+V199+X199+AB199+Z199</f>
        <v/>
      </c>
      <c r="AE199" s="73">
        <f>AD199/AD$7</f>
        <v/>
      </c>
      <c r="AF199" s="74" t="n">
        <v>3</v>
      </c>
      <c r="AG199" s="76">
        <f>AD199*AF199</f>
        <v/>
      </c>
    </row>
    <row r="200" ht="13.5" customHeight="1">
      <c r="A200" s="65" t="inlineStr">
        <is>
          <t>Pantheon GCS S Acc</t>
        </is>
      </c>
      <c r="B200" s="66" t="inlineStr">
        <is>
          <t>LU3047997575</t>
        </is>
      </c>
      <c r="C200" s="67" t="n"/>
      <c r="D200" s="67" t="n"/>
      <c r="E200" s="67" t="n"/>
      <c r="F200" s="67" t="n"/>
      <c r="G200" s="68" t="n"/>
      <c r="H200" s="67" t="n"/>
      <c r="I200" s="67" t="n"/>
      <c r="J200" s="67" t="n"/>
      <c r="K200" s="69" t="n"/>
      <c r="L200" s="67" t="n"/>
      <c r="M200" s="67" t="n"/>
      <c r="N200" s="67" t="n"/>
      <c r="O200" s="67" t="n"/>
      <c r="P200" s="67" t="n"/>
      <c r="Q200" s="70" t="n"/>
      <c r="R200" s="70" t="n"/>
      <c r="S200" s="71" t="n"/>
      <c r="T200" s="72">
        <f>SUM(C200:S200)</f>
        <v/>
      </c>
      <c r="U200" s="73">
        <f>T200/T$7</f>
        <v/>
      </c>
      <c r="V200" s="280" t="n"/>
      <c r="W200" s="118" t="n"/>
      <c r="X200" s="285">
        <f>Y200*SUM(T$195+T$197)</f>
        <v/>
      </c>
      <c r="Y200" s="130" t="n">
        <v>0.2295</v>
      </c>
      <c r="Z200" s="285">
        <f>AA200*SUM(T$196+T$198)</f>
        <v/>
      </c>
      <c r="AA200" s="130" t="n">
        <v>0.126</v>
      </c>
      <c r="AB200" s="280" t="n"/>
      <c r="AC200" s="118" t="n"/>
      <c r="AD200" s="282">
        <f>T200+V200+X200+AB200+Z200</f>
        <v/>
      </c>
      <c r="AE200" s="73">
        <f>AD200/AD$7</f>
        <v/>
      </c>
      <c r="AF200" s="74" t="n">
        <v>4</v>
      </c>
      <c r="AG200" s="76">
        <f>AD200*AF200</f>
        <v/>
      </c>
    </row>
    <row r="201" ht="13.5" customHeight="1">
      <c r="A201" s="65" t="inlineStr">
        <is>
          <t>Blackstone Crédit Privé Europe SC</t>
        </is>
      </c>
      <c r="B201" s="66" t="inlineStr">
        <is>
          <t>FR001400L0X2</t>
        </is>
      </c>
      <c r="C201" s="67" t="n"/>
      <c r="D201" s="67" t="n"/>
      <c r="E201" s="67" t="n"/>
      <c r="F201" s="67" t="n"/>
      <c r="G201" s="68" t="n"/>
      <c r="H201" s="67" t="n"/>
      <c r="I201" s="67" t="n"/>
      <c r="J201" s="67" t="n"/>
      <c r="K201" s="69" t="n"/>
      <c r="L201" s="67" t="n"/>
      <c r="M201" s="67" t="n"/>
      <c r="N201" s="67" t="n"/>
      <c r="O201" s="67" t="n"/>
      <c r="P201" s="67" t="n"/>
      <c r="Q201" s="70" t="n"/>
      <c r="R201" s="70" t="n"/>
      <c r="S201" s="71" t="n"/>
      <c r="T201" s="72">
        <f>SUM(C201:S201)</f>
        <v/>
      </c>
      <c r="U201" s="73">
        <f>T201/T$7</f>
        <v/>
      </c>
      <c r="V201" s="280" t="n"/>
      <c r="W201" s="118" t="n"/>
      <c r="X201" s="285">
        <f>Y201*SUM(T$195+T$197)</f>
        <v/>
      </c>
      <c r="Y201" s="130" t="n">
        <v>0.1762</v>
      </c>
      <c r="Z201" s="285">
        <f>AA201*SUM(T$196+T$198)</f>
        <v/>
      </c>
      <c r="AA201" s="130" t="n">
        <v>0.201</v>
      </c>
      <c r="AB201" s="280" t="n"/>
      <c r="AC201" s="118" t="n"/>
      <c r="AD201" s="282">
        <f>T201+V201+X201+AB201+Z201</f>
        <v/>
      </c>
      <c r="AE201" s="73">
        <f>AD201/AD$7</f>
        <v/>
      </c>
      <c r="AF201" s="74" t="n">
        <v>3</v>
      </c>
      <c r="AG201" s="76">
        <f>AD201*AF201</f>
        <v/>
      </c>
    </row>
    <row r="202" ht="13.5" customHeight="1">
      <c r="A202" s="65" t="inlineStr">
        <is>
          <t>ARES Strategic Income Fund</t>
        </is>
      </c>
      <c r="B202" s="66" t="inlineStr">
        <is>
          <t>LU2702162343</t>
        </is>
      </c>
      <c r="C202" s="67" t="n"/>
      <c r="D202" s="67" t="n"/>
      <c r="E202" s="67" t="n"/>
      <c r="F202" s="67" t="n"/>
      <c r="G202" s="68" t="n"/>
      <c r="H202" s="67" t="n"/>
      <c r="I202" s="67" t="n"/>
      <c r="J202" s="67" t="n"/>
      <c r="K202" s="69" t="n"/>
      <c r="L202" s="67" t="n"/>
      <c r="M202" s="67" t="n"/>
      <c r="N202" s="67" t="n"/>
      <c r="O202" s="67" t="n"/>
      <c r="P202" s="67" t="n"/>
      <c r="Q202" s="70" t="n"/>
      <c r="R202" s="70" t="n"/>
      <c r="S202" s="71" t="n"/>
      <c r="T202" s="72">
        <f>SUM(C202:S202)</f>
        <v/>
      </c>
      <c r="U202" s="73">
        <f>T202/T$7</f>
        <v/>
      </c>
      <c r="V202" s="280" t="n"/>
      <c r="W202" s="118" t="n"/>
      <c r="X202" s="285">
        <f>Y202*SUM(T$195+T$197)</f>
        <v/>
      </c>
      <c r="Y202" s="130" t="n">
        <v>0.2218</v>
      </c>
      <c r="Z202" s="285">
        <f>AA202*SUM(T$196+T$198)</f>
        <v/>
      </c>
      <c r="AA202" s="132" t="n">
        <v>0.215</v>
      </c>
      <c r="AB202" s="280" t="n"/>
      <c r="AC202" s="118" t="n"/>
      <c r="AD202" s="282">
        <f>T202+V202+X202+AB202+Z202</f>
        <v/>
      </c>
      <c r="AE202" s="73">
        <f>AD202/AD$7</f>
        <v/>
      </c>
      <c r="AF202" s="74" t="n">
        <v>3</v>
      </c>
      <c r="AG202" s="76">
        <f>AD202*AF202</f>
        <v/>
      </c>
    </row>
    <row r="203" ht="13.5" customHeight="1">
      <c r="A203" s="65" t="inlineStr">
        <is>
          <t xml:space="preserve">AXA IM Private Credit Income Fund S1A EUR </t>
        </is>
      </c>
      <c r="B203" s="66" t="inlineStr">
        <is>
          <t>LU3005168235</t>
        </is>
      </c>
      <c r="C203" s="67" t="n"/>
      <c r="D203" s="67" t="n"/>
      <c r="E203" s="67" t="n"/>
      <c r="F203" s="67" t="n"/>
      <c r="G203" s="68" t="n"/>
      <c r="H203" s="67" t="n"/>
      <c r="I203" s="67" t="n"/>
      <c r="J203" s="67" t="n"/>
      <c r="K203" s="69" t="n"/>
      <c r="L203" s="67" t="n"/>
      <c r="M203" s="67" t="n"/>
      <c r="N203" s="67" t="n"/>
      <c r="O203" s="67" t="n"/>
      <c r="P203" s="67" t="n"/>
      <c r="Q203" s="70" t="n"/>
      <c r="R203" s="70" t="n"/>
      <c r="S203" s="71" t="n"/>
      <c r="T203" s="72">
        <f>SUM(C203:S203)</f>
        <v/>
      </c>
      <c r="U203" s="73">
        <f>T203/T$7</f>
        <v/>
      </c>
      <c r="V203" s="280" t="n"/>
      <c r="W203" s="118" t="n"/>
      <c r="X203" s="285">
        <f>Y203*SUM(T$195+T$197)</f>
        <v/>
      </c>
      <c r="Y203" s="130" t="n">
        <v>0.0689</v>
      </c>
      <c r="Z203" s="281" t="n"/>
      <c r="AA203" s="118" t="n"/>
      <c r="AB203" s="280" t="n"/>
      <c r="AC203" s="118" t="n"/>
      <c r="AD203" s="282">
        <f>T203+V203+X203+AB203+Z203</f>
        <v/>
      </c>
      <c r="AE203" s="73">
        <f>AD203/AD$7</f>
        <v/>
      </c>
      <c r="AF203" s="74" t="n">
        <v>3</v>
      </c>
      <c r="AG203" s="76">
        <f>AD203*AF203</f>
        <v/>
      </c>
    </row>
    <row r="204" ht="13.5" customHeight="1">
      <c r="A204" s="65" t="inlineStr">
        <is>
          <t>Morgan Stanley Dette Privée Europe SLP part IA</t>
        </is>
      </c>
      <c r="B204" s="66" t="inlineStr">
        <is>
          <t>FR001400ZI88</t>
        </is>
      </c>
      <c r="C204" s="67" t="n"/>
      <c r="D204" s="67" t="n"/>
      <c r="E204" s="67" t="n"/>
      <c r="F204" s="67" t="n"/>
      <c r="G204" s="67" t="n"/>
      <c r="H204" s="67" t="n"/>
      <c r="I204" s="67" t="n"/>
      <c r="J204" s="67" t="n"/>
      <c r="K204" s="69" t="n"/>
      <c r="L204" s="67" t="n"/>
      <c r="M204" s="67" t="n"/>
      <c r="N204" s="67" t="n"/>
      <c r="O204" s="67" t="n"/>
      <c r="P204" s="67" t="n"/>
      <c r="Q204" s="70" t="n"/>
      <c r="R204" s="70" t="n"/>
      <c r="S204" s="71" t="n"/>
      <c r="T204" s="72">
        <f>SUM(C204:S204)</f>
        <v/>
      </c>
      <c r="U204" s="73">
        <f>T204/T$7</f>
        <v/>
      </c>
      <c r="V204" s="280" t="n"/>
      <c r="W204" s="118" t="n"/>
      <c r="X204" s="295" t="n"/>
      <c r="Y204" s="118" t="n"/>
      <c r="Z204" s="281" t="n"/>
      <c r="AA204" s="118" t="n"/>
      <c r="AB204" s="280" t="n"/>
      <c r="AC204" s="118" t="n"/>
      <c r="AD204" s="282">
        <f>T204+V204+X204+AB204+Z204</f>
        <v/>
      </c>
      <c r="AE204" s="73">
        <f>AD204/AD$7</f>
        <v/>
      </c>
      <c r="AF204" s="74" t="n">
        <v>3</v>
      </c>
      <c r="AG204" s="76">
        <f>AD204*AF204</f>
        <v/>
      </c>
    </row>
    <row r="205" ht="13.5" customHeight="1">
      <c r="A205" s="65" t="inlineStr">
        <is>
          <t>Pantheon GCS S Dis</t>
        </is>
      </c>
      <c r="B205" s="66" t="inlineStr">
        <is>
          <t>LU3047997658</t>
        </is>
      </c>
      <c r="C205" s="67" t="n"/>
      <c r="D205" s="67" t="n"/>
      <c r="E205" s="67" t="n"/>
      <c r="F205" s="67" t="n"/>
      <c r="G205" s="68" t="n"/>
      <c r="H205" s="67" t="n"/>
      <c r="I205" s="67" t="n"/>
      <c r="J205" s="67" t="n"/>
      <c r="K205" s="69" t="n"/>
      <c r="L205" s="67" t="n"/>
      <c r="M205" s="67" t="n"/>
      <c r="N205" s="67" t="n"/>
      <c r="O205" s="67" t="n"/>
      <c r="P205" s="67" t="n"/>
      <c r="Q205" s="70" t="n"/>
      <c r="R205" s="70" t="n"/>
      <c r="S205" s="71" t="n"/>
      <c r="T205" s="72">
        <f>SUM(C205:S205)</f>
        <v/>
      </c>
      <c r="U205" s="73">
        <f>T205/T$7</f>
        <v/>
      </c>
      <c r="V205" s="280" t="n"/>
      <c r="W205" s="118" t="n"/>
      <c r="X205" s="280" t="n"/>
      <c r="Y205" s="118" t="n"/>
      <c r="Z205" s="281" t="n"/>
      <c r="AA205" s="118" t="n"/>
      <c r="AB205" s="280" t="n"/>
      <c r="AC205" s="118" t="n"/>
      <c r="AD205" s="282">
        <f>T205+V205+X205+AB205+Z205</f>
        <v/>
      </c>
      <c r="AE205" s="73">
        <f>AD205/AD$7</f>
        <v/>
      </c>
      <c r="AF205" s="74" t="n">
        <v>3</v>
      </c>
      <c r="AG205" s="76">
        <f>AD205*AF205</f>
        <v/>
      </c>
    </row>
    <row r="206" ht="13.5" customFormat="1" customHeight="1" s="29">
      <c r="A206" s="65" t="inlineStr">
        <is>
          <t>Blackstone Ecred</t>
        </is>
      </c>
      <c r="B206" s="66" t="inlineStr">
        <is>
          <t>LU2480032510</t>
        </is>
      </c>
      <c r="C206" s="67" t="n"/>
      <c r="D206" s="67" t="n"/>
      <c r="E206" s="68" t="n"/>
      <c r="F206" s="67" t="n"/>
      <c r="G206" s="68" t="n"/>
      <c r="H206" s="67" t="n"/>
      <c r="I206" s="67" t="n"/>
      <c r="J206" s="67" t="n"/>
      <c r="K206" s="69" t="n"/>
      <c r="L206" s="67" t="n"/>
      <c r="M206" s="67" t="n"/>
      <c r="N206" s="67" t="n"/>
      <c r="O206" s="67" t="n"/>
      <c r="P206" s="67" t="n"/>
      <c r="Q206" s="70" t="n"/>
      <c r="R206" s="70" t="n"/>
      <c r="S206" s="71" t="n"/>
      <c r="T206" s="72">
        <f>SUM(C206:S206)</f>
        <v/>
      </c>
      <c r="U206" s="73">
        <f>T206/T$7</f>
        <v/>
      </c>
      <c r="V206" s="280" t="n"/>
      <c r="W206" s="118" t="n"/>
      <c r="X206" s="280" t="n"/>
      <c r="Y206" s="118" t="n"/>
      <c r="Z206" s="281" t="n"/>
      <c r="AA206" s="118" t="n"/>
      <c r="AB206" s="280" t="n"/>
      <c r="AC206" s="118" t="n"/>
      <c r="AD206" s="282">
        <f>T206+V206+X206+AB206+Z206</f>
        <v/>
      </c>
      <c r="AE206" s="73">
        <f>AD206/AD$7</f>
        <v/>
      </c>
      <c r="AF206" s="74" t="n">
        <v>3</v>
      </c>
      <c r="AG206" s="76">
        <f>AD206*AF206</f>
        <v/>
      </c>
    </row>
    <row r="207" ht="13.5" customFormat="1" customHeight="1" s="29">
      <c r="A207" s="65" t="inlineStr">
        <is>
          <t>FCPR Eurazeo Private Value Europe 3 - part D</t>
        </is>
      </c>
      <c r="B207" s="66" t="inlineStr">
        <is>
          <t>FR0013301561</t>
        </is>
      </c>
      <c r="C207" s="67" t="n"/>
      <c r="D207" s="67" t="n"/>
      <c r="E207" s="68" t="n"/>
      <c r="F207" s="67" t="n"/>
      <c r="G207" s="68" t="n"/>
      <c r="H207" s="67" t="n"/>
      <c r="I207" s="67" t="n"/>
      <c r="J207" s="67" t="n"/>
      <c r="K207" s="69" t="n"/>
      <c r="L207" s="67" t="n"/>
      <c r="M207" s="67" t="n"/>
      <c r="N207" s="67" t="n"/>
      <c r="O207" s="67" t="n"/>
      <c r="P207" s="67" t="n"/>
      <c r="Q207" s="70" t="n"/>
      <c r="R207" s="70" t="n"/>
      <c r="S207" s="71" t="n"/>
      <c r="T207" s="72">
        <f>SUM(C207:S207)</f>
        <v/>
      </c>
      <c r="U207" s="73">
        <f>T207/T$7</f>
        <v/>
      </c>
      <c r="V207" s="280" t="n"/>
      <c r="W207" s="118" t="n"/>
      <c r="X207" s="280" t="n"/>
      <c r="Y207" s="118" t="n"/>
      <c r="Z207" s="281" t="n"/>
      <c r="AA207" s="118" t="n"/>
      <c r="AB207" s="280" t="n"/>
      <c r="AC207" s="118" t="n"/>
      <c r="AD207" s="282">
        <f>T207+V207+X207+AB207+Z207</f>
        <v/>
      </c>
      <c r="AE207" s="73">
        <f>AD207/AD$7</f>
        <v/>
      </c>
      <c r="AF207" s="74" t="n">
        <v>3</v>
      </c>
      <c r="AG207" s="76">
        <f>AD207*AF207</f>
        <v/>
      </c>
    </row>
    <row r="208" ht="13.5" customFormat="1" customHeight="1" s="29">
      <c r="A208" s="65" t="inlineStr">
        <is>
          <t>FCPR Eurazeo Private Value Europe 3 - part C</t>
        </is>
      </c>
      <c r="B208" s="66" t="inlineStr">
        <is>
          <t>FR0013301553</t>
        </is>
      </c>
      <c r="C208" s="67" t="n"/>
      <c r="D208" s="67" t="n"/>
      <c r="E208" s="68" t="n"/>
      <c r="F208" s="67" t="n"/>
      <c r="G208" s="68" t="n"/>
      <c r="H208" s="67" t="n"/>
      <c r="I208" s="67" t="n"/>
      <c r="J208" s="67" t="n"/>
      <c r="K208" s="69" t="n"/>
      <c r="L208" s="67" t="n"/>
      <c r="M208" s="67" t="n"/>
      <c r="N208" s="67" t="n"/>
      <c r="O208" s="67" t="n"/>
      <c r="P208" s="67" t="n"/>
      <c r="Q208" s="70" t="n"/>
      <c r="R208" s="70" t="n"/>
      <c r="S208" s="71" t="n"/>
      <c r="T208" s="72">
        <f>SUM(C208:S208)</f>
        <v/>
      </c>
      <c r="U208" s="73">
        <f>T208/T$7</f>
        <v/>
      </c>
      <c r="V208" s="280" t="n"/>
      <c r="W208" s="118" t="n"/>
      <c r="X208" s="280" t="n"/>
      <c r="Y208" s="118" t="n"/>
      <c r="Z208" s="281" t="n"/>
      <c r="AA208" s="118" t="n"/>
      <c r="AB208" s="280" t="n"/>
      <c r="AC208" s="118" t="n"/>
      <c r="AD208" s="282">
        <f>T208+V208+X208+AB208+Z208</f>
        <v/>
      </c>
      <c r="AE208" s="73">
        <f>AD208/AD$7</f>
        <v/>
      </c>
      <c r="AF208" s="74" t="n">
        <v>3</v>
      </c>
      <c r="AG208" s="76">
        <f>AD208*AF208</f>
        <v/>
      </c>
    </row>
    <row r="209" ht="13.5" customHeight="1">
      <c r="A209" s="65" t="inlineStr">
        <is>
          <t>FCPR Eurazeo Private Value Europe 3 - part A</t>
        </is>
      </c>
      <c r="B209" s="66" t="inlineStr">
        <is>
          <t>FR0013301546</t>
        </is>
      </c>
      <c r="C209" s="67" t="n"/>
      <c r="D209" s="67" t="n"/>
      <c r="E209" s="67" t="n"/>
      <c r="F209" s="67" t="n"/>
      <c r="G209" s="68" t="n"/>
      <c r="H209" s="67" t="n"/>
      <c r="I209" s="67" t="n"/>
      <c r="J209" s="67" t="n"/>
      <c r="K209" s="69" t="n"/>
      <c r="L209" s="67" t="n"/>
      <c r="M209" s="67" t="n"/>
      <c r="N209" s="67" t="n"/>
      <c r="O209" s="67" t="n"/>
      <c r="P209" s="67" t="n"/>
      <c r="Q209" s="70" t="n"/>
      <c r="R209" s="70" t="n"/>
      <c r="S209" s="71" t="n"/>
      <c r="T209" s="72">
        <f>SUM(C209:S209)</f>
        <v/>
      </c>
      <c r="U209" s="73">
        <f>T209/T$7</f>
        <v/>
      </c>
      <c r="V209" s="280" t="n"/>
      <c r="W209" s="118" t="n"/>
      <c r="X209" s="280" t="n"/>
      <c r="Y209" s="118" t="n"/>
      <c r="Z209" s="281" t="n"/>
      <c r="AA209" s="118" t="n"/>
      <c r="AB209" s="280" t="n"/>
      <c r="AC209" s="118" t="n"/>
      <c r="AD209" s="282">
        <f>T209+V209+X209+AB209+Z209</f>
        <v/>
      </c>
      <c r="AE209" s="73">
        <f>AD209/AD$7</f>
        <v/>
      </c>
      <c r="AF209" s="74" t="n">
        <v>4</v>
      </c>
      <c r="AG209" s="76">
        <f>AD209*AF209</f>
        <v/>
      </c>
    </row>
    <row r="210" ht="13.5" customHeight="1">
      <c r="A210" s="65" t="inlineStr">
        <is>
          <t xml:space="preserve">Goldman Sachs European Credit </t>
        </is>
      </c>
      <c r="B210" s="66" t="inlineStr">
        <is>
          <t>LU2605912075</t>
        </is>
      </c>
      <c r="C210" s="67" t="n"/>
      <c r="D210" s="67" t="n"/>
      <c r="E210" s="67" t="n"/>
      <c r="F210" s="67" t="n"/>
      <c r="G210" s="68" t="n"/>
      <c r="H210" s="67" t="n"/>
      <c r="I210" s="67" t="n"/>
      <c r="J210" s="67" t="n"/>
      <c r="K210" s="69" t="n"/>
      <c r="L210" s="67" t="n"/>
      <c r="M210" s="67" t="n"/>
      <c r="N210" s="67" t="n"/>
      <c r="O210" s="67" t="n"/>
      <c r="P210" s="67" t="n"/>
      <c r="Q210" s="70" t="n"/>
      <c r="R210" s="70" t="n"/>
      <c r="S210" s="71" t="n"/>
      <c r="T210" s="72">
        <f>SUM(C210:S210)</f>
        <v/>
      </c>
      <c r="U210" s="73">
        <f>T210/T$7</f>
        <v/>
      </c>
      <c r="V210" s="280" t="n"/>
      <c r="W210" s="118" t="n"/>
      <c r="X210" s="280" t="n"/>
      <c r="Y210" s="118" t="n"/>
      <c r="Z210" s="281" t="n"/>
      <c r="AA210" s="118" t="n"/>
      <c r="AB210" s="280" t="n"/>
      <c r="AC210" s="118" t="n"/>
      <c r="AD210" s="282">
        <f>T210+V210+X210+AB210+Z210</f>
        <v/>
      </c>
      <c r="AE210" s="73">
        <f>AD210/AD$7</f>
        <v/>
      </c>
      <c r="AF210" s="74" t="n">
        <v>3</v>
      </c>
      <c r="AG210" s="76">
        <f>AD210*AF210</f>
        <v/>
      </c>
    </row>
    <row r="211" ht="13.5" customHeight="1">
      <c r="A211" s="65" t="inlineStr">
        <is>
          <t>Ares European Credit Solutions A</t>
        </is>
      </c>
      <c r="B211" s="66" t="inlineStr">
        <is>
          <t>LU2702161618</t>
        </is>
      </c>
      <c r="C211" s="67" t="n"/>
      <c r="D211" s="67" t="n"/>
      <c r="E211" s="67" t="n"/>
      <c r="F211" s="67" t="n"/>
      <c r="G211" s="68" t="n"/>
      <c r="H211" s="67" t="n"/>
      <c r="I211" s="67" t="n"/>
      <c r="J211" s="67" t="n"/>
      <c r="K211" s="69" t="n"/>
      <c r="L211" s="67" t="n"/>
      <c r="M211" s="67" t="n"/>
      <c r="N211" s="67" t="n"/>
      <c r="O211" s="67" t="n"/>
      <c r="P211" s="67" t="n"/>
      <c r="Q211" s="70" t="n"/>
      <c r="R211" s="70" t="n"/>
      <c r="S211" s="71" t="n"/>
      <c r="T211" s="72">
        <f>SUM(C211:S211)</f>
        <v/>
      </c>
      <c r="U211" s="73">
        <f>T211/T$7</f>
        <v/>
      </c>
      <c r="V211" s="280" t="n"/>
      <c r="W211" s="118" t="n"/>
      <c r="X211" s="280" t="n"/>
      <c r="Y211" s="118" t="n"/>
      <c r="Z211" s="281" t="n"/>
      <c r="AA211" s="118" t="n"/>
      <c r="AB211" s="280" t="n"/>
      <c r="AC211" s="118" t="n"/>
      <c r="AD211" s="282">
        <f>T211+V211+X211+AB211+Z211</f>
        <v/>
      </c>
      <c r="AE211" s="73">
        <f>AD211/AD$7</f>
        <v/>
      </c>
      <c r="AF211" s="74" t="n">
        <v>3</v>
      </c>
      <c r="AG211" s="76">
        <f>AD211*AF211</f>
        <v/>
      </c>
    </row>
    <row r="212" ht="13.5" customFormat="1" customHeight="1" s="29">
      <c r="A212" s="101" t="inlineStr">
        <is>
          <t xml:space="preserve">Ares European Credit Solutions I </t>
        </is>
      </c>
      <c r="B212" s="102" t="inlineStr">
        <is>
          <t>LU2702162343</t>
        </is>
      </c>
      <c r="C212" s="67" t="n"/>
      <c r="D212" s="67" t="n"/>
      <c r="E212" s="68" t="n"/>
      <c r="F212" s="67" t="n"/>
      <c r="G212" s="68" t="n"/>
      <c r="H212" s="67" t="n"/>
      <c r="I212" s="67" t="n"/>
      <c r="J212" s="67" t="n"/>
      <c r="K212" s="69" t="n"/>
      <c r="L212" s="67" t="n"/>
      <c r="M212" s="67" t="n"/>
      <c r="N212" s="67" t="n"/>
      <c r="O212" s="67" t="n"/>
      <c r="P212" s="67" t="n"/>
      <c r="Q212" s="70" t="n"/>
      <c r="R212" s="70" t="n"/>
      <c r="S212" s="71" t="n"/>
      <c r="T212" s="72">
        <f>SUM(C212:S212)</f>
        <v/>
      </c>
      <c r="U212" s="73">
        <f>T212/T$7</f>
        <v/>
      </c>
      <c r="V212" s="280" t="n"/>
      <c r="W212" s="118" t="n"/>
      <c r="X212" s="280" t="n"/>
      <c r="Y212" s="118" t="n"/>
      <c r="Z212" s="281" t="n"/>
      <c r="AA212" s="118" t="n"/>
      <c r="AB212" s="280" t="n"/>
      <c r="AC212" s="118" t="n"/>
      <c r="AD212" s="282">
        <f>T212+V212+X212+AB212+Z212</f>
        <v/>
      </c>
      <c r="AE212" s="73">
        <f>AD212/AD$7</f>
        <v/>
      </c>
      <c r="AF212" s="74" t="n">
        <v>3</v>
      </c>
      <c r="AG212" s="76">
        <f>AD212*AF212</f>
        <v/>
      </c>
    </row>
    <row r="213" ht="13.5" customHeight="1">
      <c r="A213" s="65" t="inlineStr">
        <is>
          <t>Hamilton Lane SCOPE</t>
        </is>
      </c>
      <c r="B213" s="66" t="inlineStr">
        <is>
          <t>LU2547277330</t>
        </is>
      </c>
      <c r="C213" s="67" t="n"/>
      <c r="D213" s="67" t="n"/>
      <c r="E213" s="67" t="n"/>
      <c r="F213" s="67" t="n"/>
      <c r="G213" s="68" t="n"/>
      <c r="H213" s="67" t="n"/>
      <c r="I213" s="67" t="n"/>
      <c r="J213" s="67" t="n"/>
      <c r="K213" s="69" t="n"/>
      <c r="L213" s="67" t="n"/>
      <c r="M213" s="67" t="n"/>
      <c r="N213" s="67" t="n"/>
      <c r="O213" s="67" t="n"/>
      <c r="P213" s="67" t="n"/>
      <c r="Q213" s="70" t="n"/>
      <c r="R213" s="70" t="n"/>
      <c r="S213" s="71" t="n"/>
      <c r="T213" s="72">
        <f>SUM(C213:S213)</f>
        <v/>
      </c>
      <c r="U213" s="73">
        <f>T213/T$7</f>
        <v/>
      </c>
      <c r="V213" s="280" t="n"/>
      <c r="W213" s="118" t="n"/>
      <c r="X213" s="280" t="n"/>
      <c r="Y213" s="118" t="n"/>
      <c r="Z213" s="281" t="n"/>
      <c r="AA213" s="118" t="n"/>
      <c r="AB213" s="280" t="n"/>
      <c r="AC213" s="118" t="n"/>
      <c r="AD213" s="282">
        <f>T213+V213+X213+AB213+Z213</f>
        <v/>
      </c>
      <c r="AE213" s="73">
        <f>AD213/AD$7</f>
        <v/>
      </c>
      <c r="AF213" s="74" t="n">
        <v>5</v>
      </c>
      <c r="AG213" s="76">
        <f>AD213*AF213</f>
        <v/>
      </c>
    </row>
    <row r="214" ht="13.5" customHeight="1">
      <c r="A214" s="65" t="inlineStr">
        <is>
          <t>GF Lumyna Private Debt Fund</t>
        </is>
      </c>
      <c r="B214" s="66" t="inlineStr">
        <is>
          <t>FR001400NQN1</t>
        </is>
      </c>
      <c r="C214" s="67" t="n"/>
      <c r="D214" s="67" t="n"/>
      <c r="E214" s="67" t="n"/>
      <c r="F214" s="67" t="n"/>
      <c r="G214" s="68" t="n"/>
      <c r="H214" s="67" t="n"/>
      <c r="I214" s="67" t="n"/>
      <c r="J214" s="67" t="n"/>
      <c r="K214" s="69" t="n"/>
      <c r="L214" s="67" t="n"/>
      <c r="M214" s="67" t="n"/>
      <c r="N214" s="67" t="n"/>
      <c r="O214" s="67" t="n"/>
      <c r="P214" s="67" t="n"/>
      <c r="Q214" s="70" t="n"/>
      <c r="R214" s="70" t="n"/>
      <c r="S214" s="71" t="n"/>
      <c r="T214" s="72">
        <f>SUM(C214:S214)</f>
        <v/>
      </c>
      <c r="U214" s="73">
        <f>T214/T$7</f>
        <v/>
      </c>
      <c r="V214" s="280" t="n"/>
      <c r="W214" s="118" t="n"/>
      <c r="X214" s="280" t="n"/>
      <c r="Y214" s="118" t="n"/>
      <c r="Z214" s="281" t="n"/>
      <c r="AA214" s="118" t="n"/>
      <c r="AB214" s="280" t="n"/>
      <c r="AC214" s="118" t="n"/>
      <c r="AD214" s="282">
        <f>T214+V214+X214+AB214+Z214</f>
        <v/>
      </c>
      <c r="AE214" s="73">
        <f>AD214/AD$7</f>
        <v/>
      </c>
      <c r="AF214" s="74" t="n">
        <v>3</v>
      </c>
      <c r="AG214" s="76">
        <f>AD214*AF214</f>
        <v/>
      </c>
    </row>
    <row r="215" ht="13.5" customHeight="1">
      <c r="A215" s="65" t="inlineStr">
        <is>
          <t>FPS UNIPHARMA II – Parts A</t>
        </is>
      </c>
      <c r="B215" s="66" t="inlineStr">
        <is>
          <t>FR0014001LJ0</t>
        </is>
      </c>
      <c r="C215" s="67" t="n"/>
      <c r="D215" s="67" t="n"/>
      <c r="E215" s="67" t="n"/>
      <c r="F215" s="67" t="n"/>
      <c r="G215" s="68" t="n"/>
      <c r="H215" s="67" t="n"/>
      <c r="I215" s="67" t="n"/>
      <c r="J215" s="67" t="n"/>
      <c r="K215" s="69" t="n"/>
      <c r="L215" s="67" t="n"/>
      <c r="M215" s="67" t="n"/>
      <c r="N215" s="67" t="n"/>
      <c r="O215" s="67" t="n"/>
      <c r="P215" s="67" t="n"/>
      <c r="Q215" s="70" t="n"/>
      <c r="R215" s="70" t="n"/>
      <c r="S215" s="71" t="n"/>
      <c r="T215" s="72">
        <f>SUM(C215:S215)</f>
        <v/>
      </c>
      <c r="U215" s="73">
        <f>T215/T$7</f>
        <v/>
      </c>
      <c r="V215" s="280" t="n"/>
      <c r="W215" s="118" t="n"/>
      <c r="X215" s="280" t="n"/>
      <c r="Y215" s="118" t="n"/>
      <c r="Z215" s="281" t="n"/>
      <c r="AA215" s="118" t="n"/>
      <c r="AB215" s="280" t="n"/>
      <c r="AC215" s="118" t="n"/>
      <c r="AD215" s="282">
        <f>T215+V215+X215+AB215+Z215</f>
        <v/>
      </c>
      <c r="AE215" s="73">
        <f>AD215/AD$7</f>
        <v/>
      </c>
      <c r="AF215" s="74" t="n">
        <v>3</v>
      </c>
      <c r="AG215" s="76">
        <f>AD215*AF215</f>
        <v/>
      </c>
    </row>
    <row r="216" ht="13.5" customHeight="1">
      <c r="A216" s="65" t="inlineStr">
        <is>
          <t>FPS UNI III - Parts A2</t>
        </is>
      </c>
      <c r="B216" s="66" t="inlineStr">
        <is>
          <t>FR001400IEE6</t>
        </is>
      </c>
      <c r="C216" s="67" t="n"/>
      <c r="D216" s="67" t="n"/>
      <c r="E216" s="67" t="n"/>
      <c r="F216" s="67" t="n"/>
      <c r="G216" s="68" t="n"/>
      <c r="H216" s="67" t="n"/>
      <c r="I216" s="67" t="n"/>
      <c r="J216" s="67" t="n"/>
      <c r="K216" s="69" t="n"/>
      <c r="L216" s="67" t="n"/>
      <c r="M216" s="67" t="n"/>
      <c r="N216" s="67" t="n"/>
      <c r="O216" s="67" t="n"/>
      <c r="P216" s="67" t="n"/>
      <c r="Q216" s="70" t="n"/>
      <c r="R216" s="70" t="n"/>
      <c r="S216" s="71" t="n"/>
      <c r="T216" s="72">
        <f>SUM(C216:S216)</f>
        <v/>
      </c>
      <c r="U216" s="73">
        <f>T216/T$7</f>
        <v/>
      </c>
      <c r="V216" s="280" t="n"/>
      <c r="W216" s="118" t="n"/>
      <c r="X216" s="280" t="n"/>
      <c r="Y216" s="118" t="n"/>
      <c r="Z216" s="281" t="n"/>
      <c r="AA216" s="118" t="n"/>
      <c r="AB216" s="280" t="n"/>
      <c r="AC216" s="118" t="n"/>
      <c r="AD216" s="282">
        <f>T216+V216+X216+AB216+Z216</f>
        <v/>
      </c>
      <c r="AE216" s="73">
        <f>AD216/AD$7</f>
        <v/>
      </c>
      <c r="AF216" s="74" t="n"/>
      <c r="AG216" s="76">
        <f>AD216*AF216</f>
        <v/>
      </c>
    </row>
    <row r="217" ht="13.5" customHeight="1">
      <c r="A217" s="65" t="inlineStr">
        <is>
          <t>FCPR SG Tikehau Dette Privée</t>
        </is>
      </c>
      <c r="B217" s="66" t="inlineStr">
        <is>
          <t>FR001400AZ60</t>
        </is>
      </c>
      <c r="C217" s="67" t="n"/>
      <c r="D217" s="67" t="n"/>
      <c r="E217" s="67" t="n"/>
      <c r="F217" s="67" t="n"/>
      <c r="G217" s="68" t="n"/>
      <c r="H217" s="67" t="n"/>
      <c r="I217" s="67" t="n"/>
      <c r="J217" s="67" t="n"/>
      <c r="K217" s="69" t="n"/>
      <c r="L217" s="67" t="n"/>
      <c r="M217" s="67" t="n"/>
      <c r="N217" s="67" t="n"/>
      <c r="O217" s="67" t="n"/>
      <c r="P217" s="67" t="n"/>
      <c r="Q217" s="70" t="n"/>
      <c r="R217" s="70" t="n"/>
      <c r="S217" s="71" t="n"/>
      <c r="T217" s="72">
        <f>SUM(C217:S217)</f>
        <v/>
      </c>
      <c r="U217" s="73">
        <f>T217/T$7</f>
        <v/>
      </c>
      <c r="V217" s="280" t="n"/>
      <c r="W217" s="118" t="n"/>
      <c r="X217" s="280" t="n"/>
      <c r="Y217" s="118" t="n"/>
      <c r="Z217" s="281" t="n"/>
      <c r="AA217" s="118" t="n"/>
      <c r="AB217" s="280" t="n"/>
      <c r="AC217" s="118" t="n"/>
      <c r="AD217" s="282">
        <f>T217+V217+X217+AB217+Z217</f>
        <v/>
      </c>
      <c r="AE217" s="73">
        <f>AD217/AD$7</f>
        <v/>
      </c>
      <c r="AF217" s="74" t="n"/>
      <c r="AG217" s="76">
        <f>AD217*AF217</f>
        <v/>
      </c>
    </row>
    <row r="218" ht="13.5" customHeight="1">
      <c r="A218" s="65" t="n"/>
      <c r="B218" s="75" t="n"/>
      <c r="C218" s="67" t="n"/>
      <c r="D218" s="67" t="n"/>
      <c r="E218" s="67" t="n"/>
      <c r="F218" s="67" t="n"/>
      <c r="G218" s="68" t="n"/>
      <c r="H218" s="67" t="n"/>
      <c r="I218" s="67" t="n"/>
      <c r="J218" s="67" t="n"/>
      <c r="K218" s="69" t="n"/>
      <c r="L218" s="67" t="n"/>
      <c r="M218" s="67" t="n"/>
      <c r="N218" s="67" t="n"/>
      <c r="O218" s="67" t="n"/>
      <c r="P218" s="67" t="n"/>
      <c r="Q218" s="70" t="n"/>
      <c r="R218" s="70" t="n"/>
      <c r="S218" s="71" t="n"/>
      <c r="T218" s="72">
        <f>SUM(C218:S218)</f>
        <v/>
      </c>
      <c r="U218" s="73">
        <f>T218/T$7</f>
        <v/>
      </c>
      <c r="V218" s="280" t="n"/>
      <c r="W218" s="118" t="n"/>
      <c r="X218" s="280" t="n"/>
      <c r="Y218" s="118" t="n"/>
      <c r="Z218" s="281" t="n"/>
      <c r="AA218" s="118" t="n"/>
      <c r="AB218" s="280" t="n"/>
      <c r="AC218" s="118" t="n"/>
      <c r="AD218" s="282">
        <f>T218+V218+X218+AB218+Z218</f>
        <v/>
      </c>
      <c r="AE218" s="73">
        <f>AD218/AD$7</f>
        <v/>
      </c>
      <c r="AF218" s="74" t="n"/>
      <c r="AG218" s="76">
        <f>AD218*AF218</f>
        <v/>
      </c>
    </row>
    <row r="219" ht="13.5" customHeight="1">
      <c r="A219" s="65" t="n"/>
      <c r="B219" s="75" t="n"/>
      <c r="C219" s="67" t="n"/>
      <c r="D219" s="67" t="n"/>
      <c r="E219" s="67" t="n"/>
      <c r="F219" s="67" t="n"/>
      <c r="G219" s="68" t="n"/>
      <c r="H219" s="67" t="n"/>
      <c r="I219" s="67" t="n"/>
      <c r="J219" s="67" t="n"/>
      <c r="K219" s="69" t="n"/>
      <c r="L219" s="67" t="n"/>
      <c r="M219" s="67" t="n"/>
      <c r="N219" s="67" t="n"/>
      <c r="O219" s="67" t="n"/>
      <c r="P219" s="67" t="n"/>
      <c r="Q219" s="70" t="n"/>
      <c r="R219" s="70" t="n"/>
      <c r="S219" s="71" t="n"/>
      <c r="T219" s="72" t="n"/>
      <c r="U219" s="73" t="n"/>
      <c r="V219" s="280" t="n"/>
      <c r="W219" s="118" t="n"/>
      <c r="X219" s="280" t="n"/>
      <c r="Y219" s="118" t="n"/>
      <c r="Z219" s="281" t="n"/>
      <c r="AA219" s="118" t="n"/>
      <c r="AB219" s="280" t="n"/>
      <c r="AC219" s="118" t="n"/>
      <c r="AD219" s="282">
        <f>T219+V219+X219+AB219+Z219</f>
        <v/>
      </c>
      <c r="AE219" s="73">
        <f>AD219/AD$7</f>
        <v/>
      </c>
      <c r="AF219" s="74" t="n"/>
      <c r="AG219" s="76">
        <f>AD219*AF219</f>
        <v/>
      </c>
    </row>
    <row r="220" ht="13.5" customHeight="1">
      <c r="A220" s="65" t="n"/>
      <c r="B220" s="75" t="n"/>
      <c r="C220" s="67" t="n"/>
      <c r="D220" s="67" t="n"/>
      <c r="E220" s="67" t="n"/>
      <c r="F220" s="67" t="n"/>
      <c r="G220" s="68" t="n"/>
      <c r="H220" s="67" t="n"/>
      <c r="I220" s="67" t="n"/>
      <c r="J220" s="67" t="n"/>
      <c r="K220" s="69" t="n"/>
      <c r="L220" s="67" t="n"/>
      <c r="M220" s="67" t="n"/>
      <c r="N220" s="67" t="n"/>
      <c r="O220" s="67" t="n"/>
      <c r="P220" s="67" t="n"/>
      <c r="Q220" s="70" t="n"/>
      <c r="R220" s="70" t="n"/>
      <c r="S220" s="71" t="n"/>
      <c r="T220" s="72" t="n"/>
      <c r="U220" s="73" t="n"/>
      <c r="V220" s="280" t="n"/>
      <c r="W220" s="118" t="n"/>
      <c r="X220" s="280" t="n"/>
      <c r="Y220" s="118" t="n"/>
      <c r="Z220" s="281" t="n"/>
      <c r="AA220" s="118" t="n"/>
      <c r="AB220" s="280" t="n"/>
      <c r="AC220" s="118" t="n"/>
      <c r="AD220" s="282">
        <f>T220+V220+X220+AB220+Z220</f>
        <v/>
      </c>
      <c r="AE220" s="73">
        <f>AD220/AD$7</f>
        <v/>
      </c>
      <c r="AF220" s="74" t="n"/>
      <c r="AG220" s="76">
        <f>AD220*AF220</f>
        <v/>
      </c>
    </row>
    <row r="221" ht="13.5" customHeight="1">
      <c r="A221" s="65" t="n"/>
      <c r="B221" s="75" t="n"/>
      <c r="C221" s="67" t="n"/>
      <c r="D221" s="67" t="n"/>
      <c r="E221" s="67" t="n"/>
      <c r="F221" s="67" t="n"/>
      <c r="G221" s="68" t="n"/>
      <c r="H221" s="67" t="n"/>
      <c r="I221" s="67" t="n"/>
      <c r="J221" s="67" t="n"/>
      <c r="K221" s="69" t="n"/>
      <c r="L221" s="67" t="n"/>
      <c r="M221" s="67" t="n"/>
      <c r="N221" s="67" t="n"/>
      <c r="O221" s="67" t="n"/>
      <c r="P221" s="67" t="n"/>
      <c r="Q221" s="70" t="n"/>
      <c r="R221" s="70" t="n"/>
      <c r="S221" s="71" t="n"/>
      <c r="T221" s="72" t="n"/>
      <c r="U221" s="73" t="n"/>
      <c r="V221" s="280" t="n"/>
      <c r="W221" s="118" t="n"/>
      <c r="X221" s="280" t="n"/>
      <c r="Y221" s="118" t="n"/>
      <c r="Z221" s="281" t="n"/>
      <c r="AA221" s="118" t="n"/>
      <c r="AB221" s="280" t="n"/>
      <c r="AC221" s="118" t="n"/>
      <c r="AD221" s="282">
        <f>T221+V221+X221+AB221+Z221</f>
        <v/>
      </c>
      <c r="AE221" s="73">
        <f>AD221/AD$7</f>
        <v/>
      </c>
      <c r="AF221" s="74" t="n"/>
      <c r="AG221" s="76">
        <f>AD221*AF221</f>
        <v/>
      </c>
    </row>
    <row r="222" ht="13.5" customHeight="1">
      <c r="A222" s="65" t="n"/>
      <c r="B222" s="75" t="n"/>
      <c r="C222" s="67" t="n"/>
      <c r="D222" s="67" t="n"/>
      <c r="E222" s="67" t="n"/>
      <c r="F222" s="67" t="n"/>
      <c r="G222" s="68" t="n"/>
      <c r="H222" s="67" t="n"/>
      <c r="I222" s="67" t="n"/>
      <c r="J222" s="67" t="n"/>
      <c r="K222" s="69" t="n"/>
      <c r="L222" s="67" t="n"/>
      <c r="M222" s="67" t="n"/>
      <c r="N222" s="67" t="n"/>
      <c r="O222" s="67" t="n"/>
      <c r="P222" s="67" t="n"/>
      <c r="Q222" s="70" t="n"/>
      <c r="R222" s="70" t="n"/>
      <c r="S222" s="71" t="n"/>
      <c r="T222" s="72" t="n"/>
      <c r="U222" s="73" t="n"/>
      <c r="V222" s="280" t="n"/>
      <c r="W222" s="118" t="n"/>
      <c r="X222" s="280" t="n"/>
      <c r="Y222" s="118" t="n"/>
      <c r="Z222" s="281" t="n"/>
      <c r="AA222" s="118" t="n"/>
      <c r="AB222" s="280" t="n"/>
      <c r="AC222" s="118" t="n"/>
      <c r="AD222" s="282">
        <f>T222+V222+X222+AB222+Z222</f>
        <v/>
      </c>
      <c r="AE222" s="73">
        <f>AD222/AD$7</f>
        <v/>
      </c>
      <c r="AF222" s="74" t="n"/>
      <c r="AG222" s="76">
        <f>AD222*AF222</f>
        <v/>
      </c>
    </row>
    <row r="223" ht="13.5" customHeight="1">
      <c r="A223" s="65" t="n"/>
      <c r="B223" s="75" t="n"/>
      <c r="C223" s="67" t="n"/>
      <c r="D223" s="67" t="n"/>
      <c r="E223" s="67" t="n"/>
      <c r="F223" s="67" t="n"/>
      <c r="G223" s="68" t="n"/>
      <c r="H223" s="67" t="n"/>
      <c r="I223" s="67" t="n"/>
      <c r="J223" s="67" t="n"/>
      <c r="K223" s="69" t="n"/>
      <c r="L223" s="67" t="n"/>
      <c r="M223" s="67" t="n"/>
      <c r="N223" s="67" t="n"/>
      <c r="O223" s="67" t="n"/>
      <c r="P223" s="67" t="n"/>
      <c r="Q223" s="70" t="n"/>
      <c r="R223" s="70" t="n"/>
      <c r="S223" s="71" t="n"/>
      <c r="T223" s="72" t="n"/>
      <c r="U223" s="73" t="n"/>
      <c r="V223" s="280" t="n"/>
      <c r="W223" s="118" t="n"/>
      <c r="X223" s="280" t="n"/>
      <c r="Y223" s="118" t="n"/>
      <c r="Z223" s="281" t="n"/>
      <c r="AA223" s="118" t="n"/>
      <c r="AB223" s="280" t="n"/>
      <c r="AC223" s="118" t="n"/>
      <c r="AD223" s="282">
        <f>T223+V223+X223+AB223+Z223</f>
        <v/>
      </c>
      <c r="AE223" s="73">
        <f>AD223/AD$7</f>
        <v/>
      </c>
      <c r="AF223" s="74" t="n"/>
      <c r="AG223" s="76">
        <f>AD223*AF223</f>
        <v/>
      </c>
    </row>
    <row r="224" ht="13.5" customHeight="1">
      <c r="A224" s="65" t="n"/>
      <c r="B224" s="75" t="n"/>
      <c r="C224" s="67" t="n"/>
      <c r="D224" s="67" t="n"/>
      <c r="E224" s="67" t="n"/>
      <c r="F224" s="67" t="n"/>
      <c r="G224" s="68" t="n"/>
      <c r="H224" s="67" t="n"/>
      <c r="I224" s="67" t="n"/>
      <c r="J224" s="67" t="n"/>
      <c r="K224" s="69" t="n"/>
      <c r="L224" s="67" t="n"/>
      <c r="M224" s="67" t="n"/>
      <c r="N224" s="67" t="n"/>
      <c r="O224" s="67" t="n"/>
      <c r="P224" s="67" t="n"/>
      <c r="Q224" s="70" t="n"/>
      <c r="R224" s="70" t="n"/>
      <c r="S224" s="71" t="n"/>
      <c r="T224" s="72">
        <f>SUM(C224:S224)</f>
        <v/>
      </c>
      <c r="U224" s="73">
        <f>T224/T$7</f>
        <v/>
      </c>
      <c r="V224" s="280" t="n"/>
      <c r="W224" s="118" t="n"/>
      <c r="X224" s="280" t="n"/>
      <c r="Y224" s="118" t="n"/>
      <c r="Z224" s="281" t="n"/>
      <c r="AA224" s="118" t="n"/>
      <c r="AB224" s="280" t="n"/>
      <c r="AC224" s="118" t="n"/>
      <c r="AD224" s="282">
        <f>T224+V224+X224+AB224+Z224</f>
        <v/>
      </c>
      <c r="AE224" s="73">
        <f>AD224/AD$7</f>
        <v/>
      </c>
      <c r="AF224" s="74" t="n"/>
      <c r="AG224" s="76">
        <f>AD224*AF224</f>
        <v/>
      </c>
    </row>
    <row r="225" ht="13.5" customHeight="1">
      <c r="A225" s="65" t="n"/>
      <c r="B225" s="75" t="n"/>
      <c r="C225" s="67" t="n"/>
      <c r="D225" s="67" t="n"/>
      <c r="E225" s="67" t="n"/>
      <c r="F225" s="67" t="n"/>
      <c r="G225" s="68" t="n"/>
      <c r="H225" s="67" t="n"/>
      <c r="I225" s="67" t="n"/>
      <c r="J225" s="67" t="n"/>
      <c r="K225" s="69" t="n"/>
      <c r="L225" s="67" t="n"/>
      <c r="M225" s="67" t="n"/>
      <c r="N225" s="67" t="n"/>
      <c r="O225" s="67" t="n"/>
      <c r="P225" s="67" t="n"/>
      <c r="Q225" s="70" t="n"/>
      <c r="R225" s="70" t="n"/>
      <c r="S225" s="71" t="n"/>
      <c r="T225" s="72">
        <f>SUM(C225:S225)</f>
        <v/>
      </c>
      <c r="U225" s="73">
        <f>T225/T$7</f>
        <v/>
      </c>
      <c r="V225" s="280" t="n"/>
      <c r="W225" s="118" t="n"/>
      <c r="X225" s="280" t="n"/>
      <c r="Y225" s="118" t="n"/>
      <c r="Z225" s="281" t="n"/>
      <c r="AA225" s="118" t="n"/>
      <c r="AB225" s="280" t="n"/>
      <c r="AC225" s="118" t="n"/>
      <c r="AD225" s="282">
        <f>T225+V225+X225+AB225+Z225</f>
        <v/>
      </c>
      <c r="AE225" s="73">
        <f>AD225/AD$7</f>
        <v/>
      </c>
      <c r="AF225" s="74" t="n"/>
      <c r="AG225" s="76">
        <f>AD225*AF225</f>
        <v/>
      </c>
    </row>
    <row r="226" ht="13.5" customHeight="1">
      <c r="A226" s="65" t="n"/>
      <c r="B226" s="75" t="n"/>
      <c r="C226" s="67" t="n"/>
      <c r="D226" s="67" t="n"/>
      <c r="E226" s="67" t="n"/>
      <c r="F226" s="67" t="n"/>
      <c r="G226" s="68" t="n"/>
      <c r="H226" s="67" t="n"/>
      <c r="I226" s="67" t="n"/>
      <c r="J226" s="67" t="n"/>
      <c r="K226" s="69" t="n"/>
      <c r="L226" s="67" t="n"/>
      <c r="M226" s="67" t="n"/>
      <c r="N226" s="67" t="n"/>
      <c r="O226" s="67" t="n"/>
      <c r="P226" s="67" t="n"/>
      <c r="Q226" s="70" t="n"/>
      <c r="R226" s="70" t="n"/>
      <c r="S226" s="71" t="n"/>
      <c r="T226" s="72">
        <f>SUM(C226:S226)</f>
        <v/>
      </c>
      <c r="U226" s="73">
        <f>T226/T$7</f>
        <v/>
      </c>
      <c r="V226" s="280" t="n"/>
      <c r="W226" s="118" t="n"/>
      <c r="X226" s="280" t="n"/>
      <c r="Y226" s="118" t="n"/>
      <c r="Z226" s="281" t="n"/>
      <c r="AA226" s="118" t="n"/>
      <c r="AB226" s="280" t="n"/>
      <c r="AC226" s="118" t="n"/>
      <c r="AD226" s="282">
        <f>T226+V226+X226+AB226+Z226</f>
        <v/>
      </c>
      <c r="AE226" s="73">
        <f>AD226/AD$7</f>
        <v/>
      </c>
      <c r="AF226" s="74" t="n"/>
      <c r="AG226" s="76">
        <f>AD226*AF226</f>
        <v/>
      </c>
    </row>
    <row r="227" ht="13.5" customHeight="1">
      <c r="A227" s="65" t="n"/>
      <c r="B227" s="75" t="n"/>
      <c r="C227" s="67" t="n"/>
      <c r="D227" s="67" t="n"/>
      <c r="E227" s="67" t="n"/>
      <c r="F227" s="67" t="n"/>
      <c r="G227" s="68" t="n"/>
      <c r="H227" s="67" t="n"/>
      <c r="I227" s="67" t="n"/>
      <c r="J227" s="67" t="n"/>
      <c r="K227" s="69" t="n"/>
      <c r="L227" s="67" t="n"/>
      <c r="M227" s="67" t="n"/>
      <c r="N227" s="67" t="n"/>
      <c r="O227" s="67" t="n"/>
      <c r="P227" s="67" t="n"/>
      <c r="Q227" s="70" t="n"/>
      <c r="R227" s="70" t="n"/>
      <c r="S227" s="71" t="n"/>
      <c r="T227" s="72">
        <f>SUM(C227:S227)</f>
        <v/>
      </c>
      <c r="U227" s="73">
        <f>T227/T$7</f>
        <v/>
      </c>
      <c r="V227" s="280" t="n"/>
      <c r="W227" s="118" t="n"/>
      <c r="X227" s="280" t="n"/>
      <c r="Y227" s="118" t="n"/>
      <c r="Z227" s="281" t="n"/>
      <c r="AA227" s="118" t="n"/>
      <c r="AB227" s="280" t="n"/>
      <c r="AC227" s="118" t="n"/>
      <c r="AD227" s="282">
        <f>T227+V227+X227+AB227+Z227</f>
        <v/>
      </c>
      <c r="AE227" s="73">
        <f>AD227/AD$7</f>
        <v/>
      </c>
      <c r="AF227" s="74" t="n"/>
      <c r="AG227" s="76">
        <f>AD227*AF227</f>
        <v/>
      </c>
    </row>
    <row r="228" ht="13.5" customHeight="1">
      <c r="A228" s="65" t="n"/>
      <c r="B228" s="75" t="n"/>
      <c r="C228" s="67" t="n"/>
      <c r="D228" s="67" t="n"/>
      <c r="E228" s="67" t="n"/>
      <c r="F228" s="67" t="n"/>
      <c r="G228" s="68" t="n"/>
      <c r="H228" s="67" t="n"/>
      <c r="I228" s="67" t="n"/>
      <c r="J228" s="67" t="n"/>
      <c r="K228" s="69" t="n"/>
      <c r="L228" s="67" t="n"/>
      <c r="M228" s="67" t="n"/>
      <c r="N228" s="67" t="n"/>
      <c r="O228" s="67" t="n"/>
      <c r="P228" s="67" t="n"/>
      <c r="Q228" s="70" t="n"/>
      <c r="R228" s="70" t="n"/>
      <c r="S228" s="71" t="n"/>
      <c r="T228" s="72">
        <f>SUM(C228:S228)</f>
        <v/>
      </c>
      <c r="U228" s="73">
        <f>T228/T$7</f>
        <v/>
      </c>
      <c r="V228" s="280" t="n"/>
      <c r="W228" s="118" t="n"/>
      <c r="X228" s="280" t="n"/>
      <c r="Y228" s="118" t="n"/>
      <c r="Z228" s="281" t="n"/>
      <c r="AA228" s="118" t="n"/>
      <c r="AB228" s="280" t="n"/>
      <c r="AC228" s="118" t="n"/>
      <c r="AD228" s="282">
        <f>T228+V228+X228+AB228+Z228</f>
        <v/>
      </c>
      <c r="AE228" s="73">
        <f>AD228/AD$7</f>
        <v/>
      </c>
      <c r="AF228" s="74" t="n"/>
      <c r="AG228" s="76">
        <f>AD228*AF228</f>
        <v/>
      </c>
    </row>
    <row r="229" ht="13.5" customHeight="1">
      <c r="A229" s="65" t="n"/>
      <c r="B229" s="75" t="n"/>
      <c r="C229" s="67" t="n"/>
      <c r="D229" s="67" t="n"/>
      <c r="E229" s="67" t="n"/>
      <c r="F229" s="67" t="n"/>
      <c r="G229" s="68" t="n"/>
      <c r="H229" s="67" t="n"/>
      <c r="I229" s="67" t="n"/>
      <c r="J229" s="67" t="n"/>
      <c r="K229" s="69" t="n"/>
      <c r="L229" s="67" t="n"/>
      <c r="M229" s="67" t="n"/>
      <c r="N229" s="67" t="n"/>
      <c r="O229" s="67" t="n"/>
      <c r="P229" s="67" t="n"/>
      <c r="Q229" s="70" t="n"/>
      <c r="R229" s="70" t="n"/>
      <c r="S229" s="71" t="n"/>
      <c r="T229" s="72">
        <f>SUM(C229:S229)</f>
        <v/>
      </c>
      <c r="U229" s="73">
        <f>T229/T$7</f>
        <v/>
      </c>
      <c r="V229" s="280" t="n"/>
      <c r="W229" s="118" t="n"/>
      <c r="X229" s="280" t="n"/>
      <c r="Y229" s="118" t="n"/>
      <c r="Z229" s="281" t="n"/>
      <c r="AA229" s="118" t="n"/>
      <c r="AB229" s="280" t="n"/>
      <c r="AC229" s="118" t="n"/>
      <c r="AD229" s="282">
        <f>T229+V229+X229+AB229+Z229</f>
        <v/>
      </c>
      <c r="AE229" s="73">
        <f>AD229/AD$7</f>
        <v/>
      </c>
      <c r="AF229" s="74" t="n"/>
      <c r="AG229" s="76">
        <f>AD229*AF229</f>
        <v/>
      </c>
    </row>
    <row r="230" ht="14" customFormat="1" customHeight="1" s="258">
      <c r="A230" s="257" t="inlineStr">
        <is>
          <t>Private Equity</t>
        </is>
      </c>
      <c r="C230" s="16">
        <f>SUM(C231:C310)</f>
        <v/>
      </c>
      <c r="D230" s="16">
        <f>SUM(D231:D310)</f>
        <v/>
      </c>
      <c r="E230" s="16">
        <f>SUM(E231:E310)</f>
        <v/>
      </c>
      <c r="F230" s="16">
        <f>SUM(F231:F310)</f>
        <v/>
      </c>
      <c r="G230" s="16">
        <f>SUM(G231:G310)</f>
        <v/>
      </c>
      <c r="H230" s="16">
        <f>SUM(H231:H310)</f>
        <v/>
      </c>
      <c r="I230" s="16">
        <f>SUM(I231:I310)</f>
        <v/>
      </c>
      <c r="J230" s="16">
        <f>SUM(J231:J310)</f>
        <v/>
      </c>
      <c r="K230" s="16">
        <f>SUM(K231:K310)</f>
        <v/>
      </c>
      <c r="L230" s="16">
        <f>SUM(L231:L310)</f>
        <v/>
      </c>
      <c r="M230" s="16">
        <f>SUM(M231:M310)</f>
        <v/>
      </c>
      <c r="N230" s="16">
        <f>SUM(N231:N310)</f>
        <v/>
      </c>
      <c r="O230" s="16">
        <f>SUM(O231:O310)</f>
        <v/>
      </c>
      <c r="P230" s="16">
        <f>SUM(P231:P310)</f>
        <v/>
      </c>
      <c r="Q230" s="16">
        <f>SUM(Q231:Q310)</f>
        <v/>
      </c>
      <c r="R230" s="16">
        <f>SUM(R231:R310)</f>
        <v/>
      </c>
      <c r="S230" s="16">
        <f>SUM(S231:S310)</f>
        <v/>
      </c>
      <c r="T230" s="30">
        <f>SUM(C230:S230)</f>
        <v/>
      </c>
      <c r="U230" s="54">
        <f>SUM(U231:U310)</f>
        <v/>
      </c>
      <c r="V230" s="291">
        <f>SUM(V231:V310)</f>
        <v/>
      </c>
      <c r="W230" s="120">
        <f>SUM(W231:W310)</f>
        <v/>
      </c>
      <c r="X230" s="291" t="n"/>
      <c r="Y230" s="120" t="n"/>
      <c r="Z230" s="290" t="n"/>
      <c r="AA230" s="120" t="n"/>
      <c r="AB230" s="291" t="n"/>
      <c r="AC230" s="120" t="n"/>
      <c r="AD230" s="276">
        <f>SUM(AD237:AD310)</f>
        <v/>
      </c>
      <c r="AE230" s="61">
        <f>SUM(AE231:AE310)</f>
        <v/>
      </c>
      <c r="AF230" s="18" t="n"/>
      <c r="AG230" s="19" t="n"/>
    </row>
    <row r="231" ht="13.5" customHeight="1">
      <c r="A231" s="65" t="inlineStr">
        <is>
          <t>Althos Private Equity F</t>
        </is>
      </c>
      <c r="B231" s="66" t="inlineStr">
        <is>
          <t>FR001400QZD6</t>
        </is>
      </c>
      <c r="C231" s="67" t="n"/>
      <c r="D231" s="67" t="n"/>
      <c r="E231" s="67" t="n"/>
      <c r="F231" s="67" t="n"/>
      <c r="G231" s="67" t="n"/>
      <c r="H231" s="67" t="n"/>
      <c r="I231" s="67" t="n"/>
      <c r="J231" s="67" t="n"/>
      <c r="K231" s="69" t="n"/>
      <c r="L231" s="67" t="n"/>
      <c r="M231" s="67" t="n"/>
      <c r="N231" s="67" t="n"/>
      <c r="O231" s="67" t="n"/>
      <c r="P231" s="67" t="n"/>
      <c r="Q231" s="70" t="n"/>
      <c r="R231" s="70" t="n"/>
      <c r="S231" s="71" t="n"/>
      <c r="T231" s="72">
        <f>SUM(C231:S231)</f>
        <v/>
      </c>
      <c r="U231" s="73">
        <f>T231/T$7</f>
        <v/>
      </c>
      <c r="V231" s="280" t="n"/>
      <c r="W231" s="118" t="n"/>
      <c r="X231" s="280" t="n"/>
      <c r="Y231" s="118" t="n"/>
      <c r="Z231" s="281" t="n"/>
      <c r="AA231" s="118" t="n"/>
      <c r="AB231" s="280" t="n"/>
      <c r="AC231" s="118" t="n"/>
      <c r="AD231" s="282" t="n"/>
      <c r="AE231" s="73">
        <f>AD231/AD$7</f>
        <v/>
      </c>
      <c r="AF231" s="74" t="n">
        <v>6</v>
      </c>
      <c r="AG231" s="76">
        <f>AD231*AF231</f>
        <v/>
      </c>
    </row>
    <row r="232" ht="13.5" customHeight="1">
      <c r="A232" s="65" t="inlineStr">
        <is>
          <t>Althos Private Equity part A</t>
        </is>
      </c>
      <c r="B232" s="66" t="inlineStr">
        <is>
          <t>FR001400QZ70</t>
        </is>
      </c>
      <c r="C232" s="67" t="n"/>
      <c r="D232" s="67" t="n"/>
      <c r="E232" s="68" t="n"/>
      <c r="F232" s="68" t="n"/>
      <c r="G232" s="68" t="n"/>
      <c r="H232" s="67" t="n"/>
      <c r="I232" s="67" t="n"/>
      <c r="J232" s="67" t="n"/>
      <c r="K232" s="69" t="n"/>
      <c r="L232" s="67" t="n"/>
      <c r="M232" s="67" t="n"/>
      <c r="N232" s="67" t="n"/>
      <c r="O232" s="67" t="n"/>
      <c r="P232" s="67" t="n"/>
      <c r="Q232" s="70" t="n"/>
      <c r="R232" s="70" t="n"/>
      <c r="S232" s="71" t="n"/>
      <c r="T232" s="72">
        <f>SUM(C232:S232)</f>
        <v/>
      </c>
      <c r="U232" s="73">
        <f>T232/T$7</f>
        <v/>
      </c>
      <c r="V232" s="280" t="n"/>
      <c r="W232" s="118" t="n"/>
      <c r="X232" s="280" t="n"/>
      <c r="Y232" s="118" t="n"/>
      <c r="Z232" s="281" t="n"/>
      <c r="AA232" s="118" t="n"/>
      <c r="AB232" s="280" t="n"/>
      <c r="AC232" s="118" t="n"/>
      <c r="AD232" s="282" t="n"/>
      <c r="AE232" s="73">
        <f>AD232/AD$7</f>
        <v/>
      </c>
      <c r="AF232" s="74" t="n">
        <v>6</v>
      </c>
      <c r="AG232" s="76">
        <f>AD232*AF232</f>
        <v/>
      </c>
    </row>
    <row r="233" ht="13.5" customHeight="1">
      <c r="A233" s="65" t="inlineStr">
        <is>
          <t>Althos Private Equity part B</t>
        </is>
      </c>
      <c r="B233" s="66" t="inlineStr">
        <is>
          <t>FR001400QZB0</t>
        </is>
      </c>
      <c r="C233" s="67" t="n"/>
      <c r="D233" s="67" t="n"/>
      <c r="E233" s="68" t="n"/>
      <c r="F233" s="68" t="n"/>
      <c r="G233" s="68" t="n"/>
      <c r="H233" s="67" t="n"/>
      <c r="I233" s="67" t="n"/>
      <c r="J233" s="67" t="n"/>
      <c r="K233" s="69" t="n"/>
      <c r="L233" s="67" t="n"/>
      <c r="M233" s="67" t="n"/>
      <c r="N233" s="67" t="n"/>
      <c r="O233" s="67" t="n"/>
      <c r="P233" s="67" t="n"/>
      <c r="Q233" s="70" t="n"/>
      <c r="R233" s="70" t="n"/>
      <c r="S233" s="71" t="n"/>
      <c r="T233" s="72">
        <f>SUM(C233:S233)</f>
        <v/>
      </c>
      <c r="U233" s="73">
        <f>T233/T$7</f>
        <v/>
      </c>
      <c r="V233" s="280" t="n"/>
      <c r="W233" s="118" t="n"/>
      <c r="X233" s="280" t="n"/>
      <c r="Y233" s="118" t="n"/>
      <c r="Z233" s="281" t="n"/>
      <c r="AA233" s="118" t="n"/>
      <c r="AB233" s="280" t="n"/>
      <c r="AC233" s="118" t="n"/>
      <c r="AD233" s="282" t="n"/>
      <c r="AE233" s="73">
        <f>AD233/AD$7</f>
        <v/>
      </c>
      <c r="AF233" s="74" t="n">
        <v>6</v>
      </c>
      <c r="AG233" s="76">
        <f>AD233*AF233</f>
        <v/>
      </c>
    </row>
    <row r="234" ht="13.5" customHeight="1">
      <c r="A234" s="65" t="inlineStr">
        <is>
          <t>Althos Private Equity part C</t>
        </is>
      </c>
      <c r="B234" s="66" t="inlineStr">
        <is>
          <t>FR001400QZ88</t>
        </is>
      </c>
      <c r="C234" s="67" t="n"/>
      <c r="D234" s="67" t="n"/>
      <c r="E234" s="68" t="n"/>
      <c r="F234" s="68" t="n"/>
      <c r="G234" s="68" t="n"/>
      <c r="H234" s="67" t="n"/>
      <c r="I234" s="67" t="n"/>
      <c r="J234" s="67" t="n"/>
      <c r="K234" s="69" t="n"/>
      <c r="L234" s="67" t="n"/>
      <c r="M234" s="67" t="n"/>
      <c r="N234" s="67" t="n"/>
      <c r="O234" s="67" t="n"/>
      <c r="P234" s="67" t="n"/>
      <c r="Q234" s="70" t="n"/>
      <c r="R234" s="70" t="n"/>
      <c r="S234" s="71" t="n"/>
      <c r="T234" s="72">
        <f>SUM(C234:S234)</f>
        <v/>
      </c>
      <c r="U234" s="73">
        <f>T234/T$7</f>
        <v/>
      </c>
      <c r="V234" s="280" t="n"/>
      <c r="W234" s="118" t="n"/>
      <c r="X234" s="280" t="n"/>
      <c r="Y234" s="118" t="n"/>
      <c r="Z234" s="281" t="n"/>
      <c r="AA234" s="118" t="n"/>
      <c r="AB234" s="280" t="n"/>
      <c r="AC234" s="118" t="n"/>
      <c r="AD234" s="282" t="n"/>
      <c r="AE234" s="73">
        <f>AD234/AD$7</f>
        <v/>
      </c>
      <c r="AF234" s="74" t="n">
        <v>6</v>
      </c>
      <c r="AG234" s="76">
        <f>AD234*AF234</f>
        <v/>
      </c>
    </row>
    <row r="235" ht="13.5" customHeight="1">
      <c r="A235" s="65" t="inlineStr">
        <is>
          <t>Althos Private Equity part D</t>
        </is>
      </c>
      <c r="B235" s="66" t="inlineStr">
        <is>
          <t>FR001400QZA2</t>
        </is>
      </c>
      <c r="C235" s="67" t="n"/>
      <c r="D235" s="67" t="n"/>
      <c r="E235" s="68" t="n"/>
      <c r="F235" s="68" t="n"/>
      <c r="G235" s="68" t="n"/>
      <c r="H235" s="67" t="n"/>
      <c r="I235" s="67" t="n"/>
      <c r="J235" s="67" t="n"/>
      <c r="K235" s="69" t="n"/>
      <c r="L235" s="67" t="n"/>
      <c r="M235" s="67" t="n"/>
      <c r="N235" s="67" t="n"/>
      <c r="O235" s="67" t="n"/>
      <c r="P235" s="67" t="n"/>
      <c r="Q235" s="70" t="n"/>
      <c r="R235" s="70" t="n"/>
      <c r="S235" s="71" t="n"/>
      <c r="T235" s="72">
        <f>SUM(C235:S235)</f>
        <v/>
      </c>
      <c r="U235" s="73">
        <f>T235/T$7</f>
        <v/>
      </c>
      <c r="V235" s="280" t="n"/>
      <c r="W235" s="118" t="n"/>
      <c r="X235" s="280" t="n"/>
      <c r="Y235" s="118" t="n"/>
      <c r="Z235" s="281" t="n"/>
      <c r="AA235" s="118" t="n"/>
      <c r="AB235" s="280" t="n"/>
      <c r="AC235" s="118" t="n"/>
      <c r="AD235" s="282" t="n"/>
      <c r="AE235" s="73">
        <f>AD235/AD$7</f>
        <v/>
      </c>
      <c r="AF235" s="74" t="n">
        <v>6</v>
      </c>
      <c r="AG235" s="76">
        <f>AD235*AF235</f>
        <v/>
      </c>
    </row>
    <row r="236" ht="13.5" customHeight="1">
      <c r="A236" s="65" t="inlineStr">
        <is>
          <t>Althos Private Equity part E</t>
        </is>
      </c>
      <c r="B236" s="66" t="inlineStr">
        <is>
          <t>FR001400QZC8</t>
        </is>
      </c>
      <c r="C236" s="67" t="n"/>
      <c r="D236" s="67" t="n"/>
      <c r="E236" s="68" t="n"/>
      <c r="F236" s="68" t="n"/>
      <c r="G236" s="68" t="n"/>
      <c r="H236" s="67" t="n"/>
      <c r="I236" s="67" t="n"/>
      <c r="J236" s="67" t="n"/>
      <c r="K236" s="69" t="n"/>
      <c r="L236" s="67" t="n"/>
      <c r="M236" s="67" t="n"/>
      <c r="N236" s="67" t="n"/>
      <c r="O236" s="67" t="n"/>
      <c r="P236" s="67" t="n"/>
      <c r="Q236" s="70" t="n"/>
      <c r="R236" s="70" t="n"/>
      <c r="S236" s="71" t="n"/>
      <c r="T236" s="72">
        <f>SUM(C236:S236)</f>
        <v/>
      </c>
      <c r="U236" s="73">
        <f>T236/T$7</f>
        <v/>
      </c>
      <c r="V236" s="280" t="n"/>
      <c r="W236" s="118" t="n"/>
      <c r="X236" s="280" t="n"/>
      <c r="Y236" s="118" t="n"/>
      <c r="Z236" s="281" t="n"/>
      <c r="AA236" s="118" t="n"/>
      <c r="AB236" s="280" t="n"/>
      <c r="AC236" s="118" t="n"/>
      <c r="AD236" s="282" t="n"/>
      <c r="AE236" s="73">
        <f>AD236/AD$7</f>
        <v/>
      </c>
      <c r="AF236" s="74" t="n">
        <v>6</v>
      </c>
      <c r="AG236" s="76">
        <f>AD236*AF236</f>
        <v/>
      </c>
    </row>
    <row r="237" ht="13.5" customHeight="1">
      <c r="A237" s="65" t="inlineStr">
        <is>
          <t>Pantheon Global Private Equity S EUR</t>
        </is>
      </c>
      <c r="B237" s="66" t="inlineStr">
        <is>
          <t>LU2756307729</t>
        </is>
      </c>
      <c r="C237" s="67" t="n"/>
      <c r="D237" s="67" t="n"/>
      <c r="E237" s="67" t="n"/>
      <c r="F237" s="67" t="n"/>
      <c r="G237" s="67" t="n"/>
      <c r="H237" s="67" t="n"/>
      <c r="I237" s="67" t="n"/>
      <c r="J237" s="67" t="n"/>
      <c r="K237" s="69" t="n"/>
      <c r="L237" s="67" t="n"/>
      <c r="M237" s="67" t="n"/>
      <c r="N237" s="67" t="n"/>
      <c r="O237" s="67" t="n"/>
      <c r="P237" s="67" t="n"/>
      <c r="Q237" s="70" t="n"/>
      <c r="R237" s="70" t="n"/>
      <c r="S237" s="71" t="n"/>
      <c r="T237" s="72">
        <f>SUM(C237:S237)</f>
        <v/>
      </c>
      <c r="U237" s="73">
        <f>T237/T$7</f>
        <v/>
      </c>
      <c r="V237" s="284">
        <f>W237*SUM(T$231:T$236)</f>
        <v/>
      </c>
      <c r="W237" s="130" t="n">
        <v>0.195</v>
      </c>
      <c r="X237" s="280" t="n"/>
      <c r="Y237" s="118" t="n"/>
      <c r="Z237" s="281" t="n"/>
      <c r="AA237" s="118" t="n"/>
      <c r="AB237" s="280" t="n"/>
      <c r="AC237" s="118" t="n"/>
      <c r="AD237" s="282">
        <f>T237+V237+X237+AB237+Z237</f>
        <v/>
      </c>
      <c r="AE237" s="73">
        <f>AD237/AD$7</f>
        <v/>
      </c>
      <c r="AF237" s="74" t="n">
        <v>5</v>
      </c>
      <c r="AG237" s="76">
        <f>AD237*AF237</f>
        <v/>
      </c>
    </row>
    <row r="238" ht="13.5" customFormat="1" customHeight="1" s="29">
      <c r="A238" s="65" t="inlineStr">
        <is>
          <t>Hg Fusion</t>
        </is>
      </c>
      <c r="B238" s="66" t="inlineStr">
        <is>
          <t>LU2862929846</t>
        </is>
      </c>
      <c r="C238" s="67" t="n"/>
      <c r="D238" s="67" t="n"/>
      <c r="E238" s="68" t="n"/>
      <c r="F238" s="67" t="n"/>
      <c r="G238" s="68" t="n"/>
      <c r="H238" s="67" t="n"/>
      <c r="I238" s="67" t="n"/>
      <c r="J238" s="67" t="n"/>
      <c r="K238" s="69" t="n"/>
      <c r="L238" s="67" t="n"/>
      <c r="M238" s="67" t="n"/>
      <c r="N238" s="67" t="n"/>
      <c r="O238" s="67" t="n"/>
      <c r="P238" s="67" t="n"/>
      <c r="Q238" s="70" t="n"/>
      <c r="R238" s="70" t="n"/>
      <c r="S238" s="71" t="n"/>
      <c r="T238" s="72">
        <f>SUM(C238:S238)</f>
        <v/>
      </c>
      <c r="U238" s="73">
        <f>T238/T$7</f>
        <v/>
      </c>
      <c r="V238" s="284">
        <f>W238*SUM(T$231:T$236)</f>
        <v/>
      </c>
      <c r="W238" s="130" t="n">
        <v>0.12</v>
      </c>
      <c r="X238" s="280" t="n"/>
      <c r="Y238" s="118" t="n"/>
      <c r="Z238" s="281" t="n"/>
      <c r="AA238" s="118" t="n"/>
      <c r="AB238" s="280" t="n"/>
      <c r="AC238" s="118" t="n"/>
      <c r="AD238" s="282">
        <f>T238+V238+X238+AB238+Z238</f>
        <v/>
      </c>
      <c r="AE238" s="73">
        <f>AD238/AD$7</f>
        <v/>
      </c>
      <c r="AF238" s="74" t="n">
        <v>4</v>
      </c>
      <c r="AG238" s="76">
        <f>AD238*AF238</f>
        <v/>
      </c>
    </row>
    <row r="239" ht="13.5" customFormat="1" customHeight="1" s="29">
      <c r="A239" s="65" t="inlineStr">
        <is>
          <t>StepStone SPRIM - Private Market</t>
        </is>
      </c>
      <c r="B239" s="66" t="inlineStr">
        <is>
          <t>LU2485281419</t>
        </is>
      </c>
      <c r="C239" s="67" t="n"/>
      <c r="D239" s="67" t="n"/>
      <c r="E239" s="68" t="n"/>
      <c r="F239" s="67" t="n"/>
      <c r="G239" s="68" t="n"/>
      <c r="H239" s="67" t="n"/>
      <c r="I239" s="67" t="n"/>
      <c r="J239" s="67" t="n"/>
      <c r="K239" s="69" t="n"/>
      <c r="L239" s="67" t="n"/>
      <c r="M239" s="67" t="n"/>
      <c r="N239" s="67" t="n"/>
      <c r="O239" s="67" t="n"/>
      <c r="P239" s="67" t="n"/>
      <c r="Q239" s="70" t="n"/>
      <c r="R239" s="70" t="n"/>
      <c r="S239" s="71" t="n"/>
      <c r="T239" s="72">
        <f>SUM(C239:S239)</f>
        <v/>
      </c>
      <c r="U239" s="73">
        <f>T239/T$7</f>
        <v/>
      </c>
      <c r="V239" s="284">
        <f>W239*SUM(T$231:T$236)</f>
        <v/>
      </c>
      <c r="W239" s="130" t="n">
        <v>0.093</v>
      </c>
      <c r="X239" s="280" t="n"/>
      <c r="Y239" s="118" t="n"/>
      <c r="Z239" s="281" t="n"/>
      <c r="AA239" s="118" t="n"/>
      <c r="AB239" s="280" t="n"/>
      <c r="AC239" s="118" t="n"/>
      <c r="AD239" s="282">
        <f>T239+V239+X239+AB239+Z239</f>
        <v/>
      </c>
      <c r="AE239" s="73">
        <f>AD239/AD$7</f>
        <v/>
      </c>
      <c r="AF239" s="74" t="n">
        <v>4</v>
      </c>
      <c r="AG239" s="76">
        <f>AD239*AF239</f>
        <v/>
      </c>
    </row>
    <row r="240" ht="13.5" customFormat="1" customHeight="1" s="29">
      <c r="A240" s="65" t="inlineStr">
        <is>
          <t>StepStone SPRING</t>
        </is>
      </c>
      <c r="B240" s="66" t="inlineStr">
        <is>
          <t>LU2528864353</t>
        </is>
      </c>
      <c r="C240" s="67" t="n"/>
      <c r="D240" s="67" t="n"/>
      <c r="E240" s="68" t="n"/>
      <c r="F240" s="67" t="n"/>
      <c r="G240" s="68" t="n"/>
      <c r="H240" s="67" t="n"/>
      <c r="I240" s="67" t="n"/>
      <c r="J240" s="67" t="n"/>
      <c r="K240" s="69" t="n"/>
      <c r="L240" s="67" t="n"/>
      <c r="M240" s="67" t="n"/>
      <c r="N240" s="67" t="n"/>
      <c r="O240" s="67" t="n"/>
      <c r="P240" s="67" t="n"/>
      <c r="Q240" s="70" t="n"/>
      <c r="R240" s="70" t="n"/>
      <c r="S240" s="71" t="n"/>
      <c r="T240" s="72">
        <f>SUM(C240:S240)</f>
        <v/>
      </c>
      <c r="U240" s="73">
        <f>T240/T$7</f>
        <v/>
      </c>
      <c r="V240" s="284">
        <f>W240*SUM(T$231:T$236)</f>
        <v/>
      </c>
      <c r="W240" s="130" t="n">
        <v>0.024</v>
      </c>
      <c r="X240" s="280" t="n"/>
      <c r="Y240" s="118" t="n"/>
      <c r="Z240" s="281" t="n"/>
      <c r="AA240" s="118" t="n"/>
      <c r="AB240" s="280" t="n"/>
      <c r="AC240" s="118" t="n"/>
      <c r="AD240" s="282">
        <f>T240+V240+X240+AB240+Z240</f>
        <v/>
      </c>
      <c r="AE240" s="73">
        <f>AD240/AD$7</f>
        <v/>
      </c>
      <c r="AF240" s="74" t="n">
        <v>6</v>
      </c>
      <c r="AG240" s="76">
        <f>AD240*AF240</f>
        <v/>
      </c>
    </row>
    <row r="241" ht="13.5" customFormat="1" customHeight="1" s="29">
      <c r="A241" s="65" t="inlineStr">
        <is>
          <t>CollerEquity</t>
        </is>
      </c>
      <c r="B241" s="66" t="inlineStr">
        <is>
          <t>LU2884017059</t>
        </is>
      </c>
      <c r="C241" s="67" t="n"/>
      <c r="D241" s="67" t="n"/>
      <c r="E241" s="68" t="n"/>
      <c r="F241" s="67" t="n"/>
      <c r="G241" s="68" t="n"/>
      <c r="H241" s="67" t="n"/>
      <c r="I241" s="67" t="n"/>
      <c r="J241" s="67" t="n"/>
      <c r="K241" s="69" t="n"/>
      <c r="L241" s="67" t="n"/>
      <c r="M241" s="67" t="n"/>
      <c r="N241" s="67" t="n"/>
      <c r="O241" s="67" t="n"/>
      <c r="P241" s="67" t="n"/>
      <c r="Q241" s="70" t="n"/>
      <c r="R241" s="70" t="n"/>
      <c r="S241" s="71" t="n"/>
      <c r="T241" s="72">
        <f>SUM(C241:S241)</f>
        <v/>
      </c>
      <c r="U241" s="73">
        <f>T241/T$7</f>
        <v/>
      </c>
      <c r="V241" s="284">
        <f>W241*SUM(T$231:T$236)</f>
        <v/>
      </c>
      <c r="W241" s="130" t="n">
        <v>0.089</v>
      </c>
      <c r="X241" s="280" t="n"/>
      <c r="Y241" s="118" t="n"/>
      <c r="Z241" s="281" t="n"/>
      <c r="AA241" s="118" t="n"/>
      <c r="AB241" s="280" t="n"/>
      <c r="AC241" s="118" t="n"/>
      <c r="AD241" s="282">
        <f>T241+V241+X241+AB241+Z241</f>
        <v/>
      </c>
      <c r="AE241" s="73">
        <f>AD241/AD$7</f>
        <v/>
      </c>
      <c r="AF241" s="74" t="n">
        <v>6</v>
      </c>
      <c r="AG241" s="76">
        <f>AD241*AF241</f>
        <v/>
      </c>
    </row>
    <row r="242" ht="13.5" customFormat="1" customHeight="1" s="29">
      <c r="A242" s="65" t="inlineStr">
        <is>
          <t>CVC PE Global Private Equity</t>
        </is>
      </c>
      <c r="B242" s="66" t="inlineStr">
        <is>
          <t>LU2926063467</t>
        </is>
      </c>
      <c r="C242" s="67" t="n"/>
      <c r="D242" s="67" t="n"/>
      <c r="E242" s="68" t="n"/>
      <c r="F242" s="67" t="n"/>
      <c r="G242" s="68" t="n"/>
      <c r="H242" s="67" t="n"/>
      <c r="I242" s="67" t="n"/>
      <c r="J242" s="67" t="n"/>
      <c r="K242" s="69" t="n"/>
      <c r="L242" s="67" t="n"/>
      <c r="M242" s="67" t="n"/>
      <c r="N242" s="67" t="n"/>
      <c r="O242" s="67" t="n"/>
      <c r="P242" s="67" t="n"/>
      <c r="Q242" s="70" t="n"/>
      <c r="R242" s="70" t="n"/>
      <c r="S242" s="71" t="n"/>
      <c r="T242" s="72">
        <f>SUM(C242:S242)</f>
        <v/>
      </c>
      <c r="U242" s="73">
        <f>T242/T$7</f>
        <v/>
      </c>
      <c r="V242" s="284">
        <f>W242*SUM(T$231:T$236)</f>
        <v/>
      </c>
      <c r="W242" s="130" t="n">
        <v>0.081</v>
      </c>
      <c r="X242" s="280" t="n"/>
      <c r="Y242" s="118" t="n"/>
      <c r="Z242" s="281" t="n"/>
      <c r="AA242" s="118" t="n"/>
      <c r="AB242" s="280" t="n"/>
      <c r="AC242" s="118" t="n"/>
      <c r="AD242" s="282">
        <f>T242+V242+X242+AB242+Z242</f>
        <v/>
      </c>
      <c r="AE242" s="73">
        <f>AD242/AD$7</f>
        <v/>
      </c>
      <c r="AF242" s="74" t="n">
        <v>4</v>
      </c>
      <c r="AG242" s="76">
        <f>AD242*AF242</f>
        <v/>
      </c>
    </row>
    <row r="243" ht="13.5" customFormat="1" customHeight="1" s="29">
      <c r="A243" s="65" t="inlineStr">
        <is>
          <t>BridgePoint Generations</t>
        </is>
      </c>
      <c r="B243" s="66" t="inlineStr">
        <is>
          <t>LU3192960857</t>
        </is>
      </c>
      <c r="C243" s="67" t="n"/>
      <c r="D243" s="67" t="n"/>
      <c r="E243" s="68" t="n"/>
      <c r="F243" s="67" t="n"/>
      <c r="G243" s="68" t="n"/>
      <c r="H243" s="67" t="n"/>
      <c r="I243" s="67" t="n"/>
      <c r="J243" s="67" t="n"/>
      <c r="K243" s="69" t="n"/>
      <c r="L243" s="67" t="n"/>
      <c r="M243" s="67" t="n"/>
      <c r="N243" s="67" t="n"/>
      <c r="O243" s="67" t="n"/>
      <c r="P243" s="67" t="n"/>
      <c r="Q243" s="70" t="n"/>
      <c r="R243" s="70" t="n"/>
      <c r="S243" s="71" t="n"/>
      <c r="T243" s="72">
        <f>SUM(C243:S243)</f>
        <v/>
      </c>
      <c r="U243" s="73">
        <f>T243/T$7</f>
        <v/>
      </c>
      <c r="V243" s="284">
        <f>W243*SUM(T$231:T$236)</f>
        <v/>
      </c>
      <c r="W243" s="130" t="n">
        <v>0.094</v>
      </c>
      <c r="X243" s="280" t="n"/>
      <c r="Y243" s="118" t="n"/>
      <c r="Z243" s="281" t="n"/>
      <c r="AA243" s="118" t="n"/>
      <c r="AB243" s="280" t="n"/>
      <c r="AC243" s="118" t="n"/>
      <c r="AD243" s="282">
        <f>T243+V243+X243+AB243+Z243</f>
        <v/>
      </c>
      <c r="AE243" s="73">
        <f>AD243/AD$7</f>
        <v/>
      </c>
      <c r="AF243" s="74" t="n">
        <v>4</v>
      </c>
      <c r="AG243" s="76">
        <f>AD243*AF243</f>
        <v/>
      </c>
    </row>
    <row r="244" ht="13.5" customFormat="1" customHeight="1" s="29">
      <c r="A244" s="65" t="inlineStr">
        <is>
          <t>EQT Nexus Fund SICAV I</t>
        </is>
      </c>
      <c r="B244" s="66" t="inlineStr">
        <is>
          <t>LU2617117614</t>
        </is>
      </c>
      <c r="C244" s="67" t="n"/>
      <c r="D244" s="67" t="n"/>
      <c r="E244" s="68" t="n"/>
      <c r="F244" s="67" t="n"/>
      <c r="G244" s="68" t="n"/>
      <c r="H244" s="67" t="n"/>
      <c r="I244" s="67" t="n"/>
      <c r="J244" s="67" t="n"/>
      <c r="K244" s="69" t="n"/>
      <c r="L244" s="67" t="n"/>
      <c r="M244" s="67" t="n"/>
      <c r="N244" s="67" t="n"/>
      <c r="O244" s="67" t="n"/>
      <c r="P244" s="67" t="n"/>
      <c r="Q244" s="70" t="n"/>
      <c r="R244" s="70" t="n"/>
      <c r="S244" s="71" t="n"/>
      <c r="T244" s="72">
        <f>SUM(C244:S244)</f>
        <v/>
      </c>
      <c r="U244" s="73">
        <f>T244/T$7</f>
        <v/>
      </c>
      <c r="V244" s="284">
        <f>W244*SUM(T$231:T$236)</f>
        <v/>
      </c>
      <c r="W244" s="130" t="n">
        <v>0.06</v>
      </c>
      <c r="X244" s="280" t="n"/>
      <c r="Y244" s="118" t="n"/>
      <c r="Z244" s="281" t="n"/>
      <c r="AA244" s="118" t="n"/>
      <c r="AB244" s="280" t="n"/>
      <c r="AC244" s="118" t="n"/>
      <c r="AD244" s="282">
        <f>T244+V244+X244+AB244+Z244</f>
        <v/>
      </c>
      <c r="AE244" s="73">
        <f>AD244/AD$7</f>
        <v/>
      </c>
      <c r="AF244" s="74" t="n">
        <v>5</v>
      </c>
      <c r="AG244" s="76">
        <f>AD244*AF244</f>
        <v/>
      </c>
    </row>
    <row r="245" ht="13.5" customFormat="1" customHeight="1" s="29">
      <c r="A245" s="65" t="inlineStr">
        <is>
          <t>Archimed Med Access</t>
        </is>
      </c>
      <c r="B245" s="66" t="inlineStr">
        <is>
          <t>FR001400K4L0</t>
        </is>
      </c>
      <c r="C245" s="67" t="n"/>
      <c r="D245" s="67" t="n"/>
      <c r="E245" s="68" t="n"/>
      <c r="F245" s="67" t="n"/>
      <c r="G245" s="68" t="n"/>
      <c r="H245" s="67" t="n"/>
      <c r="I245" s="67" t="n"/>
      <c r="J245" s="67" t="n"/>
      <c r="K245" s="69" t="n"/>
      <c r="L245" s="67" t="n"/>
      <c r="M245" s="67" t="n"/>
      <c r="N245" s="67" t="n"/>
      <c r="O245" s="67" t="n"/>
      <c r="P245" s="67" t="n"/>
      <c r="Q245" s="70" t="n"/>
      <c r="R245" s="70" t="n"/>
      <c r="S245" s="71" t="n"/>
      <c r="T245" s="72">
        <f>SUM(C245:S245)</f>
        <v/>
      </c>
      <c r="U245" s="73">
        <f>T245/T$7</f>
        <v/>
      </c>
      <c r="V245" s="284">
        <f>W245*SUM(T$231:T$236)</f>
        <v/>
      </c>
      <c r="W245" s="130" t="n">
        <v>0.048</v>
      </c>
      <c r="X245" s="280" t="n"/>
      <c r="Y245" s="118" t="n"/>
      <c r="Z245" s="281" t="n"/>
      <c r="AA245" s="118" t="n"/>
      <c r="AB245" s="280" t="n"/>
      <c r="AC245" s="118" t="n"/>
      <c r="AD245" s="282">
        <f>T245+V245+X245+AB245+Z245</f>
        <v/>
      </c>
      <c r="AE245" s="73">
        <f>AD245/AD$7</f>
        <v/>
      </c>
      <c r="AF245" s="74" t="n">
        <v>6</v>
      </c>
      <c r="AG245" s="76">
        <f>AD245*AF245</f>
        <v/>
      </c>
    </row>
    <row r="246" ht="13.5" customFormat="1" customHeight="1" s="29">
      <c r="A246" s="65" t="inlineStr">
        <is>
          <t>Eurazeo ISF III</t>
        </is>
      </c>
      <c r="B246" s="66" t="inlineStr">
        <is>
          <t>/</t>
        </is>
      </c>
      <c r="C246" s="67" t="n"/>
      <c r="D246" s="67" t="n"/>
      <c r="E246" s="68" t="n"/>
      <c r="F246" s="67" t="n"/>
      <c r="G246" s="68" t="n"/>
      <c r="H246" s="67" t="n"/>
      <c r="I246" s="67" t="n"/>
      <c r="J246" s="67" t="n"/>
      <c r="K246" s="69" t="n"/>
      <c r="L246" s="67" t="n"/>
      <c r="M246" s="67" t="n"/>
      <c r="N246" s="67" t="n"/>
      <c r="O246" s="67" t="n"/>
      <c r="P246" s="67" t="n"/>
      <c r="Q246" s="70" t="n"/>
      <c r="R246" s="70" t="n"/>
      <c r="S246" s="71" t="n"/>
      <c r="T246" s="72">
        <f>SUM(C246:S246)</f>
        <v/>
      </c>
      <c r="U246" s="73">
        <f>T246/T$7</f>
        <v/>
      </c>
      <c r="V246" s="284">
        <f>W246*SUM(T$231:T$236)</f>
        <v/>
      </c>
      <c r="W246" s="130" t="n">
        <v>0.005</v>
      </c>
      <c r="X246" s="280" t="n"/>
      <c r="Y246" s="118" t="n"/>
      <c r="Z246" s="281" t="n"/>
      <c r="AA246" s="118" t="n"/>
      <c r="AB246" s="280" t="n"/>
      <c r="AC246" s="118" t="n"/>
      <c r="AD246" s="282">
        <f>T246+V246+X246+AB246+Z246</f>
        <v/>
      </c>
      <c r="AE246" s="73">
        <f>AD246/AD$7</f>
        <v/>
      </c>
      <c r="AF246" s="74" t="n">
        <v>6</v>
      </c>
      <c r="AG246" s="76">
        <f>AD246*AF246</f>
        <v/>
      </c>
    </row>
    <row r="247" ht="13.5" customFormat="1" customHeight="1" s="29">
      <c r="A247" s="65" t="inlineStr">
        <is>
          <t>Carlyle CPEP</t>
        </is>
      </c>
      <c r="B247" s="66" t="inlineStr">
        <is>
          <t>LU3212532884</t>
        </is>
      </c>
      <c r="C247" s="67" t="n"/>
      <c r="D247" s="67" t="n"/>
      <c r="E247" s="68" t="n"/>
      <c r="F247" s="67" t="n"/>
      <c r="G247" s="68" t="n"/>
      <c r="H247" s="67" t="n"/>
      <c r="I247" s="67" t="n"/>
      <c r="J247" s="67" t="n"/>
      <c r="K247" s="69" t="n"/>
      <c r="L247" s="67" t="n"/>
      <c r="M247" s="67" t="n"/>
      <c r="N247" s="67" t="n"/>
      <c r="O247" s="67" t="n"/>
      <c r="P247" s="67" t="n"/>
      <c r="Q247" s="70" t="n"/>
      <c r="R247" s="70" t="n"/>
      <c r="S247" s="71" t="n"/>
      <c r="T247" s="72">
        <f>SUM(C247:S247)</f>
        <v/>
      </c>
      <c r="U247" s="73">
        <f>T247/T$7</f>
        <v/>
      </c>
      <c r="V247" s="284">
        <f>W247*SUM(T$231:T$236)</f>
        <v/>
      </c>
      <c r="W247" s="130" t="n">
        <v>0.075</v>
      </c>
      <c r="X247" s="280" t="n"/>
      <c r="Y247" s="118" t="n"/>
      <c r="Z247" s="281" t="n"/>
      <c r="AA247" s="118" t="n"/>
      <c r="AB247" s="280" t="n"/>
      <c r="AC247" s="118" t="n"/>
      <c r="AD247" s="282">
        <f>T247+V247+X247+AB247+Z247</f>
        <v/>
      </c>
      <c r="AE247" s="73">
        <f>AD247/AD$7</f>
        <v/>
      </c>
      <c r="AF247" s="74" t="n">
        <v>6</v>
      </c>
      <c r="AG247" s="76">
        <f>AD247*AF247</f>
        <v/>
      </c>
    </row>
    <row r="248" ht="13.5" customFormat="1" customHeight="1" s="29">
      <c r="A248" s="65" t="inlineStr">
        <is>
          <t>Feeder RAISE Investissement S.L.P. A1</t>
        </is>
      </c>
      <c r="B248" s="66" t="inlineStr">
        <is>
          <t>FR001400IL92</t>
        </is>
      </c>
      <c r="C248" s="67" t="n"/>
      <c r="D248" s="67" t="n"/>
      <c r="E248" s="68" t="n"/>
      <c r="F248" s="67" t="n"/>
      <c r="G248" s="68" t="n"/>
      <c r="H248" s="67" t="n"/>
      <c r="I248" s="67" t="n"/>
      <c r="J248" s="67" t="n"/>
      <c r="K248" s="69" t="n"/>
      <c r="L248" s="67" t="n"/>
      <c r="M248" s="67" t="n"/>
      <c r="N248" s="67" t="n"/>
      <c r="O248" s="67" t="n"/>
      <c r="P248" s="67" t="n"/>
      <c r="Q248" s="70" t="n"/>
      <c r="R248" s="70" t="n"/>
      <c r="S248" s="71" t="n"/>
      <c r="T248" s="72">
        <f>SUM(C248:S248)</f>
        <v/>
      </c>
      <c r="U248" s="73">
        <f>T248/T$7</f>
        <v/>
      </c>
      <c r="V248" s="284">
        <f>W248*SUM(T$231:T$236)</f>
        <v/>
      </c>
      <c r="W248" s="130" t="n">
        <v>0.019</v>
      </c>
      <c r="X248" s="280" t="n"/>
      <c r="Y248" s="118" t="n"/>
      <c r="Z248" s="281" t="n"/>
      <c r="AA248" s="118" t="n"/>
      <c r="AB248" s="280" t="n"/>
      <c r="AC248" s="118" t="n"/>
      <c r="AD248" s="282">
        <f>T248+V248+X248+AB248+Z248</f>
        <v/>
      </c>
      <c r="AE248" s="73">
        <f>AD248/AD$7</f>
        <v/>
      </c>
      <c r="AF248" s="74" t="n">
        <v>6</v>
      </c>
      <c r="AG248" s="76">
        <f>AD248*AF248</f>
        <v/>
      </c>
    </row>
    <row r="249" ht="13.5" customHeight="1">
      <c r="A249" s="65" t="inlineStr">
        <is>
          <t>Co-Investissement Arlane - Santé</t>
        </is>
      </c>
      <c r="B249" s="75" t="inlineStr">
        <is>
          <t>/</t>
        </is>
      </c>
      <c r="C249" s="67" t="n"/>
      <c r="D249" s="67" t="n"/>
      <c r="E249" s="68" t="n"/>
      <c r="F249" s="68" t="n"/>
      <c r="G249" s="68" t="n"/>
      <c r="H249" s="67" t="n"/>
      <c r="I249" s="67" t="n"/>
      <c r="J249" s="67" t="n"/>
      <c r="K249" s="69" t="n"/>
      <c r="L249" s="67" t="n"/>
      <c r="M249" s="67" t="n"/>
      <c r="N249" s="67" t="n"/>
      <c r="O249" s="67" t="n"/>
      <c r="P249" s="67" t="n"/>
      <c r="Q249" s="70" t="n"/>
      <c r="R249" s="70" t="n"/>
      <c r="S249" s="71" t="n"/>
      <c r="T249" s="72">
        <f>SUM(C249:S249)</f>
        <v/>
      </c>
      <c r="U249" s="73">
        <f>T249/T$7</f>
        <v/>
      </c>
      <c r="V249" s="284">
        <f>W249*SUM(T$231:T$236)</f>
        <v/>
      </c>
      <c r="W249" s="130" t="n">
        <v>0.008999999999999999</v>
      </c>
      <c r="X249" s="280" t="n"/>
      <c r="Y249" s="118" t="n"/>
      <c r="Z249" s="281" t="n"/>
      <c r="AA249" s="118" t="n"/>
      <c r="AB249" s="280" t="n"/>
      <c r="AC249" s="118" t="n"/>
      <c r="AD249" s="282">
        <f>T249+V249+X249+AB249+Z249</f>
        <v/>
      </c>
      <c r="AE249" s="73">
        <f>AD249/AD$7</f>
        <v/>
      </c>
      <c r="AF249" s="94" t="n">
        <v>6</v>
      </c>
      <c r="AG249" s="76">
        <f>AD249*AF249</f>
        <v/>
      </c>
    </row>
    <row r="250" ht="13.5" customHeight="1">
      <c r="A250" s="65" t="inlineStr">
        <is>
          <t>Adams Street</t>
        </is>
      </c>
      <c r="B250" s="75" t="inlineStr">
        <is>
          <t>/</t>
        </is>
      </c>
      <c r="C250" s="67" t="n"/>
      <c r="D250" s="67" t="n"/>
      <c r="E250" s="68" t="n"/>
      <c r="F250" s="68" t="n"/>
      <c r="G250" s="68" t="n"/>
      <c r="H250" s="67" t="n"/>
      <c r="I250" s="67" t="n"/>
      <c r="J250" s="67" t="n"/>
      <c r="K250" s="69" t="n"/>
      <c r="L250" s="67" t="n"/>
      <c r="M250" s="67" t="n"/>
      <c r="N250" s="67" t="n"/>
      <c r="O250" s="67" t="n"/>
      <c r="P250" s="67" t="n"/>
      <c r="Q250" s="70" t="n"/>
      <c r="R250" s="70" t="n"/>
      <c r="S250" s="71" t="n"/>
      <c r="T250" s="72">
        <f>SUM(C250:S250)</f>
        <v/>
      </c>
      <c r="U250" s="73">
        <f>T250/T$7</f>
        <v/>
      </c>
      <c r="V250" s="284">
        <f>W250*SUM(T$231:T$236)</f>
        <v/>
      </c>
      <c r="W250" s="130" t="n">
        <v>0.037</v>
      </c>
      <c r="X250" s="280" t="n"/>
      <c r="Y250" s="118" t="n"/>
      <c r="Z250" s="281" t="n"/>
      <c r="AA250" s="118" t="n"/>
      <c r="AB250" s="280" t="n"/>
      <c r="AC250" s="118" t="n"/>
      <c r="AD250" s="282">
        <f>T250+V250+X250+AB250+Z250</f>
        <v/>
      </c>
      <c r="AE250" s="73">
        <f>AD250/AD$7</f>
        <v/>
      </c>
      <c r="AF250" s="94" t="n">
        <v>6</v>
      </c>
      <c r="AG250" s="76">
        <f>AD250*AF250</f>
        <v/>
      </c>
    </row>
    <row r="251" ht="13.5" customHeight="1">
      <c r="A251" s="65" t="inlineStr">
        <is>
          <t>KeenSight</t>
        </is>
      </c>
      <c r="B251" s="75" t="inlineStr">
        <is>
          <t>/</t>
        </is>
      </c>
      <c r="C251" s="67" t="n"/>
      <c r="D251" s="67" t="n"/>
      <c r="E251" s="68" t="n"/>
      <c r="F251" s="68" t="n"/>
      <c r="G251" s="68" t="n"/>
      <c r="H251" s="67" t="n"/>
      <c r="I251" s="67" t="n"/>
      <c r="J251" s="67" t="n"/>
      <c r="K251" s="69" t="n"/>
      <c r="L251" s="67" t="n"/>
      <c r="M251" s="67" t="n"/>
      <c r="N251" s="67" t="n"/>
      <c r="O251" s="67" t="n"/>
      <c r="P251" s="67" t="n"/>
      <c r="Q251" s="70" t="n"/>
      <c r="R251" s="70" t="n"/>
      <c r="S251" s="71" t="n"/>
      <c r="T251" s="72">
        <f>SUM(C251:S251)</f>
        <v/>
      </c>
      <c r="U251" s="73">
        <f>T251/T$7</f>
        <v/>
      </c>
      <c r="V251" s="284">
        <f>W251*SUM(T$231:T$236)</f>
        <v/>
      </c>
      <c r="W251" s="130" t="n">
        <v>0.011</v>
      </c>
      <c r="X251" s="280" t="n"/>
      <c r="Y251" s="118" t="n"/>
      <c r="Z251" s="281" t="n"/>
      <c r="AA251" s="118" t="n"/>
      <c r="AB251" s="280" t="n"/>
      <c r="AC251" s="118" t="n"/>
      <c r="AD251" s="282">
        <f>T251+V251+X251+AB251+Z251</f>
        <v/>
      </c>
      <c r="AE251" s="73">
        <f>AD251/AD$7</f>
        <v/>
      </c>
      <c r="AF251" s="94" t="n">
        <v>6</v>
      </c>
      <c r="AG251" s="76">
        <f>AD251*AF251</f>
        <v/>
      </c>
    </row>
    <row r="252" ht="13.5" customHeight="1">
      <c r="A252" s="65" t="inlineStr">
        <is>
          <t>Partners Group Global Value SICAV Class R-N</t>
        </is>
      </c>
      <c r="B252" s="66" t="inlineStr">
        <is>
          <t>LU1911739370</t>
        </is>
      </c>
      <c r="C252" s="67" t="n"/>
      <c r="D252" s="67" t="n"/>
      <c r="E252" s="68" t="n"/>
      <c r="F252" s="68" t="n"/>
      <c r="G252" s="68" t="n"/>
      <c r="H252" s="67" t="n"/>
      <c r="I252" s="67" t="n"/>
      <c r="J252" s="67" t="n"/>
      <c r="K252" s="69" t="n"/>
      <c r="L252" s="67" t="n"/>
      <c r="M252" s="67" t="n"/>
      <c r="N252" s="67" t="n"/>
      <c r="O252" s="67" t="n"/>
      <c r="P252" s="67" t="n"/>
      <c r="Q252" s="70" t="n"/>
      <c r="R252" s="70" t="n"/>
      <c r="S252" s="71" t="n"/>
      <c r="T252" s="72">
        <f>SUM(C252:S252)</f>
        <v/>
      </c>
      <c r="U252" s="73">
        <f>T252/T$7</f>
        <v/>
      </c>
      <c r="V252" s="280" t="n"/>
      <c r="W252" s="118" t="n"/>
      <c r="X252" s="280" t="n"/>
      <c r="Y252" s="118" t="n"/>
      <c r="Z252" s="281" t="n"/>
      <c r="AA252" s="118" t="n"/>
      <c r="AB252" s="280" t="n"/>
      <c r="AC252" s="118" t="n"/>
      <c r="AD252" s="282">
        <f>T252+V252+X252+AB252+Z252</f>
        <v/>
      </c>
      <c r="AE252" s="73">
        <f>AD252/AD$7</f>
        <v/>
      </c>
      <c r="AF252" s="74" t="n">
        <v>4</v>
      </c>
      <c r="AG252" s="76">
        <f>AD252*AF252</f>
        <v/>
      </c>
    </row>
    <row r="253" ht="13.5" customFormat="1" customHeight="1" s="29">
      <c r="A253" s="65" t="inlineStr">
        <is>
          <t>Partners Group Global Value SICAV E-N</t>
        </is>
      </c>
      <c r="B253" s="66" t="inlineStr">
        <is>
          <t>LU1911739297</t>
        </is>
      </c>
      <c r="C253" s="67" t="n"/>
      <c r="D253" s="67" t="n"/>
      <c r="E253" s="68" t="n"/>
      <c r="F253" s="67" t="n"/>
      <c r="G253" s="68" t="n"/>
      <c r="H253" s="67" t="n"/>
      <c r="I253" s="67" t="n"/>
      <c r="J253" s="67" t="n"/>
      <c r="K253" s="69" t="n"/>
      <c r="L253" s="67" t="n"/>
      <c r="M253" s="67" t="n"/>
      <c r="N253" s="67" t="n"/>
      <c r="O253" s="67" t="n"/>
      <c r="P253" s="67" t="n"/>
      <c r="Q253" s="70" t="n"/>
      <c r="R253" s="70" t="n"/>
      <c r="S253" s="71" t="n"/>
      <c r="T253" s="72">
        <f>SUM(C253:S253)</f>
        <v/>
      </c>
      <c r="U253" s="73">
        <f>T253/T$7</f>
        <v/>
      </c>
      <c r="V253" s="280" t="n"/>
      <c r="W253" s="118" t="n"/>
      <c r="X253" s="280" t="n"/>
      <c r="Y253" s="118" t="n"/>
      <c r="Z253" s="281" t="n"/>
      <c r="AA253" s="118" t="n"/>
      <c r="AB253" s="280" t="n"/>
      <c r="AC253" s="118" t="n"/>
      <c r="AD253" s="282">
        <f>T253+V253+X253+AB253+Z253</f>
        <v/>
      </c>
      <c r="AE253" s="73">
        <f>AD253/AD$7</f>
        <v/>
      </c>
      <c r="AF253" s="74" t="n">
        <v>4</v>
      </c>
      <c r="AG253" s="76">
        <f>AD253*AF253</f>
        <v/>
      </c>
    </row>
    <row r="254" ht="13.5" customFormat="1" customHeight="1" s="29">
      <c r="A254" s="65" t="inlineStr">
        <is>
          <t>Pantheon Global Private Equity B EUR</t>
        </is>
      </c>
      <c r="B254" s="66" t="inlineStr">
        <is>
          <t>LU2996228198</t>
        </is>
      </c>
      <c r="C254" s="67" t="n"/>
      <c r="D254" s="67" t="n"/>
      <c r="E254" s="68" t="n"/>
      <c r="F254" s="67" t="n"/>
      <c r="G254" s="68" t="n"/>
      <c r="H254" s="67" t="n"/>
      <c r="I254" s="67" t="n"/>
      <c r="J254" s="67" t="n"/>
      <c r="K254" s="69" t="n"/>
      <c r="L254" s="67" t="n"/>
      <c r="M254" s="67" t="n"/>
      <c r="N254" s="67" t="n"/>
      <c r="O254" s="67" t="n"/>
      <c r="P254" s="67" t="n"/>
      <c r="Q254" s="70" t="n"/>
      <c r="R254" s="70" t="n"/>
      <c r="S254" s="71" t="n"/>
      <c r="T254" s="72">
        <f>SUM(C254:S254)</f>
        <v/>
      </c>
      <c r="U254" s="73">
        <f>T254/T$7</f>
        <v/>
      </c>
      <c r="V254" s="280" t="n"/>
      <c r="W254" s="118" t="n"/>
      <c r="X254" s="280" t="n"/>
      <c r="Y254" s="118" t="n"/>
      <c r="Z254" s="281" t="n"/>
      <c r="AA254" s="118" t="n"/>
      <c r="AB254" s="280" t="n"/>
      <c r="AC254" s="118" t="n"/>
      <c r="AD254" s="282">
        <f>T254+V254+X254+AB254+Z254</f>
        <v/>
      </c>
      <c r="AE254" s="73">
        <f>AD254/AD$7</f>
        <v/>
      </c>
      <c r="AF254" s="74" t="n">
        <v>5</v>
      </c>
      <c r="AG254" s="76">
        <f>AD254*AF254</f>
        <v/>
      </c>
    </row>
    <row r="255" ht="13.5" customFormat="1" customHeight="1" s="29">
      <c r="A255" s="65" t="inlineStr">
        <is>
          <t>S64 VI PM Altoflex F00724</t>
        </is>
      </c>
      <c r="B255" s="66" t="inlineStr">
        <is>
          <t>LU2824051721</t>
        </is>
      </c>
      <c r="C255" s="67" t="n"/>
      <c r="D255" s="67" t="n"/>
      <c r="E255" s="68" t="n"/>
      <c r="F255" s="67" t="n"/>
      <c r="G255" s="68" t="n"/>
      <c r="H255" s="67" t="n"/>
      <c r="I255" s="67" t="n"/>
      <c r="J255" s="67" t="n"/>
      <c r="K255" s="69" t="n"/>
      <c r="L255" s="67" t="n"/>
      <c r="M255" s="67" t="n"/>
      <c r="N255" s="67" t="n"/>
      <c r="O255" s="67" t="n"/>
      <c r="P255" s="67" t="n"/>
      <c r="Q255" s="70" t="n"/>
      <c r="R255" s="70" t="n"/>
      <c r="S255" s="71" t="n"/>
      <c r="T255" s="72">
        <f>SUM(C255:S255)</f>
        <v/>
      </c>
      <c r="U255" s="73">
        <f>T255/T$7</f>
        <v/>
      </c>
      <c r="V255" s="280" t="n"/>
      <c r="W255" s="118" t="n"/>
      <c r="X255" s="280" t="n"/>
      <c r="Y255" s="118" t="n"/>
      <c r="Z255" s="281" t="n"/>
      <c r="AA255" s="118" t="n"/>
      <c r="AB255" s="280" t="n"/>
      <c r="AC255" s="118" t="n"/>
      <c r="AD255" s="282">
        <f>T255+V255+X255+AB255+Z255</f>
        <v/>
      </c>
      <c r="AE255" s="73">
        <f>AD255/AD$7</f>
        <v/>
      </c>
      <c r="AF255" s="74" t="n">
        <v>4</v>
      </c>
      <c r="AG255" s="76">
        <f>AD255*AF255</f>
        <v/>
      </c>
    </row>
    <row r="256" ht="13.5" customFormat="1" customHeight="1" s="29">
      <c r="A256" s="65" t="inlineStr">
        <is>
          <t>S64 VI PM Altoflex FPC F2</t>
        </is>
      </c>
      <c r="B256" s="66" t="inlineStr">
        <is>
          <t>LU2871047580</t>
        </is>
      </c>
      <c r="C256" s="67" t="n"/>
      <c r="D256" s="67" t="n"/>
      <c r="E256" s="68" t="n"/>
      <c r="F256" s="67" t="n"/>
      <c r="G256" s="68" t="n"/>
      <c r="H256" s="67" t="n"/>
      <c r="I256" s="67" t="n"/>
      <c r="J256" s="67" t="n"/>
      <c r="K256" s="69" t="n"/>
      <c r="L256" s="67" t="n"/>
      <c r="M256" s="67" t="n"/>
      <c r="N256" s="67" t="n"/>
      <c r="O256" s="67" t="n"/>
      <c r="P256" s="67" t="n"/>
      <c r="Q256" s="70" t="n"/>
      <c r="R256" s="70" t="n"/>
      <c r="S256" s="71" t="n"/>
      <c r="T256" s="72">
        <f>SUM(C256:S256)</f>
        <v/>
      </c>
      <c r="U256" s="73">
        <f>T256/T$7</f>
        <v/>
      </c>
      <c r="V256" s="280" t="n"/>
      <c r="W256" s="118" t="n"/>
      <c r="X256" s="280" t="n"/>
      <c r="Y256" s="118" t="n"/>
      <c r="Z256" s="281" t="n"/>
      <c r="AA256" s="118" t="n"/>
      <c r="AB256" s="280" t="n"/>
      <c r="AC256" s="118" t="n"/>
      <c r="AD256" s="282">
        <f>T256+V256+X256+AB256+Z256</f>
        <v/>
      </c>
      <c r="AE256" s="73">
        <f>AD256/AD$7</f>
        <v/>
      </c>
      <c r="AF256" s="74" t="n">
        <v>4</v>
      </c>
      <c r="AG256" s="76">
        <f>AD256*AF256</f>
        <v/>
      </c>
    </row>
    <row r="257" ht="13.5" customFormat="1" customHeight="1" s="29">
      <c r="A257" s="65" t="inlineStr">
        <is>
          <t>Clos Aquitaine 2017</t>
        </is>
      </c>
      <c r="B257" s="66" t="inlineStr">
        <is>
          <t>CLOSAQUI2017</t>
        </is>
      </c>
      <c r="C257" s="67" t="n"/>
      <c r="D257" s="67" t="n"/>
      <c r="E257" s="68" t="n"/>
      <c r="F257" s="67" t="n"/>
      <c r="G257" s="68" t="n"/>
      <c r="H257" s="67" t="n"/>
      <c r="I257" s="67" t="n"/>
      <c r="J257" s="67" t="n"/>
      <c r="K257" s="69" t="n"/>
      <c r="L257" s="67" t="n"/>
      <c r="M257" s="67" t="n"/>
      <c r="N257" s="67" t="n"/>
      <c r="O257" s="67" t="n"/>
      <c r="P257" s="67" t="n"/>
      <c r="Q257" s="70" t="n"/>
      <c r="R257" s="70" t="n"/>
      <c r="S257" s="71" t="n"/>
      <c r="T257" s="72">
        <f>SUM(C257:S257)</f>
        <v/>
      </c>
      <c r="U257" s="73">
        <f>T257/T$7</f>
        <v/>
      </c>
      <c r="V257" s="280" t="n"/>
      <c r="W257" s="118" t="n"/>
      <c r="X257" s="280" t="n"/>
      <c r="Y257" s="118" t="n"/>
      <c r="Z257" s="281" t="n"/>
      <c r="AA257" s="118" t="n"/>
      <c r="AB257" s="280" t="n"/>
      <c r="AC257" s="118" t="n"/>
      <c r="AD257" s="282">
        <f>T257+V257+X257+AB257+Z257</f>
        <v/>
      </c>
      <c r="AE257" s="73">
        <f>AD257/AD$7</f>
        <v/>
      </c>
      <c r="AF257" s="74" t="n">
        <v>6</v>
      </c>
      <c r="AG257" s="76">
        <f>AD257*AF257</f>
        <v/>
      </c>
    </row>
    <row r="258" ht="13.5" customFormat="1" customHeight="1" s="29">
      <c r="A258" s="65" t="inlineStr">
        <is>
          <t>FCPI Idinvest Patrimoine N°7</t>
        </is>
      </c>
      <c r="B258" s="66" t="inlineStr">
        <is>
          <t>FR0013224375</t>
        </is>
      </c>
      <c r="C258" s="67" t="n"/>
      <c r="D258" s="67" t="n"/>
      <c r="E258" s="68" t="n"/>
      <c r="F258" s="67" t="n"/>
      <c r="G258" s="68" t="n"/>
      <c r="H258" s="67" t="n"/>
      <c r="I258" s="67" t="n"/>
      <c r="J258" s="67" t="n"/>
      <c r="K258" s="69" t="n"/>
      <c r="L258" s="67" t="n"/>
      <c r="M258" s="67" t="n"/>
      <c r="N258" s="67" t="n"/>
      <c r="O258" s="67" t="n"/>
      <c r="P258" s="67" t="n"/>
      <c r="Q258" s="70" t="n"/>
      <c r="R258" s="70" t="n"/>
      <c r="S258" s="71" t="n"/>
      <c r="T258" s="72">
        <f>SUM(C258:S258)</f>
        <v/>
      </c>
      <c r="U258" s="73">
        <f>T258/T$7</f>
        <v/>
      </c>
      <c r="V258" s="280" t="n"/>
      <c r="W258" s="118" t="n"/>
      <c r="X258" s="280" t="n"/>
      <c r="Y258" s="118" t="n"/>
      <c r="Z258" s="281" t="n"/>
      <c r="AA258" s="118" t="n"/>
      <c r="AB258" s="280" t="n"/>
      <c r="AC258" s="118" t="n"/>
      <c r="AD258" s="282">
        <f>T258+V258+X258+AB258+Z258</f>
        <v/>
      </c>
      <c r="AE258" s="73">
        <f>AD258/AD$7</f>
        <v/>
      </c>
      <c r="AF258" s="74" t="n">
        <v>7</v>
      </c>
      <c r="AG258" s="76">
        <f>AD258*AF258</f>
        <v/>
      </c>
    </row>
    <row r="259" ht="13.5" customFormat="1" customHeight="1" s="29">
      <c r="A259" s="65" t="inlineStr">
        <is>
          <t>FCPR Idinvest Entrepreneur Club - Parts A</t>
        </is>
      </c>
      <c r="B259" s="66" t="inlineStr">
        <is>
          <t>FR0013415056</t>
        </is>
      </c>
      <c r="C259" s="67" t="n"/>
      <c r="D259" s="67" t="n"/>
      <c r="E259" s="68" t="n"/>
      <c r="F259" s="67" t="n"/>
      <c r="G259" s="68" t="n"/>
      <c r="H259" s="67" t="n"/>
      <c r="I259" s="67" t="n"/>
      <c r="J259" s="67" t="n"/>
      <c r="K259" s="69" t="n"/>
      <c r="L259" s="67" t="n"/>
      <c r="M259" s="67" t="n"/>
      <c r="N259" s="67" t="n"/>
      <c r="O259" s="67" t="n"/>
      <c r="P259" s="67" t="n"/>
      <c r="Q259" s="70" t="n"/>
      <c r="R259" s="70" t="n"/>
      <c r="S259" s="71" t="n"/>
      <c r="T259" s="72">
        <f>SUM(C259:S259)</f>
        <v/>
      </c>
      <c r="U259" s="73">
        <f>T259/T$7</f>
        <v/>
      </c>
      <c r="V259" s="280" t="n"/>
      <c r="W259" s="118" t="n"/>
      <c r="X259" s="280" t="n"/>
      <c r="Y259" s="118" t="n"/>
      <c r="Z259" s="281" t="n"/>
      <c r="AA259" s="118" t="n"/>
      <c r="AB259" s="280" t="n"/>
      <c r="AC259" s="118" t="n"/>
      <c r="AD259" s="282">
        <f>T259+V259+X259+AB259+Z259</f>
        <v/>
      </c>
      <c r="AE259" s="73">
        <f>AD259/AD$7</f>
        <v/>
      </c>
      <c r="AF259" s="74" t="n">
        <v>7</v>
      </c>
      <c r="AG259" s="76">
        <f>AD259*AF259</f>
        <v/>
      </c>
    </row>
    <row r="260" ht="13.5" customHeight="1">
      <c r="A260" s="65" t="inlineStr">
        <is>
          <t>FCPR Idinvest Strategic Opportunities 2 A</t>
        </is>
      </c>
      <c r="B260" s="66" t="inlineStr">
        <is>
          <t>FR0013411451</t>
        </is>
      </c>
      <c r="C260" s="67" t="n"/>
      <c r="D260" s="67" t="n"/>
      <c r="E260" s="67" t="n"/>
      <c r="F260" s="67" t="n"/>
      <c r="G260" s="68" t="n"/>
      <c r="H260" s="67" t="n"/>
      <c r="I260" s="67" t="n"/>
      <c r="J260" s="67" t="n"/>
      <c r="K260" s="69" t="n"/>
      <c r="L260" s="67" t="n"/>
      <c r="M260" s="67" t="n"/>
      <c r="N260" s="67" t="n"/>
      <c r="O260" s="67" t="n"/>
      <c r="P260" s="67" t="n"/>
      <c r="Q260" s="70" t="n"/>
      <c r="R260" s="70" t="n"/>
      <c r="S260" s="71" t="n"/>
      <c r="T260" s="72">
        <f>SUM(C260:S260)</f>
        <v/>
      </c>
      <c r="U260" s="73">
        <f>T260/T$7</f>
        <v/>
      </c>
      <c r="V260" s="280" t="n"/>
      <c r="W260" s="118" t="n"/>
      <c r="X260" s="280" t="n"/>
      <c r="Y260" s="118" t="n"/>
      <c r="Z260" s="281" t="n"/>
      <c r="AA260" s="118" t="n"/>
      <c r="AB260" s="280" t="n"/>
      <c r="AC260" s="118" t="n"/>
      <c r="AD260" s="282">
        <f>T260+V260+X260+AB260+Z260</f>
        <v/>
      </c>
      <c r="AE260" s="73">
        <f>AD260/AD$7</f>
        <v/>
      </c>
      <c r="AF260" s="74" t="n">
        <v>7</v>
      </c>
      <c r="AG260" s="76">
        <f>AD260*AF260</f>
        <v/>
      </c>
    </row>
    <row r="261" ht="13.5" customHeight="1">
      <c r="A261" s="65" t="inlineStr">
        <is>
          <t>FCPR Idinvest Strategic Opportunities Part A</t>
        </is>
      </c>
      <c r="B261" s="66" t="inlineStr">
        <is>
          <t>FR0013144128</t>
        </is>
      </c>
      <c r="C261" s="67" t="n"/>
      <c r="D261" s="67" t="n"/>
      <c r="E261" s="67" t="n"/>
      <c r="F261" s="67" t="n"/>
      <c r="G261" s="68" t="n"/>
      <c r="H261" s="67" t="n"/>
      <c r="I261" s="67" t="n"/>
      <c r="J261" s="67" t="n"/>
      <c r="K261" s="69" t="n"/>
      <c r="L261" s="67" t="n"/>
      <c r="M261" s="67" t="n"/>
      <c r="N261" s="67" t="n"/>
      <c r="O261" s="67" t="n"/>
      <c r="P261" s="67" t="n"/>
      <c r="Q261" s="70" t="n"/>
      <c r="R261" s="70" t="n"/>
      <c r="S261" s="71" t="n"/>
      <c r="T261" s="72">
        <f>SUM(C261:S261)</f>
        <v/>
      </c>
      <c r="U261" s="73">
        <f>T261/T$7</f>
        <v/>
      </c>
      <c r="V261" s="280" t="n"/>
      <c r="W261" s="118" t="n"/>
      <c r="X261" s="280" t="n"/>
      <c r="Y261" s="118" t="n"/>
      <c r="Z261" s="281" t="n"/>
      <c r="AA261" s="118" t="n"/>
      <c r="AB261" s="280" t="n"/>
      <c r="AC261" s="118" t="n"/>
      <c r="AD261" s="282">
        <f>T261+V261+X261+AB261+Z261</f>
        <v/>
      </c>
      <c r="AE261" s="73">
        <f>AD261/AD$7</f>
        <v/>
      </c>
      <c r="AF261" s="74" t="n">
        <v>7</v>
      </c>
      <c r="AG261" s="76">
        <f>AD261*AF261</f>
        <v/>
      </c>
    </row>
    <row r="262" ht="13.5" customFormat="1" customHeight="1" s="29">
      <c r="A262" s="65" t="inlineStr">
        <is>
          <t>Schroder Semi Liquid GPE</t>
        </is>
      </c>
      <c r="B262" s="66" t="inlineStr">
        <is>
          <t>LU2098888824</t>
        </is>
      </c>
      <c r="C262" s="67" t="n"/>
      <c r="D262" s="67" t="n"/>
      <c r="E262" s="68" t="n"/>
      <c r="F262" s="67" t="n"/>
      <c r="G262" s="68" t="n"/>
      <c r="H262" s="67" t="n"/>
      <c r="I262" s="67" t="n"/>
      <c r="J262" s="67" t="n"/>
      <c r="K262" s="69" t="n"/>
      <c r="L262" s="67" t="n"/>
      <c r="M262" s="67" t="n"/>
      <c r="N262" s="67" t="n"/>
      <c r="O262" s="67" t="n"/>
      <c r="P262" s="67" t="n"/>
      <c r="Q262" s="70" t="n"/>
      <c r="R262" s="70" t="n"/>
      <c r="S262" s="71" t="n"/>
      <c r="T262" s="72">
        <f>SUM(C262:S262)</f>
        <v/>
      </c>
      <c r="U262" s="73">
        <f>T262/T$7</f>
        <v/>
      </c>
      <c r="V262" s="280" t="n"/>
      <c r="W262" s="118" t="n"/>
      <c r="X262" s="280" t="n"/>
      <c r="Y262" s="118" t="n"/>
      <c r="Z262" s="281" t="n"/>
      <c r="AA262" s="118" t="n"/>
      <c r="AB262" s="280" t="n"/>
      <c r="AC262" s="118" t="n"/>
      <c r="AD262" s="282">
        <f>T262+V262+X262+AB262+Z262</f>
        <v/>
      </c>
      <c r="AE262" s="73">
        <f>AD262/AD$7</f>
        <v/>
      </c>
      <c r="AF262" s="74" t="n">
        <v>4</v>
      </c>
      <c r="AG262" s="76">
        <f>AD262*AF262</f>
        <v/>
      </c>
    </row>
    <row r="263" ht="13.5" customFormat="1" customHeight="1" s="29">
      <c r="A263" s="65" t="inlineStr">
        <is>
          <t xml:space="preserve">GF Lumyna Private Equity World </t>
        </is>
      </c>
      <c r="B263" s="66" t="inlineStr">
        <is>
          <t>FR0013504479</t>
        </is>
      </c>
      <c r="C263" s="67" t="n"/>
      <c r="D263" s="67" t="n"/>
      <c r="E263" s="68" t="n"/>
      <c r="F263" s="67" t="n"/>
      <c r="G263" s="68" t="n"/>
      <c r="H263" s="67" t="n"/>
      <c r="I263" s="67" t="n"/>
      <c r="J263" s="67" t="n"/>
      <c r="K263" s="69" t="n"/>
      <c r="L263" s="67" t="n"/>
      <c r="M263" s="67" t="n"/>
      <c r="N263" s="67" t="n"/>
      <c r="O263" s="67" t="n"/>
      <c r="P263" s="67" t="n"/>
      <c r="Q263" s="70" t="n"/>
      <c r="R263" s="70" t="n"/>
      <c r="S263" s="71" t="n"/>
      <c r="T263" s="72">
        <f>SUM(C263:S263)</f>
        <v/>
      </c>
      <c r="U263" s="73">
        <f>T263/T$7</f>
        <v/>
      </c>
      <c r="V263" s="280" t="n"/>
      <c r="W263" s="118" t="n"/>
      <c r="X263" s="280" t="n"/>
      <c r="Y263" s="118" t="n"/>
      <c r="Z263" s="281" t="n"/>
      <c r="AA263" s="118" t="n"/>
      <c r="AB263" s="280" t="n"/>
      <c r="AC263" s="118" t="n"/>
      <c r="AD263" s="282">
        <f>T263+V263+X263+AB263+Z263</f>
        <v/>
      </c>
      <c r="AE263" s="73">
        <f>AD263/AD$7</f>
        <v/>
      </c>
      <c r="AF263" s="74" t="n">
        <v>4</v>
      </c>
      <c r="AG263" s="76">
        <f>AD263*AF263</f>
        <v/>
      </c>
    </row>
    <row r="264" ht="13.5" customHeight="1">
      <c r="A264" s="65" t="inlineStr">
        <is>
          <t>NB Global Private Equity Access Fund I</t>
        </is>
      </c>
      <c r="B264" s="66" t="inlineStr">
        <is>
          <t>LU2496022059</t>
        </is>
      </c>
      <c r="C264" s="67" t="n"/>
      <c r="D264" s="67" t="n"/>
      <c r="E264" s="67" t="n"/>
      <c r="F264" s="67" t="n"/>
      <c r="G264" s="67" t="n"/>
      <c r="H264" s="67" t="n"/>
      <c r="I264" s="67" t="n"/>
      <c r="J264" s="67" t="n"/>
      <c r="K264" s="69" t="n"/>
      <c r="L264" s="67" t="n"/>
      <c r="M264" s="67" t="n"/>
      <c r="N264" s="67" t="n"/>
      <c r="O264" s="67" t="n"/>
      <c r="P264" s="67" t="n"/>
      <c r="Q264" s="70" t="n"/>
      <c r="R264" s="70" t="n"/>
      <c r="S264" s="71" t="n"/>
      <c r="T264" s="72">
        <f>SUM(C264:S264)</f>
        <v/>
      </c>
      <c r="U264" s="73">
        <f>T264/T$7</f>
        <v/>
      </c>
      <c r="V264" s="280" t="n"/>
      <c r="W264" s="118" t="n"/>
      <c r="X264" s="280" t="n"/>
      <c r="Y264" s="118" t="n"/>
      <c r="Z264" s="281" t="n"/>
      <c r="AA264" s="118" t="n"/>
      <c r="AB264" s="280" t="n"/>
      <c r="AC264" s="118" t="n"/>
      <c r="AD264" s="282">
        <f>T264+V264+X264+AB264+Z264</f>
        <v/>
      </c>
      <c r="AE264" s="73">
        <f>AD264/AD$7</f>
        <v/>
      </c>
      <c r="AF264" s="74" t="n">
        <v>4</v>
      </c>
      <c r="AG264" s="76">
        <f>AD264*AF264</f>
        <v/>
      </c>
    </row>
    <row r="265" ht="13.5" customFormat="1" customHeight="1" s="29">
      <c r="A265" s="65" t="inlineStr">
        <is>
          <t>Idinvest Secondary Fund III</t>
        </is>
      </c>
      <c r="B265" s="66" t="inlineStr">
        <is>
          <t>FR0013080140</t>
        </is>
      </c>
      <c r="C265" s="67" t="n"/>
      <c r="D265" s="67" t="n"/>
      <c r="E265" s="68" t="n"/>
      <c r="F265" s="67" t="n"/>
      <c r="G265" s="68" t="n"/>
      <c r="H265" s="67" t="n"/>
      <c r="I265" s="67" t="n"/>
      <c r="J265" s="67" t="n"/>
      <c r="K265" s="69" t="n"/>
      <c r="L265" s="67" t="n"/>
      <c r="M265" s="67" t="n"/>
      <c r="N265" s="67" t="n"/>
      <c r="O265" s="67" t="n"/>
      <c r="P265" s="67" t="n"/>
      <c r="Q265" s="70" t="n"/>
      <c r="R265" s="70" t="n"/>
      <c r="S265" s="71" t="n"/>
      <c r="T265" s="72">
        <f>SUM(C265:S265)</f>
        <v/>
      </c>
      <c r="U265" s="73">
        <f>T265/T$7</f>
        <v/>
      </c>
      <c r="V265" s="280" t="n"/>
      <c r="W265" s="118" t="n"/>
      <c r="X265" s="280" t="n"/>
      <c r="Y265" s="118" t="n"/>
      <c r="Z265" s="281" t="n"/>
      <c r="AA265" s="118" t="n"/>
      <c r="AB265" s="280" t="n"/>
      <c r="AC265" s="118" t="n"/>
      <c r="AD265" s="282">
        <f>T265+V265+X265+AB265+Z265</f>
        <v/>
      </c>
      <c r="AE265" s="73">
        <f>AD265/AD$7</f>
        <v/>
      </c>
      <c r="AF265" s="74" t="n">
        <v>6</v>
      </c>
      <c r="AG265" s="76">
        <f>AD265*AF265</f>
        <v/>
      </c>
    </row>
    <row r="266" ht="13.5" customFormat="1" customHeight="1" s="29">
      <c r="A266" s="65" t="inlineStr">
        <is>
          <t>Partners Fund SICAV Class I-N</t>
        </is>
      </c>
      <c r="B266" s="66" t="inlineStr">
        <is>
          <t>LU1912496582</t>
        </is>
      </c>
      <c r="C266" s="67" t="n"/>
      <c r="D266" s="67" t="n"/>
      <c r="E266" s="68" t="n"/>
      <c r="F266" s="67" t="n"/>
      <c r="G266" s="68" t="n"/>
      <c r="H266" s="67" t="n"/>
      <c r="I266" s="67" t="n"/>
      <c r="J266" s="67" t="n"/>
      <c r="K266" s="69" t="n"/>
      <c r="L266" s="67" t="n"/>
      <c r="M266" s="67" t="n"/>
      <c r="N266" s="67" t="n"/>
      <c r="O266" s="67" t="n"/>
      <c r="P266" s="67" t="n"/>
      <c r="Q266" s="70" t="n"/>
      <c r="R266" s="70" t="n"/>
      <c r="S266" s="71" t="n"/>
      <c r="T266" s="72">
        <f>SUM(C266:S266)</f>
        <v/>
      </c>
      <c r="U266" s="73">
        <f>T266/T$7</f>
        <v/>
      </c>
      <c r="V266" s="280" t="n"/>
      <c r="W266" s="118" t="n"/>
      <c r="X266" s="280" t="n"/>
      <c r="Y266" s="118" t="n"/>
      <c r="Z266" s="281" t="n"/>
      <c r="AA266" s="118" t="n"/>
      <c r="AB266" s="280" t="n"/>
      <c r="AC266" s="118" t="n"/>
      <c r="AD266" s="282">
        <f>T266+V266+X266+AB266+Z266</f>
        <v/>
      </c>
      <c r="AE266" s="73">
        <f>AD266/AD$7</f>
        <v/>
      </c>
      <c r="AF266" s="74" t="n">
        <v>4</v>
      </c>
      <c r="AG266" s="76">
        <f>AD266*AF266</f>
        <v/>
      </c>
    </row>
    <row r="267" ht="13.5" customFormat="1" customHeight="1" s="29">
      <c r="A267" s="65" t="inlineStr">
        <is>
          <t>Hamilton Lane Global Private Assets Fund - I EUR</t>
        </is>
      </c>
      <c r="B267" s="66" t="inlineStr">
        <is>
          <t>LU2097348770</t>
        </is>
      </c>
      <c r="C267" s="67" t="n"/>
      <c r="D267" s="67" t="n"/>
      <c r="E267" s="68" t="n"/>
      <c r="F267" s="67" t="n"/>
      <c r="G267" s="68" t="n"/>
      <c r="H267" s="67" t="n"/>
      <c r="I267" s="67" t="n"/>
      <c r="J267" s="67" t="n"/>
      <c r="K267" s="69" t="n"/>
      <c r="L267" s="67" t="n"/>
      <c r="M267" s="67" t="n"/>
      <c r="N267" s="67" t="n"/>
      <c r="O267" s="67" t="n"/>
      <c r="P267" s="67" t="n"/>
      <c r="Q267" s="70" t="n"/>
      <c r="R267" s="70" t="n"/>
      <c r="S267" s="71" t="n"/>
      <c r="T267" s="72">
        <f>SUM(C267:S267)</f>
        <v/>
      </c>
      <c r="U267" s="73">
        <f>T267/T$7</f>
        <v/>
      </c>
      <c r="V267" s="280" t="n"/>
      <c r="W267" s="118" t="n"/>
      <c r="X267" s="280" t="n"/>
      <c r="Y267" s="118" t="n"/>
      <c r="Z267" s="281" t="n"/>
      <c r="AA267" s="118" t="n"/>
      <c r="AB267" s="280" t="n"/>
      <c r="AC267" s="118" t="n"/>
      <c r="AD267" s="282">
        <f>T267+V267+X267+AB267+Z267</f>
        <v/>
      </c>
      <c r="AE267" s="73">
        <f>AD267/AD$7</f>
        <v/>
      </c>
      <c r="AF267" s="74" t="n">
        <v>6</v>
      </c>
      <c r="AG267" s="76">
        <f>AD267*AF267</f>
        <v/>
      </c>
    </row>
    <row r="268" ht="13.5" customFormat="1" customHeight="1" s="29">
      <c r="A268" s="65" t="inlineStr">
        <is>
          <t>LGT Multi-Alternatives Sub-Fund Class F (EUR)</t>
        </is>
      </c>
      <c r="B268" s="66" t="inlineStr">
        <is>
          <t>IE00BK5BHW86</t>
        </is>
      </c>
      <c r="C268" s="67" t="n"/>
      <c r="D268" s="67" t="n"/>
      <c r="E268" s="68" t="n"/>
      <c r="F268" s="68" t="n"/>
      <c r="G268" s="68" t="n"/>
      <c r="H268" s="67" t="n"/>
      <c r="I268" s="67" t="n"/>
      <c r="J268" s="67" t="n"/>
      <c r="K268" s="69" t="n"/>
      <c r="L268" s="67" t="n"/>
      <c r="M268" s="67" t="n"/>
      <c r="N268" s="67" t="n"/>
      <c r="O268" s="67" t="n"/>
      <c r="P268" s="67" t="n"/>
      <c r="Q268" s="70" t="n"/>
      <c r="R268" s="70" t="n"/>
      <c r="S268" s="71" t="n"/>
      <c r="T268" s="72">
        <f>SUM(C268:S268)</f>
        <v/>
      </c>
      <c r="U268" s="73">
        <f>T268/T$7</f>
        <v/>
      </c>
      <c r="V268" s="280" t="n"/>
      <c r="W268" s="118" t="n"/>
      <c r="X268" s="280" t="n"/>
      <c r="Y268" s="118" t="n"/>
      <c r="Z268" s="281" t="n"/>
      <c r="AA268" s="118" t="n"/>
      <c r="AB268" s="280" t="n"/>
      <c r="AC268" s="118" t="n"/>
      <c r="AD268" s="282">
        <f>T268+V268+X268+AB268+Z268</f>
        <v/>
      </c>
      <c r="AE268" s="73">
        <f>AD268/AD$7</f>
        <v/>
      </c>
      <c r="AF268" s="74" t="n">
        <v>4</v>
      </c>
      <c r="AG268" s="76">
        <f>AD268*AF268</f>
        <v/>
      </c>
    </row>
    <row r="269" ht="13.5" customHeight="1">
      <c r="A269" s="65" t="inlineStr">
        <is>
          <t>Andera Co-Invest I</t>
        </is>
      </c>
      <c r="B269" s="66" t="inlineStr">
        <is>
          <t>FR0014007HA4</t>
        </is>
      </c>
      <c r="C269" s="67" t="n"/>
      <c r="D269" s="67" t="n"/>
      <c r="E269" s="68" t="n"/>
      <c r="F269" s="68" t="n"/>
      <c r="G269" s="68" t="n"/>
      <c r="H269" s="67" t="n"/>
      <c r="I269" s="67" t="n"/>
      <c r="J269" s="67" t="n"/>
      <c r="K269" s="69" t="n"/>
      <c r="L269" s="67" t="n"/>
      <c r="M269" s="67" t="n"/>
      <c r="N269" s="67" t="n"/>
      <c r="O269" s="67" t="n"/>
      <c r="P269" s="67" t="n"/>
      <c r="Q269" s="70" t="n"/>
      <c r="R269" s="70" t="n"/>
      <c r="S269" s="71" t="n"/>
      <c r="T269" s="72">
        <f>SUM(C269:S269)</f>
        <v/>
      </c>
      <c r="U269" s="73">
        <f>T269/T$7</f>
        <v/>
      </c>
      <c r="V269" s="280" t="n"/>
      <c r="W269" s="118" t="n"/>
      <c r="X269" s="280" t="n"/>
      <c r="Y269" s="118" t="n"/>
      <c r="Z269" s="281" t="n"/>
      <c r="AA269" s="118" t="n"/>
      <c r="AB269" s="280" t="n"/>
      <c r="AC269" s="118" t="n"/>
      <c r="AD269" s="282">
        <f>T269+V269+X269+AB269+Z269</f>
        <v/>
      </c>
      <c r="AE269" s="73">
        <f>AD269/AD$7</f>
        <v/>
      </c>
      <c r="AF269" s="74" t="n">
        <v>7</v>
      </c>
      <c r="AG269" s="76">
        <f>AD269*AF269</f>
        <v/>
      </c>
    </row>
    <row r="270" ht="13.5" customHeight="1">
      <c r="A270" s="65" t="inlineStr">
        <is>
          <t>Apax Private Equity Opportunities</t>
        </is>
      </c>
      <c r="B270" s="66" t="inlineStr">
        <is>
          <t>FR0013533619</t>
        </is>
      </c>
      <c r="C270" s="67" t="n"/>
      <c r="D270" s="67" t="n"/>
      <c r="E270" s="68" t="n"/>
      <c r="F270" s="68" t="n"/>
      <c r="G270" s="68" t="n"/>
      <c r="H270" s="67" t="n"/>
      <c r="I270" s="67" t="n"/>
      <c r="J270" s="67" t="n"/>
      <c r="K270" s="69" t="n"/>
      <c r="L270" s="67" t="n"/>
      <c r="M270" s="67" t="n"/>
      <c r="N270" s="67" t="n"/>
      <c r="O270" s="67" t="n"/>
      <c r="P270" s="67" t="n"/>
      <c r="Q270" s="70" t="n"/>
      <c r="R270" s="70" t="n"/>
      <c r="S270" s="71" t="n"/>
      <c r="T270" s="72">
        <f>SUM(C270:S270)</f>
        <v/>
      </c>
      <c r="U270" s="73">
        <f>T270/T$7</f>
        <v/>
      </c>
      <c r="V270" s="280" t="n"/>
      <c r="W270" s="118" t="n"/>
      <c r="X270" s="280" t="n"/>
      <c r="Y270" s="118" t="n"/>
      <c r="Z270" s="281" t="n"/>
      <c r="AA270" s="118" t="n"/>
      <c r="AB270" s="280" t="n"/>
      <c r="AC270" s="118" t="n"/>
      <c r="AD270" s="282">
        <f>T270+V270+X270+AB270+Z270</f>
        <v/>
      </c>
      <c r="AE270" s="73">
        <f>AD270/AD$7</f>
        <v/>
      </c>
      <c r="AF270" s="74" t="n">
        <v>6</v>
      </c>
      <c r="AG270" s="76">
        <f>AD270*AF270</f>
        <v/>
      </c>
    </row>
    <row r="271" ht="13.5" customHeight="1">
      <c r="A271" s="65" t="inlineStr">
        <is>
          <t>Partners Fund SICAV Class R-N</t>
        </is>
      </c>
      <c r="B271" s="66" t="inlineStr">
        <is>
          <t>LU1912497127</t>
        </is>
      </c>
      <c r="C271" s="67" t="n"/>
      <c r="D271" s="67" t="n"/>
      <c r="E271" s="68" t="n"/>
      <c r="F271" s="68" t="n"/>
      <c r="G271" s="68" t="n"/>
      <c r="H271" s="67" t="n"/>
      <c r="I271" s="67" t="n"/>
      <c r="J271" s="67" t="n"/>
      <c r="K271" s="69" t="n"/>
      <c r="L271" s="67" t="n"/>
      <c r="M271" s="67" t="n"/>
      <c r="N271" s="67" t="n"/>
      <c r="O271" s="67" t="n"/>
      <c r="P271" s="67" t="n"/>
      <c r="Q271" s="70" t="n"/>
      <c r="R271" s="70" t="n"/>
      <c r="S271" s="71" t="n"/>
      <c r="T271" s="72">
        <f>SUM(C271:S271)</f>
        <v/>
      </c>
      <c r="U271" s="73">
        <f>T271/T$7</f>
        <v/>
      </c>
      <c r="V271" s="280" t="n"/>
      <c r="W271" s="118" t="n"/>
      <c r="X271" s="280" t="n"/>
      <c r="Y271" s="118" t="n"/>
      <c r="Z271" s="281" t="n"/>
      <c r="AA271" s="118" t="n"/>
      <c r="AB271" s="280" t="n"/>
      <c r="AC271" s="118" t="n"/>
      <c r="AD271" s="282">
        <f>T271+V271+X271+AB271+Z271</f>
        <v/>
      </c>
      <c r="AE271" s="73">
        <f>AD271/AD$7</f>
        <v/>
      </c>
      <c r="AF271" s="74" t="n">
        <v>4</v>
      </c>
      <c r="AG271" s="76">
        <f>AD271*AF271</f>
        <v/>
      </c>
    </row>
    <row r="272" ht="13.5" customHeight="1">
      <c r="A272" s="65" t="inlineStr">
        <is>
          <t>Private Corner Secondary Fund 2022 A1</t>
        </is>
      </c>
      <c r="B272" s="66" t="inlineStr">
        <is>
          <t>FR0014009FU2</t>
        </is>
      </c>
      <c r="C272" s="67" t="n"/>
      <c r="D272" s="67" t="n"/>
      <c r="E272" s="68" t="n"/>
      <c r="F272" s="68" t="n"/>
      <c r="G272" s="68" t="n"/>
      <c r="H272" s="67" t="n"/>
      <c r="I272" s="67" t="n"/>
      <c r="J272" s="67" t="n"/>
      <c r="K272" s="69" t="n"/>
      <c r="L272" s="67" t="n"/>
      <c r="M272" s="67" t="n"/>
      <c r="N272" s="67" t="n"/>
      <c r="O272" s="67" t="n"/>
      <c r="P272" s="67" t="n"/>
      <c r="Q272" s="70" t="n"/>
      <c r="R272" s="70" t="n"/>
      <c r="S272" s="71" t="n"/>
      <c r="T272" s="72">
        <f>SUM(C272:S272)</f>
        <v/>
      </c>
      <c r="U272" s="73">
        <f>T272/T$7</f>
        <v/>
      </c>
      <c r="V272" s="280" t="n"/>
      <c r="W272" s="118" t="n"/>
      <c r="X272" s="280" t="n"/>
      <c r="Y272" s="118" t="n"/>
      <c r="Z272" s="281" t="n"/>
      <c r="AA272" s="118" t="n"/>
      <c r="AB272" s="280" t="n"/>
      <c r="AC272" s="118" t="n"/>
      <c r="AD272" s="282">
        <f>T272+V272+X272+AB272+Z272</f>
        <v/>
      </c>
      <c r="AE272" s="73">
        <f>AD272/AD$7</f>
        <v/>
      </c>
      <c r="AF272" s="74" t="n">
        <v>6</v>
      </c>
      <c r="AG272" s="76">
        <f>AD272*AF272</f>
        <v/>
      </c>
    </row>
    <row r="273" ht="13.5" customHeight="1">
      <c r="A273" s="65" t="inlineStr">
        <is>
          <t>Private Corner Secondary Fund 2022 A2</t>
        </is>
      </c>
      <c r="B273" s="66" t="inlineStr">
        <is>
          <t>FR0014009FV0</t>
        </is>
      </c>
      <c r="C273" s="67" t="n"/>
      <c r="D273" s="67" t="n"/>
      <c r="E273" s="68" t="n"/>
      <c r="F273" s="68" t="n"/>
      <c r="G273" s="68" t="n"/>
      <c r="H273" s="67" t="n"/>
      <c r="I273" s="67" t="n"/>
      <c r="J273" s="67" t="n"/>
      <c r="K273" s="69" t="n"/>
      <c r="L273" s="67" t="n"/>
      <c r="M273" s="67" t="n"/>
      <c r="N273" s="67" t="n"/>
      <c r="O273" s="67" t="n"/>
      <c r="P273" s="67" t="n"/>
      <c r="Q273" s="70" t="n"/>
      <c r="R273" s="70" t="n"/>
      <c r="S273" s="71" t="n"/>
      <c r="T273" s="72">
        <f>SUM(C273:S273)</f>
        <v/>
      </c>
      <c r="U273" s="73">
        <f>T273/T$7</f>
        <v/>
      </c>
      <c r="V273" s="280" t="n"/>
      <c r="W273" s="118" t="n"/>
      <c r="X273" s="280" t="n"/>
      <c r="Y273" s="118" t="n"/>
      <c r="Z273" s="281" t="n"/>
      <c r="AA273" s="118" t="n"/>
      <c r="AB273" s="280" t="n"/>
      <c r="AC273" s="118" t="n"/>
      <c r="AD273" s="282">
        <f>T273+V273+X273+AB273+Z273</f>
        <v/>
      </c>
      <c r="AE273" s="73">
        <f>AD273/AD$7</f>
        <v/>
      </c>
      <c r="AF273" s="74" t="n">
        <v>6</v>
      </c>
      <c r="AG273" s="76">
        <f>AD273*AF273</f>
        <v/>
      </c>
    </row>
    <row r="274" ht="13.5" customHeight="1">
      <c r="A274" s="65" t="inlineStr">
        <is>
          <t>Private Corner Wealth Co-Investment A1</t>
        </is>
      </c>
      <c r="B274" s="66" t="inlineStr">
        <is>
          <t>FR0014005Z14</t>
        </is>
      </c>
      <c r="C274" s="67" t="n"/>
      <c r="D274" s="67" t="n"/>
      <c r="E274" s="68" t="n"/>
      <c r="F274" s="68" t="n"/>
      <c r="G274" s="68" t="n"/>
      <c r="H274" s="67" t="n"/>
      <c r="I274" s="67" t="n"/>
      <c r="J274" s="67" t="n"/>
      <c r="K274" s="69" t="n"/>
      <c r="L274" s="67" t="n"/>
      <c r="M274" s="67" t="n"/>
      <c r="N274" s="67" t="n"/>
      <c r="O274" s="67" t="n"/>
      <c r="P274" s="67" t="n"/>
      <c r="Q274" s="70" t="n"/>
      <c r="R274" s="70" t="n"/>
      <c r="S274" s="71" t="n"/>
      <c r="T274" s="72">
        <f>SUM(C274:S274)</f>
        <v/>
      </c>
      <c r="U274" s="73">
        <f>T274/T$7</f>
        <v/>
      </c>
      <c r="V274" s="280" t="n"/>
      <c r="W274" s="118" t="n"/>
      <c r="X274" s="280" t="n"/>
      <c r="Y274" s="118" t="n"/>
      <c r="Z274" s="281" t="n"/>
      <c r="AA274" s="118" t="n"/>
      <c r="AB274" s="280" t="n"/>
      <c r="AC274" s="118" t="n"/>
      <c r="AD274" s="282">
        <f>T274+V274+X274+AB274+Z274</f>
        <v/>
      </c>
      <c r="AE274" s="73">
        <f>AD274/AD$7</f>
        <v/>
      </c>
      <c r="AF274" s="74" t="n">
        <v>6</v>
      </c>
      <c r="AG274" s="76">
        <f>AD274*AF274</f>
        <v/>
      </c>
    </row>
    <row r="275" ht="13.5" customHeight="1">
      <c r="A275" s="65" t="inlineStr">
        <is>
          <t>Private Corner Wealth Co-Investment A2</t>
        </is>
      </c>
      <c r="B275" s="66" t="inlineStr">
        <is>
          <t>FR0014005Z22</t>
        </is>
      </c>
      <c r="C275" s="67" t="n"/>
      <c r="D275" s="67" t="n"/>
      <c r="E275" s="68" t="n"/>
      <c r="F275" s="68" t="n"/>
      <c r="G275" s="68" t="n"/>
      <c r="H275" s="67" t="n"/>
      <c r="I275" s="67" t="n"/>
      <c r="J275" s="67" t="n"/>
      <c r="K275" s="69" t="n"/>
      <c r="L275" s="67" t="n"/>
      <c r="M275" s="67" t="n"/>
      <c r="N275" s="67" t="n"/>
      <c r="O275" s="67" t="n"/>
      <c r="P275" s="67" t="n"/>
      <c r="Q275" s="70" t="n"/>
      <c r="R275" s="70" t="n"/>
      <c r="S275" s="71" t="n"/>
      <c r="T275" s="72">
        <f>SUM(C275:S275)</f>
        <v/>
      </c>
      <c r="U275" s="73">
        <f>T275/T$7</f>
        <v/>
      </c>
      <c r="V275" s="280" t="n"/>
      <c r="W275" s="118" t="n"/>
      <c r="X275" s="280" t="n"/>
      <c r="Y275" s="118" t="n"/>
      <c r="Z275" s="281" t="n"/>
      <c r="AA275" s="118" t="n"/>
      <c r="AB275" s="280" t="n"/>
      <c r="AC275" s="118" t="n"/>
      <c r="AD275" s="282">
        <f>T275+V275+X275+AB275+Z275</f>
        <v/>
      </c>
      <c r="AE275" s="73">
        <f>AD275/AD$7</f>
        <v/>
      </c>
      <c r="AF275" s="74" t="n">
        <v>6</v>
      </c>
      <c r="AG275" s="76">
        <f>AD275*AF275</f>
        <v/>
      </c>
    </row>
    <row r="276" ht="13.5" customHeight="1">
      <c r="A276" s="65" t="inlineStr">
        <is>
          <t>Eurazeo Principal Investments</t>
        </is>
      </c>
      <c r="B276" s="66" t="inlineStr">
        <is>
          <t>FR00140086L7</t>
        </is>
      </c>
      <c r="C276" s="67" t="n"/>
      <c r="D276" s="67" t="n"/>
      <c r="E276" s="68" t="n"/>
      <c r="F276" s="68" t="n"/>
      <c r="G276" s="68" t="n"/>
      <c r="H276" s="67" t="n"/>
      <c r="I276" s="67" t="n"/>
      <c r="J276" s="67" t="n"/>
      <c r="K276" s="69" t="n"/>
      <c r="L276" s="67" t="n"/>
      <c r="M276" s="67" t="n"/>
      <c r="N276" s="67" t="n"/>
      <c r="O276" s="67" t="n"/>
      <c r="P276" s="67" t="n"/>
      <c r="Q276" s="70" t="n"/>
      <c r="R276" s="70" t="n"/>
      <c r="S276" s="71" t="n"/>
      <c r="T276" s="72">
        <f>SUM(C276:S276)</f>
        <v/>
      </c>
      <c r="U276" s="73">
        <f>T276/T$7</f>
        <v/>
      </c>
      <c r="V276" s="280" t="n"/>
      <c r="W276" s="118" t="n"/>
      <c r="X276" s="280" t="n"/>
      <c r="Y276" s="118" t="n"/>
      <c r="Z276" s="281" t="n"/>
      <c r="AA276" s="118" t="n"/>
      <c r="AB276" s="280" t="n"/>
      <c r="AC276" s="118" t="n"/>
      <c r="AD276" s="282">
        <f>T276+V276+X276+AB276+Z276</f>
        <v/>
      </c>
      <c r="AE276" s="73">
        <f>AD276/AD$7</f>
        <v/>
      </c>
      <c r="AF276" s="74" t="n">
        <v>7</v>
      </c>
      <c r="AG276" s="76">
        <f>AD276*AF276</f>
        <v/>
      </c>
    </row>
    <row r="277" ht="13.5" customHeight="1">
      <c r="A277" s="65" t="inlineStr">
        <is>
          <t>Siparex Equivie</t>
        </is>
      </c>
      <c r="B277" s="66" t="inlineStr">
        <is>
          <t>FR0013351947</t>
        </is>
      </c>
      <c r="C277" s="67" t="n"/>
      <c r="D277" s="67" t="n"/>
      <c r="E277" s="68" t="n"/>
      <c r="F277" s="68" t="n"/>
      <c r="G277" s="68" t="n"/>
      <c r="H277" s="67" t="n"/>
      <c r="I277" s="67" t="n"/>
      <c r="J277" s="67" t="n"/>
      <c r="K277" s="69" t="n"/>
      <c r="L277" s="67" t="n"/>
      <c r="M277" s="67" t="n"/>
      <c r="N277" s="67" t="n"/>
      <c r="O277" s="67" t="n"/>
      <c r="P277" s="67" t="n"/>
      <c r="Q277" s="70" t="n"/>
      <c r="R277" s="70" t="n"/>
      <c r="S277" s="71" t="n"/>
      <c r="T277" s="72">
        <f>SUM(C277:S277)</f>
        <v/>
      </c>
      <c r="U277" s="73">
        <f>T277/T$7</f>
        <v/>
      </c>
      <c r="V277" s="280" t="n"/>
      <c r="W277" s="118" t="n"/>
      <c r="X277" s="280" t="n"/>
      <c r="Y277" s="118" t="n"/>
      <c r="Z277" s="281" t="n"/>
      <c r="AA277" s="118" t="n"/>
      <c r="AB277" s="280" t="n"/>
      <c r="AC277" s="118" t="n"/>
      <c r="AD277" s="282">
        <f>T277+V277+X277+AB277+Z277</f>
        <v/>
      </c>
      <c r="AE277" s="73">
        <f>AD277/AD$7</f>
        <v/>
      </c>
      <c r="AF277" s="74" t="n">
        <v>6</v>
      </c>
      <c r="AG277" s="76">
        <f>AD277*AF277</f>
        <v/>
      </c>
    </row>
    <row r="278" ht="13.5" customHeight="1">
      <c r="A278" s="65" t="inlineStr">
        <is>
          <t>Ardian Access Solution</t>
        </is>
      </c>
      <c r="B278" s="66" t="inlineStr">
        <is>
          <t>FR001400AUA7</t>
        </is>
      </c>
      <c r="C278" s="67" t="n"/>
      <c r="D278" s="67" t="n"/>
      <c r="E278" s="68" t="n"/>
      <c r="F278" s="68" t="n"/>
      <c r="G278" s="68" t="n"/>
      <c r="H278" s="67" t="n"/>
      <c r="I278" s="67" t="n"/>
      <c r="J278" s="67" t="n"/>
      <c r="K278" s="69" t="n"/>
      <c r="L278" s="67" t="n"/>
      <c r="M278" s="67" t="n"/>
      <c r="N278" s="67" t="n"/>
      <c r="O278" s="67" t="n"/>
      <c r="P278" s="67" t="n"/>
      <c r="Q278" s="70" t="n"/>
      <c r="R278" s="70" t="n"/>
      <c r="S278" s="71" t="n"/>
      <c r="T278" s="72">
        <f>SUM(C278:S278)</f>
        <v/>
      </c>
      <c r="U278" s="73">
        <f>T278/T$7</f>
        <v/>
      </c>
      <c r="V278" s="280" t="n"/>
      <c r="W278" s="118" t="n"/>
      <c r="X278" s="280" t="n"/>
      <c r="Y278" s="118" t="n"/>
      <c r="Z278" s="281" t="n"/>
      <c r="AA278" s="118" t="n"/>
      <c r="AB278" s="280" t="n"/>
      <c r="AC278" s="118" t="n"/>
      <c r="AD278" s="282">
        <f>T278+V278+X278+AB278+Z278</f>
        <v/>
      </c>
      <c r="AE278" s="73">
        <f>AD278/AD$7</f>
        <v/>
      </c>
      <c r="AF278" s="74" t="n">
        <v>7</v>
      </c>
      <c r="AG278" s="76">
        <f>AD278*AF278</f>
        <v/>
      </c>
    </row>
    <row r="279" ht="13.5" customHeight="1">
      <c r="A279" s="65" t="inlineStr">
        <is>
          <t>FCPR Entrepreneurs Sélection Secondaire</t>
        </is>
      </c>
      <c r="B279" s="66" t="inlineStr">
        <is>
          <t>FR001400HHK8</t>
        </is>
      </c>
      <c r="C279" s="67" t="n"/>
      <c r="D279" s="67" t="n"/>
      <c r="E279" s="67" t="n"/>
      <c r="F279" s="67" t="n"/>
      <c r="G279" s="68" t="n"/>
      <c r="H279" s="67" t="n"/>
      <c r="I279" s="67" t="n"/>
      <c r="J279" s="67" t="n"/>
      <c r="K279" s="69" t="n"/>
      <c r="L279" s="67" t="n"/>
      <c r="M279" s="67" t="n"/>
      <c r="N279" s="67" t="n"/>
      <c r="O279" s="67" t="n"/>
      <c r="P279" s="67" t="n"/>
      <c r="Q279" s="70" t="n"/>
      <c r="R279" s="70" t="n"/>
      <c r="S279" s="71" t="n"/>
      <c r="T279" s="72">
        <f>SUM(C279:S279)</f>
        <v/>
      </c>
      <c r="U279" s="73">
        <f>T279/T$7</f>
        <v/>
      </c>
      <c r="V279" s="280" t="n"/>
      <c r="W279" s="118" t="n"/>
      <c r="X279" s="280" t="n"/>
      <c r="Y279" s="118" t="n"/>
      <c r="Z279" s="281" t="n"/>
      <c r="AA279" s="118" t="n"/>
      <c r="AB279" s="280" t="n"/>
      <c r="AC279" s="118" t="n"/>
      <c r="AD279" s="282">
        <f>T279+V279+X279+AB279+Z279</f>
        <v/>
      </c>
      <c r="AE279" s="73">
        <f>AD279/AD$7</f>
        <v/>
      </c>
      <c r="AF279" s="74" t="n">
        <v>6</v>
      </c>
      <c r="AG279" s="76">
        <f>AD279*AF279</f>
        <v/>
      </c>
    </row>
    <row r="280" ht="13.5" customHeight="1">
      <c r="A280" s="65" t="inlineStr">
        <is>
          <t>FCPR Entrepreneurs &amp; Rendement N°8 Part E</t>
        </is>
      </c>
      <c r="B280" s="66" t="inlineStr">
        <is>
          <t>FR001400K9O3</t>
        </is>
      </c>
      <c r="C280" s="67" t="n"/>
      <c r="D280" s="67" t="n"/>
      <c r="E280" s="67" t="n"/>
      <c r="F280" s="67" t="n"/>
      <c r="G280" s="68" t="n"/>
      <c r="H280" s="67" t="n"/>
      <c r="I280" s="67" t="n"/>
      <c r="J280" s="67" t="n"/>
      <c r="K280" s="69" t="n"/>
      <c r="L280" s="67" t="n"/>
      <c r="M280" s="67" t="n"/>
      <c r="N280" s="67" t="n"/>
      <c r="O280" s="67" t="n"/>
      <c r="P280" s="67" t="n"/>
      <c r="Q280" s="70" t="n"/>
      <c r="R280" s="70" t="n"/>
      <c r="S280" s="71" t="n"/>
      <c r="T280" s="72">
        <f>SUM(C280:S280)</f>
        <v/>
      </c>
      <c r="U280" s="73">
        <f>T280/T$7</f>
        <v/>
      </c>
      <c r="V280" s="280" t="n"/>
      <c r="W280" s="118" t="n"/>
      <c r="X280" s="280" t="n"/>
      <c r="Y280" s="118" t="n"/>
      <c r="Z280" s="281" t="n"/>
      <c r="AA280" s="118" t="n"/>
      <c r="AB280" s="280" t="n"/>
      <c r="AC280" s="118" t="n"/>
      <c r="AD280" s="282">
        <f>T280+V280+X280+AB280+Z280</f>
        <v/>
      </c>
      <c r="AE280" s="73">
        <f>AD280/AD$7</f>
        <v/>
      </c>
      <c r="AF280" s="74" t="n">
        <v>6</v>
      </c>
      <c r="AG280" s="76">
        <f>AD280*AF280</f>
        <v/>
      </c>
    </row>
    <row r="281" ht="13.5" customFormat="1" customHeight="1" s="29">
      <c r="A281" s="65" t="inlineStr">
        <is>
          <t>FPCI Cairn Capital I A1</t>
        </is>
      </c>
      <c r="B281" s="66" t="inlineStr">
        <is>
          <t>FR0011347277</t>
        </is>
      </c>
      <c r="C281" s="67" t="n"/>
      <c r="D281" s="67" t="n"/>
      <c r="E281" s="68" t="n"/>
      <c r="F281" s="67" t="n"/>
      <c r="G281" s="68" t="n"/>
      <c r="H281" s="67" t="n"/>
      <c r="I281" s="67" t="n"/>
      <c r="J281" s="67" t="n"/>
      <c r="K281" s="69" t="n"/>
      <c r="L281" s="67" t="n"/>
      <c r="M281" s="67" t="n"/>
      <c r="N281" s="67" t="n"/>
      <c r="O281" s="67" t="n"/>
      <c r="P281" s="67" t="n"/>
      <c r="Q281" s="70" t="n"/>
      <c r="R281" s="70" t="n"/>
      <c r="S281" s="71" t="n"/>
      <c r="T281" s="72">
        <f>SUM(C281:S281)</f>
        <v/>
      </c>
      <c r="U281" s="73">
        <f>T281/T$7</f>
        <v/>
      </c>
      <c r="V281" s="280" t="n"/>
      <c r="W281" s="118" t="n"/>
      <c r="X281" s="280" t="n"/>
      <c r="Y281" s="118" t="n"/>
      <c r="Z281" s="281" t="n"/>
      <c r="AA281" s="118" t="n"/>
      <c r="AB281" s="280" t="n"/>
      <c r="AC281" s="118" t="n"/>
      <c r="AD281" s="282">
        <f>T281+V281+X281+AB281+Z281</f>
        <v/>
      </c>
      <c r="AE281" s="73">
        <f>AD281/AD$7</f>
        <v/>
      </c>
      <c r="AF281" s="74" t="n">
        <v>6</v>
      </c>
      <c r="AG281" s="76">
        <f>AD281*AF281</f>
        <v/>
      </c>
    </row>
    <row r="282" ht="13.5" customFormat="1" customHeight="1" s="29">
      <c r="A282" s="65" t="inlineStr">
        <is>
          <t>FPCI Cairn Capital II A1</t>
        </is>
      </c>
      <c r="B282" s="66" t="inlineStr">
        <is>
          <t>FR0013372687</t>
        </is>
      </c>
      <c r="C282" s="67" t="n"/>
      <c r="D282" s="67" t="n"/>
      <c r="E282" s="68" t="n"/>
      <c r="F282" s="67" t="n"/>
      <c r="G282" s="68" t="n"/>
      <c r="H282" s="67" t="n"/>
      <c r="I282" s="67" t="n"/>
      <c r="J282" s="67" t="n"/>
      <c r="K282" s="69" t="n"/>
      <c r="L282" s="67" t="n"/>
      <c r="M282" s="67" t="n"/>
      <c r="N282" s="67" t="n"/>
      <c r="O282" s="67" t="n"/>
      <c r="P282" s="67" t="n"/>
      <c r="Q282" s="70" t="n"/>
      <c r="R282" s="70" t="n"/>
      <c r="S282" s="71" t="n"/>
      <c r="T282" s="72">
        <f>SUM(C282:S282)</f>
        <v/>
      </c>
      <c r="U282" s="73">
        <f>T282/T$7</f>
        <v/>
      </c>
      <c r="V282" s="280" t="n"/>
      <c r="W282" s="118" t="n"/>
      <c r="X282" s="280" t="n"/>
      <c r="Y282" s="118" t="n"/>
      <c r="Z282" s="281" t="n"/>
      <c r="AA282" s="118" t="n"/>
      <c r="AB282" s="280" t="n"/>
      <c r="AC282" s="118" t="n"/>
      <c r="AD282" s="282">
        <f>T282+V282+X282+AB282+Z282</f>
        <v/>
      </c>
      <c r="AE282" s="73">
        <f>AD282/AD$7</f>
        <v/>
      </c>
      <c r="AF282" s="74" t="n">
        <v>6</v>
      </c>
      <c r="AG282" s="76">
        <f>AD282*AF282</f>
        <v/>
      </c>
    </row>
    <row r="283" ht="13.5" customFormat="1" customHeight="1" s="29">
      <c r="A283" s="65" t="inlineStr">
        <is>
          <t>FPCI Cairn Capital III - A3</t>
        </is>
      </c>
      <c r="B283" s="66" t="inlineStr">
        <is>
          <t>FR001400E052</t>
        </is>
      </c>
      <c r="C283" s="67" t="n"/>
      <c r="D283" s="67" t="n"/>
      <c r="E283" s="68" t="n"/>
      <c r="F283" s="67" t="n"/>
      <c r="G283" s="68" t="n"/>
      <c r="H283" s="67" t="n"/>
      <c r="I283" s="67" t="n"/>
      <c r="J283" s="67" t="n"/>
      <c r="K283" s="69" t="n"/>
      <c r="L283" s="67" t="n"/>
      <c r="M283" s="67" t="n"/>
      <c r="N283" s="67" t="n"/>
      <c r="O283" s="67" t="n"/>
      <c r="P283" s="67" t="n"/>
      <c r="Q283" s="70" t="n"/>
      <c r="R283" s="70" t="n"/>
      <c r="S283" s="71" t="n"/>
      <c r="T283" s="72">
        <f>SUM(C283:S283)</f>
        <v/>
      </c>
      <c r="U283" s="73">
        <f>T283/T$7</f>
        <v/>
      </c>
      <c r="V283" s="280" t="n"/>
      <c r="W283" s="118" t="n"/>
      <c r="X283" s="280" t="n"/>
      <c r="Y283" s="118" t="n"/>
      <c r="Z283" s="281" t="n"/>
      <c r="AA283" s="118" t="n"/>
      <c r="AB283" s="280" t="n"/>
      <c r="AC283" s="118" t="n"/>
      <c r="AD283" s="282">
        <f>T283+V283+X283+AB283+Z283</f>
        <v/>
      </c>
      <c r="AE283" s="73">
        <f>AD283/AD$7</f>
        <v/>
      </c>
      <c r="AF283" s="74" t="n">
        <v>6</v>
      </c>
      <c r="AG283" s="76">
        <f>AD283*AF283</f>
        <v/>
      </c>
    </row>
    <row r="284" ht="13.5" customFormat="1" customHeight="1" s="29">
      <c r="A284" s="65" t="inlineStr">
        <is>
          <t>FIP 123Horizon PME 2017</t>
        </is>
      </c>
      <c r="B284" s="66" t="inlineStr">
        <is>
          <t>FR0013236320</t>
        </is>
      </c>
      <c r="C284" s="67" t="n"/>
      <c r="D284" s="67" t="n"/>
      <c r="E284" s="68" t="n"/>
      <c r="F284" s="67" t="n"/>
      <c r="G284" s="68" t="n"/>
      <c r="H284" s="67" t="n"/>
      <c r="I284" s="67" t="n"/>
      <c r="J284" s="67" t="n"/>
      <c r="K284" s="69" t="n"/>
      <c r="L284" s="67" t="n"/>
      <c r="M284" s="67" t="n"/>
      <c r="N284" s="67" t="n"/>
      <c r="O284" s="67" t="n"/>
      <c r="P284" s="67" t="n"/>
      <c r="Q284" s="70" t="n"/>
      <c r="R284" s="70" t="n"/>
      <c r="S284" s="71" t="n"/>
      <c r="T284" s="72">
        <f>SUM(C284:S284)</f>
        <v/>
      </c>
      <c r="U284" s="73">
        <f>T284/T$7</f>
        <v/>
      </c>
      <c r="V284" s="280" t="n"/>
      <c r="W284" s="118" t="n"/>
      <c r="X284" s="280" t="n"/>
      <c r="Y284" s="118" t="n"/>
      <c r="Z284" s="281" t="n"/>
      <c r="AA284" s="118" t="n"/>
      <c r="AB284" s="280" t="n"/>
      <c r="AC284" s="118" t="n"/>
      <c r="AD284" s="282">
        <f>T284+V284+X284+AB284+Z284</f>
        <v/>
      </c>
      <c r="AE284" s="73">
        <f>AD284/AD$7</f>
        <v/>
      </c>
      <c r="AF284" s="74" t="n">
        <v>6</v>
      </c>
      <c r="AG284" s="76">
        <f>AD284*AF284</f>
        <v/>
      </c>
    </row>
    <row r="285" ht="13.5" customHeight="1">
      <c r="A285" s="65" t="inlineStr">
        <is>
          <t>Nexstage Croissance</t>
        </is>
      </c>
      <c r="B285" s="66" t="inlineStr">
        <is>
          <t>FR0013202108</t>
        </is>
      </c>
      <c r="C285" s="67" t="n"/>
      <c r="D285" s="67" t="n"/>
      <c r="E285" s="67" t="n"/>
      <c r="F285" s="67" t="n"/>
      <c r="G285" s="68" t="n"/>
      <c r="H285" s="67" t="n"/>
      <c r="I285" s="67" t="n"/>
      <c r="J285" s="67" t="n"/>
      <c r="K285" s="69" t="n"/>
      <c r="L285" s="67" t="n"/>
      <c r="M285" s="67" t="n"/>
      <c r="N285" s="67" t="n"/>
      <c r="O285" s="67" t="n"/>
      <c r="P285" s="67" t="n"/>
      <c r="Q285" s="70" t="n"/>
      <c r="R285" s="70" t="n"/>
      <c r="S285" s="71" t="n"/>
      <c r="T285" s="72">
        <f>SUM(C285:S285)</f>
        <v/>
      </c>
      <c r="U285" s="73">
        <f>T285/T$7</f>
        <v/>
      </c>
      <c r="V285" s="280" t="n"/>
      <c r="W285" s="118" t="n"/>
      <c r="X285" s="280" t="n"/>
      <c r="Y285" s="118" t="n"/>
      <c r="Z285" s="281" t="n"/>
      <c r="AA285" s="118" t="n"/>
      <c r="AB285" s="280" t="n"/>
      <c r="AC285" s="118" t="n"/>
      <c r="AD285" s="282">
        <f>T285+V285+X285+AB285+Z285</f>
        <v/>
      </c>
      <c r="AE285" s="73">
        <f>AD285/AD$7</f>
        <v/>
      </c>
      <c r="AF285" s="74" t="n">
        <v>5</v>
      </c>
      <c r="AG285" s="76">
        <f>AD285*AF285</f>
        <v/>
      </c>
    </row>
    <row r="286" ht="13.5" customHeight="1">
      <c r="A286" s="65" t="inlineStr">
        <is>
          <t>Bridgepoint Generations</t>
        </is>
      </c>
      <c r="B286" s="66" t="inlineStr">
        <is>
          <t>LU3036659277</t>
        </is>
      </c>
      <c r="C286" s="67" t="n"/>
      <c r="D286" s="67" t="n"/>
      <c r="E286" s="67" t="n"/>
      <c r="F286" s="67" t="n"/>
      <c r="G286" s="68" t="n"/>
      <c r="H286" s="67" t="n"/>
      <c r="I286" s="67" t="n"/>
      <c r="J286" s="67" t="n"/>
      <c r="K286" s="69" t="n"/>
      <c r="L286" s="67" t="n"/>
      <c r="M286" s="67" t="n"/>
      <c r="N286" s="67" t="n"/>
      <c r="O286" s="67" t="n"/>
      <c r="P286" s="67" t="n"/>
      <c r="Q286" s="70" t="n"/>
      <c r="R286" s="70" t="n"/>
      <c r="S286" s="71" t="n"/>
      <c r="T286" s="72">
        <f>SUM(C286:S286)</f>
        <v/>
      </c>
      <c r="U286" s="73">
        <f>T286/T$7</f>
        <v/>
      </c>
      <c r="V286" s="280" t="n"/>
      <c r="W286" s="118" t="n"/>
      <c r="X286" s="280" t="n"/>
      <c r="Y286" s="118" t="n"/>
      <c r="Z286" s="281" t="n"/>
      <c r="AA286" s="118" t="n"/>
      <c r="AB286" s="280" t="n"/>
      <c r="AC286" s="118" t="n"/>
      <c r="AD286" s="282">
        <f>T286+V286+X286+AB286+Z286</f>
        <v/>
      </c>
      <c r="AE286" s="73">
        <f>AD286/AD$7</f>
        <v/>
      </c>
      <c r="AF286" s="74" t="n">
        <v>4</v>
      </c>
      <c r="AG286" s="76">
        <f>AD286*AF286</f>
        <v/>
      </c>
    </row>
    <row r="287" ht="13.5" customFormat="1" customHeight="1" s="29">
      <c r="A287" s="85" t="inlineStr">
        <is>
          <t>SIPAREX Investir en France</t>
        </is>
      </c>
      <c r="B287" s="66" t="inlineStr">
        <is>
          <t>FR001400MDE0</t>
        </is>
      </c>
      <c r="C287" s="67" t="n"/>
      <c r="D287" s="67" t="n"/>
      <c r="E287" s="68" t="n"/>
      <c r="F287" s="67" t="n"/>
      <c r="G287" s="68" t="n"/>
      <c r="H287" s="67" t="n"/>
      <c r="I287" s="67" t="n"/>
      <c r="J287" s="67" t="n"/>
      <c r="K287" s="69" t="n"/>
      <c r="L287" s="67" t="n"/>
      <c r="M287" s="67" t="n"/>
      <c r="N287" s="67" t="n"/>
      <c r="O287" s="67" t="n"/>
      <c r="P287" s="67" t="n"/>
      <c r="Q287" s="70" t="n"/>
      <c r="R287" s="70" t="n"/>
      <c r="S287" s="71" t="n"/>
      <c r="T287" s="72">
        <f>SUM(C287:S287)</f>
        <v/>
      </c>
      <c r="U287" s="73">
        <f>T287/T$7</f>
        <v/>
      </c>
      <c r="V287" s="280" t="n"/>
      <c r="W287" s="118" t="n"/>
      <c r="X287" s="280" t="n"/>
      <c r="Y287" s="118" t="n"/>
      <c r="Z287" s="281" t="n"/>
      <c r="AA287" s="118" t="n"/>
      <c r="AB287" s="280" t="n"/>
      <c r="AC287" s="118" t="n"/>
      <c r="AD287" s="282">
        <f>T287+V287+X287+AB287+Z287</f>
        <v/>
      </c>
      <c r="AE287" s="73">
        <f>AD287/AD$7</f>
        <v/>
      </c>
      <c r="AF287" s="74" t="n">
        <v>6</v>
      </c>
      <c r="AG287" s="76">
        <f>AD287*AF287</f>
        <v/>
      </c>
    </row>
    <row r="288" ht="13.5" customFormat="1" customHeight="1" s="29">
      <c r="A288" s="65" t="inlineStr">
        <is>
          <t>Feeder RAISE Investissement S.L.P. A2</t>
        </is>
      </c>
      <c r="B288" s="66" t="inlineStr">
        <is>
          <t>FR001400IL19</t>
        </is>
      </c>
      <c r="C288" s="67" t="n"/>
      <c r="D288" s="67" t="n"/>
      <c r="E288" s="68" t="n"/>
      <c r="F288" s="67" t="n"/>
      <c r="G288" s="68" t="n"/>
      <c r="H288" s="67" t="n"/>
      <c r="I288" s="67" t="n"/>
      <c r="J288" s="67" t="n"/>
      <c r="K288" s="69" t="n"/>
      <c r="L288" s="67" t="n"/>
      <c r="M288" s="67" t="n"/>
      <c r="N288" s="67" t="n"/>
      <c r="O288" s="67" t="n"/>
      <c r="P288" s="67" t="n"/>
      <c r="Q288" s="70" t="n"/>
      <c r="R288" s="70" t="n"/>
      <c r="S288" s="71" t="n"/>
      <c r="T288" s="72">
        <f>SUM(C288:S288)</f>
        <v/>
      </c>
      <c r="U288" s="73">
        <f>T288/T$7</f>
        <v/>
      </c>
      <c r="V288" s="280" t="n"/>
      <c r="W288" s="118" t="n"/>
      <c r="X288" s="280" t="n"/>
      <c r="Y288" s="118" t="n"/>
      <c r="Z288" s="281" t="n"/>
      <c r="AA288" s="118" t="n"/>
      <c r="AB288" s="280" t="n"/>
      <c r="AC288" s="118" t="n"/>
      <c r="AD288" s="282">
        <f>T288+V288+X288+AB288+Z288</f>
        <v/>
      </c>
      <c r="AE288" s="73">
        <f>AD288/AD$7</f>
        <v/>
      </c>
      <c r="AF288" s="74" t="n">
        <v>6</v>
      </c>
      <c r="AG288" s="76">
        <f>AD288*AF288</f>
        <v/>
      </c>
    </row>
    <row r="289" ht="13.5" customHeight="1">
      <c r="A289" s="65" t="inlineStr">
        <is>
          <t>Ring Altitude Growth II - entrepreneurs</t>
        </is>
      </c>
      <c r="B289" s="66" t="inlineStr">
        <is>
          <t>/</t>
        </is>
      </c>
      <c r="C289" s="67" t="n"/>
      <c r="D289" s="67" t="n"/>
      <c r="E289" s="67" t="n"/>
      <c r="F289" s="67" t="n"/>
      <c r="G289" s="68" t="n"/>
      <c r="H289" s="67" t="n"/>
      <c r="I289" s="67" t="n"/>
      <c r="J289" s="67" t="n"/>
      <c r="K289" s="69" t="n"/>
      <c r="L289" s="67" t="n"/>
      <c r="M289" s="67" t="n"/>
      <c r="N289" s="67" t="n"/>
      <c r="O289" s="67" t="n"/>
      <c r="P289" s="67" t="n"/>
      <c r="Q289" s="70" t="n"/>
      <c r="R289" s="70" t="n"/>
      <c r="S289" s="71" t="n"/>
      <c r="T289" s="72">
        <f>SUM(C289:S289)</f>
        <v/>
      </c>
      <c r="U289" s="73">
        <f>T289/T$7</f>
        <v/>
      </c>
      <c r="V289" s="280" t="n"/>
      <c r="W289" s="118" t="n"/>
      <c r="X289" s="280" t="n"/>
      <c r="Y289" s="118" t="n"/>
      <c r="Z289" s="281" t="n"/>
      <c r="AA289" s="118" t="n"/>
      <c r="AB289" s="280" t="n"/>
      <c r="AC289" s="118" t="n"/>
      <c r="AD289" s="282">
        <f>T289+V289+X289+AB289+Z289</f>
        <v/>
      </c>
      <c r="AE289" s="73">
        <f>AD289/AD$7</f>
        <v/>
      </c>
      <c r="AF289" s="74" t="n">
        <v>6</v>
      </c>
      <c r="AG289" s="76">
        <f>AD289*AF289</f>
        <v/>
      </c>
    </row>
    <row r="290" ht="13.5" customFormat="1" customHeight="1" s="29">
      <c r="A290" s="65" t="inlineStr">
        <is>
          <t>Co-Investissement Arlane - Santé</t>
        </is>
      </c>
      <c r="B290" s="66" t="inlineStr">
        <is>
          <t>/</t>
        </is>
      </c>
      <c r="C290" s="67" t="n"/>
      <c r="D290" s="67" t="n"/>
      <c r="E290" s="68" t="n"/>
      <c r="F290" s="67" t="n"/>
      <c r="G290" s="68" t="n"/>
      <c r="H290" s="67" t="n"/>
      <c r="I290" s="67" t="n"/>
      <c r="J290" s="67" t="n"/>
      <c r="K290" s="69" t="n"/>
      <c r="L290" s="67" t="n"/>
      <c r="M290" s="67" t="n"/>
      <c r="N290" s="67" t="n"/>
      <c r="O290" s="67" t="n"/>
      <c r="P290" s="67" t="n"/>
      <c r="Q290" s="70" t="n"/>
      <c r="R290" s="70" t="n"/>
      <c r="S290" s="71" t="n"/>
      <c r="T290" s="72">
        <f>SUM(C290:S290)</f>
        <v/>
      </c>
      <c r="U290" s="73">
        <f>T290/T$7</f>
        <v/>
      </c>
      <c r="V290" s="280" t="n"/>
      <c r="W290" s="118" t="n"/>
      <c r="X290" s="280" t="n"/>
      <c r="Y290" s="118" t="n"/>
      <c r="Z290" s="281" t="n"/>
      <c r="AA290" s="118" t="n"/>
      <c r="AB290" s="280" t="n"/>
      <c r="AC290" s="118" t="n"/>
      <c r="AD290" s="282">
        <f>T290+V290+X290+AB290+Z290</f>
        <v/>
      </c>
      <c r="AE290" s="73">
        <f>AD290/AD$7</f>
        <v/>
      </c>
      <c r="AF290" s="74" t="n">
        <v>7</v>
      </c>
      <c r="AG290" s="76">
        <f>AD290*AF290</f>
        <v/>
      </c>
    </row>
    <row r="291" ht="13.5" customHeight="1">
      <c r="A291" s="65" t="inlineStr">
        <is>
          <t>Committed Adv Sec V</t>
        </is>
      </c>
      <c r="B291" s="66" t="inlineStr">
        <is>
          <t>FR00140089C0</t>
        </is>
      </c>
      <c r="C291" s="67" t="n"/>
      <c r="D291" s="67" t="n"/>
      <c r="E291" s="68" t="n"/>
      <c r="F291" s="68" t="n"/>
      <c r="G291" s="68" t="n"/>
      <c r="H291" s="67" t="n"/>
      <c r="I291" s="67" t="n"/>
      <c r="J291" s="67" t="n"/>
      <c r="K291" s="69" t="n"/>
      <c r="L291" s="67" t="n"/>
      <c r="M291" s="67" t="n"/>
      <c r="N291" s="67" t="n"/>
      <c r="O291" s="67" t="n"/>
      <c r="P291" s="67" t="n"/>
      <c r="Q291" s="70" t="n"/>
      <c r="R291" s="70" t="n"/>
      <c r="S291" s="71" t="n"/>
      <c r="T291" s="72">
        <f>SUM(C291:S291)</f>
        <v/>
      </c>
      <c r="U291" s="73">
        <f>T291/T$7</f>
        <v/>
      </c>
      <c r="V291" s="280" t="n"/>
      <c r="W291" s="118" t="n"/>
      <c r="X291" s="280" t="n"/>
      <c r="Y291" s="118" t="n"/>
      <c r="Z291" s="281" t="n"/>
      <c r="AA291" s="118" t="n"/>
      <c r="AB291" s="280" t="n"/>
      <c r="AC291" s="118" t="n"/>
      <c r="AD291" s="282">
        <f>T291+V291+X291+AB291+Z291</f>
        <v/>
      </c>
      <c r="AE291" s="73">
        <f>AD291/AD$7</f>
        <v/>
      </c>
      <c r="AF291" s="74" t="n">
        <v>7</v>
      </c>
      <c r="AG291" s="76">
        <f>AD291*AF291</f>
        <v/>
      </c>
    </row>
    <row r="292" ht="13.5" customHeight="1">
      <c r="A292" s="65" t="inlineStr">
        <is>
          <t>Motion Equity Partners IV SC parts A2</t>
        </is>
      </c>
      <c r="B292" s="66" t="inlineStr">
        <is>
          <t>FR001400LUW8</t>
        </is>
      </c>
      <c r="C292" s="67" t="n"/>
      <c r="D292" s="67" t="n"/>
      <c r="E292" s="68" t="n"/>
      <c r="F292" s="68" t="n"/>
      <c r="G292" s="68" t="n"/>
      <c r="H292" s="67" t="n"/>
      <c r="I292" s="67" t="n"/>
      <c r="J292" s="67" t="n"/>
      <c r="K292" s="69" t="n"/>
      <c r="L292" s="67" t="n"/>
      <c r="M292" s="67" t="n"/>
      <c r="N292" s="67" t="n"/>
      <c r="O292" s="67" t="n"/>
      <c r="P292" s="67" t="n"/>
      <c r="Q292" s="70" t="n"/>
      <c r="R292" s="70" t="n"/>
      <c r="S292" s="71" t="n"/>
      <c r="T292" s="72">
        <f>SUM(C292:S292)</f>
        <v/>
      </c>
      <c r="U292" s="73">
        <f>T292/T$7</f>
        <v/>
      </c>
      <c r="V292" s="280" t="n"/>
      <c r="W292" s="118" t="n"/>
      <c r="X292" s="280" t="n"/>
      <c r="Y292" s="118" t="n"/>
      <c r="Z292" s="281" t="n"/>
      <c r="AA292" s="118" t="n"/>
      <c r="AB292" s="280" t="n"/>
      <c r="AC292" s="118" t="n"/>
      <c r="AD292" s="282">
        <f>T292+V292+X292+AB292+Z292</f>
        <v/>
      </c>
      <c r="AE292" s="73">
        <f>AD292/AD$7</f>
        <v/>
      </c>
      <c r="AF292" s="74" t="n">
        <v>6</v>
      </c>
      <c r="AG292" s="76">
        <f>AD292*AF292</f>
        <v/>
      </c>
    </row>
    <row r="293" ht="13.5" customFormat="1" customHeight="1" s="29">
      <c r="A293" s="65" t="inlineStr">
        <is>
          <t>Motion Equity Partners V</t>
        </is>
      </c>
      <c r="B293" s="66" t="inlineStr">
        <is>
          <t>/</t>
        </is>
      </c>
      <c r="C293" s="67" t="n"/>
      <c r="D293" s="67" t="n"/>
      <c r="E293" s="68" t="n"/>
      <c r="F293" s="68" t="n"/>
      <c r="G293" s="68" t="n"/>
      <c r="H293" s="67" t="n"/>
      <c r="I293" s="67" t="n"/>
      <c r="J293" s="67" t="n"/>
      <c r="K293" s="69" t="n"/>
      <c r="L293" s="67" t="n"/>
      <c r="M293" s="67" t="n"/>
      <c r="N293" s="67" t="n"/>
      <c r="O293" s="67" t="n"/>
      <c r="P293" s="67" t="n"/>
      <c r="Q293" s="70" t="n"/>
      <c r="R293" s="70" t="n"/>
      <c r="S293" s="71" t="n"/>
      <c r="T293" s="72">
        <f>SUM(C293:S293)</f>
        <v/>
      </c>
      <c r="U293" s="73">
        <f>T293/T$7</f>
        <v/>
      </c>
      <c r="V293" s="280" t="n"/>
      <c r="W293" s="118" t="n"/>
      <c r="X293" s="280" t="n"/>
      <c r="Y293" s="118" t="n"/>
      <c r="Z293" s="281" t="n"/>
      <c r="AA293" s="118" t="n"/>
      <c r="AB293" s="280" t="n"/>
      <c r="AC293" s="118" t="n"/>
      <c r="AD293" s="282">
        <f>T293+V293+X293+AB293+Z293</f>
        <v/>
      </c>
      <c r="AE293" s="73">
        <f>AD293/AD$7</f>
        <v/>
      </c>
      <c r="AF293" s="74" t="n">
        <v>6</v>
      </c>
      <c r="AG293" s="76">
        <f>AD293*AF293</f>
        <v/>
      </c>
    </row>
    <row r="294" ht="13.5" customHeight="1">
      <c r="A294" s="65" t="n"/>
      <c r="B294" s="75" t="n"/>
      <c r="C294" s="67" t="n"/>
      <c r="D294" s="67" t="n"/>
      <c r="E294" s="68" t="n"/>
      <c r="F294" s="68" t="n"/>
      <c r="G294" s="68" t="n"/>
      <c r="H294" s="67" t="n"/>
      <c r="I294" s="67" t="n"/>
      <c r="J294" s="67" t="n"/>
      <c r="K294" s="69" t="n"/>
      <c r="L294" s="67" t="n"/>
      <c r="M294" s="67" t="n"/>
      <c r="N294" s="67" t="n"/>
      <c r="O294" s="67" t="n"/>
      <c r="P294" s="67" t="n"/>
      <c r="Q294" s="70" t="n"/>
      <c r="R294" s="70" t="n"/>
      <c r="S294" s="71" t="n"/>
      <c r="T294" s="72">
        <f>SUM(C294:S294)</f>
        <v/>
      </c>
      <c r="U294" s="73">
        <f>T294/T$7</f>
        <v/>
      </c>
      <c r="V294" s="280" t="n"/>
      <c r="W294" s="118" t="n"/>
      <c r="X294" s="280" t="n"/>
      <c r="Y294" s="118" t="n"/>
      <c r="Z294" s="281" t="n"/>
      <c r="AA294" s="118" t="n"/>
      <c r="AB294" s="280" t="n"/>
      <c r="AC294" s="118" t="n"/>
      <c r="AD294" s="282">
        <f>T294+V294+X294+AB294+Z294</f>
        <v/>
      </c>
      <c r="AE294" s="73">
        <f>AD294/AD$7</f>
        <v/>
      </c>
      <c r="AF294" s="74" t="n"/>
      <c r="AG294" s="76">
        <f>AD294*AF294</f>
        <v/>
      </c>
    </row>
    <row r="295" ht="13.5" customHeight="1">
      <c r="A295" s="65" t="n"/>
      <c r="B295" s="75" t="n"/>
      <c r="C295" s="67" t="n"/>
      <c r="D295" s="67" t="n"/>
      <c r="E295" s="68" t="n"/>
      <c r="F295" s="68" t="n"/>
      <c r="G295" s="68" t="n"/>
      <c r="H295" s="67" t="n"/>
      <c r="I295" s="67" t="n"/>
      <c r="J295" s="67" t="n"/>
      <c r="K295" s="69" t="n"/>
      <c r="L295" s="67" t="n"/>
      <c r="M295" s="67" t="n"/>
      <c r="N295" s="67" t="n"/>
      <c r="O295" s="67" t="n"/>
      <c r="P295" s="67" t="n"/>
      <c r="Q295" s="70" t="n"/>
      <c r="R295" s="70" t="n"/>
      <c r="S295" s="71" t="n"/>
      <c r="T295" s="72" t="n"/>
      <c r="U295" s="73" t="n"/>
      <c r="V295" s="280" t="n"/>
      <c r="W295" s="118" t="n"/>
      <c r="X295" s="280" t="n"/>
      <c r="Y295" s="118" t="n"/>
      <c r="Z295" s="281" t="n"/>
      <c r="AA295" s="118" t="n"/>
      <c r="AB295" s="280" t="n"/>
      <c r="AC295" s="118" t="n"/>
      <c r="AD295" s="282">
        <f>T295+V295+X295+AB295+Z295</f>
        <v/>
      </c>
      <c r="AE295" s="73">
        <f>AD295/AD$7</f>
        <v/>
      </c>
      <c r="AF295" s="74" t="n"/>
      <c r="AG295" s="76">
        <f>AD295*AF295</f>
        <v/>
      </c>
    </row>
    <row r="296" ht="13.5" customHeight="1">
      <c r="A296" s="65" t="n"/>
      <c r="B296" s="75" t="n"/>
      <c r="C296" s="67" t="n"/>
      <c r="D296" s="67" t="n"/>
      <c r="E296" s="68" t="n"/>
      <c r="F296" s="68" t="n"/>
      <c r="G296" s="68" t="n"/>
      <c r="H296" s="67" t="n"/>
      <c r="I296" s="67" t="n"/>
      <c r="J296" s="67" t="n"/>
      <c r="K296" s="69" t="n"/>
      <c r="L296" s="67" t="n"/>
      <c r="M296" s="67" t="n"/>
      <c r="N296" s="67" t="n"/>
      <c r="O296" s="67" t="n"/>
      <c r="P296" s="67" t="n"/>
      <c r="Q296" s="70" t="n"/>
      <c r="R296" s="70" t="n"/>
      <c r="S296" s="71" t="n"/>
      <c r="T296" s="72" t="n"/>
      <c r="U296" s="73" t="n"/>
      <c r="V296" s="280" t="n"/>
      <c r="W296" s="118" t="n"/>
      <c r="X296" s="280" t="n"/>
      <c r="Y296" s="118" t="n"/>
      <c r="Z296" s="281" t="n"/>
      <c r="AA296" s="118" t="n"/>
      <c r="AB296" s="280" t="n"/>
      <c r="AC296" s="118" t="n"/>
      <c r="AD296" s="282">
        <f>T296+V296+X296+AB296+Z296</f>
        <v/>
      </c>
      <c r="AE296" s="73">
        <f>AD296/AD$7</f>
        <v/>
      </c>
      <c r="AF296" s="74" t="n"/>
      <c r="AG296" s="76">
        <f>AD296*AF296</f>
        <v/>
      </c>
    </row>
    <row r="297" ht="13.5" customHeight="1">
      <c r="A297" s="65" t="n"/>
      <c r="B297" s="75" t="n"/>
      <c r="C297" s="67" t="n"/>
      <c r="D297" s="67" t="n"/>
      <c r="E297" s="68" t="n"/>
      <c r="F297" s="68" t="n"/>
      <c r="G297" s="68" t="n"/>
      <c r="H297" s="67" t="n"/>
      <c r="I297" s="67" t="n"/>
      <c r="J297" s="67" t="n"/>
      <c r="K297" s="69" t="n"/>
      <c r="L297" s="67" t="n"/>
      <c r="M297" s="67" t="n"/>
      <c r="N297" s="67" t="n"/>
      <c r="O297" s="67" t="n"/>
      <c r="P297" s="67" t="n"/>
      <c r="Q297" s="70" t="n"/>
      <c r="R297" s="70" t="n"/>
      <c r="S297" s="71" t="n"/>
      <c r="T297" s="72" t="n"/>
      <c r="U297" s="73" t="n"/>
      <c r="V297" s="280" t="n"/>
      <c r="W297" s="118" t="n"/>
      <c r="X297" s="280" t="n"/>
      <c r="Y297" s="118" t="n"/>
      <c r="Z297" s="281" t="n"/>
      <c r="AA297" s="118" t="n"/>
      <c r="AB297" s="280" t="n"/>
      <c r="AC297" s="118" t="n"/>
      <c r="AD297" s="282">
        <f>T297+V297+X297+AB297+Z297</f>
        <v/>
      </c>
      <c r="AE297" s="73">
        <f>AD297/AD$7</f>
        <v/>
      </c>
      <c r="AF297" s="74" t="n"/>
      <c r="AG297" s="76">
        <f>AD297*AF297</f>
        <v/>
      </c>
    </row>
    <row r="298" ht="13.5" customHeight="1">
      <c r="A298" s="65" t="n"/>
      <c r="B298" s="75" t="n"/>
      <c r="C298" s="67" t="n"/>
      <c r="D298" s="67" t="n"/>
      <c r="E298" s="68" t="n"/>
      <c r="F298" s="68" t="n"/>
      <c r="G298" s="68" t="n"/>
      <c r="H298" s="67" t="n"/>
      <c r="I298" s="67" t="n"/>
      <c r="J298" s="67" t="n"/>
      <c r="K298" s="69" t="n"/>
      <c r="L298" s="67" t="n"/>
      <c r="M298" s="67" t="n"/>
      <c r="N298" s="67" t="n"/>
      <c r="O298" s="67" t="n"/>
      <c r="P298" s="67" t="n"/>
      <c r="Q298" s="70" t="n"/>
      <c r="R298" s="70" t="n"/>
      <c r="S298" s="71" t="n"/>
      <c r="T298" s="72" t="n"/>
      <c r="U298" s="73" t="n"/>
      <c r="V298" s="280" t="n"/>
      <c r="W298" s="118" t="n"/>
      <c r="X298" s="280" t="n"/>
      <c r="Y298" s="118" t="n"/>
      <c r="Z298" s="281" t="n"/>
      <c r="AA298" s="118" t="n"/>
      <c r="AB298" s="280" t="n"/>
      <c r="AC298" s="118" t="n"/>
      <c r="AD298" s="282">
        <f>T298+V298+X298+AB298+Z298</f>
        <v/>
      </c>
      <c r="AE298" s="73">
        <f>AD298/AD$7</f>
        <v/>
      </c>
      <c r="AF298" s="74" t="n"/>
      <c r="AG298" s="76">
        <f>AD298*AF298</f>
        <v/>
      </c>
    </row>
    <row r="299" ht="13.5" customHeight="1">
      <c r="A299" s="65" t="n"/>
      <c r="B299" s="75" t="n"/>
      <c r="C299" s="67" t="n"/>
      <c r="D299" s="67" t="n"/>
      <c r="E299" s="68" t="n"/>
      <c r="F299" s="68" t="n"/>
      <c r="G299" s="68" t="n"/>
      <c r="H299" s="67" t="n"/>
      <c r="I299" s="67" t="n"/>
      <c r="J299" s="67" t="n"/>
      <c r="K299" s="69" t="n"/>
      <c r="L299" s="67" t="n"/>
      <c r="M299" s="67" t="n"/>
      <c r="N299" s="67" t="n"/>
      <c r="O299" s="67" t="n"/>
      <c r="P299" s="67" t="n"/>
      <c r="Q299" s="70" t="n"/>
      <c r="R299" s="70" t="n"/>
      <c r="S299" s="71" t="n"/>
      <c r="T299" s="72" t="n"/>
      <c r="U299" s="73" t="n"/>
      <c r="V299" s="280" t="n"/>
      <c r="W299" s="118" t="n"/>
      <c r="X299" s="280" t="n"/>
      <c r="Y299" s="118" t="n"/>
      <c r="Z299" s="281" t="n"/>
      <c r="AA299" s="118" t="n"/>
      <c r="AB299" s="280" t="n"/>
      <c r="AC299" s="118" t="n"/>
      <c r="AD299" s="282">
        <f>T299+V299+X299+AB299+Z299</f>
        <v/>
      </c>
      <c r="AE299" s="73">
        <f>AD299/AD$7</f>
        <v/>
      </c>
      <c r="AF299" s="74" t="n"/>
      <c r="AG299" s="76">
        <f>AD299*AF299</f>
        <v/>
      </c>
    </row>
    <row r="300" ht="13.5" customHeight="1">
      <c r="A300" s="65" t="n"/>
      <c r="B300" s="75" t="n"/>
      <c r="C300" s="67" t="n"/>
      <c r="D300" s="67" t="n"/>
      <c r="E300" s="68" t="n"/>
      <c r="F300" s="68" t="n"/>
      <c r="G300" s="68" t="n"/>
      <c r="H300" s="67" t="n"/>
      <c r="I300" s="67" t="n"/>
      <c r="J300" s="67" t="n"/>
      <c r="K300" s="69" t="n"/>
      <c r="L300" s="67" t="n"/>
      <c r="M300" s="67" t="n"/>
      <c r="N300" s="67" t="n"/>
      <c r="O300" s="67" t="n"/>
      <c r="P300" s="67" t="n"/>
      <c r="Q300" s="70" t="n"/>
      <c r="R300" s="70" t="n"/>
      <c r="S300" s="71" t="n"/>
      <c r="T300" s="72" t="n"/>
      <c r="U300" s="73" t="n"/>
      <c r="V300" s="280" t="n"/>
      <c r="W300" s="118" t="n"/>
      <c r="X300" s="280" t="n"/>
      <c r="Y300" s="118" t="n"/>
      <c r="Z300" s="281" t="n"/>
      <c r="AA300" s="118" t="n"/>
      <c r="AB300" s="280" t="n"/>
      <c r="AC300" s="118" t="n"/>
      <c r="AD300" s="282">
        <f>T300+V300+X300+AB300+Z300</f>
        <v/>
      </c>
      <c r="AE300" s="73">
        <f>AD300/AD$7</f>
        <v/>
      </c>
      <c r="AF300" s="74" t="n"/>
      <c r="AG300" s="76">
        <f>AD300*AF300</f>
        <v/>
      </c>
    </row>
    <row r="301" ht="13.5" customHeight="1">
      <c r="A301" s="65" t="n"/>
      <c r="B301" s="75" t="n"/>
      <c r="C301" s="67" t="n"/>
      <c r="D301" s="67" t="n"/>
      <c r="E301" s="68" t="n"/>
      <c r="F301" s="68" t="n"/>
      <c r="G301" s="68" t="n"/>
      <c r="H301" s="67" t="n"/>
      <c r="I301" s="67" t="n"/>
      <c r="J301" s="67" t="n"/>
      <c r="K301" s="69" t="n"/>
      <c r="L301" s="67" t="n"/>
      <c r="M301" s="67" t="n"/>
      <c r="N301" s="67" t="n"/>
      <c r="O301" s="67" t="n"/>
      <c r="P301" s="67" t="n"/>
      <c r="Q301" s="70" t="n"/>
      <c r="R301" s="70" t="n"/>
      <c r="S301" s="71" t="n"/>
      <c r="T301" s="72">
        <f>SUM(C301:S301)</f>
        <v/>
      </c>
      <c r="U301" s="73">
        <f>T301/T$7</f>
        <v/>
      </c>
      <c r="V301" s="280" t="n"/>
      <c r="W301" s="118" t="n"/>
      <c r="X301" s="280" t="n"/>
      <c r="Y301" s="118" t="n"/>
      <c r="Z301" s="281" t="n"/>
      <c r="AA301" s="118" t="n"/>
      <c r="AB301" s="280" t="n"/>
      <c r="AC301" s="118" t="n"/>
      <c r="AD301" s="282">
        <f>T301+V301+X301+AB301+Z301</f>
        <v/>
      </c>
      <c r="AE301" s="73">
        <f>AD301/AD$7</f>
        <v/>
      </c>
      <c r="AF301" s="74" t="n"/>
      <c r="AG301" s="76">
        <f>AD301*AF301</f>
        <v/>
      </c>
    </row>
    <row r="302" ht="13.5" customHeight="1">
      <c r="A302" s="65" t="n"/>
      <c r="B302" s="75" t="n"/>
      <c r="C302" s="67" t="n"/>
      <c r="D302" s="67" t="n"/>
      <c r="E302" s="68" t="n"/>
      <c r="F302" s="68" t="n"/>
      <c r="G302" s="68" t="n"/>
      <c r="H302" s="67" t="n"/>
      <c r="I302" s="67" t="n"/>
      <c r="J302" s="67" t="n"/>
      <c r="K302" s="69" t="n"/>
      <c r="L302" s="67" t="n"/>
      <c r="M302" s="67" t="n"/>
      <c r="N302" s="67" t="n"/>
      <c r="O302" s="67" t="n"/>
      <c r="P302" s="67" t="n"/>
      <c r="Q302" s="70" t="n"/>
      <c r="R302" s="70" t="n"/>
      <c r="S302" s="71" t="n"/>
      <c r="T302" s="72">
        <f>SUM(C302:S302)</f>
        <v/>
      </c>
      <c r="U302" s="73">
        <f>T302/T$7</f>
        <v/>
      </c>
      <c r="V302" s="280" t="n"/>
      <c r="W302" s="118" t="n"/>
      <c r="X302" s="280" t="n"/>
      <c r="Y302" s="118" t="n"/>
      <c r="Z302" s="281" t="n"/>
      <c r="AA302" s="118" t="n"/>
      <c r="AB302" s="280" t="n"/>
      <c r="AC302" s="118" t="n"/>
      <c r="AD302" s="282">
        <f>T302+V302+X302+AB302+Z302</f>
        <v/>
      </c>
      <c r="AE302" s="73">
        <f>AD302/AD$7</f>
        <v/>
      </c>
      <c r="AF302" s="74" t="n"/>
      <c r="AG302" s="76">
        <f>AD302*AF302</f>
        <v/>
      </c>
    </row>
    <row r="303" ht="13.5" customHeight="1">
      <c r="A303" s="65" t="n"/>
      <c r="B303" s="75" t="n"/>
      <c r="C303" s="67" t="n"/>
      <c r="D303" s="67" t="n"/>
      <c r="E303" s="68" t="n"/>
      <c r="F303" s="68" t="n"/>
      <c r="G303" s="68" t="n"/>
      <c r="H303" s="67" t="n"/>
      <c r="I303" s="67" t="n"/>
      <c r="J303" s="67" t="n"/>
      <c r="K303" s="69" t="n"/>
      <c r="L303" s="67" t="n"/>
      <c r="M303" s="67" t="n"/>
      <c r="N303" s="67" t="n"/>
      <c r="O303" s="67" t="n"/>
      <c r="P303" s="67" t="n"/>
      <c r="Q303" s="70" t="n"/>
      <c r="R303" s="70" t="n"/>
      <c r="S303" s="71" t="n"/>
      <c r="T303" s="72">
        <f>SUM(C303:S303)</f>
        <v/>
      </c>
      <c r="U303" s="73">
        <f>T303/T$7</f>
        <v/>
      </c>
      <c r="V303" s="280" t="n"/>
      <c r="W303" s="118" t="n"/>
      <c r="X303" s="280" t="n"/>
      <c r="Y303" s="118" t="n"/>
      <c r="Z303" s="281" t="n"/>
      <c r="AA303" s="118" t="n"/>
      <c r="AB303" s="280" t="n"/>
      <c r="AC303" s="118" t="n"/>
      <c r="AD303" s="282">
        <f>T303+V303+X303+AB303+Z303</f>
        <v/>
      </c>
      <c r="AE303" s="73">
        <f>AD303/AD$7</f>
        <v/>
      </c>
      <c r="AF303" s="74" t="n"/>
      <c r="AG303" s="76">
        <f>AD303*AF303</f>
        <v/>
      </c>
    </row>
    <row r="304" ht="13.5" customHeight="1">
      <c r="A304" s="65" t="n"/>
      <c r="B304" s="75" t="n"/>
      <c r="C304" s="67" t="n"/>
      <c r="D304" s="67" t="n"/>
      <c r="E304" s="68" t="n"/>
      <c r="F304" s="68" t="n"/>
      <c r="G304" s="68" t="n"/>
      <c r="H304" s="67" t="n"/>
      <c r="I304" s="67" t="n"/>
      <c r="J304" s="67" t="n"/>
      <c r="K304" s="69" t="n"/>
      <c r="L304" s="67" t="n"/>
      <c r="M304" s="67" t="n"/>
      <c r="N304" s="67" t="n"/>
      <c r="O304" s="67" t="n"/>
      <c r="P304" s="67" t="n"/>
      <c r="Q304" s="70" t="n"/>
      <c r="R304" s="70" t="n"/>
      <c r="S304" s="71" t="n"/>
      <c r="T304" s="72">
        <f>SUM(C304:S304)</f>
        <v/>
      </c>
      <c r="U304" s="73">
        <f>T304/T$7</f>
        <v/>
      </c>
      <c r="V304" s="280" t="n"/>
      <c r="W304" s="118" t="n"/>
      <c r="X304" s="280" t="n"/>
      <c r="Y304" s="118" t="n"/>
      <c r="Z304" s="281" t="n"/>
      <c r="AA304" s="118" t="n"/>
      <c r="AB304" s="280" t="n"/>
      <c r="AC304" s="118" t="n"/>
      <c r="AD304" s="282">
        <f>T304+V304+X304+AB304+Z304</f>
        <v/>
      </c>
      <c r="AE304" s="73">
        <f>AD304/AD$7</f>
        <v/>
      </c>
      <c r="AF304" s="74" t="n"/>
      <c r="AG304" s="76">
        <f>AD304*AF304</f>
        <v/>
      </c>
    </row>
    <row r="305" ht="13.5" customHeight="1">
      <c r="A305" s="65" t="n"/>
      <c r="B305" s="75" t="n"/>
      <c r="C305" s="67" t="n"/>
      <c r="D305" s="67" t="n"/>
      <c r="E305" s="68" t="n"/>
      <c r="F305" s="68" t="n"/>
      <c r="G305" s="68" t="n"/>
      <c r="H305" s="67" t="n"/>
      <c r="I305" s="67" t="n"/>
      <c r="J305" s="67" t="n"/>
      <c r="K305" s="69" t="n"/>
      <c r="L305" s="67" t="n"/>
      <c r="M305" s="67" t="n"/>
      <c r="N305" s="67" t="n"/>
      <c r="O305" s="67" t="n"/>
      <c r="P305" s="67" t="n"/>
      <c r="Q305" s="70" t="n"/>
      <c r="R305" s="70" t="n"/>
      <c r="S305" s="71" t="n"/>
      <c r="T305" s="72">
        <f>SUM(C305:S305)</f>
        <v/>
      </c>
      <c r="U305" s="73">
        <f>T305/T$7</f>
        <v/>
      </c>
      <c r="V305" s="280" t="n"/>
      <c r="W305" s="118" t="n"/>
      <c r="X305" s="280" t="n"/>
      <c r="Y305" s="118" t="n"/>
      <c r="Z305" s="281" t="n"/>
      <c r="AA305" s="118" t="n"/>
      <c r="AB305" s="280" t="n"/>
      <c r="AC305" s="118" t="n"/>
      <c r="AD305" s="282">
        <f>T305+V305+X305+AB305+Z305</f>
        <v/>
      </c>
      <c r="AE305" s="73">
        <f>AD305/AD$7</f>
        <v/>
      </c>
      <c r="AF305" s="74" t="n"/>
      <c r="AG305" s="76">
        <f>AD305*AF305</f>
        <v/>
      </c>
    </row>
    <row r="306" ht="13.5" customHeight="1">
      <c r="A306" s="65" t="n"/>
      <c r="B306" s="75" t="n"/>
      <c r="C306" s="67" t="n"/>
      <c r="D306" s="67" t="n"/>
      <c r="E306" s="68" t="n"/>
      <c r="F306" s="68" t="n"/>
      <c r="G306" s="68" t="n"/>
      <c r="H306" s="67" t="n"/>
      <c r="I306" s="67" t="n"/>
      <c r="J306" s="67" t="n"/>
      <c r="K306" s="69" t="n"/>
      <c r="L306" s="67" t="n"/>
      <c r="M306" s="67" t="n"/>
      <c r="N306" s="67" t="n"/>
      <c r="O306" s="67" t="n"/>
      <c r="P306" s="67" t="n"/>
      <c r="Q306" s="70" t="n"/>
      <c r="R306" s="70" t="n"/>
      <c r="S306" s="71" t="n"/>
      <c r="T306" s="72">
        <f>SUM(C306:S306)</f>
        <v/>
      </c>
      <c r="U306" s="73">
        <f>T306/T$7</f>
        <v/>
      </c>
      <c r="V306" s="280" t="n"/>
      <c r="W306" s="118" t="n"/>
      <c r="X306" s="280" t="n"/>
      <c r="Y306" s="118" t="n"/>
      <c r="Z306" s="281" t="n"/>
      <c r="AA306" s="118" t="n"/>
      <c r="AB306" s="280" t="n"/>
      <c r="AC306" s="118" t="n"/>
      <c r="AD306" s="282">
        <f>T306+V306+X306+AB306+Z306</f>
        <v/>
      </c>
      <c r="AE306" s="73">
        <f>AD306/AD$7</f>
        <v/>
      </c>
      <c r="AF306" s="74" t="n"/>
      <c r="AG306" s="76">
        <f>AD306*AF306</f>
        <v/>
      </c>
    </row>
    <row r="307" ht="13.5" customHeight="1">
      <c r="A307" s="65" t="n"/>
      <c r="B307" s="75" t="n"/>
      <c r="C307" s="67" t="n"/>
      <c r="D307" s="67" t="n"/>
      <c r="E307" s="68" t="n"/>
      <c r="F307" s="68" t="n"/>
      <c r="G307" s="68" t="n"/>
      <c r="H307" s="67" t="n"/>
      <c r="I307" s="67" t="n"/>
      <c r="J307" s="67" t="n"/>
      <c r="K307" s="69" t="n"/>
      <c r="L307" s="67" t="n"/>
      <c r="M307" s="67" t="n"/>
      <c r="N307" s="67" t="n"/>
      <c r="O307" s="67" t="n"/>
      <c r="P307" s="67" t="n"/>
      <c r="Q307" s="70" t="n"/>
      <c r="R307" s="70" t="n"/>
      <c r="S307" s="71" t="n"/>
      <c r="T307" s="72">
        <f>SUM(C307:S307)</f>
        <v/>
      </c>
      <c r="U307" s="73">
        <f>T307/T$7</f>
        <v/>
      </c>
      <c r="V307" s="280" t="n"/>
      <c r="W307" s="118" t="n"/>
      <c r="X307" s="280" t="n"/>
      <c r="Y307" s="118" t="n"/>
      <c r="Z307" s="281" t="n"/>
      <c r="AA307" s="118" t="n"/>
      <c r="AB307" s="280" t="n"/>
      <c r="AC307" s="118" t="n"/>
      <c r="AD307" s="282">
        <f>T307+V307+X307+AB307+Z307</f>
        <v/>
      </c>
      <c r="AE307" s="73">
        <f>AD307/AD$7</f>
        <v/>
      </c>
      <c r="AF307" s="74" t="n"/>
      <c r="AG307" s="76">
        <f>AD307*AF307</f>
        <v/>
      </c>
    </row>
    <row r="308" ht="13.5" customHeight="1">
      <c r="A308" s="65" t="n"/>
      <c r="B308" s="75" t="n"/>
      <c r="C308" s="67" t="n"/>
      <c r="D308" s="67" t="n"/>
      <c r="E308" s="68" t="n"/>
      <c r="F308" s="68" t="n"/>
      <c r="G308" s="68" t="n"/>
      <c r="H308" s="67" t="n"/>
      <c r="I308" s="67" t="n"/>
      <c r="J308" s="67" t="n"/>
      <c r="K308" s="69" t="n"/>
      <c r="L308" s="67" t="n"/>
      <c r="M308" s="67" t="n"/>
      <c r="N308" s="67" t="n"/>
      <c r="O308" s="67" t="n"/>
      <c r="P308" s="67" t="n"/>
      <c r="Q308" s="70" t="n"/>
      <c r="R308" s="70" t="n"/>
      <c r="S308" s="71" t="n"/>
      <c r="T308" s="72">
        <f>SUM(C308:S308)</f>
        <v/>
      </c>
      <c r="U308" s="73">
        <f>T308/T$7</f>
        <v/>
      </c>
      <c r="V308" s="280" t="n"/>
      <c r="W308" s="118" t="n"/>
      <c r="X308" s="280" t="n"/>
      <c r="Y308" s="118" t="n"/>
      <c r="Z308" s="281" t="n"/>
      <c r="AA308" s="118" t="n"/>
      <c r="AB308" s="280" t="n"/>
      <c r="AC308" s="118" t="n"/>
      <c r="AD308" s="282">
        <f>T308+V308+X308+AB308+Z308</f>
        <v/>
      </c>
      <c r="AE308" s="73">
        <f>AD308/AD$7</f>
        <v/>
      </c>
      <c r="AF308" s="74" t="n"/>
      <c r="AG308" s="76">
        <f>AD308*AF308</f>
        <v/>
      </c>
    </row>
    <row r="309" ht="13.5" customHeight="1">
      <c r="A309" s="65" t="n"/>
      <c r="B309" s="75" t="n"/>
      <c r="C309" s="67" t="n"/>
      <c r="D309" s="67" t="n"/>
      <c r="E309" s="68" t="n"/>
      <c r="F309" s="68" t="n"/>
      <c r="G309" s="68" t="n"/>
      <c r="H309" s="67" t="n"/>
      <c r="I309" s="67" t="n"/>
      <c r="J309" s="67" t="n"/>
      <c r="K309" s="69" t="n"/>
      <c r="L309" s="67" t="n"/>
      <c r="M309" s="67" t="n"/>
      <c r="N309" s="67" t="n"/>
      <c r="O309" s="67" t="n"/>
      <c r="P309" s="67" t="n"/>
      <c r="Q309" s="70" t="n"/>
      <c r="R309" s="70" t="n"/>
      <c r="S309" s="71" t="n"/>
      <c r="T309" s="72">
        <f>SUM(C309:S309)</f>
        <v/>
      </c>
      <c r="U309" s="73">
        <f>T309/T$7</f>
        <v/>
      </c>
      <c r="V309" s="280" t="n"/>
      <c r="W309" s="118" t="n"/>
      <c r="X309" s="280" t="n"/>
      <c r="Y309" s="118" t="n"/>
      <c r="Z309" s="281" t="n"/>
      <c r="AA309" s="118" t="n"/>
      <c r="AB309" s="280" t="n"/>
      <c r="AC309" s="118" t="n"/>
      <c r="AD309" s="282">
        <f>T309+V309+X309+AB309+Z309</f>
        <v/>
      </c>
      <c r="AE309" s="73">
        <f>AD309/AD$7</f>
        <v/>
      </c>
      <c r="AF309" s="74" t="n"/>
      <c r="AG309" s="76">
        <f>AD309*AF309</f>
        <v/>
      </c>
    </row>
    <row r="310" ht="13.5" customHeight="1">
      <c r="A310" s="65" t="n"/>
      <c r="B310" s="75" t="n"/>
      <c r="C310" s="67" t="n"/>
      <c r="D310" s="67" t="n"/>
      <c r="E310" s="68" t="n"/>
      <c r="F310" s="68" t="n"/>
      <c r="G310" s="68" t="n"/>
      <c r="H310" s="67" t="n"/>
      <c r="I310" s="67" t="n"/>
      <c r="J310" s="67" t="n"/>
      <c r="K310" s="69" t="n"/>
      <c r="L310" s="67" t="n"/>
      <c r="M310" s="67" t="n"/>
      <c r="N310" s="67" t="n"/>
      <c r="O310" s="67" t="n"/>
      <c r="P310" s="67" t="n"/>
      <c r="Q310" s="70" t="n"/>
      <c r="R310" s="70" t="n"/>
      <c r="S310" s="71" t="n"/>
      <c r="T310" s="72">
        <f>SUM(C310:S310)</f>
        <v/>
      </c>
      <c r="U310" s="73">
        <f>T310/T$7</f>
        <v/>
      </c>
      <c r="V310" s="280" t="n"/>
      <c r="W310" s="118" t="n"/>
      <c r="X310" s="280" t="n"/>
      <c r="Y310" s="118" t="n"/>
      <c r="Z310" s="281" t="n"/>
      <c r="AA310" s="118" t="n"/>
      <c r="AB310" s="280" t="n"/>
      <c r="AC310" s="118" t="n"/>
      <c r="AD310" s="282">
        <f>T310+V310+X310+AB310+Z310</f>
        <v/>
      </c>
      <c r="AE310" s="73">
        <f>AD310/AD$7</f>
        <v/>
      </c>
      <c r="AF310" s="74" t="n"/>
      <c r="AG310" s="76">
        <f>AD310*AF310</f>
        <v/>
      </c>
    </row>
    <row r="311" ht="14" customFormat="1" customHeight="1" s="258">
      <c r="A311" s="257" t="inlineStr">
        <is>
          <t>Actions</t>
        </is>
      </c>
      <c r="C311" s="16">
        <f>C312+C352+C389+C424+C431</f>
        <v/>
      </c>
      <c r="D311" s="16">
        <f>D312+D352+D389+D424+D431</f>
        <v/>
      </c>
      <c r="E311" s="16">
        <f>E312+E352+E389+E424+E431</f>
        <v/>
      </c>
      <c r="F311" s="16">
        <f>F312+F352+F389+F424+F431</f>
        <v/>
      </c>
      <c r="G311" s="16">
        <f>G312+G352+G389+G424+G431</f>
        <v/>
      </c>
      <c r="H311" s="16">
        <f>H312+H352+H389+H424+H431</f>
        <v/>
      </c>
      <c r="I311" s="16">
        <f>I312+I352+I389+I424+I431</f>
        <v/>
      </c>
      <c r="J311" s="16">
        <f>J312+J352+J389+J424+J431</f>
        <v/>
      </c>
      <c r="K311" s="16">
        <f>K312+K352+K389+K424+K431</f>
        <v/>
      </c>
      <c r="L311" s="16">
        <f>L312+L352+L389+L424+L431</f>
        <v/>
      </c>
      <c r="M311" s="16">
        <f>M312+M352+M389+M424+M431</f>
        <v/>
      </c>
      <c r="N311" s="16">
        <f>N312+N352+N389+N424+N431</f>
        <v/>
      </c>
      <c r="O311" s="16">
        <f>O312+O352+O389+O424+O431</f>
        <v/>
      </c>
      <c r="P311" s="16">
        <f>P312+P352+P389+P424+P431</f>
        <v/>
      </c>
      <c r="Q311" s="16">
        <f>Q312+Q352+Q389+Q424+Q431</f>
        <v/>
      </c>
      <c r="R311" s="16">
        <f>R312+R352+R389+R424+R431</f>
        <v/>
      </c>
      <c r="S311" s="16">
        <f>S312+S352+S389+S424+S431</f>
        <v/>
      </c>
      <c r="T311" s="17">
        <f>SUM(C311:S311)</f>
        <v/>
      </c>
      <c r="U311" s="54">
        <f>SUM(U313:U351)+SUM(U353:U388)+SUM(U390:U423)+SUM(U425:U430)+SUM(U432:U454)</f>
        <v/>
      </c>
      <c r="V311" s="291" t="n"/>
      <c r="W311" s="120" t="n"/>
      <c r="X311" s="291" t="n"/>
      <c r="Y311" s="120" t="n"/>
      <c r="Z311" s="290" t="n"/>
      <c r="AA311" s="120" t="n"/>
      <c r="AB311" s="291" t="n"/>
      <c r="AC311" s="120" t="n"/>
      <c r="AD311" s="276">
        <f>AD312+AD352+AD424+AD431+AD389</f>
        <v/>
      </c>
      <c r="AE311" s="61">
        <f>AE312+AE352+AE424+AE389+AE431</f>
        <v/>
      </c>
      <c r="AF311" s="18" t="n"/>
      <c r="AG311" s="19" t="n"/>
    </row>
    <row r="312" ht="14" customHeight="1">
      <c r="A312" s="184" t="inlineStr">
        <is>
          <t>dont actions européennes</t>
        </is>
      </c>
      <c r="B312" s="185" t="n"/>
      <c r="C312" s="186">
        <f>SUM(C313:C351)</f>
        <v/>
      </c>
      <c r="D312" s="186">
        <f>SUM(D313:D351)</f>
        <v/>
      </c>
      <c r="E312" s="186">
        <f>SUM(E313:E351)</f>
        <v/>
      </c>
      <c r="F312" s="186">
        <f>SUM(F313:F351)</f>
        <v/>
      </c>
      <c r="G312" s="186">
        <f>SUM(G313:G351)</f>
        <v/>
      </c>
      <c r="H312" s="186">
        <f>SUM(H313:H351)</f>
        <v/>
      </c>
      <c r="I312" s="186">
        <f>SUM(I313:I351)</f>
        <v/>
      </c>
      <c r="J312" s="186">
        <f>SUM(J313:J351)</f>
        <v/>
      </c>
      <c r="K312" s="186">
        <f>SUM(K313:K351)</f>
        <v/>
      </c>
      <c r="L312" s="186">
        <f>SUM(L313:L351)</f>
        <v/>
      </c>
      <c r="M312" s="186">
        <f>SUM(M313:M351)</f>
        <v/>
      </c>
      <c r="N312" s="186">
        <f>SUM(N313:N351)</f>
        <v/>
      </c>
      <c r="O312" s="186">
        <f>SUM(O313:O351)</f>
        <v/>
      </c>
      <c r="P312" s="186">
        <f>SUM(P313:P351)</f>
        <v/>
      </c>
      <c r="Q312" s="186">
        <f>SUM(Q313:Q351)</f>
        <v/>
      </c>
      <c r="R312" s="186">
        <f>SUM(R313:R351)</f>
        <v/>
      </c>
      <c r="S312" s="186">
        <f>SUM(S313:S351)</f>
        <v/>
      </c>
      <c r="T312" s="187">
        <f>SUM(C312:S312)</f>
        <v/>
      </c>
      <c r="U312" s="188">
        <f>T312/T311</f>
        <v/>
      </c>
      <c r="V312" s="297" t="n"/>
      <c r="W312" s="190" t="n"/>
      <c r="X312" s="297" t="n"/>
      <c r="Y312" s="190" t="n"/>
      <c r="Z312" s="298" t="n"/>
      <c r="AA312" s="190" t="n"/>
      <c r="AB312" s="297" t="n"/>
      <c r="AC312" s="190" t="n"/>
      <c r="AD312" s="299">
        <f>SUM(AD313:AD351)</f>
        <v/>
      </c>
      <c r="AE312" s="193">
        <f>SUM(AE313:AE351)</f>
        <v/>
      </c>
      <c r="AF312" s="194" t="n"/>
      <c r="AG312" s="183" t="n"/>
      <c r="AH312" s="32" t="n"/>
      <c r="AI312" s="32" t="n"/>
    </row>
    <row r="313" ht="14" customHeight="1">
      <c r="A313" s="78" t="inlineStr">
        <is>
          <t>JPMorgan Europe REI Equity</t>
        </is>
      </c>
      <c r="B313" s="75" t="inlineStr">
        <is>
          <t>IE00BF4G7183</t>
        </is>
      </c>
      <c r="C313" s="67" t="n"/>
      <c r="D313" s="67" t="n"/>
      <c r="E313" s="67" t="n"/>
      <c r="F313" s="67" t="n"/>
      <c r="G313" s="67" t="n"/>
      <c r="H313" s="67" t="n"/>
      <c r="I313" s="67" t="n"/>
      <c r="J313" s="67" t="n"/>
      <c r="K313" s="69" t="n"/>
      <c r="L313" s="67" t="n"/>
      <c r="M313" s="67" t="n"/>
      <c r="N313" s="67" t="n"/>
      <c r="O313" s="67" t="n"/>
      <c r="P313" s="67" t="n"/>
      <c r="Q313" s="70" t="n"/>
      <c r="R313" s="70" t="n"/>
      <c r="S313" s="71" t="n"/>
      <c r="T313" s="80">
        <f>SUM(C313:S313)</f>
        <v/>
      </c>
      <c r="U313" s="73">
        <f>T313/T$7</f>
        <v/>
      </c>
      <c r="V313" s="280" t="n"/>
      <c r="W313" s="118" t="n"/>
      <c r="X313" s="280" t="n"/>
      <c r="Y313" s="118" t="n"/>
      <c r="Z313" s="281" t="n"/>
      <c r="AA313" s="118" t="n"/>
      <c r="AB313" s="280" t="n"/>
      <c r="AC313" s="118" t="n"/>
      <c r="AD313" s="282">
        <f>T313+V313+X313+AB313+Z313</f>
        <v/>
      </c>
      <c r="AE313" s="73">
        <f>AD313/AD$7</f>
        <v/>
      </c>
      <c r="AF313" s="81" t="n">
        <v>4</v>
      </c>
      <c r="AG313" s="76">
        <f>AD313*AF313</f>
        <v/>
      </c>
      <c r="AH313" s="28" t="n"/>
      <c r="AI313" s="28" t="n"/>
    </row>
    <row r="314" ht="14" customHeight="1">
      <c r="A314" s="65" t="inlineStr">
        <is>
          <t>Amundi Eurostoxx 50 ETF</t>
        </is>
      </c>
      <c r="B314" s="66" t="inlineStr">
        <is>
          <t>FR0007054358</t>
        </is>
      </c>
      <c r="C314" s="67" t="n"/>
      <c r="D314" s="67" t="n"/>
      <c r="E314" s="67" t="n"/>
      <c r="F314" s="67" t="n"/>
      <c r="G314" s="67" t="n"/>
      <c r="H314" s="67" t="n"/>
      <c r="I314" s="67" t="n"/>
      <c r="J314" s="67" t="n"/>
      <c r="K314" s="69" t="n"/>
      <c r="L314" s="67" t="n"/>
      <c r="M314" s="67" t="n"/>
      <c r="N314" s="67" t="n"/>
      <c r="O314" s="67" t="n"/>
      <c r="P314" s="67" t="n"/>
      <c r="Q314" s="70" t="n"/>
      <c r="R314" s="70" t="n"/>
      <c r="S314" s="71" t="n"/>
      <c r="T314" s="80">
        <f>SUM(C314:S314)</f>
        <v/>
      </c>
      <c r="U314" s="73">
        <f>T314/T$7</f>
        <v/>
      </c>
      <c r="V314" s="280" t="n"/>
      <c r="W314" s="118" t="n"/>
      <c r="X314" s="280" t="n"/>
      <c r="Y314" s="118" t="n"/>
      <c r="Z314" s="281" t="n"/>
      <c r="AA314" s="118" t="n"/>
      <c r="AB314" s="280" t="n"/>
      <c r="AC314" s="118" t="n"/>
      <c r="AD314" s="282">
        <f>T314+V314+X314+AB314+Z314</f>
        <v/>
      </c>
      <c r="AE314" s="73">
        <f>AD314/AD$7</f>
        <v/>
      </c>
      <c r="AF314" s="74" t="n">
        <v>4</v>
      </c>
      <c r="AG314" s="76">
        <f>AD314*AF314</f>
        <v/>
      </c>
    </row>
    <row r="315" ht="14" customHeight="1">
      <c r="A315" s="78" t="inlineStr">
        <is>
          <t>Renaissance Europe Z</t>
        </is>
      </c>
      <c r="B315" s="75" t="inlineStr">
        <is>
          <t>FR0013290947</t>
        </is>
      </c>
      <c r="C315" s="67" t="n"/>
      <c r="D315" s="67" t="n"/>
      <c r="E315" s="67" t="n"/>
      <c r="F315" s="67" t="n"/>
      <c r="G315" s="67" t="n"/>
      <c r="H315" s="67" t="n"/>
      <c r="I315" s="67" t="n"/>
      <c r="J315" s="67" t="n"/>
      <c r="K315" s="69" t="n"/>
      <c r="L315" s="67" t="n"/>
      <c r="M315" s="67" t="n"/>
      <c r="N315" s="67" t="n"/>
      <c r="O315" s="67" t="n"/>
      <c r="P315" s="67" t="n"/>
      <c r="Q315" s="70" t="n"/>
      <c r="R315" s="70" t="n"/>
      <c r="S315" s="71" t="n"/>
      <c r="T315" s="80">
        <f>SUM(C315:S315)</f>
        <v/>
      </c>
      <c r="U315" s="73">
        <f>T315/T$7</f>
        <v/>
      </c>
      <c r="V315" s="280" t="n"/>
      <c r="W315" s="118" t="n"/>
      <c r="X315" s="280" t="n"/>
      <c r="Y315" s="118" t="n"/>
      <c r="Z315" s="281" t="n"/>
      <c r="AA315" s="118" t="n"/>
      <c r="AB315" s="280" t="n"/>
      <c r="AC315" s="118" t="n"/>
      <c r="AD315" s="282">
        <f>T315+V315+X315+AB315+Z315</f>
        <v/>
      </c>
      <c r="AE315" s="73">
        <f>AD315/AD$7</f>
        <v/>
      </c>
      <c r="AF315" s="81" t="n">
        <v>4</v>
      </c>
      <c r="AG315" s="76">
        <f>AD315*AF315</f>
        <v/>
      </c>
      <c r="AH315" s="28" t="n"/>
      <c r="AI315" s="28" t="n"/>
    </row>
    <row r="316" ht="14" customHeight="1">
      <c r="A316" s="78" t="inlineStr">
        <is>
          <t>Indépendance Europe Small I</t>
        </is>
      </c>
      <c r="B316" s="75" t="inlineStr">
        <is>
          <t>LU1832175001</t>
        </is>
      </c>
      <c r="C316" s="67" t="n"/>
      <c r="D316" s="67" t="n"/>
      <c r="E316" s="67" t="n"/>
      <c r="F316" s="67" t="n"/>
      <c r="G316" s="67" t="n"/>
      <c r="H316" s="67" t="n"/>
      <c r="I316" s="67" t="n"/>
      <c r="J316" s="67" t="n"/>
      <c r="K316" s="69" t="n"/>
      <c r="L316" s="67" t="n"/>
      <c r="M316" s="67" t="n"/>
      <c r="N316" s="67" t="n"/>
      <c r="O316" s="67" t="n"/>
      <c r="P316" s="67" t="n"/>
      <c r="Q316" s="70" t="n"/>
      <c r="R316" s="70" t="n"/>
      <c r="S316" s="71" t="n"/>
      <c r="T316" s="80">
        <f>SUM(C316:S316)</f>
        <v/>
      </c>
      <c r="U316" s="73">
        <f>T316/T$7</f>
        <v/>
      </c>
      <c r="V316" s="280" t="n"/>
      <c r="W316" s="118" t="n"/>
      <c r="X316" s="280" t="n"/>
      <c r="Y316" s="118" t="n"/>
      <c r="Z316" s="281" t="n"/>
      <c r="AA316" s="118" t="n"/>
      <c r="AB316" s="280" t="n"/>
      <c r="AC316" s="118" t="n"/>
      <c r="AD316" s="282">
        <f>T316+V316+X316+AB316+Z316</f>
        <v/>
      </c>
      <c r="AE316" s="73">
        <f>AD316/AD$7</f>
        <v/>
      </c>
      <c r="AF316" s="81" t="n">
        <v>4</v>
      </c>
      <c r="AG316" s="76">
        <f>AD316*AF316</f>
        <v/>
      </c>
      <c r="AH316" s="28" t="n"/>
      <c r="AI316" s="28" t="n"/>
    </row>
    <row r="317" ht="14" customHeight="1">
      <c r="A317" s="78" t="inlineStr">
        <is>
          <t>Indépendance Europe Small A ©</t>
        </is>
      </c>
      <c r="B317" s="75" t="inlineStr">
        <is>
          <t>LU1832174962</t>
        </is>
      </c>
      <c r="C317" s="67" t="n"/>
      <c r="D317" s="67" t="n"/>
      <c r="E317" s="67" t="n"/>
      <c r="F317" s="67" t="n"/>
      <c r="G317" s="67" t="n"/>
      <c r="H317" s="67" t="n"/>
      <c r="I317" s="67" t="n"/>
      <c r="J317" s="67" t="n"/>
      <c r="K317" s="69" t="n"/>
      <c r="L317" s="67" t="n"/>
      <c r="M317" s="67" t="n"/>
      <c r="N317" s="67" t="n"/>
      <c r="O317" s="67" t="n"/>
      <c r="P317" s="67" t="n"/>
      <c r="Q317" s="70" t="n"/>
      <c r="R317" s="70" t="n"/>
      <c r="S317" s="71" t="n"/>
      <c r="T317" s="80">
        <f>SUM(C317:S317)</f>
        <v/>
      </c>
      <c r="U317" s="73">
        <f>T317/T$7</f>
        <v/>
      </c>
      <c r="V317" s="280" t="n"/>
      <c r="W317" s="118" t="n"/>
      <c r="X317" s="280" t="n"/>
      <c r="Y317" s="118" t="n"/>
      <c r="Z317" s="281" t="n"/>
      <c r="AA317" s="118" t="n"/>
      <c r="AB317" s="280" t="n"/>
      <c r="AC317" s="118" t="n"/>
      <c r="AD317" s="282">
        <f>T317+V317+X317+AB317+Z317</f>
        <v/>
      </c>
      <c r="AE317" s="73">
        <f>AD317/AD$7</f>
        <v/>
      </c>
      <c r="AF317" s="81" t="n">
        <v>4</v>
      </c>
      <c r="AG317" s="76">
        <f>AD317*AF317</f>
        <v/>
      </c>
      <c r="AH317" s="28" t="n"/>
      <c r="AI317" s="28" t="n"/>
    </row>
    <row r="318" ht="14" customHeight="1">
      <c r="A318" s="78" t="inlineStr">
        <is>
          <t>Indépendance Mid Europe I</t>
        </is>
      </c>
      <c r="B318" s="75" t="inlineStr">
        <is>
          <t>LU2798962895</t>
        </is>
      </c>
      <c r="C318" s="67" t="n"/>
      <c r="D318" s="67" t="n"/>
      <c r="E318" s="67" t="n"/>
      <c r="F318" s="67" t="n"/>
      <c r="G318" s="67" t="n"/>
      <c r="H318" s="67" t="n"/>
      <c r="I318" s="67" t="n"/>
      <c r="J318" s="67" t="n"/>
      <c r="K318" s="69" t="n"/>
      <c r="L318" s="67" t="n"/>
      <c r="M318" s="67" t="n"/>
      <c r="N318" s="67" t="n"/>
      <c r="O318" s="67" t="n"/>
      <c r="P318" s="67" t="n"/>
      <c r="Q318" s="70" t="n"/>
      <c r="R318" s="70" t="n"/>
      <c r="S318" s="71" t="n"/>
      <c r="T318" s="80">
        <f>SUM(C318:S318)</f>
        <v/>
      </c>
      <c r="U318" s="73">
        <f>T318/T$7</f>
        <v/>
      </c>
      <c r="V318" s="280" t="n"/>
      <c r="W318" s="118" t="n"/>
      <c r="X318" s="280" t="n"/>
      <c r="Y318" s="118" t="n"/>
      <c r="Z318" s="281" t="n"/>
      <c r="AA318" s="118" t="n"/>
      <c r="AB318" s="280" t="n"/>
      <c r="AC318" s="118" t="n"/>
      <c r="AD318" s="282">
        <f>T318+V318+X318+AB318+Z318</f>
        <v/>
      </c>
      <c r="AE318" s="73">
        <f>AD318/AD$7</f>
        <v/>
      </c>
      <c r="AF318" s="81" t="n">
        <v>4</v>
      </c>
      <c r="AG318" s="76">
        <f>AD318*AF318</f>
        <v/>
      </c>
      <c r="AH318" s="28" t="n"/>
      <c r="AI318" s="28" t="n"/>
    </row>
    <row r="319" ht="14" customHeight="1">
      <c r="A319" s="78" t="inlineStr">
        <is>
          <t>Indépendance et Expansion SICAV - France Small A</t>
        </is>
      </c>
      <c r="B319" s="75" t="inlineStr">
        <is>
          <t>LU0131510165</t>
        </is>
      </c>
      <c r="C319" s="67" t="n"/>
      <c r="D319" s="67" t="n"/>
      <c r="E319" s="67" t="n"/>
      <c r="F319" s="67" t="n"/>
      <c r="G319" s="67" t="n"/>
      <c r="H319" s="67" t="n"/>
      <c r="I319" s="67" t="n"/>
      <c r="J319" s="67" t="n"/>
      <c r="K319" s="69" t="n"/>
      <c r="L319" s="67" t="n"/>
      <c r="M319" s="67" t="n"/>
      <c r="N319" s="67" t="n"/>
      <c r="O319" s="67" t="n"/>
      <c r="P319" s="67" t="n"/>
      <c r="Q319" s="70" t="n"/>
      <c r="R319" s="70" t="n"/>
      <c r="S319" s="71" t="n"/>
      <c r="T319" s="80">
        <f>SUM(C319:S319)</f>
        <v/>
      </c>
      <c r="U319" s="73">
        <f>T319/T$7</f>
        <v/>
      </c>
      <c r="V319" s="280" t="n"/>
      <c r="W319" s="118" t="n"/>
      <c r="X319" s="280" t="n"/>
      <c r="Y319" s="118" t="n"/>
      <c r="Z319" s="281" t="n"/>
      <c r="AA319" s="118" t="n"/>
      <c r="AB319" s="280" t="n"/>
      <c r="AC319" s="118" t="n"/>
      <c r="AD319" s="282">
        <f>T319+V319+X319+AB319+Z319</f>
        <v/>
      </c>
      <c r="AE319" s="73">
        <f>AD319/AD$7</f>
        <v/>
      </c>
      <c r="AF319" s="81" t="n">
        <v>4</v>
      </c>
      <c r="AG319" s="76">
        <f>AD319*AF319</f>
        <v/>
      </c>
      <c r="AH319" s="28" t="n"/>
      <c r="AI319" s="28" t="n"/>
    </row>
    <row r="320" ht="14" customHeight="1">
      <c r="A320" s="78" t="inlineStr">
        <is>
          <t>Independance et Expansion Sicav France Small I ©</t>
        </is>
      </c>
      <c r="B320" s="75" t="inlineStr">
        <is>
          <t>LU1964632324</t>
        </is>
      </c>
      <c r="C320" s="67" t="n"/>
      <c r="D320" s="67" t="n"/>
      <c r="E320" s="67" t="n"/>
      <c r="F320" s="67" t="n"/>
      <c r="G320" s="67" t="n"/>
      <c r="H320" s="67" t="n"/>
      <c r="I320" s="67" t="n"/>
      <c r="J320" s="67" t="n"/>
      <c r="K320" s="69" t="n"/>
      <c r="L320" s="67" t="n"/>
      <c r="M320" s="67" t="n"/>
      <c r="N320" s="67" t="n"/>
      <c r="O320" s="67" t="n"/>
      <c r="P320" s="67" t="n"/>
      <c r="Q320" s="70" t="n"/>
      <c r="R320" s="70" t="n"/>
      <c r="S320" s="71" t="n"/>
      <c r="T320" s="80">
        <f>SUM(C320:S320)</f>
        <v/>
      </c>
      <c r="U320" s="73">
        <f>T320/T$7</f>
        <v/>
      </c>
      <c r="V320" s="280" t="n"/>
      <c r="W320" s="118" t="n"/>
      <c r="X320" s="280" t="n"/>
      <c r="Y320" s="118" t="n"/>
      <c r="Z320" s="281" t="n"/>
      <c r="AA320" s="118" t="n"/>
      <c r="AB320" s="280" t="n"/>
      <c r="AC320" s="118" t="n"/>
      <c r="AD320" s="282">
        <f>T320+V320+X320+AB320+Z320</f>
        <v/>
      </c>
      <c r="AE320" s="73">
        <f>AD320/AD$7</f>
        <v/>
      </c>
      <c r="AF320" s="81" t="n">
        <v>4</v>
      </c>
      <c r="AG320" s="76">
        <f>AD320*AF320</f>
        <v/>
      </c>
      <c r="AH320" s="28" t="n"/>
      <c r="AI320" s="28" t="n"/>
    </row>
    <row r="321" ht="14" customHeight="1">
      <c r="A321" s="78" t="inlineStr">
        <is>
          <t>BNP Paribas Europe Small Cap Privilege</t>
        </is>
      </c>
      <c r="B321" s="75" t="inlineStr">
        <is>
          <t>LU0212180813</t>
        </is>
      </c>
      <c r="C321" s="67" t="n"/>
      <c r="D321" s="67" t="n"/>
      <c r="E321" s="67" t="n"/>
      <c r="F321" s="67" t="n"/>
      <c r="G321" s="67" t="n"/>
      <c r="H321" s="67" t="n"/>
      <c r="I321" s="67" t="n"/>
      <c r="J321" s="67" t="n"/>
      <c r="K321" s="69" t="n"/>
      <c r="L321" s="67" t="n"/>
      <c r="M321" s="67" t="n"/>
      <c r="N321" s="67" t="n"/>
      <c r="O321" s="67" t="n"/>
      <c r="P321" s="67" t="n"/>
      <c r="Q321" s="70" t="n"/>
      <c r="R321" s="70" t="n"/>
      <c r="S321" s="71" t="n"/>
      <c r="T321" s="80">
        <f>SUM(C321:S321)</f>
        <v/>
      </c>
      <c r="U321" s="73">
        <f>T321/T$7</f>
        <v/>
      </c>
      <c r="V321" s="280" t="n"/>
      <c r="W321" s="118" t="n"/>
      <c r="X321" s="280" t="n"/>
      <c r="Y321" s="118" t="n"/>
      <c r="Z321" s="281" t="n"/>
      <c r="AA321" s="118" t="n"/>
      <c r="AB321" s="280" t="n"/>
      <c r="AC321" s="118" t="n"/>
      <c r="AD321" s="282">
        <f>T321+V321+X321+AB321+Z321</f>
        <v/>
      </c>
      <c r="AE321" s="73">
        <f>AD321/AD$7</f>
        <v/>
      </c>
      <c r="AF321" s="81" t="n">
        <v>4</v>
      </c>
      <c r="AG321" s="76">
        <f>AD321*AF321</f>
        <v/>
      </c>
      <c r="AH321" s="28" t="n"/>
      <c r="AI321" s="28" t="n"/>
    </row>
    <row r="322" ht="14" customHeight="1">
      <c r="A322" s="78" t="inlineStr">
        <is>
          <t>Comgest Renaissance Europe I</t>
        </is>
      </c>
      <c r="B322" s="75" t="inlineStr">
        <is>
          <t>FR0010913624</t>
        </is>
      </c>
      <c r="C322" s="67" t="n"/>
      <c r="D322" s="67" t="n"/>
      <c r="E322" s="67" t="n"/>
      <c r="F322" s="67" t="n"/>
      <c r="G322" s="67" t="n"/>
      <c r="H322" s="67" t="n"/>
      <c r="I322" s="67" t="n"/>
      <c r="J322" s="67" t="n"/>
      <c r="K322" s="69" t="n"/>
      <c r="L322" s="67" t="n"/>
      <c r="M322" s="67" t="n"/>
      <c r="N322" s="67" t="n"/>
      <c r="O322" s="67" t="n"/>
      <c r="P322" s="67" t="n"/>
      <c r="Q322" s="70" t="n"/>
      <c r="R322" s="70" t="n"/>
      <c r="S322" s="71" t="n"/>
      <c r="T322" s="80">
        <f>SUM(C322:S322)</f>
        <v/>
      </c>
      <c r="U322" s="73">
        <f>T322/T$7</f>
        <v/>
      </c>
      <c r="V322" s="280" t="n"/>
      <c r="W322" s="118" t="n"/>
      <c r="X322" s="280" t="n"/>
      <c r="Y322" s="118" t="n"/>
      <c r="Z322" s="281" t="n"/>
      <c r="AA322" s="118" t="n"/>
      <c r="AB322" s="280" t="n"/>
      <c r="AC322" s="118" t="n"/>
      <c r="AD322" s="282">
        <f>T322+V322+X322+AB322+Z322</f>
        <v/>
      </c>
      <c r="AE322" s="73">
        <f>AD322/AD$7</f>
        <v/>
      </c>
      <c r="AF322" s="81" t="n">
        <v>4</v>
      </c>
      <c r="AG322" s="76">
        <f>AD322*AF322</f>
        <v/>
      </c>
      <c r="AH322" s="28" t="n"/>
      <c r="AI322" s="28" t="n"/>
    </row>
    <row r="323" ht="14" customHeight="1">
      <c r="A323" s="78" t="inlineStr">
        <is>
          <t xml:space="preserve">Comgest Growth Europe Smaller Companies EUR Z </t>
        </is>
      </c>
      <c r="B323" s="75" t="inlineStr">
        <is>
          <t>IE00BDZQR684</t>
        </is>
      </c>
      <c r="C323" s="67" t="n"/>
      <c r="D323" s="67" t="n"/>
      <c r="E323" s="67" t="n"/>
      <c r="F323" s="67" t="n"/>
      <c r="G323" s="67" t="n"/>
      <c r="H323" s="67" t="n"/>
      <c r="I323" s="67" t="n"/>
      <c r="J323" s="67" t="n"/>
      <c r="K323" s="69" t="n"/>
      <c r="L323" s="67" t="n"/>
      <c r="M323" s="67" t="n"/>
      <c r="N323" s="67" t="n"/>
      <c r="O323" s="67" t="n"/>
      <c r="P323" s="67" t="n"/>
      <c r="Q323" s="70" t="n"/>
      <c r="R323" s="70" t="n"/>
      <c r="S323" s="71" t="n"/>
      <c r="T323" s="80">
        <f>SUM(C323:S323)</f>
        <v/>
      </c>
      <c r="U323" s="73">
        <f>T323/T$7</f>
        <v/>
      </c>
      <c r="V323" s="280" t="n"/>
      <c r="W323" s="118" t="n"/>
      <c r="X323" s="280" t="n"/>
      <c r="Y323" s="118" t="n"/>
      <c r="Z323" s="281" t="n"/>
      <c r="AA323" s="118" t="n"/>
      <c r="AB323" s="280" t="n"/>
      <c r="AC323" s="118" t="n"/>
      <c r="AD323" s="282">
        <f>T323+V323+X323+AB323+Z323</f>
        <v/>
      </c>
      <c r="AE323" s="73">
        <f>AD323/AD$7</f>
        <v/>
      </c>
      <c r="AF323" s="81" t="n">
        <v>4</v>
      </c>
      <c r="AG323" s="76">
        <f>AD323*AF323</f>
        <v/>
      </c>
      <c r="AH323" s="28" t="n"/>
      <c r="AI323" s="28" t="n"/>
    </row>
    <row r="324" ht="14" customHeight="1">
      <c r="A324" s="78" t="inlineStr">
        <is>
          <t>Comgest Growth Europe Smaller Companies EUR Acc</t>
        </is>
      </c>
      <c r="B324" s="75" t="inlineStr">
        <is>
          <t>IE0004766014</t>
        </is>
      </c>
      <c r="C324" s="67" t="n"/>
      <c r="D324" s="67" t="n"/>
      <c r="E324" s="67" t="n"/>
      <c r="F324" s="67" t="n"/>
      <c r="G324" s="67" t="n"/>
      <c r="H324" s="67" t="n"/>
      <c r="I324" s="67" t="n"/>
      <c r="J324" s="67" t="n"/>
      <c r="K324" s="69" t="n"/>
      <c r="L324" s="67" t="n"/>
      <c r="M324" s="67" t="n"/>
      <c r="N324" s="67" t="n"/>
      <c r="O324" s="67" t="n"/>
      <c r="P324" s="67" t="n"/>
      <c r="Q324" s="70" t="n"/>
      <c r="R324" s="70" t="n"/>
      <c r="S324" s="71" t="n"/>
      <c r="T324" s="80">
        <f>SUM(C324:S324)</f>
        <v/>
      </c>
      <c r="U324" s="73">
        <f>T324/T$7</f>
        <v/>
      </c>
      <c r="V324" s="280" t="n"/>
      <c r="W324" s="118" t="n"/>
      <c r="X324" s="280" t="n"/>
      <c r="Y324" s="118" t="n"/>
      <c r="Z324" s="281" t="n"/>
      <c r="AA324" s="118" t="n"/>
      <c r="AB324" s="280" t="n"/>
      <c r="AC324" s="118" t="n"/>
      <c r="AD324" s="282">
        <f>T324+V324+X324+AB324+Z324</f>
        <v/>
      </c>
      <c r="AE324" s="73">
        <f>AD324/AD$7</f>
        <v/>
      </c>
      <c r="AF324" s="81" t="n">
        <v>4</v>
      </c>
      <c r="AG324" s="76">
        <f>AD324*AF324</f>
        <v/>
      </c>
      <c r="AH324" s="28" t="n"/>
      <c r="AI324" s="28" t="n"/>
    </row>
    <row r="325" ht="14" customHeight="1">
      <c r="A325" s="78" t="inlineStr">
        <is>
          <t>Comgest Growth Europe Smaller Companies EUR R Acc</t>
        </is>
      </c>
      <c r="B325" s="75" t="inlineStr">
        <is>
          <t>IE00BMBWVR22</t>
        </is>
      </c>
      <c r="C325" s="67" t="n"/>
      <c r="D325" s="67" t="n"/>
      <c r="E325" s="67" t="n"/>
      <c r="F325" s="67" t="n"/>
      <c r="G325" s="67" t="n"/>
      <c r="H325" s="67" t="n"/>
      <c r="I325" s="67" t="n"/>
      <c r="J325" s="67" t="n"/>
      <c r="K325" s="69" t="n"/>
      <c r="L325" s="67" t="n"/>
      <c r="M325" s="67" t="n"/>
      <c r="N325" s="67" t="n"/>
      <c r="O325" s="67" t="n"/>
      <c r="P325" s="67" t="n"/>
      <c r="Q325" s="70" t="n"/>
      <c r="R325" s="70" t="n"/>
      <c r="S325" s="71" t="n"/>
      <c r="T325" s="80">
        <f>SUM(C325:S325)</f>
        <v/>
      </c>
      <c r="U325" s="73">
        <f>T325/T$7</f>
        <v/>
      </c>
      <c r="V325" s="280" t="n"/>
      <c r="W325" s="118" t="n"/>
      <c r="X325" s="280" t="n"/>
      <c r="Y325" s="118" t="n"/>
      <c r="Z325" s="281" t="n"/>
      <c r="AA325" s="118" t="n"/>
      <c r="AB325" s="280" t="n"/>
      <c r="AC325" s="118" t="n"/>
      <c r="AD325" s="282">
        <f>T325+V325+X325+AB325+Z325</f>
        <v/>
      </c>
      <c r="AE325" s="73">
        <f>AD325/AD$7</f>
        <v/>
      </c>
      <c r="AF325" s="81" t="n">
        <v>4</v>
      </c>
      <c r="AG325" s="76">
        <f>AD325*AF325</f>
        <v/>
      </c>
      <c r="AH325" s="28" t="n"/>
      <c r="AI325" s="28" t="n"/>
    </row>
    <row r="326" ht="14" customHeight="1">
      <c r="A326" s="78" t="inlineStr">
        <is>
          <t>Comgest Growth Europe Opportunities R EUR Acc</t>
        </is>
      </c>
      <c r="B326" s="75" t="inlineStr">
        <is>
          <t>IE00BD5HXJ66</t>
        </is>
      </c>
      <c r="C326" s="67" t="n"/>
      <c r="D326" s="67" t="n"/>
      <c r="E326" s="67" t="n"/>
      <c r="F326" s="67" t="n"/>
      <c r="G326" s="67" t="n"/>
      <c r="H326" s="67" t="n"/>
      <c r="I326" s="67" t="n"/>
      <c r="J326" s="67" t="n"/>
      <c r="K326" s="69" t="n"/>
      <c r="L326" s="67" t="n"/>
      <c r="M326" s="67" t="n"/>
      <c r="N326" s="67" t="n"/>
      <c r="O326" s="67" t="n"/>
      <c r="P326" s="67" t="n"/>
      <c r="Q326" s="70" t="n"/>
      <c r="R326" s="70" t="n"/>
      <c r="S326" s="71" t="n"/>
      <c r="T326" s="80">
        <f>SUM(C326:S326)</f>
        <v/>
      </c>
      <c r="U326" s="73">
        <f>T326/T$7</f>
        <v/>
      </c>
      <c r="V326" s="280" t="n"/>
      <c r="W326" s="118" t="n"/>
      <c r="X326" s="280" t="n"/>
      <c r="Y326" s="118" t="n"/>
      <c r="Z326" s="281" t="n"/>
      <c r="AA326" s="118" t="n"/>
      <c r="AB326" s="280" t="n"/>
      <c r="AC326" s="118" t="n"/>
      <c r="AD326" s="282">
        <f>T326+V326+X326+AB326+Z326</f>
        <v/>
      </c>
      <c r="AE326" s="73">
        <f>AD326/AD$7</f>
        <v/>
      </c>
      <c r="AF326" s="81" t="n">
        <v>4</v>
      </c>
      <c r="AG326" s="76">
        <f>AD326*AF326</f>
        <v/>
      </c>
      <c r="AH326" s="28" t="n"/>
      <c r="AI326" s="28" t="n"/>
    </row>
    <row r="327" ht="14" customHeight="1">
      <c r="A327" s="78" t="inlineStr">
        <is>
          <t>Comgest Growth Europe Opportunities EUR Z Acc</t>
        </is>
      </c>
      <c r="B327" s="75" t="inlineStr">
        <is>
          <t>IE00BZ0X9T58</t>
        </is>
      </c>
      <c r="C327" s="67" t="n"/>
      <c r="D327" s="67" t="n"/>
      <c r="E327" s="67" t="n"/>
      <c r="F327" s="67" t="n"/>
      <c r="G327" s="67" t="n"/>
      <c r="H327" s="67" t="n"/>
      <c r="I327" s="67" t="n"/>
      <c r="J327" s="67" t="n"/>
      <c r="K327" s="69" t="n"/>
      <c r="L327" s="67" t="n"/>
      <c r="M327" s="67" t="n"/>
      <c r="N327" s="67" t="n"/>
      <c r="O327" s="67" t="n"/>
      <c r="P327" s="67" t="n"/>
      <c r="Q327" s="70" t="n"/>
      <c r="R327" s="70" t="n"/>
      <c r="S327" s="71" t="n"/>
      <c r="T327" s="80">
        <f>SUM(C327:S327)</f>
        <v/>
      </c>
      <c r="U327" s="73">
        <f>T327/T$7</f>
        <v/>
      </c>
      <c r="V327" s="280" t="n"/>
      <c r="W327" s="118" t="n"/>
      <c r="X327" s="280" t="n"/>
      <c r="Y327" s="118" t="n"/>
      <c r="Z327" s="281" t="n"/>
      <c r="AA327" s="118" t="n"/>
      <c r="AB327" s="280" t="n"/>
      <c r="AC327" s="118" t="n"/>
      <c r="AD327" s="282">
        <f>T327+V327+X327+AB327+Z327</f>
        <v/>
      </c>
      <c r="AE327" s="73">
        <f>AD327/AD$7</f>
        <v/>
      </c>
      <c r="AF327" s="81" t="n">
        <v>4</v>
      </c>
      <c r="AG327" s="76">
        <f>AD327*AF327</f>
        <v/>
      </c>
      <c r="AH327" s="28" t="n"/>
      <c r="AI327" s="28" t="n"/>
    </row>
    <row r="328" ht="14" customHeight="1">
      <c r="A328" s="78" t="inlineStr">
        <is>
          <t>ODDO BHF Avenir Europe CR-EUR Acc</t>
        </is>
      </c>
      <c r="B328" s="75" t="inlineStr">
        <is>
          <t>FR0000974149</t>
        </is>
      </c>
      <c r="C328" s="67" t="n"/>
      <c r="D328" s="67" t="n"/>
      <c r="E328" s="67" t="n"/>
      <c r="F328" s="67" t="n"/>
      <c r="G328" s="67" t="n"/>
      <c r="H328" s="67" t="n"/>
      <c r="I328" s="67" t="n"/>
      <c r="J328" s="67" t="n"/>
      <c r="K328" s="69" t="n"/>
      <c r="L328" s="67" t="n"/>
      <c r="M328" s="67" t="n"/>
      <c r="N328" s="67" t="n"/>
      <c r="O328" s="67" t="n"/>
      <c r="P328" s="67" t="n"/>
      <c r="Q328" s="70" t="n"/>
      <c r="R328" s="70" t="n"/>
      <c r="S328" s="71" t="n"/>
      <c r="T328" s="80">
        <f>SUM(C328:S328)</f>
        <v/>
      </c>
      <c r="U328" s="73">
        <f>T328/T$7</f>
        <v/>
      </c>
      <c r="V328" s="280" t="n"/>
      <c r="W328" s="118" t="n"/>
      <c r="X328" s="280" t="n"/>
      <c r="Y328" s="118" t="n"/>
      <c r="Z328" s="281" t="n"/>
      <c r="AA328" s="118" t="n"/>
      <c r="AB328" s="280" t="n"/>
      <c r="AC328" s="118" t="n"/>
      <c r="AD328" s="282">
        <f>T328+V328+X328+AB328+Z328</f>
        <v/>
      </c>
      <c r="AE328" s="73">
        <f>AD328/AD$7</f>
        <v/>
      </c>
      <c r="AF328" s="81" t="n">
        <v>4</v>
      </c>
      <c r="AG328" s="76">
        <f>AD328*AF328</f>
        <v/>
      </c>
      <c r="AH328" s="28" t="n"/>
      <c r="AI328" s="28" t="n"/>
    </row>
    <row r="329" ht="14" customHeight="1">
      <c r="A329" s="78" t="inlineStr">
        <is>
          <t>ODDO BHF Avenir CR-EUR</t>
        </is>
      </c>
      <c r="B329" s="75" t="inlineStr">
        <is>
          <t>FR0000989899</t>
        </is>
      </c>
      <c r="C329" s="67" t="n"/>
      <c r="D329" s="67" t="n"/>
      <c r="E329" s="67" t="n"/>
      <c r="F329" s="67" t="n"/>
      <c r="G329" s="67" t="n"/>
      <c r="H329" s="67" t="n"/>
      <c r="I329" s="67" t="n"/>
      <c r="J329" s="67" t="n"/>
      <c r="K329" s="69" t="n"/>
      <c r="L329" s="67" t="n"/>
      <c r="M329" s="67" t="n"/>
      <c r="N329" s="67" t="n"/>
      <c r="O329" s="67" t="n"/>
      <c r="P329" s="67" t="n"/>
      <c r="Q329" s="70" t="n"/>
      <c r="R329" s="70" t="n"/>
      <c r="S329" s="71" t="n"/>
      <c r="T329" s="80">
        <f>SUM(C329:S329)</f>
        <v/>
      </c>
      <c r="U329" s="73">
        <f>T329/T$7</f>
        <v/>
      </c>
      <c r="V329" s="280" t="n"/>
      <c r="W329" s="118" t="n"/>
      <c r="X329" s="280" t="n"/>
      <c r="Y329" s="118" t="n"/>
      <c r="Z329" s="281" t="n"/>
      <c r="AA329" s="118" t="n"/>
      <c r="AB329" s="280" t="n"/>
      <c r="AC329" s="118" t="n"/>
      <c r="AD329" s="282">
        <f>T329+V329+X329+AB329+Z329</f>
        <v/>
      </c>
      <c r="AE329" s="73">
        <f>AD329/AD$7</f>
        <v/>
      </c>
      <c r="AF329" s="81" t="n">
        <v>4</v>
      </c>
      <c r="AG329" s="76">
        <f>AD329*AF329</f>
        <v/>
      </c>
      <c r="AH329" s="28" t="n"/>
      <c r="AI329" s="28" t="n"/>
    </row>
    <row r="330" ht="14" customHeight="1">
      <c r="A330" s="78" t="inlineStr">
        <is>
          <t>Oddo BHF Avenir Europe CN-EUR</t>
        </is>
      </c>
      <c r="B330" s="75" t="inlineStr">
        <is>
          <t>FR0011036920</t>
        </is>
      </c>
      <c r="C330" s="67" t="n"/>
      <c r="D330" s="67" t="n"/>
      <c r="E330" s="67" t="n"/>
      <c r="F330" s="67" t="n"/>
      <c r="G330" s="67" t="n"/>
      <c r="H330" s="67" t="n"/>
      <c r="I330" s="67" t="n"/>
      <c r="J330" s="67" t="n"/>
      <c r="K330" s="69" t="n"/>
      <c r="L330" s="67" t="n"/>
      <c r="M330" s="67" t="n"/>
      <c r="N330" s="67" t="n"/>
      <c r="O330" s="67" t="n"/>
      <c r="P330" s="67" t="n"/>
      <c r="Q330" s="70" t="n"/>
      <c r="R330" s="70" t="n"/>
      <c r="S330" s="71" t="n"/>
      <c r="T330" s="80">
        <f>SUM(C330:S330)</f>
        <v/>
      </c>
      <c r="U330" s="73">
        <f>T330/T$7</f>
        <v/>
      </c>
      <c r="V330" s="280" t="n"/>
      <c r="W330" s="118" t="n"/>
      <c r="X330" s="280" t="n"/>
      <c r="Y330" s="118" t="n"/>
      <c r="Z330" s="281" t="n"/>
      <c r="AA330" s="118" t="n"/>
      <c r="AB330" s="280" t="n"/>
      <c r="AC330" s="118" t="n"/>
      <c r="AD330" s="282">
        <f>T330+V330+X330+AB330+Z330</f>
        <v/>
      </c>
      <c r="AE330" s="73">
        <f>AD330/AD$7</f>
        <v/>
      </c>
      <c r="AF330" s="81" t="n">
        <v>4</v>
      </c>
      <c r="AG330" s="76">
        <f>AD330*AF330</f>
        <v/>
      </c>
      <c r="AH330" s="28" t="n"/>
      <c r="AI330" s="28" t="n"/>
    </row>
    <row r="331" ht="14" customHeight="1">
      <c r="A331" s="78" t="inlineStr">
        <is>
          <t>Renaissance Europe C</t>
        </is>
      </c>
      <c r="B331" s="75" t="inlineStr">
        <is>
          <t>FR0000295230</t>
        </is>
      </c>
      <c r="C331" s="67" t="n"/>
      <c r="D331" s="67" t="n"/>
      <c r="E331" s="67" t="n"/>
      <c r="F331" s="67" t="n"/>
      <c r="G331" s="67" t="n"/>
      <c r="H331" s="67" t="n"/>
      <c r="I331" s="67" t="n"/>
      <c r="J331" s="67" t="n"/>
      <c r="K331" s="69" t="n"/>
      <c r="L331" s="67" t="n"/>
      <c r="M331" s="67" t="n"/>
      <c r="N331" s="67" t="n"/>
      <c r="O331" s="67" t="n"/>
      <c r="P331" s="67" t="n"/>
      <c r="Q331" s="70" t="n"/>
      <c r="R331" s="70" t="n"/>
      <c r="S331" s="71" t="n"/>
      <c r="T331" s="80">
        <f>SUM(C331:S331)</f>
        <v/>
      </c>
      <c r="U331" s="73">
        <f>T331/T$7</f>
        <v/>
      </c>
      <c r="V331" s="280" t="n"/>
      <c r="W331" s="118" t="n"/>
      <c r="X331" s="280" t="n"/>
      <c r="Y331" s="118" t="n"/>
      <c r="Z331" s="281" t="n"/>
      <c r="AA331" s="118" t="n"/>
      <c r="AB331" s="280" t="n"/>
      <c r="AC331" s="118" t="n"/>
      <c r="AD331" s="282">
        <f>T331+V331+X331+AB331+Z331</f>
        <v/>
      </c>
      <c r="AE331" s="73">
        <f>AD331/AD$7</f>
        <v/>
      </c>
      <c r="AF331" s="81" t="n">
        <v>4</v>
      </c>
      <c r="AG331" s="76">
        <f>AD331*AF331</f>
        <v/>
      </c>
      <c r="AH331" s="28" t="n"/>
      <c r="AI331" s="28" t="n"/>
    </row>
    <row r="332" ht="14" customHeight="1">
      <c r="A332" s="78" t="inlineStr">
        <is>
          <t>Moneta Multi Caps C</t>
        </is>
      </c>
      <c r="B332" s="75" t="inlineStr">
        <is>
          <t>FR0010298596</t>
        </is>
      </c>
      <c r="C332" s="67" t="n"/>
      <c r="D332" s="67" t="n"/>
      <c r="E332" s="67" t="n"/>
      <c r="F332" s="67" t="n"/>
      <c r="G332" s="67" t="n"/>
      <c r="H332" s="67" t="n"/>
      <c r="I332" s="67" t="n"/>
      <c r="J332" s="67" t="n"/>
      <c r="K332" s="69" t="n"/>
      <c r="L332" s="67" t="n"/>
      <c r="M332" s="67" t="n"/>
      <c r="N332" s="67" t="n"/>
      <c r="O332" s="67" t="n"/>
      <c r="P332" s="67" t="n"/>
      <c r="Q332" s="70" t="n"/>
      <c r="R332" s="70" t="n"/>
      <c r="S332" s="71" t="n"/>
      <c r="T332" s="80">
        <f>SUM(C332:S332)</f>
        <v/>
      </c>
      <c r="U332" s="73">
        <f>T332/T$7</f>
        <v/>
      </c>
      <c r="V332" s="280" t="n"/>
      <c r="W332" s="118" t="n"/>
      <c r="X332" s="280" t="n"/>
      <c r="Y332" s="118" t="n"/>
      <c r="Z332" s="281" t="n"/>
      <c r="AA332" s="118" t="n"/>
      <c r="AB332" s="280" t="n"/>
      <c r="AC332" s="118" t="n"/>
      <c r="AD332" s="282">
        <f>T332+V332+X332+AB332+Z332</f>
        <v/>
      </c>
      <c r="AE332" s="73">
        <f>AD332/AD$7</f>
        <v/>
      </c>
      <c r="AF332" s="81" t="n">
        <v>4</v>
      </c>
      <c r="AG332" s="76">
        <f>AD332*AF332</f>
        <v/>
      </c>
      <c r="AH332" s="28" t="n"/>
      <c r="AI332" s="28" t="n"/>
    </row>
    <row r="333" ht="14" customHeight="1">
      <c r="A333" s="78" t="inlineStr">
        <is>
          <t>Nova Europe ISR</t>
        </is>
      </c>
      <c r="B333" s="75" t="inlineStr">
        <is>
          <t>FR0011585520</t>
        </is>
      </c>
      <c r="C333" s="67" t="n"/>
      <c r="D333" s="67" t="n"/>
      <c r="E333" s="67" t="n"/>
      <c r="F333" s="67" t="n"/>
      <c r="G333" s="67" t="n"/>
      <c r="H333" s="67" t="n"/>
      <c r="I333" s="67" t="n"/>
      <c r="J333" s="67" t="n"/>
      <c r="K333" s="69" t="n"/>
      <c r="L333" s="67" t="n"/>
      <c r="M333" s="67" t="n"/>
      <c r="N333" s="67" t="n"/>
      <c r="O333" s="67" t="n"/>
      <c r="P333" s="67" t="n"/>
      <c r="Q333" s="70" t="n"/>
      <c r="R333" s="70" t="n"/>
      <c r="S333" s="71" t="n"/>
      <c r="T333" s="80">
        <f>SUM(C333:S333)</f>
        <v/>
      </c>
      <c r="U333" s="73">
        <f>T333/T$7</f>
        <v/>
      </c>
      <c r="V333" s="280" t="n"/>
      <c r="W333" s="118" t="n"/>
      <c r="X333" s="280" t="n"/>
      <c r="Y333" s="118" t="n"/>
      <c r="Z333" s="281" t="n"/>
      <c r="AA333" s="118" t="n"/>
      <c r="AB333" s="280" t="n"/>
      <c r="AC333" s="118" t="n"/>
      <c r="AD333" s="282">
        <f>T333+V333+X333+AB333+Z333</f>
        <v/>
      </c>
      <c r="AE333" s="73">
        <f>AD333/AD$7</f>
        <v/>
      </c>
      <c r="AF333" s="81" t="n">
        <v>4</v>
      </c>
      <c r="AG333" s="76">
        <f>AD333*AF333</f>
        <v/>
      </c>
      <c r="AH333" s="28" t="n"/>
      <c r="AI333" s="28" t="n"/>
    </row>
    <row r="334" ht="14" customHeight="1">
      <c r="A334" s="78" t="inlineStr">
        <is>
          <t>Echiquier Agenor SRI MID CAP Europe A</t>
        </is>
      </c>
      <c r="B334" s="75" t="inlineStr">
        <is>
          <t>FR0010321810</t>
        </is>
      </c>
      <c r="C334" s="67" t="n"/>
      <c r="D334" s="67" t="n"/>
      <c r="E334" s="67" t="n"/>
      <c r="F334" s="67" t="n"/>
      <c r="G334" s="67" t="n"/>
      <c r="H334" s="67" t="n"/>
      <c r="I334" s="67" t="n"/>
      <c r="J334" s="67" t="n"/>
      <c r="K334" s="69" t="n"/>
      <c r="L334" s="67" t="n"/>
      <c r="M334" s="67" t="n"/>
      <c r="N334" s="67" t="n"/>
      <c r="O334" s="67" t="n"/>
      <c r="P334" s="67" t="n"/>
      <c r="Q334" s="70" t="n"/>
      <c r="R334" s="70" t="n"/>
      <c r="S334" s="71" t="n"/>
      <c r="T334" s="80">
        <f>SUM(C334:S334)</f>
        <v/>
      </c>
      <c r="U334" s="73">
        <f>T334/T$7</f>
        <v/>
      </c>
      <c r="V334" s="280" t="n"/>
      <c r="W334" s="118" t="n"/>
      <c r="X334" s="280" t="n"/>
      <c r="Y334" s="118" t="n"/>
      <c r="Z334" s="281" t="n"/>
      <c r="AA334" s="118" t="n"/>
      <c r="AB334" s="280" t="n"/>
      <c r="AC334" s="118" t="n"/>
      <c r="AD334" s="282">
        <f>T334+V334+X334+AB334+Z334</f>
        <v/>
      </c>
      <c r="AE334" s="73">
        <f>AD334/AD$7</f>
        <v/>
      </c>
      <c r="AF334" s="81" t="n">
        <v>4</v>
      </c>
      <c r="AG334" s="76">
        <f>AD334*AF334</f>
        <v/>
      </c>
      <c r="AH334" s="28" t="n"/>
      <c r="AI334" s="28" t="n"/>
    </row>
    <row r="335" ht="14" customHeight="1">
      <c r="A335" s="78" t="inlineStr">
        <is>
          <t>Echiquier Positive Impact Europe AP</t>
        </is>
      </c>
      <c r="B335" s="75" t="inlineStr">
        <is>
          <t>FR0013348190</t>
        </is>
      </c>
      <c r="C335" s="67" t="n"/>
      <c r="D335" s="67" t="n"/>
      <c r="E335" s="67" t="n"/>
      <c r="F335" s="67" t="n"/>
      <c r="G335" s="67" t="n"/>
      <c r="H335" s="67" t="n"/>
      <c r="I335" s="67" t="n"/>
      <c r="J335" s="67" t="n"/>
      <c r="K335" s="69" t="n"/>
      <c r="L335" s="67" t="n"/>
      <c r="M335" s="67" t="n"/>
      <c r="N335" s="67" t="n"/>
      <c r="O335" s="67" t="n"/>
      <c r="P335" s="67" t="n"/>
      <c r="Q335" s="70" t="n"/>
      <c r="R335" s="70" t="n"/>
      <c r="S335" s="71" t="n"/>
      <c r="T335" s="80">
        <f>SUM(C335:S335)</f>
        <v/>
      </c>
      <c r="U335" s="73">
        <f>T335/T$7</f>
        <v/>
      </c>
      <c r="V335" s="280" t="n"/>
      <c r="W335" s="118" t="n"/>
      <c r="X335" s="280" t="n"/>
      <c r="Y335" s="118" t="n"/>
      <c r="Z335" s="281" t="n"/>
      <c r="AA335" s="118" t="n"/>
      <c r="AB335" s="280" t="n"/>
      <c r="AC335" s="118" t="n"/>
      <c r="AD335" s="282">
        <f>T335+V335+X335+AB335+Z335</f>
        <v/>
      </c>
      <c r="AE335" s="73">
        <f>AD335/AD$7</f>
        <v/>
      </c>
      <c r="AF335" s="81" t="n">
        <v>4</v>
      </c>
      <c r="AG335" s="76">
        <f>AD335*AF335</f>
        <v/>
      </c>
      <c r="AH335" s="28" t="n"/>
      <c r="AI335" s="28" t="n"/>
    </row>
    <row r="336" ht="14" customHeight="1">
      <c r="A336" s="78" t="inlineStr">
        <is>
          <t>Echiquier Agenor SRI Mid Cap Europe G</t>
        </is>
      </c>
      <c r="B336" s="75" t="inlineStr">
        <is>
          <t>FR0010581710</t>
        </is>
      </c>
      <c r="C336" s="67" t="n"/>
      <c r="D336" s="67" t="n"/>
      <c r="E336" s="67" t="n"/>
      <c r="F336" s="67" t="n"/>
      <c r="G336" s="67" t="n"/>
      <c r="H336" s="67" t="n"/>
      <c r="I336" s="67" t="n"/>
      <c r="J336" s="67" t="n"/>
      <c r="K336" s="69" t="n"/>
      <c r="L336" s="67" t="n"/>
      <c r="M336" s="67" t="n"/>
      <c r="N336" s="67" t="n"/>
      <c r="O336" s="67" t="n"/>
      <c r="P336" s="67" t="n"/>
      <c r="Q336" s="70" t="n"/>
      <c r="R336" s="70" t="n"/>
      <c r="S336" s="71" t="n"/>
      <c r="T336" s="80">
        <f>SUM(C336:S336)</f>
        <v/>
      </c>
      <c r="U336" s="73">
        <f>T336/T$7</f>
        <v/>
      </c>
      <c r="V336" s="280" t="n"/>
      <c r="W336" s="118" t="n"/>
      <c r="X336" s="280" t="n"/>
      <c r="Y336" s="118" t="n"/>
      <c r="Z336" s="281" t="n"/>
      <c r="AA336" s="118" t="n"/>
      <c r="AB336" s="280" t="n"/>
      <c r="AC336" s="118" t="n"/>
      <c r="AD336" s="282">
        <f>T336+V336+X336+AB336+Z336</f>
        <v/>
      </c>
      <c r="AE336" s="73">
        <f>AD336/AD$7</f>
        <v/>
      </c>
      <c r="AF336" s="81" t="n">
        <v>4</v>
      </c>
      <c r="AG336" s="76">
        <f>AD336*AF336</f>
        <v/>
      </c>
      <c r="AH336" s="28" t="n"/>
      <c r="AI336" s="28" t="n"/>
    </row>
    <row r="337" ht="14" customHeight="1">
      <c r="A337" s="78" t="inlineStr">
        <is>
          <t>Amundi Index MSCI Europe SRI PAB</t>
        </is>
      </c>
      <c r="B337" s="75" t="inlineStr">
        <is>
          <t>LU1861137484</t>
        </is>
      </c>
      <c r="C337" s="67" t="n"/>
      <c r="D337" s="67" t="n"/>
      <c r="E337" s="67" t="n"/>
      <c r="F337" s="67" t="n"/>
      <c r="G337" s="67" t="n"/>
      <c r="H337" s="67" t="n"/>
      <c r="I337" s="67" t="n"/>
      <c r="J337" s="67" t="n"/>
      <c r="K337" s="69" t="n"/>
      <c r="L337" s="67" t="n"/>
      <c r="M337" s="67" t="n"/>
      <c r="N337" s="67" t="n"/>
      <c r="O337" s="67" t="n"/>
      <c r="P337" s="67" t="n"/>
      <c r="Q337" s="70" t="n"/>
      <c r="R337" s="70" t="n"/>
      <c r="S337" s="71" t="n"/>
      <c r="T337" s="80">
        <f>SUM(C337:S337)</f>
        <v/>
      </c>
      <c r="U337" s="73">
        <f>T337/T$7</f>
        <v/>
      </c>
      <c r="V337" s="280" t="n"/>
      <c r="W337" s="118" t="n"/>
      <c r="X337" s="280" t="n"/>
      <c r="Y337" s="118" t="n"/>
      <c r="Z337" s="281" t="n"/>
      <c r="AA337" s="118" t="n"/>
      <c r="AB337" s="280" t="n"/>
      <c r="AC337" s="118" t="n"/>
      <c r="AD337" s="282">
        <f>T337+V337+X337+AB337+Z337</f>
        <v/>
      </c>
      <c r="AE337" s="73">
        <f>AD337/AD$7</f>
        <v/>
      </c>
      <c r="AF337" s="81" t="n">
        <v>4</v>
      </c>
      <c r="AG337" s="76">
        <f>AD337*AF337</f>
        <v/>
      </c>
      <c r="AH337" s="28" t="n"/>
      <c r="AI337" s="28" t="n"/>
    </row>
    <row r="338" ht="14" customHeight="1">
      <c r="A338" s="78" t="inlineStr">
        <is>
          <t>AMUNDI MSCI Europe II UC ETF A</t>
        </is>
      </c>
      <c r="B338" s="75" t="inlineStr">
        <is>
          <t>FR0010261198</t>
        </is>
      </c>
      <c r="C338" s="67" t="n"/>
      <c r="D338" s="67" t="n"/>
      <c r="E338" s="67" t="n"/>
      <c r="F338" s="67" t="n"/>
      <c r="G338" s="67" t="n"/>
      <c r="H338" s="67" t="n"/>
      <c r="I338" s="67" t="n"/>
      <c r="J338" s="67" t="n"/>
      <c r="K338" s="69" t="n"/>
      <c r="L338" s="67" t="n"/>
      <c r="M338" s="67" t="n"/>
      <c r="N338" s="67" t="n"/>
      <c r="O338" s="67" t="n"/>
      <c r="P338" s="67" t="n"/>
      <c r="Q338" s="70" t="n"/>
      <c r="R338" s="70" t="n"/>
      <c r="S338" s="71" t="n"/>
      <c r="T338" s="80">
        <f>SUM(C338:S338)</f>
        <v/>
      </c>
      <c r="U338" s="73">
        <f>T338/T$7</f>
        <v/>
      </c>
      <c r="V338" s="280" t="n"/>
      <c r="W338" s="118" t="n"/>
      <c r="X338" s="280" t="n"/>
      <c r="Y338" s="118" t="n"/>
      <c r="Z338" s="281" t="n"/>
      <c r="AA338" s="118" t="n"/>
      <c r="AB338" s="280" t="n"/>
      <c r="AC338" s="118" t="n"/>
      <c r="AD338" s="282">
        <f>T338+V338+X338+AB338+Z338</f>
        <v/>
      </c>
      <c r="AE338" s="73">
        <f>AD338/AD$7</f>
        <v/>
      </c>
      <c r="AF338" s="81" t="n">
        <v>4</v>
      </c>
      <c r="AG338" s="76">
        <f>AD338*AF338</f>
        <v/>
      </c>
      <c r="AH338" s="28" t="n"/>
      <c r="AI338" s="28" t="n"/>
    </row>
    <row r="339" ht="14" customHeight="1">
      <c r="A339" s="78" t="inlineStr">
        <is>
          <t>Amundi STOXX Europe 600 Healthcare</t>
        </is>
      </c>
      <c r="B339" s="75" t="inlineStr">
        <is>
          <t>LU1834986900</t>
        </is>
      </c>
      <c r="C339" s="67" t="n"/>
      <c r="D339" s="67" t="n"/>
      <c r="E339" s="67" t="n"/>
      <c r="F339" s="67" t="n"/>
      <c r="G339" s="67" t="n"/>
      <c r="H339" s="67" t="n"/>
      <c r="I339" s="67" t="n"/>
      <c r="J339" s="67" t="n"/>
      <c r="K339" s="69" t="n"/>
      <c r="L339" s="67" t="n"/>
      <c r="M339" s="67" t="n"/>
      <c r="N339" s="67" t="n"/>
      <c r="O339" s="67" t="n"/>
      <c r="P339" s="67" t="n"/>
      <c r="Q339" s="70" t="n"/>
      <c r="R339" s="70" t="n"/>
      <c r="S339" s="71" t="n"/>
      <c r="T339" s="80">
        <f>SUM(C339:S339)</f>
        <v/>
      </c>
      <c r="U339" s="73">
        <f>T339/T$7</f>
        <v/>
      </c>
      <c r="V339" s="280" t="n"/>
      <c r="W339" s="118" t="n"/>
      <c r="X339" s="280" t="n"/>
      <c r="Y339" s="118" t="n"/>
      <c r="Z339" s="281" t="n"/>
      <c r="AA339" s="118" t="n"/>
      <c r="AB339" s="280" t="n"/>
      <c r="AC339" s="118" t="n"/>
      <c r="AD339" s="282">
        <f>T339+V339+X339+AB339+Z339</f>
        <v/>
      </c>
      <c r="AE339" s="73">
        <f>AD339/AD$7</f>
        <v/>
      </c>
      <c r="AF339" s="81" t="n">
        <v>4</v>
      </c>
      <c r="AG339" s="76">
        <f>AD339*AF339</f>
        <v/>
      </c>
      <c r="AH339" s="28" t="n"/>
      <c r="AI339" s="28" t="n"/>
    </row>
    <row r="340" ht="14" customHeight="1">
      <c r="A340" s="78" t="inlineStr">
        <is>
          <t xml:space="preserve">iShares Core EURO STOXX 50 </t>
        </is>
      </c>
      <c r="B340" s="75" t="inlineStr">
        <is>
          <t>IE00B53L3W79</t>
        </is>
      </c>
      <c r="C340" s="67" t="n"/>
      <c r="D340" s="67" t="n"/>
      <c r="E340" s="67" t="n"/>
      <c r="F340" s="67" t="n"/>
      <c r="G340" s="67" t="n"/>
      <c r="H340" s="67" t="n"/>
      <c r="I340" s="67" t="n"/>
      <c r="J340" s="67" t="n"/>
      <c r="K340" s="69" t="n"/>
      <c r="L340" s="67" t="n"/>
      <c r="M340" s="67" t="n"/>
      <c r="N340" s="67" t="n"/>
      <c r="O340" s="67" t="n"/>
      <c r="P340" s="67" t="n"/>
      <c r="Q340" s="70" t="n"/>
      <c r="R340" s="70" t="n"/>
      <c r="S340" s="71" t="n"/>
      <c r="T340" s="80">
        <f>SUM(C340:S340)</f>
        <v/>
      </c>
      <c r="U340" s="73">
        <f>T340/T$7</f>
        <v/>
      </c>
      <c r="V340" s="280" t="n"/>
      <c r="W340" s="118" t="n"/>
      <c r="X340" s="280" t="n"/>
      <c r="Y340" s="118" t="n"/>
      <c r="Z340" s="281" t="n"/>
      <c r="AA340" s="118" t="n"/>
      <c r="AB340" s="280" t="n"/>
      <c r="AC340" s="118" t="n"/>
      <c r="AD340" s="282">
        <f>T340+V340+X340+AB340+Z340</f>
        <v/>
      </c>
      <c r="AE340" s="73">
        <f>AD340/AD$7</f>
        <v/>
      </c>
      <c r="AF340" s="81" t="n">
        <v>4</v>
      </c>
      <c r="AG340" s="76">
        <f>AD340*AF340</f>
        <v/>
      </c>
      <c r="AH340" s="28" t="n"/>
      <c r="AI340" s="28" t="n"/>
    </row>
    <row r="341" ht="14" customHeight="1">
      <c r="A341" s="78" t="inlineStr">
        <is>
          <t xml:space="preserve">Amundi Stoxx Europe Defense ETF Acc </t>
        </is>
      </c>
      <c r="B341" s="75" t="inlineStr">
        <is>
          <t>LU3038520774</t>
        </is>
      </c>
      <c r="C341" s="67" t="n"/>
      <c r="D341" s="67" t="n"/>
      <c r="E341" s="67" t="n"/>
      <c r="F341" s="67" t="n"/>
      <c r="G341" s="67" t="n"/>
      <c r="H341" s="67" t="n"/>
      <c r="I341" s="67" t="n"/>
      <c r="J341" s="67" t="n"/>
      <c r="K341" s="69" t="n"/>
      <c r="L341" s="67" t="n"/>
      <c r="M341" s="67" t="n"/>
      <c r="N341" s="67" t="n"/>
      <c r="O341" s="67" t="n"/>
      <c r="P341" s="67" t="n"/>
      <c r="Q341" s="70" t="n"/>
      <c r="R341" s="70" t="n"/>
      <c r="S341" s="71" t="n"/>
      <c r="T341" s="80">
        <f>SUM(C341:S341)</f>
        <v/>
      </c>
      <c r="U341" s="73">
        <f>T341/T$7</f>
        <v/>
      </c>
      <c r="V341" s="280" t="n"/>
      <c r="W341" s="118" t="n"/>
      <c r="X341" s="280" t="n"/>
      <c r="Y341" s="118" t="n"/>
      <c r="Z341" s="281" t="n"/>
      <c r="AA341" s="118" t="n"/>
      <c r="AB341" s="280" t="n"/>
      <c r="AC341" s="118" t="n"/>
      <c r="AD341" s="282">
        <f>T341+V341+X341+AB341+Z341</f>
        <v/>
      </c>
      <c r="AE341" s="73">
        <f>AD341/AD$7</f>
        <v/>
      </c>
      <c r="AF341" s="81" t="n">
        <v>5</v>
      </c>
      <c r="AG341" s="76">
        <f>AD341*AF341</f>
        <v/>
      </c>
      <c r="AH341" s="28" t="n"/>
      <c r="AI341" s="28" t="n"/>
    </row>
    <row r="342" ht="14" customHeight="1">
      <c r="A342" s="78" t="inlineStr">
        <is>
          <t>Amundi CAC 40 ETF</t>
        </is>
      </c>
      <c r="B342" s="75" t="inlineStr">
        <is>
          <t>FR0013380607</t>
        </is>
      </c>
      <c r="C342" s="67" t="n"/>
      <c r="D342" s="67" t="n"/>
      <c r="E342" s="67" t="n"/>
      <c r="F342" s="67" t="n"/>
      <c r="G342" s="67" t="n"/>
      <c r="H342" s="67" t="n"/>
      <c r="I342" s="67" t="n"/>
      <c r="J342" s="67" t="n"/>
      <c r="K342" s="69" t="n"/>
      <c r="L342" s="67" t="n"/>
      <c r="M342" s="67" t="n"/>
      <c r="N342" s="67" t="n"/>
      <c r="O342" s="67" t="n"/>
      <c r="P342" s="67" t="n"/>
      <c r="Q342" s="70" t="n"/>
      <c r="R342" s="70" t="n"/>
      <c r="S342" s="71" t="n"/>
      <c r="T342" s="80">
        <f>SUM(C342:S342)</f>
        <v/>
      </c>
      <c r="U342" s="73">
        <f>T342/T$7</f>
        <v/>
      </c>
      <c r="V342" s="280" t="n"/>
      <c r="W342" s="118" t="n"/>
      <c r="X342" s="280" t="n"/>
      <c r="Y342" s="118" t="n"/>
      <c r="Z342" s="281" t="n"/>
      <c r="AA342" s="118" t="n"/>
      <c r="AB342" s="280" t="n"/>
      <c r="AC342" s="118" t="n"/>
      <c r="AD342" s="282">
        <f>T342+V342+X342+AB342+Z342</f>
        <v/>
      </c>
      <c r="AE342" s="73">
        <f>AD342/AD$7</f>
        <v/>
      </c>
      <c r="AF342" s="81" t="n">
        <v>4</v>
      </c>
      <c r="AG342" s="76">
        <f>AD342*AF342</f>
        <v/>
      </c>
      <c r="AH342" s="28" t="n"/>
      <c r="AI342" s="28" t="n"/>
    </row>
    <row r="343" ht="14" customHeight="1">
      <c r="A343" s="65" t="inlineStr">
        <is>
          <t>BNP Paribas Valeurs Françaises ISR C</t>
        </is>
      </c>
      <c r="B343" s="66" t="inlineStr">
        <is>
          <t>FR0010028902</t>
        </is>
      </c>
      <c r="C343" s="67" t="n"/>
      <c r="D343" s="67" t="n"/>
      <c r="E343" s="67" t="n"/>
      <c r="F343" s="67" t="n"/>
      <c r="G343" s="67" t="n"/>
      <c r="H343" s="67" t="n"/>
      <c r="I343" s="67" t="n"/>
      <c r="J343" s="67" t="n"/>
      <c r="K343" s="69" t="n"/>
      <c r="L343" s="67" t="n"/>
      <c r="M343" s="67" t="n"/>
      <c r="N343" s="67" t="n"/>
      <c r="O343" s="67" t="n"/>
      <c r="P343" s="67" t="n"/>
      <c r="Q343" s="70" t="n"/>
      <c r="R343" s="70" t="n"/>
      <c r="S343" s="71" t="n"/>
      <c r="T343" s="72">
        <f>SUM(C343:S343)</f>
        <v/>
      </c>
      <c r="U343" s="73">
        <f>T343/T$7</f>
        <v/>
      </c>
      <c r="V343" s="280" t="n"/>
      <c r="W343" s="118" t="n"/>
      <c r="X343" s="280" t="n"/>
      <c r="Y343" s="118" t="n"/>
      <c r="Z343" s="281" t="n"/>
      <c r="AA343" s="118" t="n"/>
      <c r="AB343" s="280" t="n"/>
      <c r="AC343" s="118" t="n"/>
      <c r="AD343" s="282">
        <f>T343+V343+X343+AB343+Z343</f>
        <v/>
      </c>
      <c r="AE343" s="73">
        <f>AD343/AD$7</f>
        <v/>
      </c>
      <c r="AF343" s="74" t="n">
        <v>1</v>
      </c>
      <c r="AG343" s="76">
        <f>AD343*AF343</f>
        <v/>
      </c>
      <c r="AJ343" s="232" t="n"/>
    </row>
    <row r="344" ht="14" customHeight="1">
      <c r="A344" s="78" t="n"/>
      <c r="B344" s="75" t="n"/>
      <c r="C344" s="67" t="n"/>
      <c r="D344" s="67" t="n"/>
      <c r="E344" s="67" t="n"/>
      <c r="F344" s="67" t="n"/>
      <c r="G344" s="67" t="n"/>
      <c r="H344" s="67" t="n"/>
      <c r="I344" s="67" t="n"/>
      <c r="J344" s="67" t="n"/>
      <c r="K344" s="69" t="n"/>
      <c r="L344" s="67" t="n"/>
      <c r="M344" s="67" t="n"/>
      <c r="N344" s="67" t="n"/>
      <c r="O344" s="67" t="n"/>
      <c r="P344" s="67" t="n"/>
      <c r="Q344" s="70" t="n"/>
      <c r="R344" s="70" t="n"/>
      <c r="S344" s="71" t="n"/>
      <c r="T344" s="80">
        <f>SUM(C344:S344)</f>
        <v/>
      </c>
      <c r="U344" s="73">
        <f>T344/T$7</f>
        <v/>
      </c>
      <c r="V344" s="280" t="n"/>
      <c r="W344" s="118" t="n"/>
      <c r="X344" s="280" t="n"/>
      <c r="Y344" s="118" t="n"/>
      <c r="Z344" s="281" t="n"/>
      <c r="AA344" s="118" t="n"/>
      <c r="AB344" s="280" t="n"/>
      <c r="AC344" s="118" t="n"/>
      <c r="AD344" s="282">
        <f>T344+V344+X344+AB344+Z344</f>
        <v/>
      </c>
      <c r="AE344" s="73">
        <f>AD344/AD$7</f>
        <v/>
      </c>
      <c r="AF344" s="81" t="n"/>
      <c r="AG344" s="76">
        <f>AD344*AF344</f>
        <v/>
      </c>
      <c r="AH344" s="28" t="n"/>
      <c r="AI344" s="28" t="n"/>
    </row>
    <row r="345" ht="14" customHeight="1">
      <c r="A345" s="78" t="n"/>
      <c r="B345" s="75" t="n"/>
      <c r="C345" s="67" t="n"/>
      <c r="D345" s="67" t="n"/>
      <c r="E345" s="67" t="n"/>
      <c r="F345" s="67" t="n"/>
      <c r="G345" s="67" t="n"/>
      <c r="H345" s="67" t="n"/>
      <c r="I345" s="67" t="n"/>
      <c r="J345" s="67" t="n"/>
      <c r="K345" s="69" t="n"/>
      <c r="L345" s="67" t="n"/>
      <c r="M345" s="67" t="n"/>
      <c r="N345" s="67" t="n"/>
      <c r="O345" s="67" t="n"/>
      <c r="P345" s="67" t="n"/>
      <c r="Q345" s="70" t="n"/>
      <c r="R345" s="70" t="n"/>
      <c r="S345" s="71" t="n"/>
      <c r="T345" s="80">
        <f>SUM(C345:S345)</f>
        <v/>
      </c>
      <c r="U345" s="73">
        <f>T345/T$7</f>
        <v/>
      </c>
      <c r="V345" s="280" t="n"/>
      <c r="W345" s="118" t="n"/>
      <c r="X345" s="280" t="n"/>
      <c r="Y345" s="118" t="n"/>
      <c r="Z345" s="281" t="n"/>
      <c r="AA345" s="118" t="n"/>
      <c r="AB345" s="280" t="n"/>
      <c r="AC345" s="118" t="n"/>
      <c r="AD345" s="282">
        <f>T345+V345+X345+AB345+Z345</f>
        <v/>
      </c>
      <c r="AE345" s="73">
        <f>AD345/AD$7</f>
        <v/>
      </c>
      <c r="AF345" s="81" t="n"/>
      <c r="AG345" s="76">
        <f>AD345*AF345</f>
        <v/>
      </c>
      <c r="AH345" s="28" t="n"/>
      <c r="AI345" s="28" t="n"/>
    </row>
    <row r="346" ht="14" customHeight="1">
      <c r="A346" s="78" t="n"/>
      <c r="B346" s="75" t="n"/>
      <c r="C346" s="67" t="n"/>
      <c r="D346" s="67" t="n"/>
      <c r="E346" s="67" t="n"/>
      <c r="F346" s="67" t="n"/>
      <c r="G346" s="67" t="n"/>
      <c r="H346" s="67" t="n"/>
      <c r="I346" s="67" t="n"/>
      <c r="J346" s="67" t="n"/>
      <c r="K346" s="69" t="n"/>
      <c r="L346" s="67" t="n"/>
      <c r="M346" s="67" t="n"/>
      <c r="N346" s="67" t="n"/>
      <c r="O346" s="67" t="n"/>
      <c r="P346" s="67" t="n"/>
      <c r="Q346" s="70" t="n"/>
      <c r="R346" s="70" t="n"/>
      <c r="S346" s="71" t="n"/>
      <c r="T346" s="80">
        <f>SUM(C346:S346)</f>
        <v/>
      </c>
      <c r="U346" s="73">
        <f>T346/T$7</f>
        <v/>
      </c>
      <c r="V346" s="280" t="n"/>
      <c r="W346" s="118" t="n"/>
      <c r="X346" s="280" t="n"/>
      <c r="Y346" s="118" t="n"/>
      <c r="Z346" s="281" t="n"/>
      <c r="AA346" s="118" t="n"/>
      <c r="AB346" s="280" t="n"/>
      <c r="AC346" s="118" t="n"/>
      <c r="AD346" s="282">
        <f>T346+V346+X346+AB346+Z346</f>
        <v/>
      </c>
      <c r="AE346" s="73">
        <f>AD346/AD$7</f>
        <v/>
      </c>
      <c r="AF346" s="81" t="n"/>
      <c r="AG346" s="76">
        <f>AD346*AF346</f>
        <v/>
      </c>
      <c r="AH346" s="28" t="n"/>
      <c r="AI346" s="28" t="n"/>
    </row>
    <row r="347" ht="14" customHeight="1">
      <c r="A347" s="78" t="n"/>
      <c r="B347" s="75" t="n"/>
      <c r="C347" s="67" t="n"/>
      <c r="D347" s="67" t="n"/>
      <c r="E347" s="67" t="n"/>
      <c r="F347" s="67" t="n"/>
      <c r="G347" s="67" t="n"/>
      <c r="H347" s="67" t="n"/>
      <c r="I347" s="67" t="n"/>
      <c r="J347" s="67" t="n"/>
      <c r="K347" s="69" t="n"/>
      <c r="L347" s="67" t="n"/>
      <c r="M347" s="67" t="n"/>
      <c r="N347" s="67" t="n"/>
      <c r="O347" s="67" t="n"/>
      <c r="P347" s="67" t="n"/>
      <c r="Q347" s="70" t="n"/>
      <c r="R347" s="70" t="n"/>
      <c r="S347" s="71" t="n"/>
      <c r="T347" s="80">
        <f>SUM(C347:S347)</f>
        <v/>
      </c>
      <c r="U347" s="73">
        <f>T347/T$7</f>
        <v/>
      </c>
      <c r="V347" s="280" t="n"/>
      <c r="W347" s="118" t="n"/>
      <c r="X347" s="280" t="n"/>
      <c r="Y347" s="118" t="n"/>
      <c r="Z347" s="281" t="n"/>
      <c r="AA347" s="118" t="n"/>
      <c r="AB347" s="280" t="n"/>
      <c r="AC347" s="118" t="n"/>
      <c r="AD347" s="282">
        <f>T347+V347+X347+AB347+Z347</f>
        <v/>
      </c>
      <c r="AE347" s="73">
        <f>AD347/AD$7</f>
        <v/>
      </c>
      <c r="AF347" s="81" t="n"/>
      <c r="AG347" s="76">
        <f>AD347*AF347</f>
        <v/>
      </c>
      <c r="AH347" s="28" t="n"/>
      <c r="AI347" s="28" t="n"/>
    </row>
    <row r="348" ht="14" customHeight="1">
      <c r="A348" s="78" t="n"/>
      <c r="B348" s="75" t="n"/>
      <c r="C348" s="67" t="n"/>
      <c r="D348" s="67" t="n"/>
      <c r="E348" s="67" t="n"/>
      <c r="F348" s="67" t="n"/>
      <c r="G348" s="67" t="n"/>
      <c r="H348" s="67" t="n"/>
      <c r="I348" s="67" t="n"/>
      <c r="J348" s="67" t="n"/>
      <c r="K348" s="69" t="n"/>
      <c r="L348" s="67" t="n"/>
      <c r="M348" s="67" t="n"/>
      <c r="N348" s="67" t="n"/>
      <c r="O348" s="67" t="n"/>
      <c r="P348" s="67" t="n"/>
      <c r="Q348" s="70" t="n"/>
      <c r="R348" s="70" t="n"/>
      <c r="S348" s="71" t="n"/>
      <c r="T348" s="80">
        <f>SUM(C348:S348)</f>
        <v/>
      </c>
      <c r="U348" s="73">
        <f>T348/T$7</f>
        <v/>
      </c>
      <c r="V348" s="280" t="n"/>
      <c r="W348" s="118" t="n"/>
      <c r="X348" s="280" t="n"/>
      <c r="Y348" s="118" t="n"/>
      <c r="Z348" s="281" t="n"/>
      <c r="AA348" s="118" t="n"/>
      <c r="AB348" s="280" t="n"/>
      <c r="AC348" s="118" t="n"/>
      <c r="AD348" s="282">
        <f>T348+V348+X348+AB348+Z348</f>
        <v/>
      </c>
      <c r="AE348" s="73">
        <f>AD348/AD$7</f>
        <v/>
      </c>
      <c r="AF348" s="81" t="n"/>
      <c r="AG348" s="76">
        <f>AD348*AF348</f>
        <v/>
      </c>
      <c r="AH348" s="28" t="n"/>
      <c r="AI348" s="28" t="n"/>
    </row>
    <row r="349" ht="14" customHeight="1">
      <c r="A349" s="78" t="n"/>
      <c r="B349" s="75" t="n"/>
      <c r="C349" s="67" t="n"/>
      <c r="D349" s="67" t="n"/>
      <c r="E349" s="67" t="n"/>
      <c r="F349" s="67" t="n"/>
      <c r="G349" s="67" t="n"/>
      <c r="H349" s="67" t="n"/>
      <c r="I349" s="67" t="n"/>
      <c r="J349" s="67" t="n"/>
      <c r="K349" s="69" t="n"/>
      <c r="L349" s="67" t="n"/>
      <c r="M349" s="67" t="n"/>
      <c r="N349" s="67" t="n"/>
      <c r="O349" s="67" t="n"/>
      <c r="P349" s="67" t="n"/>
      <c r="Q349" s="70" t="n"/>
      <c r="R349" s="70" t="n"/>
      <c r="S349" s="71" t="n"/>
      <c r="T349" s="80">
        <f>SUM(C349:S349)</f>
        <v/>
      </c>
      <c r="U349" s="73">
        <f>T349/T$7</f>
        <v/>
      </c>
      <c r="V349" s="280" t="n"/>
      <c r="W349" s="118" t="n"/>
      <c r="X349" s="280" t="n"/>
      <c r="Y349" s="118" t="n"/>
      <c r="Z349" s="281" t="n"/>
      <c r="AA349" s="118" t="n"/>
      <c r="AB349" s="280" t="n"/>
      <c r="AC349" s="118" t="n"/>
      <c r="AD349" s="282">
        <f>T349+V349+X349+AB349+Z349</f>
        <v/>
      </c>
      <c r="AE349" s="73">
        <f>AD349/AD$7</f>
        <v/>
      </c>
      <c r="AF349" s="81" t="n"/>
      <c r="AG349" s="76">
        <f>AD349*AF349</f>
        <v/>
      </c>
      <c r="AH349" s="28" t="n"/>
      <c r="AI349" s="28" t="n"/>
    </row>
    <row r="350" ht="14" customHeight="1">
      <c r="A350" s="78" t="n"/>
      <c r="B350" s="75" t="n"/>
      <c r="C350" s="67" t="n"/>
      <c r="D350" s="67" t="n"/>
      <c r="E350" s="67" t="n"/>
      <c r="F350" s="67" t="n"/>
      <c r="G350" s="67" t="n"/>
      <c r="H350" s="67" t="n"/>
      <c r="I350" s="67" t="n"/>
      <c r="J350" s="67" t="n"/>
      <c r="K350" s="69" t="n"/>
      <c r="L350" s="67" t="n"/>
      <c r="M350" s="67" t="n"/>
      <c r="N350" s="67" t="n"/>
      <c r="O350" s="67" t="n"/>
      <c r="P350" s="67" t="n"/>
      <c r="Q350" s="70" t="n"/>
      <c r="R350" s="70" t="n"/>
      <c r="S350" s="71" t="n"/>
      <c r="T350" s="80">
        <f>SUM(C350:S350)</f>
        <v/>
      </c>
      <c r="U350" s="73">
        <f>T350/T$7</f>
        <v/>
      </c>
      <c r="V350" s="280" t="n"/>
      <c r="W350" s="118" t="n"/>
      <c r="X350" s="280" t="n"/>
      <c r="Y350" s="118" t="n"/>
      <c r="Z350" s="281" t="n"/>
      <c r="AA350" s="118" t="n"/>
      <c r="AB350" s="280" t="n"/>
      <c r="AC350" s="118" t="n"/>
      <c r="AD350" s="282">
        <f>T350+V350+X350+AB350+Z350</f>
        <v/>
      </c>
      <c r="AE350" s="73">
        <f>AD350/AD$7</f>
        <v/>
      </c>
      <c r="AF350" s="81" t="n"/>
      <c r="AG350" s="76">
        <f>AD350*AF350</f>
        <v/>
      </c>
      <c r="AH350" s="28" t="n"/>
      <c r="AI350" s="28" t="n"/>
    </row>
    <row r="351" ht="14" customHeight="1">
      <c r="A351" s="78" t="n"/>
      <c r="B351" s="75" t="n"/>
      <c r="C351" s="67" t="n"/>
      <c r="D351" s="67" t="n"/>
      <c r="E351" s="67" t="n"/>
      <c r="F351" s="67" t="n"/>
      <c r="G351" s="67" t="n"/>
      <c r="H351" s="67" t="n"/>
      <c r="I351" s="67" t="n"/>
      <c r="J351" s="67" t="n"/>
      <c r="K351" s="69" t="n"/>
      <c r="L351" s="67" t="n"/>
      <c r="M351" s="67" t="n"/>
      <c r="N351" s="67" t="n"/>
      <c r="O351" s="67" t="n"/>
      <c r="P351" s="67" t="n"/>
      <c r="Q351" s="70" t="n"/>
      <c r="R351" s="70" t="n"/>
      <c r="S351" s="71" t="n"/>
      <c r="T351" s="80">
        <f>SUM(C351:S351)</f>
        <v/>
      </c>
      <c r="U351" s="73">
        <f>T351/T$7</f>
        <v/>
      </c>
      <c r="V351" s="280" t="n"/>
      <c r="W351" s="118" t="n"/>
      <c r="X351" s="280" t="n"/>
      <c r="Y351" s="118" t="n"/>
      <c r="Z351" s="281" t="n"/>
      <c r="AA351" s="118" t="n"/>
      <c r="AB351" s="280" t="n"/>
      <c r="AC351" s="118" t="n"/>
      <c r="AD351" s="282">
        <f>T351+V351+X351+AB351+Z351</f>
        <v/>
      </c>
      <c r="AE351" s="73">
        <f>AD351/AD$7</f>
        <v/>
      </c>
      <c r="AF351" s="81" t="n"/>
      <c r="AG351" s="76">
        <f>AD351*AF351</f>
        <v/>
      </c>
      <c r="AH351" s="28" t="n"/>
      <c r="AI351" s="28" t="n"/>
    </row>
    <row r="352" ht="14" customHeight="1">
      <c r="A352" s="154" t="inlineStr">
        <is>
          <t>dont actions américaines</t>
        </is>
      </c>
      <c r="B352" s="155" t="n"/>
      <c r="C352" s="156">
        <f>SUM(C353:C388)</f>
        <v/>
      </c>
      <c r="D352" s="156">
        <f>SUM(D353:D388)</f>
        <v/>
      </c>
      <c r="E352" s="156">
        <f>SUM(E353:E388)</f>
        <v/>
      </c>
      <c r="F352" s="156">
        <f>SUM(F353:F388)</f>
        <v/>
      </c>
      <c r="G352" s="156">
        <f>SUM(G353:G388)</f>
        <v/>
      </c>
      <c r="H352" s="156">
        <f>SUM(H353:H388)</f>
        <v/>
      </c>
      <c r="I352" s="156">
        <f>SUM(I353:I388)</f>
        <v/>
      </c>
      <c r="J352" s="156">
        <f>SUM(J353:J388)</f>
        <v/>
      </c>
      <c r="K352" s="156">
        <f>SUM(K353:K388)</f>
        <v/>
      </c>
      <c r="L352" s="156">
        <f>SUM(L353:L388)</f>
        <v/>
      </c>
      <c r="M352" s="156">
        <f>SUM(M353:M388)</f>
        <v/>
      </c>
      <c r="N352" s="156">
        <f>SUM(N353:N388)</f>
        <v/>
      </c>
      <c r="O352" s="156">
        <f>SUM(O353:O388)</f>
        <v/>
      </c>
      <c r="P352" s="156">
        <f>SUM(P353:P388)</f>
        <v/>
      </c>
      <c r="Q352" s="156">
        <f>SUM(Q353:Q388)</f>
        <v/>
      </c>
      <c r="R352" s="156">
        <f>SUM(R353:R388)</f>
        <v/>
      </c>
      <c r="S352" s="156">
        <f>SUM(S353:S388)</f>
        <v/>
      </c>
      <c r="T352" s="157">
        <f>SUM(C352:S352)</f>
        <v/>
      </c>
      <c r="U352" s="158">
        <f>T352/T311</f>
        <v/>
      </c>
      <c r="V352" s="300" t="n"/>
      <c r="W352" s="196" t="n"/>
      <c r="X352" s="300" t="n"/>
      <c r="Y352" s="196" t="n"/>
      <c r="Z352" s="301" t="n"/>
      <c r="AA352" s="196" t="n"/>
      <c r="AB352" s="300" t="n"/>
      <c r="AC352" s="196" t="n"/>
      <c r="AD352" s="302">
        <f>SUM(AD353:AD388)</f>
        <v/>
      </c>
      <c r="AE352" s="199">
        <f>SUM(AE353:AE388)</f>
        <v/>
      </c>
      <c r="AF352" s="159" t="n"/>
      <c r="AG352" s="153" t="n"/>
      <c r="AH352" s="28" t="n"/>
      <c r="AI352" s="28" t="n"/>
    </row>
    <row r="353" ht="14" customHeight="1">
      <c r="A353" s="78" t="inlineStr">
        <is>
          <t>Franklin US Opportunities N(acc)EUR</t>
        </is>
      </c>
      <c r="B353" s="75" t="inlineStr">
        <is>
          <t>LU0260869903</t>
        </is>
      </c>
      <c r="C353" s="67" t="n"/>
      <c r="D353" s="67" t="n"/>
      <c r="E353" s="67" t="n"/>
      <c r="F353" s="67" t="n"/>
      <c r="G353" s="67" t="n"/>
      <c r="H353" s="67" t="n"/>
      <c r="I353" s="67" t="n"/>
      <c r="J353" s="67" t="n"/>
      <c r="K353" s="69" t="n"/>
      <c r="L353" s="67" t="n"/>
      <c r="M353" s="67" t="n"/>
      <c r="N353" s="67" t="n"/>
      <c r="O353" s="67" t="n"/>
      <c r="P353" s="67" t="n"/>
      <c r="Q353" s="70" t="n"/>
      <c r="R353" s="70" t="n"/>
      <c r="S353" s="71" t="n"/>
      <c r="T353" s="80">
        <f>SUM(C353:S353)</f>
        <v/>
      </c>
      <c r="U353" s="73">
        <f>T353/T$7</f>
        <v/>
      </c>
      <c r="V353" s="280" t="n"/>
      <c r="W353" s="118" t="n"/>
      <c r="X353" s="280" t="n"/>
      <c r="Y353" s="118" t="n"/>
      <c r="Z353" s="281" t="n"/>
      <c r="AA353" s="118" t="n"/>
      <c r="AB353" s="280" t="n"/>
      <c r="AC353" s="118" t="n"/>
      <c r="AD353" s="282">
        <f>T353+V353+X353+AB353+Z353</f>
        <v/>
      </c>
      <c r="AE353" s="73">
        <f>AD353/AD$7</f>
        <v/>
      </c>
      <c r="AF353" s="81" t="n">
        <v>5</v>
      </c>
      <c r="AG353" s="76">
        <f>AD353*AF353</f>
        <v/>
      </c>
      <c r="AH353" s="28" t="n"/>
      <c r="AI353" s="28" t="n"/>
    </row>
    <row r="354" ht="14" customHeight="1">
      <c r="A354" s="78" t="inlineStr">
        <is>
          <t>Franklin US Opportunities A(acc)EUR</t>
        </is>
      </c>
      <c r="B354" s="75" t="inlineStr">
        <is>
          <t>LU0260869739</t>
        </is>
      </c>
      <c r="C354" s="67" t="n"/>
      <c r="D354" s="67" t="n"/>
      <c r="E354" s="67" t="n"/>
      <c r="F354" s="67" t="n"/>
      <c r="G354" s="67" t="n"/>
      <c r="H354" s="67" t="n"/>
      <c r="I354" s="67" t="n"/>
      <c r="J354" s="67" t="n"/>
      <c r="K354" s="69" t="n"/>
      <c r="L354" s="67" t="n"/>
      <c r="M354" s="67" t="n"/>
      <c r="N354" s="67" t="n"/>
      <c r="O354" s="67" t="n"/>
      <c r="P354" s="67" t="n"/>
      <c r="Q354" s="70" t="n"/>
      <c r="R354" s="70" t="n"/>
      <c r="S354" s="71" t="n"/>
      <c r="T354" s="80">
        <f>SUM(C354:S354)</f>
        <v/>
      </c>
      <c r="U354" s="73">
        <f>T354/T$7</f>
        <v/>
      </c>
      <c r="V354" s="280" t="n"/>
      <c r="W354" s="118" t="n"/>
      <c r="X354" s="280" t="n"/>
      <c r="Y354" s="118" t="n"/>
      <c r="Z354" s="281" t="n"/>
      <c r="AA354" s="118" t="n"/>
      <c r="AB354" s="280" t="n"/>
      <c r="AC354" s="118" t="n"/>
      <c r="AD354" s="282">
        <f>T354+V354+X354+AB354+Z354</f>
        <v/>
      </c>
      <c r="AE354" s="73">
        <f>AD354/AD$7</f>
        <v/>
      </c>
      <c r="AF354" s="81" t="n">
        <v>5</v>
      </c>
      <c r="AG354" s="76">
        <f>AD354*AF354</f>
        <v/>
      </c>
      <c r="AH354" s="28" t="n"/>
      <c r="AI354" s="28" t="n"/>
    </row>
    <row r="355" ht="14" customHeight="1">
      <c r="A355" s="78" t="inlineStr">
        <is>
          <t>Franklin Biotechnology Discovery Fund A</t>
        </is>
      </c>
      <c r="B355" s="75" t="inlineStr">
        <is>
          <t>LU0109394709</t>
        </is>
      </c>
      <c r="C355" s="67" t="n"/>
      <c r="D355" s="67" t="n"/>
      <c r="E355" s="67" t="n"/>
      <c r="F355" s="67" t="n"/>
      <c r="G355" s="67" t="n"/>
      <c r="H355" s="67" t="n"/>
      <c r="I355" s="67" t="n"/>
      <c r="J355" s="67" t="n"/>
      <c r="K355" s="69" t="n"/>
      <c r="L355" s="67" t="n"/>
      <c r="M355" s="67" t="n"/>
      <c r="N355" s="67" t="n"/>
      <c r="O355" s="67" t="n"/>
      <c r="P355" s="67" t="n"/>
      <c r="Q355" s="70" t="n"/>
      <c r="R355" s="70" t="n"/>
      <c r="S355" s="71" t="n"/>
      <c r="T355" s="80">
        <f>SUM(C355:S355)</f>
        <v/>
      </c>
      <c r="U355" s="73">
        <f>T355/T$7</f>
        <v/>
      </c>
      <c r="V355" s="280" t="n"/>
      <c r="W355" s="118" t="n"/>
      <c r="X355" s="280" t="n"/>
      <c r="Y355" s="118" t="n"/>
      <c r="Z355" s="281" t="n"/>
      <c r="AA355" s="118" t="n"/>
      <c r="AB355" s="280" t="n"/>
      <c r="AC355" s="118" t="n"/>
      <c r="AD355" s="282">
        <f>T355+V355+X355+AB355+Z355</f>
        <v/>
      </c>
      <c r="AE355" s="73">
        <f>AD355/AD$7</f>
        <v/>
      </c>
      <c r="AF355" s="81" t="n">
        <v>5</v>
      </c>
      <c r="AG355" s="76">
        <f>AD355*AF355</f>
        <v/>
      </c>
      <c r="AH355" s="28" t="n"/>
      <c r="AI355" s="28" t="n"/>
    </row>
    <row r="356" ht="14" customHeight="1">
      <c r="A356" s="78" t="inlineStr">
        <is>
          <t>Fidelity America A USD</t>
        </is>
      </c>
      <c r="B356" s="75" t="inlineStr">
        <is>
          <t>LU0048573561</t>
        </is>
      </c>
      <c r="C356" s="67" t="n"/>
      <c r="D356" s="67" t="n"/>
      <c r="E356" s="67" t="n"/>
      <c r="F356" s="67" t="n"/>
      <c r="G356" s="67" t="n"/>
      <c r="H356" s="67" t="n"/>
      <c r="I356" s="67" t="n"/>
      <c r="J356" s="67" t="n"/>
      <c r="K356" s="69" t="n"/>
      <c r="L356" s="67" t="n"/>
      <c r="M356" s="67" t="n"/>
      <c r="N356" s="67" t="n"/>
      <c r="O356" s="67" t="n"/>
      <c r="P356" s="67" t="n"/>
      <c r="Q356" s="70" t="n"/>
      <c r="R356" s="70" t="n"/>
      <c r="S356" s="71" t="n"/>
      <c r="T356" s="80">
        <f>SUM(C356:S356)</f>
        <v/>
      </c>
      <c r="U356" s="73">
        <f>T356/T$7</f>
        <v/>
      </c>
      <c r="V356" s="280" t="n"/>
      <c r="W356" s="118" t="n"/>
      <c r="X356" s="280" t="n"/>
      <c r="Y356" s="118" t="n"/>
      <c r="Z356" s="281" t="n"/>
      <c r="AA356" s="118" t="n"/>
      <c r="AB356" s="280" t="n"/>
      <c r="AC356" s="118" t="n"/>
      <c r="AD356" s="282">
        <f>T356+V356+X356+AB356+Z356</f>
        <v/>
      </c>
      <c r="AE356" s="73">
        <f>AD356/AD$7</f>
        <v/>
      </c>
      <c r="AF356" s="81" t="n">
        <v>4</v>
      </c>
      <c r="AG356" s="76">
        <f>AD356*AF356</f>
        <v/>
      </c>
      <c r="AH356" s="28" t="n"/>
      <c r="AI356" s="28" t="n"/>
    </row>
    <row r="357" ht="14" customHeight="1">
      <c r="A357" s="78" t="inlineStr">
        <is>
          <t>Fidelity America E Acc EUR</t>
        </is>
      </c>
      <c r="B357" s="75" t="inlineStr">
        <is>
          <t>LU0115759606</t>
        </is>
      </c>
      <c r="C357" s="67" t="n"/>
      <c r="D357" s="67" t="n"/>
      <c r="E357" s="67" t="n"/>
      <c r="F357" s="67" t="n"/>
      <c r="G357" s="67" t="n"/>
      <c r="H357" s="67" t="n"/>
      <c r="I357" s="67" t="n"/>
      <c r="J357" s="67" t="n"/>
      <c r="K357" s="69" t="n"/>
      <c r="L357" s="67" t="n"/>
      <c r="M357" s="67" t="n"/>
      <c r="N357" s="67" t="n"/>
      <c r="O357" s="67" t="n"/>
      <c r="P357" s="67" t="n"/>
      <c r="Q357" s="70" t="n"/>
      <c r="R357" s="70" t="n"/>
      <c r="S357" s="71" t="n"/>
      <c r="T357" s="80">
        <f>SUM(C357:S357)</f>
        <v/>
      </c>
      <c r="U357" s="73">
        <f>T357/T$7</f>
        <v/>
      </c>
      <c r="V357" s="280" t="n"/>
      <c r="W357" s="118" t="n"/>
      <c r="X357" s="280" t="n"/>
      <c r="Y357" s="118" t="n"/>
      <c r="Z357" s="281" t="n"/>
      <c r="AA357" s="118" t="n"/>
      <c r="AB357" s="280" t="n"/>
      <c r="AC357" s="118" t="n"/>
      <c r="AD357" s="282">
        <f>T357+V357+X357+AB357+Z357</f>
        <v/>
      </c>
      <c r="AE357" s="73">
        <f>AD357/AD$7</f>
        <v/>
      </c>
      <c r="AF357" s="81" t="n">
        <v>4</v>
      </c>
      <c r="AG357" s="76">
        <f>AD357*AF357</f>
        <v/>
      </c>
      <c r="AH357" s="28" t="n"/>
      <c r="AI357" s="28" t="n"/>
    </row>
    <row r="358" ht="14" customHeight="1">
      <c r="A358" s="78" t="inlineStr">
        <is>
          <t>Fidelity America Fund A EUR Hedged</t>
        </is>
      </c>
      <c r="B358" s="75" t="inlineStr">
        <is>
          <t>LU0945775517</t>
        </is>
      </c>
      <c r="C358" s="67" t="n"/>
      <c r="D358" s="67" t="n"/>
      <c r="E358" s="67" t="n"/>
      <c r="F358" s="67" t="n"/>
      <c r="G358" s="67" t="n"/>
      <c r="H358" s="67" t="n"/>
      <c r="I358" s="67" t="n"/>
      <c r="J358" s="67" t="n"/>
      <c r="K358" s="69" t="n"/>
      <c r="L358" s="67" t="n"/>
      <c r="M358" s="67" t="n"/>
      <c r="N358" s="67" t="n"/>
      <c r="O358" s="67" t="n"/>
      <c r="P358" s="67" t="n"/>
      <c r="Q358" s="70" t="n"/>
      <c r="R358" s="70" t="n"/>
      <c r="S358" s="71" t="n"/>
      <c r="T358" s="80">
        <f>SUM(C358:S358)</f>
        <v/>
      </c>
      <c r="U358" s="73">
        <f>T358/T$7</f>
        <v/>
      </c>
      <c r="V358" s="280" t="n"/>
      <c r="W358" s="118" t="n"/>
      <c r="X358" s="280" t="n"/>
      <c r="Y358" s="118" t="n"/>
      <c r="Z358" s="281" t="n"/>
      <c r="AA358" s="118" t="n"/>
      <c r="AB358" s="280" t="n"/>
      <c r="AC358" s="118" t="n"/>
      <c r="AD358" s="282">
        <f>T358+V358+X358+AB358+Z358</f>
        <v/>
      </c>
      <c r="AE358" s="73">
        <f>AD358/AD$7</f>
        <v/>
      </c>
      <c r="AF358" s="81" t="n">
        <v>4</v>
      </c>
      <c r="AG358" s="76">
        <f>AD358*AF358</f>
        <v/>
      </c>
      <c r="AH358" s="28" t="n"/>
      <c r="AI358" s="28" t="n"/>
    </row>
    <row r="359" ht="14" customHeight="1">
      <c r="A359" s="78" t="inlineStr">
        <is>
          <t>Amundi S&amp;P 500 ETF Daily Hedged EUR</t>
        </is>
      </c>
      <c r="B359" s="75" t="inlineStr">
        <is>
          <t>LU1681049109</t>
        </is>
      </c>
      <c r="C359" s="67" t="n"/>
      <c r="D359" s="67" t="n"/>
      <c r="E359" s="67" t="n"/>
      <c r="F359" s="67" t="n"/>
      <c r="G359" s="67" t="n"/>
      <c r="H359" s="67" t="n"/>
      <c r="I359" s="67" t="n"/>
      <c r="J359" s="67" t="n"/>
      <c r="K359" s="69" t="n"/>
      <c r="L359" s="67" t="n"/>
      <c r="M359" s="67" t="n"/>
      <c r="N359" s="67" t="n"/>
      <c r="O359" s="67" t="n"/>
      <c r="P359" s="67" t="n"/>
      <c r="Q359" s="70" t="n"/>
      <c r="R359" s="70" t="n"/>
      <c r="S359" s="71" t="n"/>
      <c r="T359" s="80">
        <f>SUM(C359:S359)</f>
        <v/>
      </c>
      <c r="U359" s="73">
        <f>T359/T$7</f>
        <v/>
      </c>
      <c r="V359" s="280" t="n"/>
      <c r="W359" s="118" t="n"/>
      <c r="X359" s="280" t="n"/>
      <c r="Y359" s="118" t="n"/>
      <c r="Z359" s="281" t="n"/>
      <c r="AA359" s="118" t="n"/>
      <c r="AB359" s="280" t="n"/>
      <c r="AC359" s="118" t="n"/>
      <c r="AD359" s="282">
        <f>T359+V359+X359+AB359+Z359</f>
        <v/>
      </c>
      <c r="AE359" s="73">
        <f>AD359/AD$7</f>
        <v/>
      </c>
      <c r="AF359" s="81" t="n">
        <v>4</v>
      </c>
      <c r="AG359" s="76">
        <f>AD359*AF359</f>
        <v/>
      </c>
      <c r="AH359" s="28" t="n"/>
      <c r="AI359" s="28" t="n"/>
    </row>
    <row r="360" ht="14" customHeight="1">
      <c r="A360" s="78" t="inlineStr">
        <is>
          <t>Amundi Nasdaq-100 II UCITS ETF Acc</t>
        </is>
      </c>
      <c r="B360" s="75" t="inlineStr">
        <is>
          <t>LU1829221024</t>
        </is>
      </c>
      <c r="C360" s="67" t="n"/>
      <c r="D360" s="67" t="n"/>
      <c r="E360" s="67" t="n"/>
      <c r="F360" s="67" t="n"/>
      <c r="G360" s="67" t="n"/>
      <c r="H360" s="67" t="n"/>
      <c r="I360" s="67" t="n"/>
      <c r="J360" s="67" t="n"/>
      <c r="K360" s="69" t="n"/>
      <c r="L360" s="67" t="n"/>
      <c r="M360" s="67" t="n"/>
      <c r="N360" s="67" t="n"/>
      <c r="O360" s="67" t="n"/>
      <c r="P360" s="67" t="n"/>
      <c r="Q360" s="70" t="n"/>
      <c r="R360" s="70" t="n"/>
      <c r="S360" s="71" t="n"/>
      <c r="T360" s="80">
        <f>SUM(C360:S360)</f>
        <v/>
      </c>
      <c r="U360" s="73">
        <f>T360/T$7</f>
        <v/>
      </c>
      <c r="V360" s="280" t="n"/>
      <c r="W360" s="118" t="n"/>
      <c r="X360" s="280" t="n"/>
      <c r="Y360" s="118" t="n"/>
      <c r="Z360" s="281" t="n"/>
      <c r="AA360" s="118" t="n"/>
      <c r="AB360" s="280" t="n"/>
      <c r="AC360" s="118" t="n"/>
      <c r="AD360" s="282">
        <f>T360+V360+X360+AB360+Z360</f>
        <v/>
      </c>
      <c r="AE360" s="73">
        <f>AD360/AD$7</f>
        <v/>
      </c>
      <c r="AF360" s="81" t="n">
        <v>5</v>
      </c>
      <c r="AG360" s="76">
        <f>AD360*AF360</f>
        <v/>
      </c>
      <c r="AH360" s="28" t="n"/>
      <c r="AI360" s="28" t="n"/>
    </row>
    <row r="361" ht="14" customHeight="1">
      <c r="A361" s="78" t="inlineStr">
        <is>
          <t>Amundi PEA S&amp;P 500 UCITS ETF Acc</t>
        </is>
      </c>
      <c r="B361" s="75" t="inlineStr">
        <is>
          <t>FR0011871128</t>
        </is>
      </c>
      <c r="C361" s="67" t="n"/>
      <c r="D361" s="67" t="n"/>
      <c r="E361" s="67" t="n"/>
      <c r="F361" s="67" t="n"/>
      <c r="G361" s="67" t="n"/>
      <c r="H361" s="67" t="n"/>
      <c r="I361" s="67" t="n"/>
      <c r="J361" s="67" t="n"/>
      <c r="K361" s="69" t="n"/>
      <c r="L361" s="67" t="n"/>
      <c r="M361" s="67" t="n"/>
      <c r="N361" s="67" t="n"/>
      <c r="O361" s="67" t="n"/>
      <c r="P361" s="67" t="n"/>
      <c r="Q361" s="70" t="n"/>
      <c r="R361" s="70" t="n"/>
      <c r="S361" s="71" t="n"/>
      <c r="T361" s="80">
        <f>SUM(C361:S361)</f>
        <v/>
      </c>
      <c r="U361" s="73">
        <f>T361/T$7</f>
        <v/>
      </c>
      <c r="V361" s="280" t="n"/>
      <c r="W361" s="118" t="n"/>
      <c r="X361" s="280" t="n"/>
      <c r="Y361" s="118" t="n"/>
      <c r="Z361" s="281" t="n"/>
      <c r="AA361" s="118" t="n"/>
      <c r="AB361" s="280" t="n"/>
      <c r="AC361" s="118" t="n"/>
      <c r="AD361" s="282">
        <f>T361+V361+X361+AB361+Z361</f>
        <v/>
      </c>
      <c r="AE361" s="73">
        <f>AD361/AD$7</f>
        <v/>
      </c>
      <c r="AF361" s="81" t="n">
        <v>4</v>
      </c>
      <c r="AG361" s="76">
        <f>AD361*AF361</f>
        <v/>
      </c>
      <c r="AH361" s="28" t="n"/>
      <c r="AI361" s="28" t="n"/>
    </row>
    <row r="362" ht="14" customHeight="1">
      <c r="A362" s="78" t="inlineStr">
        <is>
          <t>Amundi Nasdaq-100 Daily 2x Lvrgd ETF Acc</t>
        </is>
      </c>
      <c r="B362" s="75" t="inlineStr">
        <is>
          <t>FR0010342592</t>
        </is>
      </c>
      <c r="C362" s="67" t="n"/>
      <c r="D362" s="67" t="n"/>
      <c r="E362" s="67" t="n"/>
      <c r="F362" s="67" t="n"/>
      <c r="G362" s="67" t="n"/>
      <c r="H362" s="67" t="n"/>
      <c r="I362" s="67" t="n"/>
      <c r="J362" s="67" t="n"/>
      <c r="K362" s="69" t="n"/>
      <c r="L362" s="67" t="n"/>
      <c r="M362" s="67" t="n"/>
      <c r="N362" s="67" t="n"/>
      <c r="O362" s="67" t="n"/>
      <c r="P362" s="67" t="n"/>
      <c r="Q362" s="70" t="n"/>
      <c r="R362" s="70" t="n"/>
      <c r="S362" s="71" t="n"/>
      <c r="T362" s="80">
        <f>SUM(C362:S362)</f>
        <v/>
      </c>
      <c r="U362" s="73">
        <f>T362/T$7</f>
        <v/>
      </c>
      <c r="V362" s="280" t="n"/>
      <c r="W362" s="118" t="n"/>
      <c r="X362" s="280" t="n"/>
      <c r="Y362" s="118" t="n"/>
      <c r="Z362" s="281" t="n"/>
      <c r="AA362" s="118" t="n"/>
      <c r="AB362" s="280" t="n"/>
      <c r="AC362" s="118" t="n"/>
      <c r="AD362" s="282">
        <f>T362+V362+X362+AB362+Z362</f>
        <v/>
      </c>
      <c r="AE362" s="73">
        <f>AD362/AD$7</f>
        <v/>
      </c>
      <c r="AF362" s="81" t="n">
        <v>6</v>
      </c>
      <c r="AG362" s="76">
        <f>AD362*AF362</f>
        <v/>
      </c>
      <c r="AH362" s="28" t="n"/>
      <c r="AI362" s="28" t="n"/>
    </row>
    <row r="363" ht="14" customHeight="1">
      <c r="A363" s="78" t="inlineStr">
        <is>
          <t>Amundi Idx Sol S&amp;P 500 Eur C</t>
        </is>
      </c>
      <c r="B363" s="75" t="inlineStr">
        <is>
          <t>LU1681048804</t>
        </is>
      </c>
      <c r="C363" s="67" t="n"/>
      <c r="D363" s="67" t="n"/>
      <c r="E363" s="67" t="n"/>
      <c r="F363" s="67" t="n"/>
      <c r="G363" s="67" t="n"/>
      <c r="H363" s="67" t="n"/>
      <c r="I363" s="67" t="n"/>
      <c r="J363" s="67" t="n"/>
      <c r="K363" s="69" t="n"/>
      <c r="L363" s="67" t="n"/>
      <c r="M363" s="67" t="n"/>
      <c r="N363" s="67" t="n"/>
      <c r="O363" s="67" t="n"/>
      <c r="P363" s="67" t="n"/>
      <c r="Q363" s="70" t="n"/>
      <c r="R363" s="70" t="n"/>
      <c r="S363" s="71" t="n"/>
      <c r="T363" s="80">
        <f>SUM(C363:S363)</f>
        <v/>
      </c>
      <c r="U363" s="73">
        <f>T363/T$7</f>
        <v/>
      </c>
      <c r="V363" s="280" t="n"/>
      <c r="W363" s="118" t="n"/>
      <c r="X363" s="280" t="n"/>
      <c r="Y363" s="118" t="n"/>
      <c r="Z363" s="281" t="n"/>
      <c r="AA363" s="118" t="n"/>
      <c r="AB363" s="280" t="n"/>
      <c r="AC363" s="118" t="n"/>
      <c r="AD363" s="282">
        <f>T363+V363+X363+AB363+Z363</f>
        <v/>
      </c>
      <c r="AE363" s="73">
        <f>AD363/AD$7</f>
        <v/>
      </c>
      <c r="AF363" s="81" t="n">
        <v>4</v>
      </c>
      <c r="AG363" s="76">
        <f>AD363*AF363</f>
        <v/>
      </c>
      <c r="AH363" s="28" t="n"/>
      <c r="AI363" s="28" t="n"/>
    </row>
    <row r="364" ht="14" customHeight="1">
      <c r="A364" s="78" t="inlineStr">
        <is>
          <t>Amundi Index Msci Usa Etf Dr</t>
        </is>
      </c>
      <c r="B364" s="75" t="inlineStr">
        <is>
          <t>LU1861136247</t>
        </is>
      </c>
      <c r="C364" s="67" t="n"/>
      <c r="D364" s="67" t="n"/>
      <c r="E364" s="67" t="n"/>
      <c r="F364" s="67" t="n"/>
      <c r="G364" s="67" t="n"/>
      <c r="H364" s="67" t="n"/>
      <c r="I364" s="67" t="n"/>
      <c r="J364" s="67" t="n"/>
      <c r="K364" s="69" t="n"/>
      <c r="L364" s="67" t="n"/>
      <c r="M364" s="67" t="n"/>
      <c r="N364" s="67" t="n"/>
      <c r="O364" s="67" t="n"/>
      <c r="P364" s="67" t="n"/>
      <c r="Q364" s="70" t="n"/>
      <c r="R364" s="70" t="n"/>
      <c r="S364" s="71" t="n"/>
      <c r="T364" s="80">
        <f>SUM(C364:S364)</f>
        <v/>
      </c>
      <c r="U364" s="73">
        <f>T364/T$7</f>
        <v/>
      </c>
      <c r="V364" s="280" t="n"/>
      <c r="W364" s="118" t="n"/>
      <c r="X364" s="280" t="n"/>
      <c r="Y364" s="118" t="n"/>
      <c r="Z364" s="281" t="n"/>
      <c r="AA364" s="118" t="n"/>
      <c r="AB364" s="280" t="n"/>
      <c r="AC364" s="118" t="n"/>
      <c r="AD364" s="282">
        <f>T364+V364+X364+AB364+Z364</f>
        <v/>
      </c>
      <c r="AE364" s="73">
        <f>AD364/AD$7</f>
        <v/>
      </c>
      <c r="AF364" s="81" t="n">
        <v>6</v>
      </c>
      <c r="AG364" s="76">
        <f>AD364*AF364</f>
        <v/>
      </c>
      <c r="AH364" s="28" t="n"/>
      <c r="AI364" s="28" t="n"/>
    </row>
    <row r="365" ht="14" customHeight="1">
      <c r="A365" s="78" t="inlineStr">
        <is>
          <t>Amundi S&amp;P 500 II II ETF Acc</t>
        </is>
      </c>
      <c r="B365" s="75" t="inlineStr">
        <is>
          <t>LU1135865084</t>
        </is>
      </c>
      <c r="C365" s="67" t="n"/>
      <c r="D365" s="67" t="n"/>
      <c r="E365" s="67" t="n"/>
      <c r="F365" s="67" t="n"/>
      <c r="G365" s="67" t="n"/>
      <c r="H365" s="67" t="n"/>
      <c r="I365" s="67" t="n"/>
      <c r="J365" s="67" t="n"/>
      <c r="K365" s="69" t="n"/>
      <c r="L365" s="67" t="n"/>
      <c r="M365" s="67" t="n"/>
      <c r="N365" s="67" t="n"/>
      <c r="O365" s="67" t="n"/>
      <c r="P365" s="67" t="n"/>
      <c r="Q365" s="70" t="n"/>
      <c r="R365" s="70" t="n"/>
      <c r="S365" s="71" t="n"/>
      <c r="T365" s="80">
        <f>SUM(C365:S365)</f>
        <v/>
      </c>
      <c r="U365" s="73">
        <f>T365/T$7</f>
        <v/>
      </c>
      <c r="V365" s="280" t="n"/>
      <c r="W365" s="118" t="n"/>
      <c r="X365" s="280" t="n"/>
      <c r="Y365" s="118" t="n"/>
      <c r="Z365" s="281" t="n"/>
      <c r="AA365" s="118" t="n"/>
      <c r="AB365" s="280" t="n"/>
      <c r="AC365" s="118" t="n"/>
      <c r="AD365" s="282">
        <f>T365+V365+X365+AB365+Z365</f>
        <v/>
      </c>
      <c r="AE365" s="73">
        <f>AD365/AD$7</f>
        <v/>
      </c>
      <c r="AF365" s="81" t="n">
        <v>4</v>
      </c>
      <c r="AG365" s="76">
        <f>AD365*AF365</f>
        <v/>
      </c>
      <c r="AH365" s="28" t="n"/>
      <c r="AI365" s="28" t="n"/>
    </row>
    <row r="366" ht="14" customHeight="1">
      <c r="A366" s="78" t="inlineStr">
        <is>
          <t>Amundi S&amp;P 500 ETF D EUR</t>
        </is>
      </c>
      <c r="B366" s="75" t="inlineStr">
        <is>
          <t>LU0496786574</t>
        </is>
      </c>
      <c r="C366" s="67" t="n"/>
      <c r="D366" s="67" t="n"/>
      <c r="E366" s="67" t="n"/>
      <c r="F366" s="67" t="n"/>
      <c r="G366" s="67" t="n"/>
      <c r="H366" s="67" t="n"/>
      <c r="I366" s="67" t="n"/>
      <c r="J366" s="67" t="n"/>
      <c r="K366" s="69" t="n"/>
      <c r="L366" s="67" t="n"/>
      <c r="M366" s="67" t="n"/>
      <c r="N366" s="67" t="n"/>
      <c r="O366" s="67" t="n"/>
      <c r="P366" s="67" t="n"/>
      <c r="Q366" s="70" t="n"/>
      <c r="R366" s="70" t="n"/>
      <c r="S366" s="71" t="n"/>
      <c r="T366" s="80">
        <f>SUM(C366:S366)</f>
        <v/>
      </c>
      <c r="U366" s="73">
        <f>T366/T$7</f>
        <v/>
      </c>
      <c r="V366" s="280" t="n"/>
      <c r="W366" s="118" t="n"/>
      <c r="X366" s="280" t="n"/>
      <c r="Y366" s="118" t="n"/>
      <c r="Z366" s="281" t="n"/>
      <c r="AA366" s="118" t="n"/>
      <c r="AB366" s="280" t="n"/>
      <c r="AC366" s="118" t="n"/>
      <c r="AD366" s="282">
        <f>T366+V366+X366+AB366+Z366</f>
        <v/>
      </c>
      <c r="AE366" s="73">
        <f>AD366/AD$7</f>
        <v/>
      </c>
      <c r="AF366" s="81" t="n">
        <v>4</v>
      </c>
      <c r="AG366" s="76">
        <f>AD366*AF366</f>
        <v/>
      </c>
      <c r="AH366" s="28" t="n"/>
      <c r="AI366" s="28" t="n"/>
    </row>
    <row r="367" ht="14" customHeight="1">
      <c r="A367" s="78" t="inlineStr">
        <is>
          <t>Amundi S&amp;P 500 Climate Net Zero PAB</t>
        </is>
      </c>
      <c r="B367" s="75" t="inlineStr">
        <is>
          <t>IE000O5FBC47</t>
        </is>
      </c>
      <c r="C367" s="67" t="n"/>
      <c r="D367" s="67" t="n"/>
      <c r="E367" s="67" t="n"/>
      <c r="F367" s="67" t="n"/>
      <c r="G367" s="67" t="n"/>
      <c r="H367" s="67" t="n"/>
      <c r="I367" s="67" t="n"/>
      <c r="J367" s="67" t="n"/>
      <c r="K367" s="69" t="n"/>
      <c r="L367" s="67" t="n"/>
      <c r="M367" s="67" t="n"/>
      <c r="N367" s="67" t="n"/>
      <c r="O367" s="67" t="n"/>
      <c r="P367" s="67" t="n"/>
      <c r="Q367" s="70" t="n"/>
      <c r="R367" s="70" t="n"/>
      <c r="S367" s="71" t="n"/>
      <c r="T367" s="80">
        <f>SUM(C367:S367)</f>
        <v/>
      </c>
      <c r="U367" s="73">
        <f>T367/T$7</f>
        <v/>
      </c>
      <c r="V367" s="280" t="n"/>
      <c r="W367" s="118" t="n"/>
      <c r="X367" s="280" t="n"/>
      <c r="Y367" s="118" t="n"/>
      <c r="Z367" s="281" t="n"/>
      <c r="AA367" s="118" t="n"/>
      <c r="AB367" s="280" t="n"/>
      <c r="AC367" s="118" t="n"/>
      <c r="AD367" s="282">
        <f>T367+V367+X367+AB367+Z367</f>
        <v/>
      </c>
      <c r="AE367" s="73">
        <f>AD367/AD$7</f>
        <v/>
      </c>
      <c r="AF367" s="81" t="n">
        <v>4</v>
      </c>
      <c r="AG367" s="76">
        <f>AD367*AF367</f>
        <v/>
      </c>
      <c r="AH367" s="28" t="n"/>
      <c r="AI367" s="28" t="n"/>
    </row>
    <row r="368" ht="14" customHeight="1">
      <c r="A368" s="78" t="inlineStr">
        <is>
          <t>Amundi Core S&amp;P 500 Swap ETF EUR H Dis</t>
        </is>
      </c>
      <c r="B368" s="75" t="inlineStr">
        <is>
          <t>LU0959211243</t>
        </is>
      </c>
      <c r="C368" s="67" t="n"/>
      <c r="D368" s="67" t="n"/>
      <c r="E368" s="67" t="n"/>
      <c r="F368" s="67" t="n"/>
      <c r="G368" s="67" t="n"/>
      <c r="H368" s="67" t="n"/>
      <c r="I368" s="67" t="n"/>
      <c r="J368" s="67" t="n"/>
      <c r="K368" s="69" t="n"/>
      <c r="L368" s="67" t="n"/>
      <c r="M368" s="67" t="n"/>
      <c r="N368" s="67" t="n"/>
      <c r="O368" s="67" t="n"/>
      <c r="P368" s="67" t="n"/>
      <c r="Q368" s="70" t="n"/>
      <c r="R368" s="70" t="n"/>
      <c r="S368" s="71" t="n"/>
      <c r="T368" s="80">
        <f>SUM(C368:S368)</f>
        <v/>
      </c>
      <c r="U368" s="73">
        <f>T368/T$7</f>
        <v/>
      </c>
      <c r="V368" s="280" t="n"/>
      <c r="W368" s="118" t="n"/>
      <c r="X368" s="280" t="n"/>
      <c r="Y368" s="118" t="n"/>
      <c r="Z368" s="281" t="n"/>
      <c r="AA368" s="118" t="n"/>
      <c r="AB368" s="280" t="n"/>
      <c r="AC368" s="118" t="n"/>
      <c r="AD368" s="282">
        <f>T368+V368+X368+AB368+Z368</f>
        <v/>
      </c>
      <c r="AE368" s="73">
        <f>AD368/AD$7</f>
        <v/>
      </c>
      <c r="AF368" s="81" t="n">
        <v>4</v>
      </c>
      <c r="AG368" s="76">
        <f>AD368*AF368</f>
        <v/>
      </c>
      <c r="AH368" s="28" t="n"/>
      <c r="AI368" s="28" t="n"/>
    </row>
    <row r="369" ht="14" customHeight="1">
      <c r="A369" s="78" t="inlineStr">
        <is>
          <t>iShares MSCI USA Momentum</t>
        </is>
      </c>
      <c r="B369" s="75" t="inlineStr">
        <is>
          <t>US46432F3964</t>
        </is>
      </c>
      <c r="C369" s="67" t="n"/>
      <c r="D369" s="67" t="n"/>
      <c r="E369" s="67" t="n"/>
      <c r="F369" s="67" t="n"/>
      <c r="G369" s="67" t="n"/>
      <c r="H369" s="67" t="n"/>
      <c r="I369" s="67" t="n"/>
      <c r="J369" s="67" t="n"/>
      <c r="K369" s="69" t="n"/>
      <c r="L369" s="67" t="n"/>
      <c r="M369" s="67" t="n"/>
      <c r="N369" s="67" t="n"/>
      <c r="O369" s="67" t="n"/>
      <c r="P369" s="67" t="n"/>
      <c r="Q369" s="70" t="n"/>
      <c r="R369" s="70" t="n"/>
      <c r="S369" s="71" t="n"/>
      <c r="T369" s="80">
        <f>SUM(C369:S369)</f>
        <v/>
      </c>
      <c r="U369" s="73">
        <f>T369/T$7</f>
        <v/>
      </c>
      <c r="V369" s="280" t="n"/>
      <c r="W369" s="118" t="n"/>
      <c r="X369" s="280" t="n"/>
      <c r="Y369" s="118" t="n"/>
      <c r="Z369" s="281" t="n"/>
      <c r="AA369" s="118" t="n"/>
      <c r="AB369" s="280" t="n"/>
      <c r="AC369" s="118" t="n"/>
      <c r="AD369" s="282">
        <f>T369+V369+X369+AB369+Z369</f>
        <v/>
      </c>
      <c r="AE369" s="73">
        <f>AD369/AD$7</f>
        <v/>
      </c>
      <c r="AF369" s="81" t="n">
        <v>5</v>
      </c>
      <c r="AG369" s="76">
        <f>AD369*AF369</f>
        <v/>
      </c>
      <c r="AH369" s="28" t="n"/>
      <c r="AI369" s="28" t="n"/>
    </row>
    <row r="370" ht="14" customHeight="1">
      <c r="A370" s="78" t="inlineStr">
        <is>
          <t>iShares Russell 2000 ETF</t>
        </is>
      </c>
      <c r="B370" s="75" t="inlineStr">
        <is>
          <t>US4642876555</t>
        </is>
      </c>
      <c r="C370" s="67" t="n"/>
      <c r="D370" s="67" t="n"/>
      <c r="E370" s="67" t="n"/>
      <c r="F370" s="67" t="n"/>
      <c r="G370" s="67" t="n"/>
      <c r="H370" s="67" t="n"/>
      <c r="I370" s="67" t="n"/>
      <c r="J370" s="67" t="n"/>
      <c r="K370" s="69" t="n"/>
      <c r="L370" s="67" t="n"/>
      <c r="M370" s="67" t="n"/>
      <c r="N370" s="67" t="n"/>
      <c r="O370" s="67" t="n"/>
      <c r="P370" s="67" t="n"/>
      <c r="Q370" s="70" t="n"/>
      <c r="R370" s="70" t="n"/>
      <c r="S370" s="71" t="n"/>
      <c r="T370" s="80">
        <f>SUM(C370:S370)</f>
        <v/>
      </c>
      <c r="U370" s="73">
        <f>T370/T$7</f>
        <v/>
      </c>
      <c r="V370" s="280" t="n"/>
      <c r="W370" s="118" t="n"/>
      <c r="X370" s="280" t="n"/>
      <c r="Y370" s="118" t="n"/>
      <c r="Z370" s="281" t="n"/>
      <c r="AA370" s="118" t="n"/>
      <c r="AB370" s="280" t="n"/>
      <c r="AC370" s="118" t="n"/>
      <c r="AD370" s="282">
        <f>T370+V370+X370+AB370+Z370</f>
        <v/>
      </c>
      <c r="AE370" s="73">
        <f>AD370/AD$7</f>
        <v/>
      </c>
      <c r="AF370" s="81" t="n">
        <v>5</v>
      </c>
      <c r="AG370" s="76">
        <f>AD370*AF370</f>
        <v/>
      </c>
      <c r="AH370" s="28" t="n"/>
      <c r="AI370" s="28" t="n"/>
    </row>
    <row r="371" ht="14" customHeight="1">
      <c r="A371" s="78" t="inlineStr">
        <is>
          <t>iShares MSCI USA SRI</t>
        </is>
      </c>
      <c r="B371" s="75" t="inlineStr">
        <is>
          <t>IE00BYVJRR92</t>
        </is>
      </c>
      <c r="C371" s="67" t="n"/>
      <c r="D371" s="67" t="n"/>
      <c r="E371" s="67" t="n"/>
      <c r="F371" s="67" t="n"/>
      <c r="G371" s="67" t="n"/>
      <c r="H371" s="67" t="n"/>
      <c r="I371" s="67" t="n"/>
      <c r="J371" s="67" t="n"/>
      <c r="K371" s="69" t="n"/>
      <c r="L371" s="67" t="n"/>
      <c r="M371" s="67" t="n"/>
      <c r="N371" s="67" t="n"/>
      <c r="O371" s="67" t="n"/>
      <c r="P371" s="67" t="n"/>
      <c r="Q371" s="70" t="n"/>
      <c r="R371" s="70" t="n"/>
      <c r="S371" s="71" t="n"/>
      <c r="T371" s="80">
        <f>SUM(C371:S371)</f>
        <v/>
      </c>
      <c r="U371" s="73">
        <f>T371/T$7</f>
        <v/>
      </c>
      <c r="V371" s="280" t="n"/>
      <c r="W371" s="118" t="n"/>
      <c r="X371" s="280" t="n"/>
      <c r="Y371" s="118" t="n"/>
      <c r="Z371" s="281" t="n"/>
      <c r="AA371" s="118" t="n"/>
      <c r="AB371" s="280" t="n"/>
      <c r="AC371" s="118" t="n"/>
      <c r="AD371" s="282">
        <f>T371+V371+X371+AB371+Z371</f>
        <v/>
      </c>
      <c r="AE371" s="73">
        <f>AD371/AD$7</f>
        <v/>
      </c>
      <c r="AF371" s="81" t="n">
        <v>5</v>
      </c>
      <c r="AG371" s="76">
        <f>AD371*AF371</f>
        <v/>
      </c>
      <c r="AH371" s="28" t="n"/>
      <c r="AI371" s="28" t="n"/>
    </row>
    <row r="372" ht="14" customHeight="1">
      <c r="A372" s="78" t="inlineStr">
        <is>
          <t xml:space="preserve">iShares S&amp;P 500 EUR Hedged ETF Acc (couvert) </t>
        </is>
      </c>
      <c r="B372" s="75" t="inlineStr">
        <is>
          <t>IE00B3ZW0K18</t>
        </is>
      </c>
      <c r="C372" s="67" t="n"/>
      <c r="D372" s="67" t="n"/>
      <c r="E372" s="67" t="n"/>
      <c r="F372" s="67" t="n"/>
      <c r="G372" s="67" t="n"/>
      <c r="H372" s="67" t="n"/>
      <c r="I372" s="67" t="n"/>
      <c r="J372" s="67" t="n"/>
      <c r="K372" s="69" t="n"/>
      <c r="L372" s="67" t="n"/>
      <c r="M372" s="67" t="n"/>
      <c r="N372" s="67" t="n"/>
      <c r="O372" s="67" t="n"/>
      <c r="P372" s="67" t="n"/>
      <c r="Q372" s="70" t="n"/>
      <c r="R372" s="70" t="n"/>
      <c r="S372" s="71" t="n"/>
      <c r="T372" s="80">
        <f>SUM(C372:S372)</f>
        <v/>
      </c>
      <c r="U372" s="73">
        <f>T372/T$7</f>
        <v/>
      </c>
      <c r="V372" s="280" t="n"/>
      <c r="W372" s="118" t="n"/>
      <c r="X372" s="280" t="n"/>
      <c r="Y372" s="118" t="n"/>
      <c r="Z372" s="281" t="n"/>
      <c r="AA372" s="118" t="n"/>
      <c r="AB372" s="280" t="n"/>
      <c r="AC372" s="118" t="n"/>
      <c r="AD372" s="282">
        <f>T372+V372+X372+AB372+Z372</f>
        <v/>
      </c>
      <c r="AE372" s="73">
        <f>AD372/AD$7</f>
        <v/>
      </c>
      <c r="AF372" s="81" t="n">
        <v>4</v>
      </c>
      <c r="AG372" s="76">
        <f>AD372*AF372</f>
        <v/>
      </c>
      <c r="AH372" s="28" t="n"/>
      <c r="AI372" s="28" t="n"/>
    </row>
    <row r="373" ht="14" customHeight="1">
      <c r="A373" s="78" t="inlineStr">
        <is>
          <t>iShares S&amp;P 500 Equal Weight ETF €H Acc (couvert)</t>
        </is>
      </c>
      <c r="B373" s="75" t="inlineStr">
        <is>
          <t>IE000DVLBQ03</t>
        </is>
      </c>
      <c r="C373" s="67" t="n"/>
      <c r="D373" s="67" t="n"/>
      <c r="E373" s="67" t="n"/>
      <c r="F373" s="67" t="n"/>
      <c r="G373" s="67" t="n"/>
      <c r="H373" s="67" t="n"/>
      <c r="I373" s="67" t="n"/>
      <c r="J373" s="67" t="n"/>
      <c r="K373" s="69" t="n"/>
      <c r="L373" s="67" t="n"/>
      <c r="M373" s="67" t="n"/>
      <c r="N373" s="67" t="n"/>
      <c r="O373" s="67" t="n"/>
      <c r="P373" s="67" t="n"/>
      <c r="Q373" s="70" t="n"/>
      <c r="R373" s="70" t="n"/>
      <c r="S373" s="71" t="n"/>
      <c r="T373" s="80">
        <f>SUM(C373:S373)</f>
        <v/>
      </c>
      <c r="U373" s="73">
        <f>T373/T$7</f>
        <v/>
      </c>
      <c r="V373" s="280" t="n"/>
      <c r="W373" s="118" t="n"/>
      <c r="X373" s="280" t="n"/>
      <c r="Y373" s="118" t="n"/>
      <c r="Z373" s="281" t="n"/>
      <c r="AA373" s="118" t="n"/>
      <c r="AB373" s="280" t="n"/>
      <c r="AC373" s="118" t="n"/>
      <c r="AD373" s="282">
        <f>T373+V373+X373+AB373+Z373</f>
        <v/>
      </c>
      <c r="AE373" s="73">
        <f>AD373/AD$7</f>
        <v/>
      </c>
      <c r="AF373" s="81" t="n">
        <v>4</v>
      </c>
      <c r="AG373" s="76">
        <f>AD373*AF373</f>
        <v/>
      </c>
      <c r="AH373" s="28" t="n"/>
      <c r="AI373" s="28" t="n"/>
    </row>
    <row r="374" ht="14" customHeight="1">
      <c r="A374" s="78" t="inlineStr">
        <is>
          <t>iShares Core S&amp;P 500</t>
        </is>
      </c>
      <c r="B374" s="75" t="inlineStr">
        <is>
          <t>IE00B5BMR087</t>
        </is>
      </c>
      <c r="C374" s="67" t="n"/>
      <c r="D374" s="67" t="n"/>
      <c r="E374" s="67" t="n"/>
      <c r="F374" s="67" t="n"/>
      <c r="G374" s="67" t="n"/>
      <c r="H374" s="67" t="n"/>
      <c r="I374" s="67" t="n"/>
      <c r="J374" s="67" t="n"/>
      <c r="K374" s="69" t="n"/>
      <c r="L374" s="67" t="n"/>
      <c r="M374" s="67" t="n"/>
      <c r="N374" s="67" t="n"/>
      <c r="O374" s="67" t="n"/>
      <c r="P374" s="67" t="n"/>
      <c r="Q374" s="70" t="n"/>
      <c r="R374" s="70" t="n"/>
      <c r="S374" s="71" t="n"/>
      <c r="T374" s="80">
        <f>SUM(C374:S374)</f>
        <v/>
      </c>
      <c r="U374" s="73">
        <f>T374/T$7</f>
        <v/>
      </c>
      <c r="V374" s="280" t="n"/>
      <c r="W374" s="118" t="n"/>
      <c r="X374" s="280" t="n"/>
      <c r="Y374" s="118" t="n"/>
      <c r="Z374" s="281" t="n"/>
      <c r="AA374" s="118" t="n"/>
      <c r="AB374" s="280" t="n"/>
      <c r="AC374" s="118" t="n"/>
      <c r="AD374" s="282">
        <f>T374+V374+X374+AB374+Z374</f>
        <v/>
      </c>
      <c r="AE374" s="73">
        <f>AD374/AD$7</f>
        <v/>
      </c>
      <c r="AF374" s="81" t="n">
        <v>4</v>
      </c>
      <c r="AG374" s="76">
        <f>AD374*AF374</f>
        <v/>
      </c>
      <c r="AH374" s="28" t="n"/>
      <c r="AI374" s="28" t="n"/>
    </row>
    <row r="375" ht="14" customHeight="1">
      <c r="A375" s="78" t="inlineStr">
        <is>
          <t>iShares US Index Fund D EUR Acc</t>
        </is>
      </c>
      <c r="B375" s="75" t="inlineStr">
        <is>
          <t>IE00BDZS0987</t>
        </is>
      </c>
      <c r="C375" s="67" t="n"/>
      <c r="D375" s="67" t="n"/>
      <c r="E375" s="67" t="n"/>
      <c r="F375" s="67" t="n"/>
      <c r="G375" s="67" t="n"/>
      <c r="H375" s="67" t="n"/>
      <c r="I375" s="67" t="n"/>
      <c r="J375" s="67" t="n"/>
      <c r="K375" s="69" t="n"/>
      <c r="L375" s="67" t="n"/>
      <c r="M375" s="67" t="n"/>
      <c r="N375" s="67" t="n"/>
      <c r="O375" s="67" t="n"/>
      <c r="P375" s="67" t="n"/>
      <c r="Q375" s="70" t="n"/>
      <c r="R375" s="70" t="n"/>
      <c r="S375" s="71" t="n"/>
      <c r="T375" s="80">
        <f>SUM(C375:S375)</f>
        <v/>
      </c>
      <c r="U375" s="73">
        <f>T375/T$7</f>
        <v/>
      </c>
      <c r="V375" s="280" t="n"/>
      <c r="W375" s="118" t="n"/>
      <c r="X375" s="280" t="n"/>
      <c r="Y375" s="118" t="n"/>
      <c r="Z375" s="281" t="n"/>
      <c r="AA375" s="118" t="n"/>
      <c r="AB375" s="280" t="n"/>
      <c r="AC375" s="118" t="n"/>
      <c r="AD375" s="282">
        <f>T375+V375+X375+AB375+Z375</f>
        <v/>
      </c>
      <c r="AE375" s="73">
        <f>AD375/AD$7</f>
        <v/>
      </c>
      <c r="AF375" s="81" t="n">
        <v>4</v>
      </c>
      <c r="AG375" s="76">
        <f>AD375*AF375</f>
        <v/>
      </c>
      <c r="AH375" s="28" t="n"/>
      <c r="AI375" s="28" t="n"/>
    </row>
    <row r="376" ht="14" customHeight="1">
      <c r="A376" s="78" t="inlineStr">
        <is>
          <t>JPMorgan Funds US Technology Fund A (Acc) - EUR</t>
        </is>
      </c>
      <c r="B376" s="75" t="inlineStr">
        <is>
          <t>LU0159052710</t>
        </is>
      </c>
      <c r="C376" s="67" t="n"/>
      <c r="D376" s="67" t="n"/>
      <c r="E376" s="67" t="n"/>
      <c r="F376" s="67" t="n"/>
      <c r="G376" s="67" t="n"/>
      <c r="H376" s="67" t="n"/>
      <c r="I376" s="67" t="n"/>
      <c r="J376" s="67" t="n"/>
      <c r="K376" s="69" t="n"/>
      <c r="L376" s="67" t="n"/>
      <c r="M376" s="67" t="n"/>
      <c r="N376" s="67" t="n"/>
      <c r="O376" s="67" t="n"/>
      <c r="P376" s="67" t="n"/>
      <c r="Q376" s="70" t="n"/>
      <c r="R376" s="70" t="n"/>
      <c r="S376" s="71" t="n"/>
      <c r="T376" s="80">
        <f>SUM(C376:S376)</f>
        <v/>
      </c>
      <c r="U376" s="73">
        <f>T376/T$7</f>
        <v/>
      </c>
      <c r="V376" s="280" t="n"/>
      <c r="W376" s="118" t="n"/>
      <c r="X376" s="280" t="n"/>
      <c r="Y376" s="118" t="n"/>
      <c r="Z376" s="281" t="n"/>
      <c r="AA376" s="118" t="n"/>
      <c r="AB376" s="280" t="n"/>
      <c r="AC376" s="118" t="n"/>
      <c r="AD376" s="282">
        <f>T376+V376+X376+AB376+Z376</f>
        <v/>
      </c>
      <c r="AE376" s="73">
        <f>AD376/AD$7</f>
        <v/>
      </c>
      <c r="AF376" s="81" t="n">
        <v>5</v>
      </c>
      <c r="AG376" s="76">
        <f>AD376*AF376</f>
        <v/>
      </c>
      <c r="AH376" s="28" t="n"/>
      <c r="AI376" s="28" t="n"/>
    </row>
    <row r="377" ht="14" customHeight="1">
      <c r="A377" s="78" t="inlineStr">
        <is>
          <t>Morgan Stanley US Growth Fund A</t>
        </is>
      </c>
      <c r="B377" s="75" t="inlineStr">
        <is>
          <t>LU0073232471</t>
        </is>
      </c>
      <c r="C377" s="67" t="n"/>
      <c r="D377" s="67" t="n"/>
      <c r="E377" s="67" t="n"/>
      <c r="F377" s="67" t="n"/>
      <c r="G377" s="67" t="n"/>
      <c r="H377" s="67" t="n"/>
      <c r="I377" s="67" t="n"/>
      <c r="J377" s="67" t="n"/>
      <c r="K377" s="69" t="n"/>
      <c r="L377" s="67" t="n"/>
      <c r="M377" s="67" t="n"/>
      <c r="N377" s="67" t="n"/>
      <c r="O377" s="67" t="n"/>
      <c r="P377" s="67" t="n"/>
      <c r="Q377" s="70" t="n"/>
      <c r="R377" s="70" t="n"/>
      <c r="S377" s="71" t="n"/>
      <c r="T377" s="80">
        <f>SUM(C377:S377)</f>
        <v/>
      </c>
      <c r="U377" s="73">
        <f>T377/T$7</f>
        <v/>
      </c>
      <c r="V377" s="280" t="n"/>
      <c r="W377" s="118" t="n"/>
      <c r="X377" s="280" t="n"/>
      <c r="Y377" s="118" t="n"/>
      <c r="Z377" s="281" t="n"/>
      <c r="AA377" s="118" t="n"/>
      <c r="AB377" s="280" t="n"/>
      <c r="AC377" s="118" t="n"/>
      <c r="AD377" s="282">
        <f>T377+V377+X377+AB377+Z377</f>
        <v/>
      </c>
      <c r="AE377" s="73">
        <f>AD377/AD$7</f>
        <v/>
      </c>
      <c r="AF377" s="81" t="n">
        <v>6</v>
      </c>
      <c r="AG377" s="76">
        <f>AD377*AF377</f>
        <v/>
      </c>
      <c r="AH377" s="28" t="n"/>
      <c r="AI377" s="28" t="n"/>
    </row>
    <row r="378" ht="14" customHeight="1">
      <c r="A378" s="78" t="inlineStr">
        <is>
          <t>AXA IM Nasdaq 100 UCITS ETF (H) EUR Acc (couvert)</t>
        </is>
      </c>
      <c r="B378" s="75" t="inlineStr">
        <is>
          <t>IE000STJ19F2</t>
        </is>
      </c>
      <c r="C378" s="67" t="n"/>
      <c r="D378" s="67" t="n"/>
      <c r="E378" s="67" t="n"/>
      <c r="F378" s="67" t="n"/>
      <c r="G378" s="67" t="n"/>
      <c r="H378" s="67" t="n"/>
      <c r="I378" s="67" t="n"/>
      <c r="J378" s="67" t="n"/>
      <c r="K378" s="69" t="n"/>
      <c r="L378" s="67" t="n"/>
      <c r="M378" s="67" t="n"/>
      <c r="N378" s="67" t="n"/>
      <c r="O378" s="67" t="n"/>
      <c r="P378" s="67" t="n"/>
      <c r="Q378" s="70" t="n"/>
      <c r="R378" s="70" t="n"/>
      <c r="S378" s="71" t="n"/>
      <c r="T378" s="80">
        <f>SUM(C378:S378)</f>
        <v/>
      </c>
      <c r="U378" s="73">
        <f>T378/T$7</f>
        <v/>
      </c>
      <c r="V378" s="280" t="n"/>
      <c r="W378" s="118" t="n"/>
      <c r="X378" s="280" t="n"/>
      <c r="Y378" s="118" t="n"/>
      <c r="Z378" s="281" t="n"/>
      <c r="AA378" s="118" t="n"/>
      <c r="AB378" s="280" t="n"/>
      <c r="AC378" s="118" t="n"/>
      <c r="AD378" s="282">
        <f>T378+V378+X378+AB378+Z378</f>
        <v/>
      </c>
      <c r="AE378" s="73">
        <f>AD378/AD$7</f>
        <v/>
      </c>
      <c r="AF378" s="81" t="n">
        <v>5</v>
      </c>
      <c r="AG378" s="76">
        <f>AD378*AF378</f>
        <v/>
      </c>
      <c r="AH378" s="28" t="n"/>
      <c r="AI378" s="28" t="n"/>
    </row>
    <row r="379" ht="14" customHeight="1">
      <c r="A379" s="78" t="n"/>
      <c r="B379" s="75" t="n"/>
      <c r="C379" s="67" t="n"/>
      <c r="D379" s="67" t="n"/>
      <c r="E379" s="67" t="n"/>
      <c r="F379" s="67" t="n"/>
      <c r="G379" s="67" t="n"/>
      <c r="H379" s="67" t="n"/>
      <c r="I379" s="67" t="n"/>
      <c r="J379" s="67" t="n"/>
      <c r="K379" s="69" t="n"/>
      <c r="L379" s="67" t="n"/>
      <c r="M379" s="67" t="n"/>
      <c r="N379" s="67" t="n"/>
      <c r="O379" s="67" t="n"/>
      <c r="P379" s="67" t="n"/>
      <c r="Q379" s="70" t="n"/>
      <c r="R379" s="70" t="n"/>
      <c r="S379" s="71" t="n"/>
      <c r="T379" s="80" t="n"/>
      <c r="U379" s="73" t="n"/>
      <c r="V379" s="280" t="n"/>
      <c r="W379" s="118" t="n"/>
      <c r="X379" s="280" t="n"/>
      <c r="Y379" s="118" t="n"/>
      <c r="Z379" s="281" t="n"/>
      <c r="AA379" s="118" t="n"/>
      <c r="AB379" s="280" t="n"/>
      <c r="AC379" s="118" t="n"/>
      <c r="AD379" s="282">
        <f>T379+V379+X379+AB379+Z379</f>
        <v/>
      </c>
      <c r="AE379" s="73">
        <f>AD379/AD$7</f>
        <v/>
      </c>
      <c r="AF379" s="81" t="n"/>
      <c r="AG379" s="76">
        <f>AD379*AF379</f>
        <v/>
      </c>
      <c r="AH379" s="28" t="n"/>
      <c r="AI379" s="28" t="n"/>
    </row>
    <row r="380" ht="14" customHeight="1">
      <c r="A380" s="78" t="n"/>
      <c r="B380" s="75" t="n"/>
      <c r="C380" s="67" t="n"/>
      <c r="D380" s="67" t="n"/>
      <c r="E380" s="67" t="n"/>
      <c r="F380" s="67" t="n"/>
      <c r="G380" s="67" t="n"/>
      <c r="H380" s="67" t="n"/>
      <c r="I380" s="67" t="n"/>
      <c r="J380" s="67" t="n"/>
      <c r="K380" s="69" t="n"/>
      <c r="L380" s="67" t="n"/>
      <c r="M380" s="67" t="n"/>
      <c r="N380" s="67" t="n"/>
      <c r="O380" s="67" t="n"/>
      <c r="P380" s="67" t="n"/>
      <c r="Q380" s="70" t="n"/>
      <c r="R380" s="70" t="n"/>
      <c r="S380" s="71" t="n"/>
      <c r="T380" s="80" t="n"/>
      <c r="U380" s="73" t="n"/>
      <c r="V380" s="280" t="n"/>
      <c r="W380" s="118" t="n"/>
      <c r="X380" s="280" t="n"/>
      <c r="Y380" s="118" t="n"/>
      <c r="Z380" s="281" t="n"/>
      <c r="AA380" s="118" t="n"/>
      <c r="AB380" s="280" t="n"/>
      <c r="AC380" s="118" t="n"/>
      <c r="AD380" s="282">
        <f>T380+V380+X380+AB380+Z380</f>
        <v/>
      </c>
      <c r="AE380" s="73">
        <f>AD380/AD$7</f>
        <v/>
      </c>
      <c r="AF380" s="81" t="n"/>
      <c r="AG380" s="76">
        <f>AD380*AF380</f>
        <v/>
      </c>
      <c r="AH380" s="28" t="n"/>
      <c r="AI380" s="28" t="n"/>
    </row>
    <row r="381" ht="14" customHeight="1">
      <c r="A381" s="78" t="n"/>
      <c r="B381" s="75" t="n"/>
      <c r="C381" s="67" t="n"/>
      <c r="D381" s="67" t="n"/>
      <c r="E381" s="67" t="n"/>
      <c r="F381" s="67" t="n"/>
      <c r="G381" s="67" t="n"/>
      <c r="H381" s="67" t="n"/>
      <c r="I381" s="67" t="n"/>
      <c r="J381" s="67" t="n"/>
      <c r="K381" s="69" t="n"/>
      <c r="L381" s="67" t="n"/>
      <c r="M381" s="67" t="n"/>
      <c r="N381" s="67" t="n"/>
      <c r="O381" s="67" t="n"/>
      <c r="P381" s="67" t="n"/>
      <c r="Q381" s="70" t="n"/>
      <c r="R381" s="70" t="n"/>
      <c r="S381" s="71" t="n"/>
      <c r="T381" s="80" t="n"/>
      <c r="U381" s="73" t="n"/>
      <c r="V381" s="280" t="n"/>
      <c r="W381" s="118" t="n"/>
      <c r="X381" s="280" t="n"/>
      <c r="Y381" s="118" t="n"/>
      <c r="Z381" s="281" t="n"/>
      <c r="AA381" s="118" t="n"/>
      <c r="AB381" s="280" t="n"/>
      <c r="AC381" s="118" t="n"/>
      <c r="AD381" s="282">
        <f>T381+V381+X381+AB381+Z381</f>
        <v/>
      </c>
      <c r="AE381" s="73">
        <f>AD381/AD$7</f>
        <v/>
      </c>
      <c r="AF381" s="81" t="n"/>
      <c r="AG381" s="76">
        <f>AD381*AF381</f>
        <v/>
      </c>
      <c r="AH381" s="28" t="n"/>
      <c r="AI381" s="28" t="n"/>
    </row>
    <row r="382" ht="14" customHeight="1">
      <c r="A382" s="78" t="n"/>
      <c r="B382" s="75" t="n"/>
      <c r="C382" s="67" t="n"/>
      <c r="D382" s="67" t="n"/>
      <c r="E382" s="67" t="n"/>
      <c r="F382" s="67" t="n"/>
      <c r="G382" s="67" t="n"/>
      <c r="H382" s="67" t="n"/>
      <c r="I382" s="67" t="n"/>
      <c r="J382" s="67" t="n"/>
      <c r="K382" s="69" t="n"/>
      <c r="L382" s="67" t="n"/>
      <c r="M382" s="67" t="n"/>
      <c r="N382" s="67" t="n"/>
      <c r="O382" s="67" t="n"/>
      <c r="P382" s="67" t="n"/>
      <c r="Q382" s="70" t="n"/>
      <c r="R382" s="70" t="n"/>
      <c r="S382" s="71" t="n"/>
      <c r="T382" s="80" t="n"/>
      <c r="U382" s="73" t="n"/>
      <c r="V382" s="280" t="n"/>
      <c r="W382" s="118" t="n"/>
      <c r="X382" s="280" t="n"/>
      <c r="Y382" s="118" t="n"/>
      <c r="Z382" s="281" t="n"/>
      <c r="AA382" s="118" t="n"/>
      <c r="AB382" s="280" t="n"/>
      <c r="AC382" s="118" t="n"/>
      <c r="AD382" s="282">
        <f>T382+V382+X382+AB382+Z382</f>
        <v/>
      </c>
      <c r="AE382" s="73">
        <f>AD382/AD$7</f>
        <v/>
      </c>
      <c r="AF382" s="81" t="n"/>
      <c r="AG382" s="76">
        <f>AD382*AF382</f>
        <v/>
      </c>
      <c r="AH382" s="28" t="n"/>
      <c r="AI382" s="28" t="n"/>
    </row>
    <row r="383" ht="14" customHeight="1">
      <c r="A383" s="78" t="n"/>
      <c r="B383" s="75" t="n"/>
      <c r="C383" s="67" t="n"/>
      <c r="D383" s="67" t="n"/>
      <c r="E383" s="67" t="n"/>
      <c r="F383" s="67" t="n"/>
      <c r="G383" s="67" t="n"/>
      <c r="H383" s="67" t="n"/>
      <c r="I383" s="67" t="n"/>
      <c r="J383" s="67" t="n"/>
      <c r="K383" s="69" t="n"/>
      <c r="L383" s="67" t="n"/>
      <c r="M383" s="67" t="n"/>
      <c r="N383" s="67" t="n"/>
      <c r="O383" s="67" t="n"/>
      <c r="P383" s="67" t="n"/>
      <c r="Q383" s="70" t="n"/>
      <c r="R383" s="70" t="n"/>
      <c r="S383" s="71" t="n"/>
      <c r="T383" s="80">
        <f>SUM(C383:S383)</f>
        <v/>
      </c>
      <c r="U383" s="73">
        <f>T383/T$7</f>
        <v/>
      </c>
      <c r="V383" s="280" t="n"/>
      <c r="W383" s="118" t="n"/>
      <c r="X383" s="280" t="n"/>
      <c r="Y383" s="118" t="n"/>
      <c r="Z383" s="281" t="n"/>
      <c r="AA383" s="118" t="n"/>
      <c r="AB383" s="280" t="n"/>
      <c r="AC383" s="118" t="n"/>
      <c r="AD383" s="282">
        <f>T383+V383+X383+AB383+Z383</f>
        <v/>
      </c>
      <c r="AE383" s="73">
        <f>AD383/AD$7</f>
        <v/>
      </c>
      <c r="AF383" s="81" t="n"/>
      <c r="AG383" s="76">
        <f>AD383*AF383</f>
        <v/>
      </c>
      <c r="AH383" s="28" t="n"/>
      <c r="AI383" s="28" t="n"/>
    </row>
    <row r="384" ht="14" customHeight="1">
      <c r="A384" s="78" t="n"/>
      <c r="B384" s="75" t="n"/>
      <c r="C384" s="67" t="n"/>
      <c r="D384" s="67" t="n"/>
      <c r="E384" s="67" t="n"/>
      <c r="F384" s="67" t="n"/>
      <c r="G384" s="67" t="n"/>
      <c r="H384" s="67" t="n"/>
      <c r="I384" s="67" t="n"/>
      <c r="J384" s="67" t="n"/>
      <c r="K384" s="69" t="n"/>
      <c r="L384" s="67" t="n"/>
      <c r="M384" s="67" t="n"/>
      <c r="N384" s="67" t="n"/>
      <c r="O384" s="67" t="n"/>
      <c r="P384" s="67" t="n"/>
      <c r="Q384" s="70" t="n"/>
      <c r="R384" s="70" t="n"/>
      <c r="S384" s="71" t="n"/>
      <c r="T384" s="80">
        <f>SUM(C384:S384)</f>
        <v/>
      </c>
      <c r="U384" s="73">
        <f>T384/T$7</f>
        <v/>
      </c>
      <c r="V384" s="280" t="n"/>
      <c r="W384" s="118" t="n"/>
      <c r="X384" s="280" t="n"/>
      <c r="Y384" s="118" t="n"/>
      <c r="Z384" s="281" t="n"/>
      <c r="AA384" s="118" t="n"/>
      <c r="AB384" s="280" t="n"/>
      <c r="AC384" s="118" t="n"/>
      <c r="AD384" s="282">
        <f>T384+V384+X384+AB384+Z384</f>
        <v/>
      </c>
      <c r="AE384" s="73">
        <f>AD384/AD$7</f>
        <v/>
      </c>
      <c r="AF384" s="81" t="n"/>
      <c r="AG384" s="76">
        <f>AD384*AF384</f>
        <v/>
      </c>
      <c r="AH384" s="28" t="n"/>
      <c r="AI384" s="28" t="n"/>
    </row>
    <row r="385" ht="14" customHeight="1">
      <c r="A385" s="78" t="n"/>
      <c r="B385" s="75" t="n"/>
      <c r="C385" s="67" t="n"/>
      <c r="D385" s="67" t="n"/>
      <c r="E385" s="67" t="n"/>
      <c r="F385" s="67" t="n"/>
      <c r="G385" s="67" t="n"/>
      <c r="H385" s="67" t="n"/>
      <c r="I385" s="67" t="n"/>
      <c r="J385" s="67" t="n"/>
      <c r="K385" s="69" t="n"/>
      <c r="L385" s="67" t="n"/>
      <c r="M385" s="67" t="n"/>
      <c r="N385" s="67" t="n"/>
      <c r="O385" s="67" t="n"/>
      <c r="P385" s="67" t="n"/>
      <c r="Q385" s="70" t="n"/>
      <c r="R385" s="70" t="n"/>
      <c r="S385" s="71" t="n"/>
      <c r="T385" s="80">
        <f>SUM(C385:S385)</f>
        <v/>
      </c>
      <c r="U385" s="73">
        <f>T385/T$7</f>
        <v/>
      </c>
      <c r="V385" s="280" t="n"/>
      <c r="W385" s="118" t="n"/>
      <c r="X385" s="280" t="n"/>
      <c r="Y385" s="118" t="n"/>
      <c r="Z385" s="281" t="n"/>
      <c r="AA385" s="118" t="n"/>
      <c r="AB385" s="280" t="n"/>
      <c r="AC385" s="118" t="n"/>
      <c r="AD385" s="282">
        <f>T385+V385+X385+AB385+Z385</f>
        <v/>
      </c>
      <c r="AE385" s="73">
        <f>AD385/AD$7</f>
        <v/>
      </c>
      <c r="AF385" s="81" t="n"/>
      <c r="AG385" s="76">
        <f>AD385*AF385</f>
        <v/>
      </c>
      <c r="AH385" s="28" t="n"/>
      <c r="AI385" s="28" t="n"/>
    </row>
    <row r="386" ht="14" customHeight="1">
      <c r="A386" s="78" t="n"/>
      <c r="B386" s="75" t="n"/>
      <c r="C386" s="67" t="n"/>
      <c r="D386" s="67" t="n"/>
      <c r="E386" s="67" t="n"/>
      <c r="F386" s="67" t="n"/>
      <c r="G386" s="67" t="n"/>
      <c r="H386" s="67" t="n"/>
      <c r="I386" s="67" t="n"/>
      <c r="J386" s="67" t="n"/>
      <c r="K386" s="69" t="n"/>
      <c r="L386" s="67" t="n"/>
      <c r="M386" s="67" t="n"/>
      <c r="N386" s="67" t="n"/>
      <c r="O386" s="67" t="n"/>
      <c r="P386" s="67" t="n"/>
      <c r="Q386" s="70" t="n"/>
      <c r="R386" s="70" t="n"/>
      <c r="S386" s="71" t="n"/>
      <c r="T386" s="80">
        <f>SUM(C386:S386)</f>
        <v/>
      </c>
      <c r="U386" s="73">
        <f>T386/T$7</f>
        <v/>
      </c>
      <c r="V386" s="280" t="n"/>
      <c r="W386" s="118" t="n"/>
      <c r="X386" s="280" t="n"/>
      <c r="Y386" s="118" t="n"/>
      <c r="Z386" s="281" t="n"/>
      <c r="AA386" s="118" t="n"/>
      <c r="AB386" s="280" t="n"/>
      <c r="AC386" s="118" t="n"/>
      <c r="AD386" s="282">
        <f>T386+V386+X386+AB386+Z386</f>
        <v/>
      </c>
      <c r="AE386" s="73">
        <f>AD386/AD$7</f>
        <v/>
      </c>
      <c r="AF386" s="81" t="n"/>
      <c r="AG386" s="76">
        <f>AD386*AF386</f>
        <v/>
      </c>
      <c r="AH386" s="28" t="n"/>
      <c r="AI386" s="28" t="n"/>
    </row>
    <row r="387" ht="14" customHeight="1">
      <c r="A387" s="78" t="n"/>
      <c r="B387" s="75" t="n"/>
      <c r="C387" s="67" t="n"/>
      <c r="D387" s="67" t="n"/>
      <c r="E387" s="67" t="n"/>
      <c r="F387" s="67" t="n"/>
      <c r="G387" s="67" t="n"/>
      <c r="H387" s="67" t="n"/>
      <c r="I387" s="67" t="n"/>
      <c r="J387" s="67" t="n"/>
      <c r="K387" s="69" t="n"/>
      <c r="L387" s="67" t="n"/>
      <c r="M387" s="67" t="n"/>
      <c r="N387" s="67" t="n"/>
      <c r="O387" s="67" t="n"/>
      <c r="P387" s="67" t="n"/>
      <c r="Q387" s="70" t="n"/>
      <c r="R387" s="70" t="n"/>
      <c r="S387" s="71" t="n"/>
      <c r="T387" s="80">
        <f>SUM(C387:S387)</f>
        <v/>
      </c>
      <c r="U387" s="73">
        <f>T387/T$7</f>
        <v/>
      </c>
      <c r="V387" s="280" t="n"/>
      <c r="W387" s="118" t="n"/>
      <c r="X387" s="280" t="n"/>
      <c r="Y387" s="118" t="n"/>
      <c r="Z387" s="281" t="n"/>
      <c r="AA387" s="118" t="n"/>
      <c r="AB387" s="280" t="n"/>
      <c r="AC387" s="118" t="n"/>
      <c r="AD387" s="282">
        <f>T387+V387+X387+AB387+Z387</f>
        <v/>
      </c>
      <c r="AE387" s="73">
        <f>AD387/AD$7</f>
        <v/>
      </c>
      <c r="AF387" s="81" t="n"/>
      <c r="AG387" s="76">
        <f>AD387*AF387</f>
        <v/>
      </c>
      <c r="AH387" s="28" t="n"/>
      <c r="AI387" s="28" t="n"/>
    </row>
    <row r="388" ht="14" customHeight="1">
      <c r="A388" s="78" t="n"/>
      <c r="B388" s="75" t="n"/>
      <c r="C388" s="67" t="n"/>
      <c r="D388" s="67" t="n"/>
      <c r="E388" s="67" t="n"/>
      <c r="F388" s="67" t="n"/>
      <c r="G388" s="67" t="n"/>
      <c r="H388" s="67" t="n"/>
      <c r="I388" s="67" t="n"/>
      <c r="J388" s="67" t="n"/>
      <c r="K388" s="69" t="n"/>
      <c r="L388" s="67" t="n"/>
      <c r="M388" s="67" t="n"/>
      <c r="N388" s="67" t="n"/>
      <c r="O388" s="67" t="n"/>
      <c r="P388" s="67" t="n"/>
      <c r="Q388" s="70" t="n"/>
      <c r="R388" s="70" t="n"/>
      <c r="S388" s="71" t="n"/>
      <c r="T388" s="80">
        <f>SUM(C388:S388)</f>
        <v/>
      </c>
      <c r="U388" s="73">
        <f>T388/T$7</f>
        <v/>
      </c>
      <c r="V388" s="280" t="n"/>
      <c r="W388" s="118" t="n"/>
      <c r="X388" s="280" t="n"/>
      <c r="Y388" s="118" t="n"/>
      <c r="Z388" s="281" t="n"/>
      <c r="AA388" s="118" t="n"/>
      <c r="AB388" s="280" t="n"/>
      <c r="AC388" s="118" t="n"/>
      <c r="AD388" s="282">
        <f>T388+V388+X388+AB388+Z388</f>
        <v/>
      </c>
      <c r="AE388" s="73">
        <f>AD388/AD$7</f>
        <v/>
      </c>
      <c r="AF388" s="81" t="n"/>
      <c r="AG388" s="76">
        <f>AD388*AF388</f>
        <v/>
      </c>
      <c r="AH388" s="28" t="n"/>
      <c r="AI388" s="28" t="n"/>
    </row>
    <row r="389" ht="14" customHeight="1">
      <c r="A389" s="154" t="inlineStr">
        <is>
          <t>dont actions internationales</t>
        </is>
      </c>
      <c r="B389" s="155" t="n"/>
      <c r="C389" s="156">
        <f>SUM(C390:C423)</f>
        <v/>
      </c>
      <c r="D389" s="156">
        <f>SUM(D390:D423)</f>
        <v/>
      </c>
      <c r="E389" s="156">
        <f>SUM(E390:E423)</f>
        <v/>
      </c>
      <c r="F389" s="156">
        <f>SUM(F390:F423)</f>
        <v/>
      </c>
      <c r="G389" s="156">
        <f>SUM(G390:G423)</f>
        <v/>
      </c>
      <c r="H389" s="156">
        <f>SUM(H390:H423)</f>
        <v/>
      </c>
      <c r="I389" s="156">
        <f>SUM(I390:I423)</f>
        <v/>
      </c>
      <c r="J389" s="156">
        <f>SUM(J390:J423)</f>
        <v/>
      </c>
      <c r="K389" s="156">
        <f>SUM(K390:K423)</f>
        <v/>
      </c>
      <c r="L389" s="156">
        <f>SUM(L390:L423)</f>
        <v/>
      </c>
      <c r="M389" s="156">
        <f>SUM(M390:M423)</f>
        <v/>
      </c>
      <c r="N389" s="156">
        <f>SUM(N390:N423)</f>
        <v/>
      </c>
      <c r="O389" s="156">
        <f>SUM(O390:O423)</f>
        <v/>
      </c>
      <c r="P389" s="156">
        <f>SUM(P390:P423)</f>
        <v/>
      </c>
      <c r="Q389" s="156">
        <f>SUM(Q390:Q423)</f>
        <v/>
      </c>
      <c r="R389" s="156">
        <f>SUM(R390:R423)</f>
        <v/>
      </c>
      <c r="S389" s="156">
        <f>SUM(S390:S423)</f>
        <v/>
      </c>
      <c r="T389" s="157">
        <f>SUM(C389:S389)</f>
        <v/>
      </c>
      <c r="U389" s="158">
        <f>T389/T311</f>
        <v/>
      </c>
      <c r="V389" s="300" t="n"/>
      <c r="W389" s="196" t="n"/>
      <c r="X389" s="300" t="n"/>
      <c r="Y389" s="196" t="n"/>
      <c r="Z389" s="301" t="n"/>
      <c r="AA389" s="196" t="n"/>
      <c r="AB389" s="300" t="n"/>
      <c r="AC389" s="196" t="n"/>
      <c r="AD389" s="302">
        <f>SUM(AD390:AD423)</f>
        <v/>
      </c>
      <c r="AE389" s="199">
        <f>SUM(AE390:AE423)</f>
        <v/>
      </c>
      <c r="AF389" s="159" t="n"/>
      <c r="AG389" s="153" t="n"/>
      <c r="AH389" s="28" t="n"/>
      <c r="AI389" s="28" t="n"/>
    </row>
    <row r="390" ht="14" customHeight="1">
      <c r="A390" s="78" t="inlineStr">
        <is>
          <t>JPMorgan Global REI Equity</t>
        </is>
      </c>
      <c r="B390" s="75" t="inlineStr">
        <is>
          <t>IE00BF4G6Y48</t>
        </is>
      </c>
      <c r="C390" s="67" t="n"/>
      <c r="D390" s="67" t="n"/>
      <c r="E390" s="67" t="n"/>
      <c r="F390" s="67" t="n"/>
      <c r="G390" s="67" t="n"/>
      <c r="H390" s="67" t="n"/>
      <c r="I390" s="67" t="n"/>
      <c r="J390" s="67" t="n"/>
      <c r="K390" s="69" t="n"/>
      <c r="L390" s="67" t="n"/>
      <c r="M390" s="67" t="n"/>
      <c r="N390" s="67" t="n"/>
      <c r="O390" s="67" t="n"/>
      <c r="P390" s="67" t="n"/>
      <c r="Q390" s="70" t="n"/>
      <c r="R390" s="70" t="n"/>
      <c r="S390" s="71" t="n"/>
      <c r="T390" s="80">
        <f>SUM(C390:S390)</f>
        <v/>
      </c>
      <c r="U390" s="73">
        <f>T390/T$7</f>
        <v/>
      </c>
      <c r="V390" s="280" t="n"/>
      <c r="W390" s="118" t="n"/>
      <c r="X390" s="280" t="n"/>
      <c r="Y390" s="118" t="n"/>
      <c r="Z390" s="281" t="n"/>
      <c r="AA390" s="118" t="n"/>
      <c r="AB390" s="280" t="n"/>
      <c r="AC390" s="118" t="n"/>
      <c r="AD390" s="282">
        <f>T390+V390+X390+AB390+Z390</f>
        <v/>
      </c>
      <c r="AE390" s="73">
        <f>AD390/AD$7</f>
        <v/>
      </c>
      <c r="AF390" s="81" t="n">
        <v>4</v>
      </c>
      <c r="AG390" s="76">
        <f>AD390*AF390</f>
        <v/>
      </c>
      <c r="AH390" s="28" t="n"/>
      <c r="AI390" s="28" t="n"/>
    </row>
    <row r="391" ht="14" customHeight="1">
      <c r="A391" s="78" t="inlineStr">
        <is>
          <t>Comgest Monde Z</t>
        </is>
      </c>
      <c r="B391" s="75" t="inlineStr">
        <is>
          <t>FR0013290939</t>
        </is>
      </c>
      <c r="C391" s="67" t="n"/>
      <c r="D391" s="67" t="n"/>
      <c r="E391" s="67" t="n"/>
      <c r="F391" s="67" t="n"/>
      <c r="G391" s="67" t="n"/>
      <c r="H391" s="67" t="n"/>
      <c r="I391" s="67" t="n"/>
      <c r="J391" s="67" t="n"/>
      <c r="K391" s="69" t="n"/>
      <c r="L391" s="67" t="n"/>
      <c r="M391" s="67" t="n"/>
      <c r="N391" s="67" t="n"/>
      <c r="O391" s="67" t="n"/>
      <c r="P391" s="67" t="n"/>
      <c r="Q391" s="70" t="n"/>
      <c r="R391" s="70" t="n"/>
      <c r="S391" s="71" t="n"/>
      <c r="T391" s="80">
        <f>SUM(C391:S391)</f>
        <v/>
      </c>
      <c r="U391" s="73">
        <f>T391/T$7</f>
        <v/>
      </c>
      <c r="V391" s="280" t="n"/>
      <c r="W391" s="118" t="n"/>
      <c r="X391" s="280" t="n"/>
      <c r="Y391" s="118" t="n"/>
      <c r="Z391" s="281" t="n"/>
      <c r="AA391" s="118" t="n"/>
      <c r="AB391" s="280" t="n"/>
      <c r="AC391" s="118" t="n"/>
      <c r="AD391" s="282">
        <f>T391+V391+X391+AB391+Z391</f>
        <v/>
      </c>
      <c r="AE391" s="73">
        <f>AD391/AD$7</f>
        <v/>
      </c>
      <c r="AF391" s="81" t="n">
        <v>4</v>
      </c>
      <c r="AG391" s="76">
        <f>AD391*AF391</f>
        <v/>
      </c>
      <c r="AH391" s="28" t="n"/>
      <c r="AI391" s="28" t="n"/>
    </row>
    <row r="392" ht="14" customHeight="1">
      <c r="A392" s="78" t="inlineStr">
        <is>
          <t>Carmignac Investissement A EUR Acc</t>
        </is>
      </c>
      <c r="B392" s="75" t="inlineStr">
        <is>
          <t>FR0010148981</t>
        </is>
      </c>
      <c r="C392" s="67" t="n"/>
      <c r="D392" s="67" t="n"/>
      <c r="E392" s="67" t="n"/>
      <c r="F392" s="67" t="n"/>
      <c r="G392" s="67" t="n"/>
      <c r="H392" s="67" t="n"/>
      <c r="I392" s="67" t="n"/>
      <c r="J392" s="67" t="n"/>
      <c r="K392" s="69" t="n"/>
      <c r="L392" s="67" t="n"/>
      <c r="M392" s="67" t="n"/>
      <c r="N392" s="67" t="n"/>
      <c r="O392" s="67" t="n"/>
      <c r="P392" s="67" t="n"/>
      <c r="Q392" s="70" t="n"/>
      <c r="R392" s="70" t="n"/>
      <c r="S392" s="71" t="n"/>
      <c r="T392" s="80">
        <f>SUM(C392:S392)</f>
        <v/>
      </c>
      <c r="U392" s="73">
        <f>T392/T$7</f>
        <v/>
      </c>
      <c r="V392" s="280" t="n"/>
      <c r="W392" s="118" t="n"/>
      <c r="X392" s="280" t="n"/>
      <c r="Y392" s="118" t="n"/>
      <c r="Z392" s="281" t="n"/>
      <c r="AA392" s="118" t="n"/>
      <c r="AB392" s="280" t="n"/>
      <c r="AC392" s="118" t="n"/>
      <c r="AD392" s="282">
        <f>T392+V392+X392+AB392+Z392</f>
        <v/>
      </c>
      <c r="AE392" s="73">
        <f>AD392/AD$7</f>
        <v/>
      </c>
      <c r="AF392" s="81" t="n">
        <v>4</v>
      </c>
      <c r="AG392" s="76">
        <f>AD392*AF392</f>
        <v/>
      </c>
      <c r="AH392" s="28" t="n"/>
      <c r="AI392" s="28" t="n"/>
    </row>
    <row r="393" ht="14" customHeight="1">
      <c r="A393" s="78" t="inlineStr">
        <is>
          <t xml:space="preserve"> Amundi MSCI World Swap ETF EUR</t>
        </is>
      </c>
      <c r="B393" s="75" t="inlineStr">
        <is>
          <t>LU1681043599</t>
        </is>
      </c>
      <c r="C393" s="67" t="n"/>
      <c r="D393" s="67" t="n"/>
      <c r="E393" s="67" t="n"/>
      <c r="F393" s="67" t="n"/>
      <c r="G393" s="67" t="n"/>
      <c r="H393" s="67" t="n"/>
      <c r="I393" s="67" t="n"/>
      <c r="J393" s="67" t="n"/>
      <c r="K393" s="69" t="n"/>
      <c r="L393" s="67" t="n"/>
      <c r="M393" s="67" t="n"/>
      <c r="N393" s="67" t="n"/>
      <c r="O393" s="67" t="n"/>
      <c r="P393" s="67" t="n"/>
      <c r="Q393" s="70" t="n"/>
      <c r="R393" s="70" t="n"/>
      <c r="S393" s="71" t="n"/>
      <c r="T393" s="80">
        <f>SUM(C393:S393)</f>
        <v/>
      </c>
      <c r="U393" s="73">
        <f>T393/T$7</f>
        <v/>
      </c>
      <c r="V393" s="280" t="n"/>
      <c r="W393" s="118" t="n"/>
      <c r="X393" s="280" t="n"/>
      <c r="Y393" s="118" t="n"/>
      <c r="Z393" s="281" t="n"/>
      <c r="AA393" s="118" t="n"/>
      <c r="AB393" s="280" t="n"/>
      <c r="AC393" s="118" t="n"/>
      <c r="AD393" s="282">
        <f>T393+V393+X393+AB393+Z393</f>
        <v/>
      </c>
      <c r="AE393" s="73">
        <f>AD393/AD$7</f>
        <v/>
      </c>
      <c r="AF393" s="81" t="n">
        <v>4</v>
      </c>
      <c r="AG393" s="76">
        <f>AD393*AF393</f>
        <v/>
      </c>
      <c r="AH393" s="28" t="n"/>
      <c r="AI393" s="28" t="n"/>
    </row>
    <row r="394" ht="14" customHeight="1">
      <c r="A394" s="78" t="inlineStr">
        <is>
          <t>iShares MSCI World SRI UCITS ETF</t>
        </is>
      </c>
      <c r="B394" s="75" t="inlineStr">
        <is>
          <t>IE00BYX2JD69</t>
        </is>
      </c>
      <c r="C394" s="67" t="n"/>
      <c r="D394" s="67" t="n"/>
      <c r="E394" s="67" t="n"/>
      <c r="F394" s="67" t="n"/>
      <c r="G394" s="67" t="n"/>
      <c r="H394" s="67" t="n"/>
      <c r="I394" s="67" t="n"/>
      <c r="J394" s="67" t="n"/>
      <c r="K394" s="69" t="n"/>
      <c r="L394" s="67" t="n"/>
      <c r="M394" s="67" t="n"/>
      <c r="N394" s="67" t="n"/>
      <c r="O394" s="67" t="n"/>
      <c r="P394" s="67" t="n"/>
      <c r="Q394" s="70" t="n"/>
      <c r="R394" s="70" t="n"/>
      <c r="S394" s="71" t="n"/>
      <c r="T394" s="80">
        <f>SUM(C394:S394)</f>
        <v/>
      </c>
      <c r="U394" s="73">
        <f>T394/T$7</f>
        <v/>
      </c>
      <c r="V394" s="280" t="n"/>
      <c r="W394" s="118" t="n"/>
      <c r="X394" s="280" t="n"/>
      <c r="Y394" s="118" t="n"/>
      <c r="Z394" s="281" t="n"/>
      <c r="AA394" s="118" t="n"/>
      <c r="AB394" s="280" t="n"/>
      <c r="AC394" s="118" t="n"/>
      <c r="AD394" s="282">
        <f>T394+V394+X394+AB394+Z394</f>
        <v/>
      </c>
      <c r="AE394" s="73">
        <f>AD394/AD$7</f>
        <v/>
      </c>
      <c r="AF394" s="81" t="n">
        <v>4</v>
      </c>
      <c r="AG394" s="76">
        <f>AD394*AF394</f>
        <v/>
      </c>
      <c r="AH394" s="28" t="n"/>
      <c r="AI394" s="28" t="n"/>
    </row>
    <row r="395" ht="14" customHeight="1">
      <c r="A395" s="78" t="inlineStr">
        <is>
          <t>Amundi MSCI CLI Paris ETF</t>
        </is>
      </c>
      <c r="B395" s="75" t="inlineStr">
        <is>
          <t>IE000Y77LGG9</t>
        </is>
      </c>
      <c r="C395" s="67" t="n"/>
      <c r="D395" s="67" t="n"/>
      <c r="E395" s="67" t="n"/>
      <c r="F395" s="67" t="n"/>
      <c r="G395" s="67" t="n"/>
      <c r="H395" s="67" t="n"/>
      <c r="I395" s="67" t="n"/>
      <c r="J395" s="67" t="n"/>
      <c r="K395" s="69" t="n"/>
      <c r="L395" s="67" t="n"/>
      <c r="M395" s="67" t="n"/>
      <c r="N395" s="67" t="n"/>
      <c r="O395" s="67" t="n"/>
      <c r="P395" s="67" t="n"/>
      <c r="Q395" s="70" t="n"/>
      <c r="R395" s="70" t="n"/>
      <c r="S395" s="71" t="n"/>
      <c r="T395" s="80">
        <f>SUM(C395:S395)</f>
        <v/>
      </c>
      <c r="U395" s="73">
        <f>T395/T$7</f>
        <v/>
      </c>
      <c r="V395" s="280" t="n"/>
      <c r="W395" s="118" t="n"/>
      <c r="X395" s="280" t="n"/>
      <c r="Y395" s="118" t="n"/>
      <c r="Z395" s="281" t="n"/>
      <c r="AA395" s="118" t="n"/>
      <c r="AB395" s="280" t="n"/>
      <c r="AC395" s="118" t="n"/>
      <c r="AD395" s="282">
        <f>T395+V395+X395+AB395+Z395</f>
        <v/>
      </c>
      <c r="AE395" s="73">
        <f>AD395/AD$7</f>
        <v/>
      </c>
      <c r="AF395" s="81" t="n">
        <v>4</v>
      </c>
      <c r="AG395" s="76">
        <f>AD395*AF395</f>
        <v/>
      </c>
      <c r="AH395" s="28" t="n"/>
      <c r="AI395" s="28" t="n"/>
    </row>
    <row r="396" ht="14" customHeight="1">
      <c r="A396" s="78" t="inlineStr">
        <is>
          <t>Amundi MSCI World II UCITS ETF Dist</t>
        </is>
      </c>
      <c r="B396" s="75" t="inlineStr">
        <is>
          <t>FR0010315770</t>
        </is>
      </c>
      <c r="C396" s="67" t="n"/>
      <c r="D396" s="67" t="n"/>
      <c r="E396" s="67" t="n"/>
      <c r="F396" s="67" t="n"/>
      <c r="G396" s="67" t="n"/>
      <c r="H396" s="67" t="n"/>
      <c r="I396" s="67" t="n"/>
      <c r="J396" s="67" t="n"/>
      <c r="K396" s="69" t="n"/>
      <c r="L396" s="67" t="n"/>
      <c r="M396" s="67" t="n"/>
      <c r="N396" s="67" t="n"/>
      <c r="O396" s="67" t="n"/>
      <c r="P396" s="67" t="n"/>
      <c r="Q396" s="70" t="n"/>
      <c r="R396" s="70" t="n"/>
      <c r="S396" s="71" t="n"/>
      <c r="T396" s="80">
        <f>SUM(C396:S396)</f>
        <v/>
      </c>
      <c r="U396" s="73">
        <f>T396/T$7</f>
        <v/>
      </c>
      <c r="V396" s="280" t="n"/>
      <c r="W396" s="118" t="n"/>
      <c r="X396" s="280" t="n"/>
      <c r="Y396" s="118" t="n"/>
      <c r="Z396" s="281" t="n"/>
      <c r="AA396" s="118" t="n"/>
      <c r="AB396" s="280" t="n"/>
      <c r="AC396" s="118" t="n"/>
      <c r="AD396" s="282">
        <f>T396+V396+X396+AB396+Z396</f>
        <v/>
      </c>
      <c r="AE396" s="73">
        <f>AD396/AD$7</f>
        <v/>
      </c>
      <c r="AF396" s="81" t="n">
        <v>4</v>
      </c>
      <c r="AG396" s="76">
        <f>AD396*AF396</f>
        <v/>
      </c>
      <c r="AH396" s="28" t="n"/>
      <c r="AI396" s="28" t="n"/>
    </row>
    <row r="397" ht="14" customHeight="1">
      <c r="A397" s="78" t="inlineStr">
        <is>
          <t>Amundi MSCI World Climate NZ</t>
        </is>
      </c>
      <c r="B397" s="75" t="inlineStr">
        <is>
          <t>IE000CL68Z69</t>
        </is>
      </c>
      <c r="C397" s="67" t="n"/>
      <c r="D397" s="67" t="n"/>
      <c r="E397" s="67" t="n"/>
      <c r="F397" s="67" t="n"/>
      <c r="G397" s="67" t="n"/>
      <c r="H397" s="67" t="n"/>
      <c r="I397" s="67" t="n"/>
      <c r="J397" s="67" t="n"/>
      <c r="K397" s="69" t="n"/>
      <c r="L397" s="67" t="n"/>
      <c r="M397" s="67" t="n"/>
      <c r="N397" s="67" t="n"/>
      <c r="O397" s="67" t="n"/>
      <c r="P397" s="67" t="n"/>
      <c r="Q397" s="70" t="n"/>
      <c r="R397" s="70" t="n"/>
      <c r="S397" s="71" t="n"/>
      <c r="T397" s="80">
        <f>SUM(C397:S397)</f>
        <v/>
      </c>
      <c r="U397" s="73">
        <f>T397/T$7</f>
        <v/>
      </c>
      <c r="V397" s="280" t="n"/>
      <c r="W397" s="118" t="n"/>
      <c r="X397" s="280" t="n"/>
      <c r="Y397" s="118" t="n"/>
      <c r="Z397" s="281" t="n"/>
      <c r="AA397" s="118" t="n"/>
      <c r="AB397" s="280" t="n"/>
      <c r="AC397" s="118" t="n"/>
      <c r="AD397" s="282">
        <f>T397+V397+X397+AB397+Z397</f>
        <v/>
      </c>
      <c r="AE397" s="73">
        <f>AD397/AD$7</f>
        <v/>
      </c>
      <c r="AF397" s="81" t="n">
        <v>4</v>
      </c>
      <c r="AG397" s="76">
        <f>AD397*AF397</f>
        <v/>
      </c>
      <c r="AH397" s="28" t="n"/>
      <c r="AI397" s="28" t="n"/>
    </row>
    <row r="398" ht="14" customHeight="1">
      <c r="A398" s="78" t="inlineStr">
        <is>
          <t xml:space="preserve">Comgest Monde C </t>
        </is>
      </c>
      <c r="B398" s="75" t="inlineStr">
        <is>
          <t>FR0000284689</t>
        </is>
      </c>
      <c r="C398" s="67" t="n"/>
      <c r="D398" s="67" t="n"/>
      <c r="E398" s="67" t="n"/>
      <c r="F398" s="67" t="n"/>
      <c r="G398" s="67" t="n"/>
      <c r="H398" s="67" t="n"/>
      <c r="I398" s="67" t="n"/>
      <c r="J398" s="67" t="n"/>
      <c r="K398" s="69" t="n"/>
      <c r="L398" s="67" t="n"/>
      <c r="M398" s="67" t="n"/>
      <c r="N398" s="67" t="n"/>
      <c r="O398" s="67" t="n"/>
      <c r="P398" s="67" t="n"/>
      <c r="Q398" s="70" t="n"/>
      <c r="R398" s="70" t="n"/>
      <c r="S398" s="71" t="n"/>
      <c r="T398" s="80">
        <f>SUM(C398:S398)</f>
        <v/>
      </c>
      <c r="U398" s="73">
        <f>T398/T$7</f>
        <v/>
      </c>
      <c r="V398" s="280" t="n"/>
      <c r="W398" s="118" t="n"/>
      <c r="X398" s="280" t="n"/>
      <c r="Y398" s="118" t="n"/>
      <c r="Z398" s="281" t="n"/>
      <c r="AA398" s="118" t="n"/>
      <c r="AB398" s="280" t="n"/>
      <c r="AC398" s="118" t="n"/>
      <c r="AD398" s="282">
        <f>T398+V398+X398+AB398+Z398</f>
        <v/>
      </c>
      <c r="AE398" s="73">
        <f>AD398/AD$7</f>
        <v/>
      </c>
      <c r="AF398" s="81" t="n">
        <v>4</v>
      </c>
      <c r="AG398" s="76">
        <f>AD398*AF398</f>
        <v/>
      </c>
      <c r="AH398" s="28" t="n"/>
      <c r="AI398" s="28" t="n"/>
    </row>
    <row r="399" ht="14" customHeight="1">
      <c r="A399" s="78" t="inlineStr">
        <is>
          <t>ETF iShares MSCI World ESG Screened</t>
        </is>
      </c>
      <c r="B399" s="75" t="inlineStr">
        <is>
          <t>IE00BFNM3J75</t>
        </is>
      </c>
      <c r="C399" s="67" t="n"/>
      <c r="D399" s="67" t="n"/>
      <c r="E399" s="67" t="n"/>
      <c r="F399" s="67" t="n"/>
      <c r="G399" s="67" t="n"/>
      <c r="H399" s="67" t="n"/>
      <c r="I399" s="67" t="n"/>
      <c r="J399" s="67" t="n"/>
      <c r="K399" s="69" t="n"/>
      <c r="L399" s="67" t="n"/>
      <c r="M399" s="67" t="n"/>
      <c r="N399" s="67" t="n"/>
      <c r="O399" s="67" t="n"/>
      <c r="P399" s="67" t="n"/>
      <c r="Q399" s="70" t="n"/>
      <c r="R399" s="70" t="n"/>
      <c r="S399" s="71" t="n"/>
      <c r="T399" s="80">
        <f>SUM(C399:S399)</f>
        <v/>
      </c>
      <c r="U399" s="73">
        <f>T399/T$7</f>
        <v/>
      </c>
      <c r="V399" s="280" t="n"/>
      <c r="W399" s="118" t="n"/>
      <c r="X399" s="280" t="n"/>
      <c r="Y399" s="118" t="n"/>
      <c r="Z399" s="281" t="n"/>
      <c r="AA399" s="118" t="n"/>
      <c r="AB399" s="280" t="n"/>
      <c r="AC399" s="118" t="n"/>
      <c r="AD399" s="282">
        <f>T399+V399+X399+AB399+Z399</f>
        <v/>
      </c>
      <c r="AE399" s="73">
        <f>AD399/AD$7</f>
        <v/>
      </c>
      <c r="AF399" s="81" t="n">
        <v>4</v>
      </c>
      <c r="AG399" s="76">
        <f>AD399*AF399</f>
        <v/>
      </c>
      <c r="AH399" s="28" t="n"/>
      <c r="AI399" s="28" t="n"/>
    </row>
    <row r="400" ht="14" customHeight="1">
      <c r="A400" s="78" t="inlineStr">
        <is>
          <t>Amundi Index MSCI World SRI PAB UCITS ETF</t>
        </is>
      </c>
      <c r="B400" s="75" t="inlineStr">
        <is>
          <t>LU1861134382</t>
        </is>
      </c>
      <c r="C400" s="67" t="n"/>
      <c r="D400" s="67" t="n"/>
      <c r="E400" s="67" t="n"/>
      <c r="F400" s="67" t="n"/>
      <c r="G400" s="67" t="n"/>
      <c r="H400" s="67" t="n"/>
      <c r="I400" s="67" t="n"/>
      <c r="J400" s="67" t="n"/>
      <c r="K400" s="69" t="n"/>
      <c r="L400" s="67" t="n"/>
      <c r="M400" s="67" t="n"/>
      <c r="N400" s="67" t="n"/>
      <c r="O400" s="67" t="n"/>
      <c r="P400" s="67" t="n"/>
      <c r="Q400" s="70" t="n"/>
      <c r="R400" s="70" t="n"/>
      <c r="S400" s="71" t="n"/>
      <c r="T400" s="80">
        <f>SUM(C400:S400)</f>
        <v/>
      </c>
      <c r="U400" s="73">
        <f>T400/T$7</f>
        <v/>
      </c>
      <c r="V400" s="280" t="n"/>
      <c r="W400" s="118" t="n"/>
      <c r="X400" s="280" t="n"/>
      <c r="Y400" s="118" t="n"/>
      <c r="Z400" s="281" t="n"/>
      <c r="AA400" s="118" t="n"/>
      <c r="AB400" s="280" t="n"/>
      <c r="AC400" s="118" t="n"/>
      <c r="AD400" s="282">
        <f>T400+V400+X400+AB400+Z400</f>
        <v/>
      </c>
      <c r="AE400" s="73">
        <f>AD400/AD$7</f>
        <v/>
      </c>
      <c r="AF400" s="81" t="n">
        <v>4</v>
      </c>
      <c r="AG400" s="76">
        <f>AD400*AF400</f>
        <v/>
      </c>
      <c r="AH400" s="28" t="n"/>
      <c r="AI400" s="28" t="n"/>
    </row>
    <row r="401" ht="14" customHeight="1">
      <c r="A401" s="78" t="inlineStr">
        <is>
          <t xml:space="preserve">Amundi Index MSCI World SRI PAB </t>
        </is>
      </c>
      <c r="B401" s="75" t="inlineStr">
        <is>
          <t>IE000K1P4V37</t>
        </is>
      </c>
      <c r="C401" s="67" t="n"/>
      <c r="D401" s="67" t="n"/>
      <c r="E401" s="67" t="n"/>
      <c r="F401" s="67" t="n"/>
      <c r="G401" s="67" t="n"/>
      <c r="H401" s="67" t="n"/>
      <c r="I401" s="67" t="n"/>
      <c r="J401" s="67" t="n"/>
      <c r="K401" s="69" t="n"/>
      <c r="L401" s="67" t="n"/>
      <c r="M401" s="67" t="n"/>
      <c r="N401" s="67" t="n"/>
      <c r="O401" s="67" t="n"/>
      <c r="P401" s="67" t="n"/>
      <c r="Q401" s="70" t="n"/>
      <c r="R401" s="70" t="n"/>
      <c r="S401" s="71" t="n"/>
      <c r="T401" s="80">
        <f>SUM(C401:S401)</f>
        <v/>
      </c>
      <c r="U401" s="73">
        <f>T401/T$7</f>
        <v/>
      </c>
      <c r="V401" s="280" t="n"/>
      <c r="W401" s="118" t="n"/>
      <c r="X401" s="280" t="n"/>
      <c r="Y401" s="118" t="n"/>
      <c r="Z401" s="281" t="n"/>
      <c r="AA401" s="118" t="n"/>
      <c r="AB401" s="280" t="n"/>
      <c r="AC401" s="118" t="n"/>
      <c r="AD401" s="282">
        <f>T401+V401+X401+AB401+Z401</f>
        <v/>
      </c>
      <c r="AE401" s="73">
        <f>AD401/AD$7</f>
        <v/>
      </c>
      <c r="AF401" s="81" t="n">
        <v>4</v>
      </c>
      <c r="AG401" s="76">
        <f>AD401*AF401</f>
        <v/>
      </c>
      <c r="AH401" s="28" t="n"/>
      <c r="AI401" s="28" t="n"/>
    </row>
    <row r="402" ht="14" customHeight="1">
      <c r="A402" s="78" t="inlineStr">
        <is>
          <t>Pictet Gbl Env Opp I EUR Acc</t>
        </is>
      </c>
      <c r="B402" s="75" t="inlineStr">
        <is>
          <t>LU0503631631</t>
        </is>
      </c>
      <c r="C402" s="67" t="n"/>
      <c r="D402" s="67" t="n"/>
      <c r="E402" s="67" t="n"/>
      <c r="F402" s="67" t="n"/>
      <c r="G402" s="67" t="n"/>
      <c r="H402" s="67" t="n"/>
      <c r="I402" s="67" t="n"/>
      <c r="J402" s="67" t="n"/>
      <c r="K402" s="69" t="n"/>
      <c r="L402" s="67" t="n"/>
      <c r="M402" s="67" t="n"/>
      <c r="N402" s="67" t="n"/>
      <c r="O402" s="67" t="n"/>
      <c r="P402" s="67" t="n"/>
      <c r="Q402" s="70" t="n"/>
      <c r="R402" s="70" t="n"/>
      <c r="S402" s="71" t="n"/>
      <c r="T402" s="80">
        <f>SUM(C402:S402)</f>
        <v/>
      </c>
      <c r="U402" s="73">
        <f>T402/T$7</f>
        <v/>
      </c>
      <c r="V402" s="280" t="n"/>
      <c r="W402" s="118" t="n"/>
      <c r="X402" s="280" t="n"/>
      <c r="Y402" s="118" t="n"/>
      <c r="Z402" s="281" t="n"/>
      <c r="AA402" s="118" t="n"/>
      <c r="AB402" s="280" t="n"/>
      <c r="AC402" s="118" t="n"/>
      <c r="AD402" s="282">
        <f>T402+V402+X402+AB402+Z402</f>
        <v/>
      </c>
      <c r="AE402" s="73">
        <f>AD402/AD$7</f>
        <v/>
      </c>
      <c r="AF402" s="81" t="n">
        <v>4</v>
      </c>
      <c r="AG402" s="76">
        <f>AD402*AF402</f>
        <v/>
      </c>
      <c r="AH402" s="28" t="n"/>
      <c r="AI402" s="28" t="n"/>
    </row>
    <row r="403" ht="14" customHeight="1">
      <c r="A403" s="78" t="inlineStr">
        <is>
          <t xml:space="preserve">Pictet-Global Megatrend Selection I EUR	</t>
        </is>
      </c>
      <c r="B403" s="75" t="inlineStr">
        <is>
          <t>LU0386875149</t>
        </is>
      </c>
      <c r="C403" s="67" t="n"/>
      <c r="D403" s="67" t="n"/>
      <c r="E403" s="67" t="n"/>
      <c r="F403" s="67" t="n"/>
      <c r="G403" s="67" t="n"/>
      <c r="H403" s="67" t="n"/>
      <c r="I403" s="67" t="n"/>
      <c r="J403" s="67" t="n"/>
      <c r="K403" s="69" t="n"/>
      <c r="L403" s="67" t="n"/>
      <c r="M403" s="67" t="n"/>
      <c r="N403" s="67" t="n"/>
      <c r="O403" s="67" t="n"/>
      <c r="P403" s="67" t="n"/>
      <c r="Q403" s="70" t="n"/>
      <c r="R403" s="70" t="n"/>
      <c r="S403" s="71" t="n"/>
      <c r="T403" s="80">
        <f>SUM(C403:S403)</f>
        <v/>
      </c>
      <c r="U403" s="73">
        <f>T403/T$7</f>
        <v/>
      </c>
      <c r="V403" s="280" t="n"/>
      <c r="W403" s="118" t="n"/>
      <c r="X403" s="280" t="n"/>
      <c r="Y403" s="118" t="n"/>
      <c r="Z403" s="281" t="n"/>
      <c r="AA403" s="118" t="n"/>
      <c r="AB403" s="280" t="n"/>
      <c r="AC403" s="118" t="n"/>
      <c r="AD403" s="282">
        <f>T403+V403+X403+AB403+Z403</f>
        <v/>
      </c>
      <c r="AE403" s="73">
        <f>AD403/AD$7</f>
        <v/>
      </c>
      <c r="AF403" s="81" t="n">
        <v>4</v>
      </c>
      <c r="AG403" s="76">
        <f>AD403*AF403</f>
        <v/>
      </c>
      <c r="AH403" s="28" t="n"/>
      <c r="AI403" s="28" t="n"/>
    </row>
    <row r="404" ht="14" customHeight="1">
      <c r="A404" s="78" t="inlineStr">
        <is>
          <t>Pictet Global Megatrend Selection P</t>
        </is>
      </c>
      <c r="B404" s="75" t="inlineStr">
        <is>
          <t>LU0386882277</t>
        </is>
      </c>
      <c r="C404" s="67" t="n"/>
      <c r="D404" s="67" t="n"/>
      <c r="E404" s="67" t="n"/>
      <c r="F404" s="67" t="n"/>
      <c r="G404" s="67" t="n"/>
      <c r="H404" s="67" t="n"/>
      <c r="I404" s="67" t="n"/>
      <c r="J404" s="67" t="n"/>
      <c r="K404" s="69" t="n"/>
      <c r="L404" s="67" t="n"/>
      <c r="M404" s="67" t="n"/>
      <c r="N404" s="67" t="n"/>
      <c r="O404" s="67" t="n"/>
      <c r="P404" s="67" t="n"/>
      <c r="Q404" s="70" t="n"/>
      <c r="R404" s="70" t="n"/>
      <c r="S404" s="71" t="n"/>
      <c r="T404" s="80">
        <f>SUM(C404:S404)</f>
        <v/>
      </c>
      <c r="U404" s="73">
        <f>T404/T$7</f>
        <v/>
      </c>
      <c r="V404" s="280" t="n"/>
      <c r="W404" s="118" t="n"/>
      <c r="X404" s="280" t="n"/>
      <c r="Y404" s="118" t="n"/>
      <c r="Z404" s="281" t="n"/>
      <c r="AA404" s="118" t="n"/>
      <c r="AB404" s="280" t="n"/>
      <c r="AC404" s="118" t="n"/>
      <c r="AD404" s="282">
        <f>T404+V404+X404+AB404+Z404</f>
        <v/>
      </c>
      <c r="AE404" s="73">
        <f>AD404/AD$7</f>
        <v/>
      </c>
      <c r="AF404" s="81" t="n">
        <v>4</v>
      </c>
      <c r="AG404" s="76">
        <f>AD404*AF404</f>
        <v/>
      </c>
      <c r="AH404" s="28" t="n"/>
      <c r="AI404" s="28" t="n"/>
    </row>
    <row r="405" ht="14" customHeight="1">
      <c r="A405" s="78" t="inlineStr">
        <is>
          <t>Amundi MSCI Water ETF Acc</t>
        </is>
      </c>
      <c r="B405" s="75" t="inlineStr">
        <is>
          <t>FR0014002CH1</t>
        </is>
      </c>
      <c r="C405" s="67" t="n"/>
      <c r="D405" s="67" t="n"/>
      <c r="E405" s="67" t="n"/>
      <c r="F405" s="67" t="n"/>
      <c r="G405" s="67" t="n"/>
      <c r="H405" s="67" t="n"/>
      <c r="I405" s="67" t="n"/>
      <c r="J405" s="67" t="n"/>
      <c r="K405" s="69" t="n"/>
      <c r="L405" s="67" t="n"/>
      <c r="M405" s="67" t="n"/>
      <c r="N405" s="67" t="n"/>
      <c r="O405" s="67" t="n"/>
      <c r="P405" s="67" t="n"/>
      <c r="Q405" s="70" t="n"/>
      <c r="R405" s="70" t="n"/>
      <c r="S405" s="71" t="n"/>
      <c r="T405" s="80">
        <f>SUM(C405:S405)</f>
        <v/>
      </c>
      <c r="U405" s="73">
        <f>T405/T$7</f>
        <v/>
      </c>
      <c r="V405" s="280" t="n"/>
      <c r="W405" s="118" t="n"/>
      <c r="X405" s="280" t="n"/>
      <c r="Y405" s="118" t="n"/>
      <c r="Z405" s="281" t="n"/>
      <c r="AA405" s="118" t="n"/>
      <c r="AB405" s="280" t="n"/>
      <c r="AC405" s="118" t="n"/>
      <c r="AD405" s="282">
        <f>T405+V405+X405+AB405+Z405</f>
        <v/>
      </c>
      <c r="AE405" s="73">
        <f>AD405/AD$7</f>
        <v/>
      </c>
      <c r="AF405" s="81" t="n">
        <v>4</v>
      </c>
      <c r="AG405" s="76">
        <f>AD405*AF405</f>
        <v/>
      </c>
      <c r="AH405" s="28" t="n"/>
      <c r="AI405" s="28" t="n"/>
    </row>
    <row r="406" ht="14" customHeight="1">
      <c r="A406" s="78" t="inlineStr">
        <is>
          <t>Echiquier World Equity Growth A</t>
        </is>
      </c>
      <c r="B406" s="75" t="inlineStr">
        <is>
          <t>FR0010859769</t>
        </is>
      </c>
      <c r="C406" s="67" t="n"/>
      <c r="D406" s="67" t="n"/>
      <c r="E406" s="67" t="n"/>
      <c r="F406" s="67" t="n"/>
      <c r="G406" s="67" t="n"/>
      <c r="H406" s="67" t="n"/>
      <c r="I406" s="67" t="n"/>
      <c r="J406" s="67" t="n"/>
      <c r="K406" s="69" t="n"/>
      <c r="L406" s="67" t="n"/>
      <c r="M406" s="67" t="n"/>
      <c r="N406" s="67" t="n"/>
      <c r="O406" s="67" t="n"/>
      <c r="P406" s="67" t="n"/>
      <c r="Q406" s="70" t="n"/>
      <c r="R406" s="70" t="n"/>
      <c r="S406" s="71" t="n"/>
      <c r="T406" s="80">
        <f>SUM(C406:S406)</f>
        <v/>
      </c>
      <c r="U406" s="73">
        <f>T406/T$7</f>
        <v/>
      </c>
      <c r="V406" s="280" t="n"/>
      <c r="W406" s="118" t="n"/>
      <c r="X406" s="280" t="n"/>
      <c r="Y406" s="118" t="n"/>
      <c r="Z406" s="281" t="n"/>
      <c r="AA406" s="118" t="n"/>
      <c r="AB406" s="280" t="n"/>
      <c r="AC406" s="118" t="n"/>
      <c r="AD406" s="282">
        <f>T406+V406+X406+AB406+Z406</f>
        <v/>
      </c>
      <c r="AE406" s="73">
        <f>AD406/AD$7</f>
        <v/>
      </c>
      <c r="AF406" s="81" t="n">
        <v>4</v>
      </c>
      <c r="AG406" s="76">
        <f>AD406*AF406</f>
        <v/>
      </c>
      <c r="AH406" s="28" t="n"/>
      <c r="AI406" s="28" t="n"/>
    </row>
    <row r="407" ht="14" customHeight="1">
      <c r="A407" s="78" t="inlineStr">
        <is>
          <t>Pictet Water P EUR Acc</t>
        </is>
      </c>
      <c r="B407" s="75" t="inlineStr">
        <is>
          <t>LU0104884860</t>
        </is>
      </c>
      <c r="C407" s="67" t="n"/>
      <c r="D407" s="67" t="n"/>
      <c r="E407" s="67" t="n"/>
      <c r="F407" s="67" t="n"/>
      <c r="G407" s="67" t="n"/>
      <c r="H407" s="67" t="n"/>
      <c r="I407" s="67" t="n"/>
      <c r="J407" s="67" t="n"/>
      <c r="K407" s="69" t="n"/>
      <c r="L407" s="67" t="n"/>
      <c r="M407" s="67" t="n"/>
      <c r="N407" s="67" t="n"/>
      <c r="O407" s="67" t="n"/>
      <c r="P407" s="67" t="n"/>
      <c r="Q407" s="70" t="n"/>
      <c r="R407" s="70" t="n"/>
      <c r="S407" s="71" t="n"/>
      <c r="T407" s="80">
        <f>SUM(C407:S407)</f>
        <v/>
      </c>
      <c r="U407" s="73">
        <f>T407/T$7</f>
        <v/>
      </c>
      <c r="V407" s="280" t="n"/>
      <c r="W407" s="118" t="n"/>
      <c r="X407" s="280" t="n"/>
      <c r="Y407" s="118" t="n"/>
      <c r="Z407" s="281" t="n"/>
      <c r="AA407" s="118" t="n"/>
      <c r="AB407" s="280" t="n"/>
      <c r="AC407" s="118" t="n"/>
      <c r="AD407" s="282">
        <f>T407+V407+X407+AB407+Z407</f>
        <v/>
      </c>
      <c r="AE407" s="73">
        <f>AD407/AD$7</f>
        <v/>
      </c>
      <c r="AF407" s="81" t="n">
        <v>4</v>
      </c>
      <c r="AG407" s="76">
        <f>AD407*AF407</f>
        <v/>
      </c>
      <c r="AH407" s="28" t="n"/>
      <c r="AI407" s="28" t="n"/>
    </row>
    <row r="408" ht="14" customHeight="1">
      <c r="A408" s="78" t="inlineStr">
        <is>
          <t>Echiquier Artificial Intelligence B</t>
        </is>
      </c>
      <c r="B408" s="75" t="inlineStr">
        <is>
          <t>LU1819480192</t>
        </is>
      </c>
      <c r="C408" s="67" t="n"/>
      <c r="D408" s="67" t="n"/>
      <c r="E408" s="67" t="n"/>
      <c r="F408" s="67" t="n"/>
      <c r="G408" s="67" t="n"/>
      <c r="H408" s="67" t="n"/>
      <c r="I408" s="67" t="n"/>
      <c r="J408" s="67" t="n"/>
      <c r="K408" s="69" t="n"/>
      <c r="L408" s="67" t="n"/>
      <c r="M408" s="67" t="n"/>
      <c r="N408" s="67" t="n"/>
      <c r="O408" s="67" t="n"/>
      <c r="P408" s="67" t="n"/>
      <c r="Q408" s="70" t="n"/>
      <c r="R408" s="70" t="n"/>
      <c r="S408" s="71" t="n"/>
      <c r="T408" s="80">
        <f>SUM(C408:S408)</f>
        <v/>
      </c>
      <c r="U408" s="73">
        <f>T408/T$7</f>
        <v/>
      </c>
      <c r="V408" s="280" t="n"/>
      <c r="W408" s="118" t="n"/>
      <c r="X408" s="280" t="n"/>
      <c r="Y408" s="118" t="n"/>
      <c r="Z408" s="281" t="n"/>
      <c r="AA408" s="118" t="n"/>
      <c r="AB408" s="280" t="n"/>
      <c r="AC408" s="118" t="n"/>
      <c r="AD408" s="282">
        <f>T408+V408+X408+AB408+Z408</f>
        <v/>
      </c>
      <c r="AE408" s="73">
        <f>AD408/AD$7</f>
        <v/>
      </c>
      <c r="AF408" s="81" t="n">
        <v>6</v>
      </c>
      <c r="AG408" s="76">
        <f>AD408*AF408</f>
        <v/>
      </c>
      <c r="AH408" s="28" t="n"/>
      <c r="AI408" s="28" t="n"/>
    </row>
    <row r="409" ht="14" customHeight="1">
      <c r="A409" s="78" t="inlineStr">
        <is>
          <t xml:space="preserve">Xtrackers Artificial Intelligence &amp; Big Data ETF 1C </t>
        </is>
      </c>
      <c r="B409" s="75" t="inlineStr">
        <is>
          <t>IE00BGV5VN51</t>
        </is>
      </c>
      <c r="C409" s="67" t="n"/>
      <c r="D409" s="67" t="n"/>
      <c r="E409" s="67" t="n"/>
      <c r="F409" s="67" t="n"/>
      <c r="G409" s="67" t="n"/>
      <c r="H409" s="67" t="n"/>
      <c r="I409" s="67" t="n"/>
      <c r="J409" s="67" t="n"/>
      <c r="K409" s="69" t="n"/>
      <c r="L409" s="67" t="n"/>
      <c r="M409" s="67" t="n"/>
      <c r="N409" s="67" t="n"/>
      <c r="O409" s="67" t="n"/>
      <c r="P409" s="67" t="n"/>
      <c r="Q409" s="70" t="n"/>
      <c r="R409" s="70" t="n"/>
      <c r="S409" s="71" t="n"/>
      <c r="T409" s="80">
        <f>SUM(C409:S409)</f>
        <v/>
      </c>
      <c r="U409" s="73">
        <f>T409/T$7</f>
        <v/>
      </c>
      <c r="V409" s="280" t="n"/>
      <c r="W409" s="118" t="n"/>
      <c r="X409" s="280" t="n"/>
      <c r="Y409" s="118" t="n"/>
      <c r="Z409" s="281" t="n"/>
      <c r="AA409" s="118" t="n"/>
      <c r="AB409" s="280" t="n"/>
      <c r="AC409" s="118" t="n"/>
      <c r="AD409" s="282">
        <f>T409+V409+X409+AB409+Z409</f>
        <v/>
      </c>
      <c r="AE409" s="73">
        <f>AD409/AD$7</f>
        <v/>
      </c>
      <c r="AF409" s="81" t="n">
        <v>5</v>
      </c>
      <c r="AG409" s="76">
        <f>AD409*AF409</f>
        <v/>
      </c>
      <c r="AH409" s="28" t="n"/>
      <c r="AI409" s="28" t="n"/>
    </row>
    <row r="410" ht="14" customHeight="1">
      <c r="A410" s="78" t="inlineStr">
        <is>
          <t>iShares Automation &amp; Robotics UCITS ETF</t>
        </is>
      </c>
      <c r="B410" s="75" t="inlineStr">
        <is>
          <t>IE00BYZK4552</t>
        </is>
      </c>
      <c r="C410" s="67" t="n"/>
      <c r="D410" s="67" t="n"/>
      <c r="E410" s="67" t="n"/>
      <c r="F410" s="67" t="n"/>
      <c r="G410" s="67" t="n"/>
      <c r="H410" s="67" t="n"/>
      <c r="I410" s="67" t="n"/>
      <c r="J410" s="67" t="n"/>
      <c r="K410" s="69" t="n"/>
      <c r="L410" s="67" t="n"/>
      <c r="M410" s="67" t="n"/>
      <c r="N410" s="67" t="n"/>
      <c r="O410" s="67" t="n"/>
      <c r="P410" s="67" t="n"/>
      <c r="Q410" s="70" t="n"/>
      <c r="R410" s="70" t="n"/>
      <c r="S410" s="71" t="n"/>
      <c r="T410" s="80">
        <f>SUM(C410:S410)</f>
        <v/>
      </c>
      <c r="U410" s="73">
        <f>T410/T$7</f>
        <v/>
      </c>
      <c r="V410" s="280" t="n"/>
      <c r="W410" s="118" t="n"/>
      <c r="X410" s="280" t="n"/>
      <c r="Y410" s="118" t="n"/>
      <c r="Z410" s="281" t="n"/>
      <c r="AA410" s="118" t="n"/>
      <c r="AB410" s="280" t="n"/>
      <c r="AC410" s="118" t="n"/>
      <c r="AD410" s="282">
        <f>T410+V410+X410+AB410+Z410</f>
        <v/>
      </c>
      <c r="AE410" s="73">
        <f>AD410/AD$7</f>
        <v/>
      </c>
      <c r="AF410" s="81" t="n">
        <v>4</v>
      </c>
      <c r="AG410" s="76">
        <f>AD410*AF410</f>
        <v/>
      </c>
      <c r="AH410" s="28" t="n"/>
      <c r="AI410" s="28" t="n"/>
    </row>
    <row r="411" ht="14" customHeight="1">
      <c r="A411" s="78" t="inlineStr">
        <is>
          <t>Lyxor MSCI Digital Economy</t>
        </is>
      </c>
      <c r="B411" s="75" t="inlineStr">
        <is>
          <t>LU2023678878</t>
        </is>
      </c>
      <c r="C411" s="67" t="n"/>
      <c r="D411" s="67" t="n"/>
      <c r="E411" s="67" t="n"/>
      <c r="F411" s="67" t="n"/>
      <c r="G411" s="67" t="n"/>
      <c r="H411" s="67" t="n"/>
      <c r="I411" s="67" t="n"/>
      <c r="J411" s="67" t="n"/>
      <c r="K411" s="69" t="n"/>
      <c r="L411" s="67" t="n"/>
      <c r="M411" s="67" t="n"/>
      <c r="N411" s="67" t="n"/>
      <c r="O411" s="67" t="n"/>
      <c r="P411" s="67" t="n"/>
      <c r="Q411" s="70" t="n"/>
      <c r="R411" s="70" t="n"/>
      <c r="S411" s="71" t="n"/>
      <c r="T411" s="80">
        <f>SUM(C411:S411)</f>
        <v/>
      </c>
      <c r="U411" s="73">
        <f>T411/T$7</f>
        <v/>
      </c>
      <c r="V411" s="280" t="n"/>
      <c r="W411" s="118" t="n"/>
      <c r="X411" s="280" t="n"/>
      <c r="Y411" s="118" t="n"/>
      <c r="Z411" s="281" t="n"/>
      <c r="AA411" s="118" t="n"/>
      <c r="AB411" s="280" t="n"/>
      <c r="AC411" s="118" t="n"/>
      <c r="AD411" s="282">
        <f>T411+V411+X411+AB411+Z411</f>
        <v/>
      </c>
      <c r="AE411" s="73">
        <f>AD411/AD$7</f>
        <v/>
      </c>
      <c r="AF411" s="81" t="n">
        <v>5</v>
      </c>
      <c r="AG411" s="76">
        <f>AD411*AF411</f>
        <v/>
      </c>
      <c r="AH411" s="28" t="n"/>
      <c r="AI411" s="28" t="n"/>
    </row>
    <row r="412" ht="14" customHeight="1">
      <c r="A412" s="78" t="inlineStr">
        <is>
          <t>iShares Automation &amp; Robotics UCITS ETF</t>
        </is>
      </c>
      <c r="B412" s="75" t="inlineStr">
        <is>
          <t>IE00BYZK4552</t>
        </is>
      </c>
      <c r="C412" s="67" t="n"/>
      <c r="D412" s="67" t="n"/>
      <c r="E412" s="67" t="n"/>
      <c r="F412" s="67" t="n"/>
      <c r="G412" s="67" t="n"/>
      <c r="H412" s="67" t="n"/>
      <c r="I412" s="67" t="n"/>
      <c r="J412" s="67" t="n"/>
      <c r="K412" s="69" t="n"/>
      <c r="L412" s="67" t="n"/>
      <c r="M412" s="67" t="n"/>
      <c r="N412" s="67" t="n"/>
      <c r="O412" s="67" t="n"/>
      <c r="P412" s="67" t="n"/>
      <c r="Q412" s="70" t="n"/>
      <c r="R412" s="70" t="n"/>
      <c r="S412" s="71" t="n"/>
      <c r="T412" s="80">
        <f>SUM(C412:S412)</f>
        <v/>
      </c>
      <c r="U412" s="73">
        <f>T412/T$7</f>
        <v/>
      </c>
      <c r="V412" s="280" t="n"/>
      <c r="W412" s="118" t="n"/>
      <c r="X412" s="280" t="n"/>
      <c r="Y412" s="118" t="n"/>
      <c r="Z412" s="281" t="n"/>
      <c r="AA412" s="118" t="n"/>
      <c r="AB412" s="280" t="n"/>
      <c r="AC412" s="118" t="n"/>
      <c r="AD412" s="282">
        <f>T412+V412+X412+AB412+Z412</f>
        <v/>
      </c>
      <c r="AE412" s="73">
        <f>AD412/AD$7</f>
        <v/>
      </c>
      <c r="AF412" s="81" t="n">
        <v>5</v>
      </c>
      <c r="AG412" s="76">
        <f>AD412*AF412</f>
        <v/>
      </c>
      <c r="AH412" s="28" t="n"/>
      <c r="AI412" s="28" t="n"/>
    </row>
    <row r="413" ht="14" customHeight="1">
      <c r="A413" s="78" t="inlineStr">
        <is>
          <t>Edmond de Rothschild Fund Big Data A EUR</t>
        </is>
      </c>
      <c r="B413" s="75" t="inlineStr">
        <is>
          <t>LU1244893696</t>
        </is>
      </c>
      <c r="C413" s="67" t="n"/>
      <c r="D413" s="67" t="n"/>
      <c r="E413" s="67" t="n"/>
      <c r="F413" s="67" t="n"/>
      <c r="G413" s="67" t="n"/>
      <c r="H413" s="67" t="n"/>
      <c r="I413" s="67" t="n"/>
      <c r="J413" s="67" t="n"/>
      <c r="K413" s="69" t="n"/>
      <c r="L413" s="67" t="n"/>
      <c r="M413" s="67" t="n"/>
      <c r="N413" s="67" t="n"/>
      <c r="O413" s="67" t="n"/>
      <c r="P413" s="67" t="n"/>
      <c r="Q413" s="70" t="n"/>
      <c r="R413" s="70" t="n"/>
      <c r="S413" s="71" t="n"/>
      <c r="T413" s="80">
        <f>SUM(C413:S413)</f>
        <v/>
      </c>
      <c r="U413" s="73">
        <f>T413/T$7</f>
        <v/>
      </c>
      <c r="V413" s="280" t="n"/>
      <c r="W413" s="118" t="n"/>
      <c r="X413" s="280" t="n"/>
      <c r="Y413" s="118" t="n"/>
      <c r="Z413" s="281" t="n"/>
      <c r="AA413" s="118" t="n"/>
      <c r="AB413" s="280" t="n"/>
      <c r="AC413" s="118" t="n"/>
      <c r="AD413" s="282">
        <f>T413+V413+X413+AB413+Z413</f>
        <v/>
      </c>
      <c r="AE413" s="73">
        <f>AD413/AD$7</f>
        <v/>
      </c>
      <c r="AF413" s="81" t="n">
        <v>4</v>
      </c>
      <c r="AG413" s="76">
        <f>AD413*AF413</f>
        <v/>
      </c>
      <c r="AH413" s="28" t="n"/>
      <c r="AI413" s="28" t="n"/>
    </row>
    <row r="414" ht="14" customHeight="1">
      <c r="A414" s="78" t="inlineStr">
        <is>
          <t>BNP Paribas Aqua Classic</t>
        </is>
      </c>
      <c r="B414" s="75" t="inlineStr">
        <is>
          <t>FR0010668145</t>
        </is>
      </c>
      <c r="C414" s="67" t="n"/>
      <c r="D414" s="67" t="n"/>
      <c r="E414" s="67" t="n"/>
      <c r="F414" s="67" t="n"/>
      <c r="G414" s="67" t="n"/>
      <c r="H414" s="67" t="n"/>
      <c r="I414" s="67" t="n"/>
      <c r="J414" s="67" t="n"/>
      <c r="K414" s="69" t="n"/>
      <c r="L414" s="67" t="n"/>
      <c r="M414" s="67" t="n"/>
      <c r="N414" s="67" t="n"/>
      <c r="O414" s="67" t="n"/>
      <c r="P414" s="67" t="n"/>
      <c r="Q414" s="70" t="n"/>
      <c r="R414" s="70" t="n"/>
      <c r="S414" s="71" t="n"/>
      <c r="T414" s="80">
        <f>SUM(C414:S414)</f>
        <v/>
      </c>
      <c r="U414" s="73">
        <f>T414/T$7</f>
        <v/>
      </c>
      <c r="V414" s="280" t="n"/>
      <c r="W414" s="118" t="n"/>
      <c r="X414" s="280" t="n"/>
      <c r="Y414" s="118" t="n"/>
      <c r="Z414" s="281" t="n"/>
      <c r="AA414" s="118" t="n"/>
      <c r="AB414" s="280" t="n"/>
      <c r="AC414" s="118" t="n"/>
      <c r="AD414" s="282">
        <f>T414+V414+X414+AB414+Z414</f>
        <v/>
      </c>
      <c r="AE414" s="73">
        <f>AD414/AD$7</f>
        <v/>
      </c>
      <c r="AF414" s="81" t="n">
        <v>4</v>
      </c>
      <c r="AG414" s="76">
        <f>AD414*AF414</f>
        <v/>
      </c>
      <c r="AH414" s="28" t="n"/>
      <c r="AI414" s="28" t="n"/>
    </row>
    <row r="415" ht="14" customHeight="1">
      <c r="A415" s="78" t="inlineStr">
        <is>
          <t>Fidelity Funds Global Technology Fund A EUR Dist</t>
        </is>
      </c>
      <c r="B415" s="75" t="inlineStr">
        <is>
          <t>LU0099574567</t>
        </is>
      </c>
      <c r="C415" s="67" t="n"/>
      <c r="D415" s="67" t="n"/>
      <c r="E415" s="67" t="n"/>
      <c r="F415" s="67" t="n"/>
      <c r="G415" s="67" t="n"/>
      <c r="H415" s="67" t="n"/>
      <c r="I415" s="67" t="n"/>
      <c r="J415" s="67" t="n"/>
      <c r="K415" s="69" t="n"/>
      <c r="L415" s="67" t="n"/>
      <c r="M415" s="67" t="n"/>
      <c r="N415" s="67" t="n"/>
      <c r="O415" s="67" t="n"/>
      <c r="P415" s="67" t="n"/>
      <c r="Q415" s="70" t="n"/>
      <c r="R415" s="70" t="n"/>
      <c r="S415" s="71" t="n"/>
      <c r="T415" s="80">
        <f>SUM(C415:S415)</f>
        <v/>
      </c>
      <c r="U415" s="73">
        <f>T415/T$7</f>
        <v/>
      </c>
      <c r="V415" s="280" t="n"/>
      <c r="W415" s="118" t="n"/>
      <c r="X415" s="280" t="n"/>
      <c r="Y415" s="118" t="n"/>
      <c r="Z415" s="281" t="n"/>
      <c r="AA415" s="118" t="n"/>
      <c r="AB415" s="280" t="n"/>
      <c r="AC415" s="118" t="n"/>
      <c r="AD415" s="282">
        <f>T415+V415+X415+AB415+Z415</f>
        <v/>
      </c>
      <c r="AE415" s="73">
        <f>AD415/AD$7</f>
        <v/>
      </c>
      <c r="AF415" s="81" t="n">
        <v>4</v>
      </c>
      <c r="AG415" s="76">
        <f>AD415*AF415</f>
        <v/>
      </c>
      <c r="AH415" s="28" t="n"/>
      <c r="AI415" s="28" t="n"/>
    </row>
    <row r="416" ht="14" customHeight="1">
      <c r="A416" s="78" t="inlineStr">
        <is>
          <t xml:space="preserve">Fidelity Funds Global Technology Fund </t>
        </is>
      </c>
      <c r="B416" s="75" t="inlineStr">
        <is>
          <t>LU1213836080</t>
        </is>
      </c>
      <c r="C416" s="67" t="n"/>
      <c r="D416" s="67" t="n"/>
      <c r="E416" s="67" t="n"/>
      <c r="F416" s="67" t="n"/>
      <c r="G416" s="67" t="n"/>
      <c r="H416" s="67" t="n"/>
      <c r="I416" s="67" t="n"/>
      <c r="J416" s="67" t="n"/>
      <c r="K416" s="69" t="n"/>
      <c r="L416" s="67" t="n"/>
      <c r="M416" s="67" t="n"/>
      <c r="N416" s="67" t="n"/>
      <c r="O416" s="67" t="n"/>
      <c r="P416" s="67" t="n"/>
      <c r="Q416" s="70" t="n"/>
      <c r="R416" s="70" t="n"/>
      <c r="S416" s="71" t="n"/>
      <c r="T416" s="80">
        <f>SUM(C416:S416)</f>
        <v/>
      </c>
      <c r="U416" s="73">
        <f>T416/T$7</f>
        <v/>
      </c>
      <c r="V416" s="280" t="n"/>
      <c r="W416" s="118" t="n"/>
      <c r="X416" s="280" t="n"/>
      <c r="Y416" s="118" t="n"/>
      <c r="Z416" s="281" t="n"/>
      <c r="AA416" s="118" t="n"/>
      <c r="AB416" s="280" t="n"/>
      <c r="AC416" s="118" t="n"/>
      <c r="AD416" s="282">
        <f>T416+V416+X416+AB416+Z416</f>
        <v/>
      </c>
      <c r="AE416" s="73">
        <f>AD416/AD$7</f>
        <v/>
      </c>
      <c r="AF416" s="81" t="n">
        <v>4</v>
      </c>
      <c r="AG416" s="76">
        <f>AD416*AF416</f>
        <v/>
      </c>
      <c r="AH416" s="28" t="n"/>
      <c r="AI416" s="28" t="n"/>
    </row>
    <row r="417" ht="14" customHeight="1">
      <c r="A417" s="78" t="n"/>
      <c r="B417" s="75" t="n"/>
      <c r="C417" s="67" t="n"/>
      <c r="D417" s="67" t="n"/>
      <c r="E417" s="67" t="n"/>
      <c r="F417" s="67" t="n"/>
      <c r="G417" s="67" t="n"/>
      <c r="H417" s="67" t="n"/>
      <c r="I417" s="67" t="n"/>
      <c r="J417" s="67" t="n"/>
      <c r="K417" s="69" t="n"/>
      <c r="L417" s="67" t="n"/>
      <c r="M417" s="67" t="n"/>
      <c r="N417" s="67" t="n"/>
      <c r="O417" s="67" t="n"/>
      <c r="P417" s="67" t="n"/>
      <c r="Q417" s="70" t="n"/>
      <c r="R417" s="70" t="n"/>
      <c r="S417" s="71" t="n"/>
      <c r="T417" s="80">
        <f>SUM(C417:S417)</f>
        <v/>
      </c>
      <c r="U417" s="73">
        <f>T417/T$7</f>
        <v/>
      </c>
      <c r="V417" s="280" t="n"/>
      <c r="W417" s="118" t="n"/>
      <c r="X417" s="280" t="n"/>
      <c r="Y417" s="118" t="n"/>
      <c r="Z417" s="281" t="n"/>
      <c r="AA417" s="118" t="n"/>
      <c r="AB417" s="280" t="n"/>
      <c r="AC417" s="118" t="n"/>
      <c r="AD417" s="282">
        <f>T417+V417+X417+AB417+Z417</f>
        <v/>
      </c>
      <c r="AE417" s="73">
        <f>AD417/AD$7</f>
        <v/>
      </c>
      <c r="AF417" s="81" t="n"/>
      <c r="AG417" s="76">
        <f>AD417*AF417</f>
        <v/>
      </c>
      <c r="AH417" s="28" t="n"/>
      <c r="AI417" s="28" t="n"/>
    </row>
    <row r="418" ht="14" customHeight="1">
      <c r="A418" s="78" t="n"/>
      <c r="B418" s="75" t="n"/>
      <c r="C418" s="67" t="n"/>
      <c r="D418" s="67" t="n"/>
      <c r="E418" s="67" t="n"/>
      <c r="F418" s="67" t="n"/>
      <c r="G418" s="67" t="n"/>
      <c r="H418" s="67" t="n"/>
      <c r="I418" s="67" t="n"/>
      <c r="J418" s="67" t="n"/>
      <c r="K418" s="69" t="n"/>
      <c r="L418" s="67" t="n"/>
      <c r="M418" s="67" t="n"/>
      <c r="N418" s="67" t="n"/>
      <c r="O418" s="67" t="n"/>
      <c r="P418" s="67" t="n"/>
      <c r="Q418" s="70" t="n"/>
      <c r="R418" s="70" t="n"/>
      <c r="S418" s="71" t="n"/>
      <c r="T418" s="80">
        <f>SUM(C418:S418)</f>
        <v/>
      </c>
      <c r="U418" s="73">
        <f>T418/T$7</f>
        <v/>
      </c>
      <c r="V418" s="280" t="n"/>
      <c r="W418" s="118" t="n"/>
      <c r="X418" s="280" t="n"/>
      <c r="Y418" s="118" t="n"/>
      <c r="Z418" s="281" t="n"/>
      <c r="AA418" s="118" t="n"/>
      <c r="AB418" s="280" t="n"/>
      <c r="AC418" s="118" t="n"/>
      <c r="AD418" s="282">
        <f>T418+V418+X418+AB418+Z418</f>
        <v/>
      </c>
      <c r="AE418" s="73">
        <f>AD418/AD$7</f>
        <v/>
      </c>
      <c r="AF418" s="81" t="n"/>
      <c r="AG418" s="76">
        <f>AD418*AF418</f>
        <v/>
      </c>
      <c r="AH418" s="28" t="n"/>
      <c r="AI418" s="28" t="n"/>
    </row>
    <row r="419" ht="14" customHeight="1">
      <c r="A419" s="78" t="n"/>
      <c r="B419" s="75" t="n"/>
      <c r="C419" s="67" t="n"/>
      <c r="D419" s="67" t="n"/>
      <c r="E419" s="67" t="n"/>
      <c r="F419" s="67" t="n"/>
      <c r="G419" s="67" t="n"/>
      <c r="H419" s="67" t="n"/>
      <c r="I419" s="67" t="n"/>
      <c r="J419" s="67" t="n"/>
      <c r="K419" s="69" t="n"/>
      <c r="L419" s="67" t="n"/>
      <c r="M419" s="67" t="n"/>
      <c r="N419" s="67" t="n"/>
      <c r="O419" s="67" t="n"/>
      <c r="P419" s="67" t="n"/>
      <c r="Q419" s="70" t="n"/>
      <c r="R419" s="70" t="n"/>
      <c r="S419" s="71" t="n"/>
      <c r="T419" s="80">
        <f>SUM(C419:S419)</f>
        <v/>
      </c>
      <c r="U419" s="73">
        <f>T419/T$7</f>
        <v/>
      </c>
      <c r="V419" s="280" t="n"/>
      <c r="W419" s="118" t="n"/>
      <c r="X419" s="280" t="n"/>
      <c r="Y419" s="118" t="n"/>
      <c r="Z419" s="281" t="n"/>
      <c r="AA419" s="118" t="n"/>
      <c r="AB419" s="280" t="n"/>
      <c r="AC419" s="118" t="n"/>
      <c r="AD419" s="282">
        <f>T419+V419+X419+AB419+Z419</f>
        <v/>
      </c>
      <c r="AE419" s="73">
        <f>AD419/AD$7</f>
        <v/>
      </c>
      <c r="AF419" s="81" t="n"/>
      <c r="AG419" s="76">
        <f>AD419*AF419</f>
        <v/>
      </c>
      <c r="AH419" s="28" t="n"/>
      <c r="AI419" s="28" t="n"/>
    </row>
    <row r="420" ht="14" customHeight="1">
      <c r="A420" s="78" t="n"/>
      <c r="B420" s="75" t="n"/>
      <c r="C420" s="67" t="n"/>
      <c r="D420" s="67" t="n"/>
      <c r="E420" s="67" t="n"/>
      <c r="F420" s="67" t="n"/>
      <c r="G420" s="67" t="n"/>
      <c r="H420" s="67" t="n"/>
      <c r="I420" s="67" t="n"/>
      <c r="J420" s="67" t="n"/>
      <c r="K420" s="69" t="n"/>
      <c r="L420" s="67" t="n"/>
      <c r="M420" s="67" t="n"/>
      <c r="N420" s="67" t="n"/>
      <c r="O420" s="67" t="n"/>
      <c r="P420" s="67" t="n"/>
      <c r="Q420" s="70" t="n"/>
      <c r="R420" s="70" t="n"/>
      <c r="S420" s="71" t="n"/>
      <c r="T420" s="80">
        <f>SUM(C420:S420)</f>
        <v/>
      </c>
      <c r="U420" s="73">
        <f>T420/T$7</f>
        <v/>
      </c>
      <c r="V420" s="280" t="n"/>
      <c r="W420" s="118" t="n"/>
      <c r="X420" s="280" t="n"/>
      <c r="Y420" s="118" t="n"/>
      <c r="Z420" s="281" t="n"/>
      <c r="AA420" s="118" t="n"/>
      <c r="AB420" s="280" t="n"/>
      <c r="AC420" s="118" t="n"/>
      <c r="AD420" s="282">
        <f>T420+V420+X420+AB420+Z420</f>
        <v/>
      </c>
      <c r="AE420" s="73">
        <f>AD420/AD$7</f>
        <v/>
      </c>
      <c r="AF420" s="81" t="n"/>
      <c r="AG420" s="76">
        <f>AD420*AF420</f>
        <v/>
      </c>
      <c r="AH420" s="28" t="n"/>
      <c r="AI420" s="28" t="n"/>
    </row>
    <row r="421" ht="14" customHeight="1">
      <c r="A421" s="78" t="n"/>
      <c r="B421" s="75" t="n"/>
      <c r="C421" s="67" t="n"/>
      <c r="D421" s="67" t="n"/>
      <c r="E421" s="67" t="n"/>
      <c r="F421" s="67" t="n"/>
      <c r="G421" s="67" t="n"/>
      <c r="H421" s="67" t="n"/>
      <c r="I421" s="67" t="n"/>
      <c r="J421" s="67" t="n"/>
      <c r="K421" s="69" t="n"/>
      <c r="L421" s="67" t="n"/>
      <c r="M421" s="67" t="n"/>
      <c r="N421" s="67" t="n"/>
      <c r="O421" s="67" t="n"/>
      <c r="P421" s="67" t="n"/>
      <c r="Q421" s="70" t="n"/>
      <c r="R421" s="70" t="n"/>
      <c r="S421" s="71" t="n"/>
      <c r="T421" s="80">
        <f>SUM(C421:S421)</f>
        <v/>
      </c>
      <c r="U421" s="73">
        <f>T421/T$7</f>
        <v/>
      </c>
      <c r="V421" s="280" t="n"/>
      <c r="W421" s="118" t="n"/>
      <c r="X421" s="280" t="n"/>
      <c r="Y421" s="118" t="n"/>
      <c r="Z421" s="281" t="n"/>
      <c r="AA421" s="118" t="n"/>
      <c r="AB421" s="280" t="n"/>
      <c r="AC421" s="118" t="n"/>
      <c r="AD421" s="282">
        <f>T421+V421+X421+AB421+Z421</f>
        <v/>
      </c>
      <c r="AE421" s="73">
        <f>AD421/AD$7</f>
        <v/>
      </c>
      <c r="AF421" s="81" t="n"/>
      <c r="AG421" s="76">
        <f>AD421*AF421</f>
        <v/>
      </c>
      <c r="AH421" s="28" t="n"/>
      <c r="AI421" s="28" t="n"/>
    </row>
    <row r="422" ht="14" customHeight="1">
      <c r="A422" s="78" t="n"/>
      <c r="B422" s="75" t="n"/>
      <c r="C422" s="67" t="n"/>
      <c r="D422" s="67" t="n"/>
      <c r="E422" s="67" t="n"/>
      <c r="F422" s="67" t="n"/>
      <c r="G422" s="67" t="n"/>
      <c r="H422" s="67" t="n"/>
      <c r="I422" s="67" t="n"/>
      <c r="J422" s="67" t="n"/>
      <c r="K422" s="69" t="n"/>
      <c r="L422" s="67" t="n"/>
      <c r="M422" s="67" t="n"/>
      <c r="N422" s="67" t="n"/>
      <c r="O422" s="67" t="n"/>
      <c r="P422" s="67" t="n"/>
      <c r="Q422" s="70" t="n"/>
      <c r="R422" s="70" t="n"/>
      <c r="S422" s="71" t="n"/>
      <c r="T422" s="80">
        <f>SUM(C422:S422)</f>
        <v/>
      </c>
      <c r="U422" s="73">
        <f>T422/T$7</f>
        <v/>
      </c>
      <c r="V422" s="280" t="n"/>
      <c r="W422" s="118" t="n"/>
      <c r="X422" s="280" t="n"/>
      <c r="Y422" s="118" t="n"/>
      <c r="Z422" s="281" t="n"/>
      <c r="AA422" s="118" t="n"/>
      <c r="AB422" s="280" t="n"/>
      <c r="AC422" s="118" t="n"/>
      <c r="AD422" s="282">
        <f>T422+V422+X422+AB422+Z422</f>
        <v/>
      </c>
      <c r="AE422" s="73">
        <f>AD422/AD$7</f>
        <v/>
      </c>
      <c r="AF422" s="81" t="n"/>
      <c r="AG422" s="76">
        <f>AD422*AF422</f>
        <v/>
      </c>
      <c r="AH422" s="28" t="n"/>
      <c r="AI422" s="28" t="n"/>
    </row>
    <row r="423" ht="14" customHeight="1">
      <c r="A423" s="78" t="n"/>
      <c r="B423" s="75" t="n"/>
      <c r="C423" s="67" t="n"/>
      <c r="D423" s="67" t="n"/>
      <c r="E423" s="67" t="n"/>
      <c r="F423" s="67" t="n"/>
      <c r="G423" s="67" t="n"/>
      <c r="H423" s="67" t="n"/>
      <c r="I423" s="67" t="n"/>
      <c r="J423" s="67" t="n"/>
      <c r="K423" s="69" t="n"/>
      <c r="L423" s="67" t="n"/>
      <c r="M423" s="67" t="n"/>
      <c r="N423" s="67" t="n"/>
      <c r="O423" s="67" t="n"/>
      <c r="P423" s="67" t="n"/>
      <c r="Q423" s="70" t="n"/>
      <c r="R423" s="70" t="n"/>
      <c r="S423" s="71" t="n"/>
      <c r="T423" s="80">
        <f>SUM(C423:S423)</f>
        <v/>
      </c>
      <c r="U423" s="73">
        <f>T423/T$7</f>
        <v/>
      </c>
      <c r="V423" s="280" t="n"/>
      <c r="W423" s="118" t="n"/>
      <c r="X423" s="280" t="n"/>
      <c r="Y423" s="118" t="n"/>
      <c r="Z423" s="281" t="n"/>
      <c r="AA423" s="118" t="n"/>
      <c r="AB423" s="280" t="n"/>
      <c r="AC423" s="118" t="n"/>
      <c r="AD423" s="282">
        <f>T423+V423+X423+AB423+Z423</f>
        <v/>
      </c>
      <c r="AE423" s="73">
        <f>AD423/AD$7</f>
        <v/>
      </c>
      <c r="AF423" s="81" t="n"/>
      <c r="AG423" s="76">
        <f>AD423*AF423</f>
        <v/>
      </c>
      <c r="AH423" s="28" t="n"/>
      <c r="AI423" s="28" t="n"/>
    </row>
    <row r="424" ht="14" customHeight="1">
      <c r="A424" s="154" t="inlineStr">
        <is>
          <t>dont actions japonaises</t>
        </is>
      </c>
      <c r="B424" s="155" t="n"/>
      <c r="C424" s="156">
        <f>SUM(C425:C430)</f>
        <v/>
      </c>
      <c r="D424" s="156">
        <f>SUM(D425:D430)</f>
        <v/>
      </c>
      <c r="E424" s="156">
        <f>SUM(E425:E430)</f>
        <v/>
      </c>
      <c r="F424" s="156">
        <f>SUM(F425:F430)</f>
        <v/>
      </c>
      <c r="G424" s="156">
        <f>SUM(G425:G430)</f>
        <v/>
      </c>
      <c r="H424" s="156">
        <f>SUM(H425:H430)</f>
        <v/>
      </c>
      <c r="I424" s="156">
        <f>SUM(I425:I430)</f>
        <v/>
      </c>
      <c r="J424" s="156">
        <f>SUM(J425:J430)</f>
        <v/>
      </c>
      <c r="K424" s="156">
        <f>SUM(K425:K430)</f>
        <v/>
      </c>
      <c r="L424" s="156">
        <f>SUM(L425:L430)</f>
        <v/>
      </c>
      <c r="M424" s="156">
        <f>SUM(M425:M430)</f>
        <v/>
      </c>
      <c r="N424" s="156">
        <f>SUM(N425:N430)</f>
        <v/>
      </c>
      <c r="O424" s="156">
        <f>SUM(O425:O430)</f>
        <v/>
      </c>
      <c r="P424" s="156">
        <f>SUM(P425:P430)</f>
        <v/>
      </c>
      <c r="Q424" s="156">
        <f>SUM(Q425:Q430)</f>
        <v/>
      </c>
      <c r="R424" s="156">
        <f>SUM(R425:R430)</f>
        <v/>
      </c>
      <c r="S424" s="156">
        <f>SUM(S425:S430)</f>
        <v/>
      </c>
      <c r="T424" s="160">
        <f>SUM(C424:S424)</f>
        <v/>
      </c>
      <c r="U424" s="161">
        <f>T424/T311</f>
        <v/>
      </c>
      <c r="V424" s="303" t="n"/>
      <c r="W424" s="201" t="n"/>
      <c r="X424" s="303" t="n"/>
      <c r="Y424" s="201" t="n"/>
      <c r="Z424" s="304" t="n"/>
      <c r="AA424" s="201" t="n"/>
      <c r="AB424" s="303" t="n"/>
      <c r="AC424" s="201" t="n"/>
      <c r="AD424" s="305">
        <f>SUM(AD425:AD430)</f>
        <v/>
      </c>
      <c r="AE424" s="204">
        <f>SUM(AE425:AE430)</f>
        <v/>
      </c>
      <c r="AF424" s="159" t="n"/>
      <c r="AG424" s="153" t="n"/>
      <c r="AH424" s="28" t="n"/>
      <c r="AI424" s="28" t="n"/>
    </row>
    <row r="425" ht="14" customHeight="1">
      <c r="A425" s="78" t="inlineStr">
        <is>
          <t>Comgest Growth Japan Z Acc</t>
        </is>
      </c>
      <c r="B425" s="75" t="inlineStr">
        <is>
          <t>IE00BZ0X9Z19</t>
        </is>
      </c>
      <c r="C425" s="67" t="n"/>
      <c r="D425" s="67" t="n"/>
      <c r="E425" s="67" t="n"/>
      <c r="F425" s="67" t="n"/>
      <c r="G425" s="67" t="n"/>
      <c r="H425" s="67" t="n"/>
      <c r="I425" s="67" t="n"/>
      <c r="J425" s="67" t="n"/>
      <c r="K425" s="69" t="n"/>
      <c r="L425" s="67" t="n"/>
      <c r="M425" s="67" t="n"/>
      <c r="N425" s="67" t="n"/>
      <c r="O425" s="67" t="n"/>
      <c r="P425" s="67" t="n"/>
      <c r="Q425" s="70" t="n"/>
      <c r="R425" s="70" t="n"/>
      <c r="S425" s="71" t="n"/>
      <c r="T425" s="80">
        <f>SUM(C425:S425)</f>
        <v/>
      </c>
      <c r="U425" s="73">
        <f>T425/T$7</f>
        <v/>
      </c>
      <c r="V425" s="280" t="n"/>
      <c r="W425" s="118" t="n"/>
      <c r="X425" s="280" t="n"/>
      <c r="Y425" s="118" t="n"/>
      <c r="Z425" s="281" t="n"/>
      <c r="AA425" s="118" t="n"/>
      <c r="AB425" s="280" t="n"/>
      <c r="AC425" s="118" t="n"/>
      <c r="AD425" s="282">
        <f>T425+V425+X425+AB425+Z425</f>
        <v/>
      </c>
      <c r="AE425" s="73">
        <f>AD425/AD$7</f>
        <v/>
      </c>
      <c r="AF425" s="81" t="n">
        <v>4</v>
      </c>
      <c r="AG425" s="76">
        <f>AD425*AF425</f>
        <v/>
      </c>
      <c r="AH425" s="28" t="n"/>
      <c r="AI425" s="28" t="n"/>
    </row>
    <row r="426" ht="14" customHeight="1">
      <c r="A426" s="78" t="inlineStr">
        <is>
          <t>Comgest Japan R</t>
        </is>
      </c>
      <c r="B426" s="75" t="inlineStr">
        <is>
          <t>IE00BD1DJ122</t>
        </is>
      </c>
      <c r="C426" s="67" t="n"/>
      <c r="D426" s="67" t="n"/>
      <c r="E426" s="67" t="n"/>
      <c r="F426" s="67" t="n"/>
      <c r="G426" s="67" t="n"/>
      <c r="H426" s="67" t="n"/>
      <c r="I426" s="67" t="n"/>
      <c r="J426" s="67" t="n"/>
      <c r="K426" s="69" t="n"/>
      <c r="L426" s="67" t="n"/>
      <c r="M426" s="67" t="n"/>
      <c r="N426" s="67" t="n"/>
      <c r="O426" s="67" t="n"/>
      <c r="P426" s="67" t="n"/>
      <c r="Q426" s="70" t="n"/>
      <c r="R426" s="70" t="n"/>
      <c r="S426" s="71" t="n"/>
      <c r="T426" s="80">
        <f>SUM(C426:S426)</f>
        <v/>
      </c>
      <c r="U426" s="73">
        <f>T426/T$7</f>
        <v/>
      </c>
      <c r="V426" s="280" t="n"/>
      <c r="W426" s="118" t="n"/>
      <c r="X426" s="280" t="n"/>
      <c r="Y426" s="118" t="n"/>
      <c r="Z426" s="281" t="n"/>
      <c r="AA426" s="118" t="n"/>
      <c r="AB426" s="280" t="n"/>
      <c r="AC426" s="118" t="n"/>
      <c r="AD426" s="282">
        <f>T426+V426+X426+AB426+Z426</f>
        <v/>
      </c>
      <c r="AE426" s="73">
        <f>AD426/AD$7</f>
        <v/>
      </c>
      <c r="AF426" s="81" t="n">
        <v>4</v>
      </c>
      <c r="AG426" s="76">
        <f>AD426*AF426</f>
        <v/>
      </c>
      <c r="AH426" s="28" t="n"/>
      <c r="AI426" s="28" t="n"/>
    </row>
    <row r="427" ht="14" customHeight="1">
      <c r="A427" s="78" t="inlineStr">
        <is>
          <t>Amundi Japan Topix ETF</t>
        </is>
      </c>
      <c r="B427" s="75" t="inlineStr">
        <is>
          <t>LU1681037864</t>
        </is>
      </c>
      <c r="C427" s="67" t="n"/>
      <c r="D427" s="67" t="n"/>
      <c r="E427" s="67" t="n"/>
      <c r="F427" s="67" t="n"/>
      <c r="G427" s="67" t="n"/>
      <c r="H427" s="67" t="n"/>
      <c r="I427" s="67" t="n"/>
      <c r="J427" s="67" t="n"/>
      <c r="K427" s="69" t="n"/>
      <c r="L427" s="67" t="n"/>
      <c r="M427" s="67" t="n"/>
      <c r="N427" s="67" t="n"/>
      <c r="O427" s="67" t="n"/>
      <c r="P427" s="67" t="n"/>
      <c r="Q427" s="70" t="n"/>
      <c r="R427" s="70" t="n"/>
      <c r="S427" s="71" t="n"/>
      <c r="T427" s="80">
        <f>SUM(C427:S427)</f>
        <v/>
      </c>
      <c r="U427" s="73">
        <f>T427/T$7</f>
        <v/>
      </c>
      <c r="V427" s="280" t="n"/>
      <c r="W427" s="118" t="n"/>
      <c r="X427" s="280" t="n"/>
      <c r="Y427" s="118" t="n"/>
      <c r="Z427" s="281" t="n"/>
      <c r="AA427" s="118" t="n"/>
      <c r="AB427" s="280" t="n"/>
      <c r="AC427" s="118" t="n"/>
      <c r="AD427" s="282">
        <f>T427+V427+X427+AB427+Z427</f>
        <v/>
      </c>
      <c r="AE427" s="73">
        <f>AD427/AD$7</f>
        <v/>
      </c>
      <c r="AF427" s="81" t="n">
        <v>4</v>
      </c>
      <c r="AG427" s="76">
        <f>AD427*AF427</f>
        <v/>
      </c>
      <c r="AH427" s="28" t="n"/>
      <c r="AI427" s="28" t="n"/>
    </row>
    <row r="428" ht="14" customHeight="1">
      <c r="A428" s="78" t="n"/>
      <c r="B428" s="75" t="n"/>
      <c r="C428" s="67" t="n"/>
      <c r="D428" s="67" t="n"/>
      <c r="E428" s="67" t="n"/>
      <c r="F428" s="67" t="n"/>
      <c r="G428" s="67" t="n"/>
      <c r="H428" s="67" t="n"/>
      <c r="I428" s="67" t="n"/>
      <c r="J428" s="67" t="n"/>
      <c r="K428" s="69" t="n"/>
      <c r="L428" s="67" t="n"/>
      <c r="M428" s="67" t="n"/>
      <c r="N428" s="67" t="n"/>
      <c r="O428" s="67" t="n"/>
      <c r="P428" s="67" t="n"/>
      <c r="Q428" s="70" t="n"/>
      <c r="R428" s="70" t="n"/>
      <c r="S428" s="71" t="n"/>
      <c r="T428" s="80">
        <f>SUM(C428:S428)</f>
        <v/>
      </c>
      <c r="U428" s="73">
        <f>T428/T$7</f>
        <v/>
      </c>
      <c r="V428" s="280" t="n"/>
      <c r="W428" s="118" t="n"/>
      <c r="X428" s="280" t="n"/>
      <c r="Y428" s="118" t="n"/>
      <c r="Z428" s="281" t="n"/>
      <c r="AA428" s="118" t="n"/>
      <c r="AB428" s="280" t="n"/>
      <c r="AC428" s="118" t="n"/>
      <c r="AD428" s="282">
        <f>T428+V428+X428+AB428+Z428</f>
        <v/>
      </c>
      <c r="AE428" s="73">
        <f>AD428/AD$7</f>
        <v/>
      </c>
      <c r="AF428" s="81" t="n"/>
      <c r="AG428" s="76">
        <f>AD428*AF428</f>
        <v/>
      </c>
      <c r="AH428" s="28" t="n"/>
      <c r="AI428" s="28" t="n"/>
    </row>
    <row r="429" ht="14" customHeight="1">
      <c r="A429" s="78" t="n"/>
      <c r="B429" s="75" t="n"/>
      <c r="C429" s="67" t="n"/>
      <c r="D429" s="67" t="n"/>
      <c r="E429" s="67" t="n"/>
      <c r="F429" s="67" t="n"/>
      <c r="G429" s="67" t="n"/>
      <c r="H429" s="67" t="n"/>
      <c r="I429" s="67" t="n"/>
      <c r="J429" s="67" t="n"/>
      <c r="K429" s="69" t="n"/>
      <c r="L429" s="67" t="n"/>
      <c r="M429" s="67" t="n"/>
      <c r="N429" s="67" t="n"/>
      <c r="O429" s="67" t="n"/>
      <c r="P429" s="67" t="n"/>
      <c r="Q429" s="70" t="n"/>
      <c r="R429" s="70" t="n"/>
      <c r="S429" s="71" t="n"/>
      <c r="T429" s="80">
        <f>SUM(C429:S429)</f>
        <v/>
      </c>
      <c r="U429" s="73">
        <f>T429/T$7</f>
        <v/>
      </c>
      <c r="V429" s="280" t="n"/>
      <c r="W429" s="118" t="n"/>
      <c r="X429" s="280" t="n"/>
      <c r="Y429" s="118" t="n"/>
      <c r="Z429" s="281" t="n"/>
      <c r="AA429" s="118" t="n"/>
      <c r="AB429" s="280" t="n"/>
      <c r="AC429" s="118" t="n"/>
      <c r="AD429" s="282">
        <f>T429+V429+X429+AB429+Z429</f>
        <v/>
      </c>
      <c r="AE429" s="73">
        <f>AD429/AD$7</f>
        <v/>
      </c>
      <c r="AF429" s="81" t="n"/>
      <c r="AG429" s="76">
        <f>AD429*AF429</f>
        <v/>
      </c>
      <c r="AH429" s="28" t="n"/>
      <c r="AI429" s="28" t="n"/>
    </row>
    <row r="430" ht="14" customHeight="1">
      <c r="A430" s="78" t="n"/>
      <c r="B430" s="75" t="n"/>
      <c r="C430" s="67" t="n"/>
      <c r="D430" s="67" t="n"/>
      <c r="E430" s="67" t="n"/>
      <c r="F430" s="67" t="n"/>
      <c r="G430" s="67" t="n"/>
      <c r="H430" s="67" t="n"/>
      <c r="I430" s="67" t="n"/>
      <c r="J430" s="67" t="n"/>
      <c r="K430" s="69" t="n"/>
      <c r="L430" s="67" t="n"/>
      <c r="M430" s="67" t="n"/>
      <c r="N430" s="67" t="n"/>
      <c r="O430" s="67" t="n"/>
      <c r="P430" s="67" t="n"/>
      <c r="Q430" s="70" t="n"/>
      <c r="R430" s="70" t="n"/>
      <c r="S430" s="71" t="n"/>
      <c r="T430" s="80">
        <f>SUM(C430:S430)</f>
        <v/>
      </c>
      <c r="U430" s="73">
        <f>T430/T$7</f>
        <v/>
      </c>
      <c r="V430" s="280" t="n"/>
      <c r="W430" s="118" t="n"/>
      <c r="X430" s="280" t="n"/>
      <c r="Y430" s="118" t="n"/>
      <c r="Z430" s="281" t="n"/>
      <c r="AA430" s="118" t="n"/>
      <c r="AB430" s="280" t="n"/>
      <c r="AC430" s="118" t="n"/>
      <c r="AD430" s="282">
        <f>T430+V430+X430+AB430+Z430</f>
        <v/>
      </c>
      <c r="AE430" s="73">
        <f>AD430/AD$7</f>
        <v/>
      </c>
      <c r="AF430" s="81" t="n"/>
      <c r="AG430" s="76">
        <f>AD430*AF430</f>
        <v/>
      </c>
      <c r="AH430" s="28" t="n"/>
      <c r="AI430" s="28" t="n"/>
    </row>
    <row r="431" ht="14" customHeight="1">
      <c r="A431" s="154" t="inlineStr">
        <is>
          <t>dont actions marchés émergents</t>
        </is>
      </c>
      <c r="B431" s="155" t="n"/>
      <c r="C431" s="156">
        <f>SUM(C432:C454)</f>
        <v/>
      </c>
      <c r="D431" s="156">
        <f>SUM(D432:D454)</f>
        <v/>
      </c>
      <c r="E431" s="156">
        <f>SUM(E432:E454)</f>
        <v/>
      </c>
      <c r="F431" s="156">
        <f>SUM(F432:F454)</f>
        <v/>
      </c>
      <c r="G431" s="156">
        <f>SUM(G432:G454)</f>
        <v/>
      </c>
      <c r="H431" s="156">
        <f>SUM(H432:H454)</f>
        <v/>
      </c>
      <c r="I431" s="156">
        <f>SUM(I432:I454)</f>
        <v/>
      </c>
      <c r="J431" s="156">
        <f>SUM(J432:J454)</f>
        <v/>
      </c>
      <c r="K431" s="156">
        <f>SUM(K432:K454)</f>
        <v/>
      </c>
      <c r="L431" s="156">
        <f>SUM(L432:L454)</f>
        <v/>
      </c>
      <c r="M431" s="156">
        <f>SUM(M432:M454)</f>
        <v/>
      </c>
      <c r="N431" s="156">
        <f>SUM(N432:N454)</f>
        <v/>
      </c>
      <c r="O431" s="156">
        <f>SUM(O432:O454)</f>
        <v/>
      </c>
      <c r="P431" s="156">
        <f>SUM(P432:P454)</f>
        <v/>
      </c>
      <c r="Q431" s="156">
        <f>SUM(Q432:Q454)</f>
        <v/>
      </c>
      <c r="R431" s="156">
        <f>SUM(R432:R454)</f>
        <v/>
      </c>
      <c r="S431" s="156">
        <f>SUM(S432:S454)</f>
        <v/>
      </c>
      <c r="T431" s="157">
        <f>SUM(C431:S431)</f>
        <v/>
      </c>
      <c r="U431" s="158">
        <f>T431/T311</f>
        <v/>
      </c>
      <c r="V431" s="300" t="n"/>
      <c r="W431" s="196" t="n"/>
      <c r="X431" s="300" t="n"/>
      <c r="Y431" s="196" t="n"/>
      <c r="Z431" s="301" t="n"/>
      <c r="AA431" s="196" t="n"/>
      <c r="AB431" s="300" t="n"/>
      <c r="AC431" s="196" t="n"/>
      <c r="AD431" s="302">
        <f>SUM(AD432:AD454)</f>
        <v/>
      </c>
      <c r="AE431" s="199">
        <f>SUM(AE432:AE454)</f>
        <v/>
      </c>
      <c r="AF431" s="159" t="n"/>
      <c r="AG431" s="153" t="n"/>
      <c r="AH431" s="28" t="n"/>
      <c r="AI431" s="28" t="n"/>
    </row>
    <row r="432" ht="14" customFormat="1" customHeight="1" s="29">
      <c r="A432" s="78" t="inlineStr">
        <is>
          <t>Amundi IS MSCI EM SRI PAB UE DR USD C</t>
        </is>
      </c>
      <c r="B432" s="75" t="inlineStr">
        <is>
          <t>LU1861138961</t>
        </is>
      </c>
      <c r="C432" s="67" t="n"/>
      <c r="D432" s="67" t="n"/>
      <c r="E432" s="67" t="n"/>
      <c r="F432" s="67" t="n"/>
      <c r="G432" s="67" t="n"/>
      <c r="H432" s="67" t="n"/>
      <c r="I432" s="67" t="n"/>
      <c r="J432" s="67" t="n"/>
      <c r="K432" s="69" t="n"/>
      <c r="L432" s="67" t="n"/>
      <c r="M432" s="67" t="n"/>
      <c r="N432" s="67" t="n"/>
      <c r="O432" s="67" t="n"/>
      <c r="P432" s="67" t="n"/>
      <c r="Q432" s="70" t="n"/>
      <c r="R432" s="70" t="n"/>
      <c r="S432" s="71" t="n"/>
      <c r="T432" s="80">
        <f>SUM(C432:S432)</f>
        <v/>
      </c>
      <c r="U432" s="73">
        <f>T432/T$7</f>
        <v/>
      </c>
      <c r="V432" s="280" t="n"/>
      <c r="W432" s="118" t="n"/>
      <c r="X432" s="280" t="n"/>
      <c r="Y432" s="118" t="n"/>
      <c r="Z432" s="281" t="n"/>
      <c r="AA432" s="118" t="n"/>
      <c r="AB432" s="280" t="n"/>
      <c r="AC432" s="118" t="n"/>
      <c r="AD432" s="282">
        <f>T432+V432+X432+AB432+Z432</f>
        <v/>
      </c>
      <c r="AE432" s="73">
        <f>AD432/AD$7</f>
        <v/>
      </c>
      <c r="AF432" s="81" t="n">
        <v>4</v>
      </c>
      <c r="AG432" s="76">
        <f>AD432*AF432</f>
        <v/>
      </c>
      <c r="AH432" s="28" t="n"/>
      <c r="AI432" s="28" t="n"/>
    </row>
    <row r="433" ht="14" customFormat="1" customHeight="1" s="29">
      <c r="A433" s="78" t="inlineStr">
        <is>
          <t xml:space="preserve">Amundi MSCI Emerging Ex China ETF Acc USD </t>
        </is>
      </c>
      <c r="B433" s="75" t="inlineStr">
        <is>
          <t>LU2009202107</t>
        </is>
      </c>
      <c r="C433" s="67" t="n"/>
      <c r="D433" s="67" t="n"/>
      <c r="E433" s="67" t="n"/>
      <c r="F433" s="67" t="n"/>
      <c r="G433" s="67" t="n"/>
      <c r="H433" s="67" t="n"/>
      <c r="I433" s="67" t="n"/>
      <c r="J433" s="67" t="n"/>
      <c r="K433" s="69" t="n"/>
      <c r="L433" s="67" t="n"/>
      <c r="M433" s="67" t="n"/>
      <c r="N433" s="67" t="n"/>
      <c r="O433" s="67" t="n"/>
      <c r="P433" s="67" t="n"/>
      <c r="Q433" s="70" t="n"/>
      <c r="R433" s="70" t="n"/>
      <c r="S433" s="71" t="n"/>
      <c r="T433" s="80">
        <f>SUM(C433:S433)</f>
        <v/>
      </c>
      <c r="U433" s="73">
        <f>T433/T$7</f>
        <v/>
      </c>
      <c r="V433" s="280" t="n"/>
      <c r="W433" s="118" t="n"/>
      <c r="X433" s="280" t="n"/>
      <c r="Y433" s="118" t="n"/>
      <c r="Z433" s="281" t="n"/>
      <c r="AA433" s="118" t="n"/>
      <c r="AB433" s="280" t="n"/>
      <c r="AC433" s="118" t="n"/>
      <c r="AD433" s="282">
        <f>T433+V433+X433+AB433+Z433</f>
        <v/>
      </c>
      <c r="AE433" s="73">
        <f>AD433/AD$7</f>
        <v/>
      </c>
      <c r="AF433" s="81" t="n">
        <v>4</v>
      </c>
      <c r="AG433" s="76">
        <f>AD433*AF433</f>
        <v/>
      </c>
      <c r="AH433" s="28" t="n"/>
      <c r="AI433" s="28" t="n"/>
    </row>
    <row r="434" ht="14" customFormat="1" customHeight="1" s="29">
      <c r="A434" s="78" t="inlineStr">
        <is>
          <t xml:space="preserve">Amundi MSCI China ETF Acc </t>
        </is>
      </c>
      <c r="B434" s="75" t="inlineStr">
        <is>
          <t>LU1841731745</t>
        </is>
      </c>
      <c r="C434" s="86" t="n"/>
      <c r="D434" s="86" t="n"/>
      <c r="E434" s="86" t="n"/>
      <c r="F434" s="86" t="n"/>
      <c r="G434" s="86" t="n"/>
      <c r="H434" s="86" t="n"/>
      <c r="I434" s="86" t="n"/>
      <c r="J434" s="86" t="n"/>
      <c r="K434" s="87" t="n"/>
      <c r="L434" s="86" t="n"/>
      <c r="M434" s="86" t="n"/>
      <c r="N434" s="86" t="n"/>
      <c r="O434" s="86" t="n"/>
      <c r="P434" s="86" t="n"/>
      <c r="Q434" s="88" t="n"/>
      <c r="R434" s="88" t="n"/>
      <c r="S434" s="89" t="n"/>
      <c r="T434" s="80">
        <f>SUM(C434:S434)</f>
        <v/>
      </c>
      <c r="U434" s="73">
        <f>T434/T$7</f>
        <v/>
      </c>
      <c r="V434" s="280" t="n"/>
      <c r="W434" s="118" t="n"/>
      <c r="X434" s="280" t="n"/>
      <c r="Y434" s="118" t="n"/>
      <c r="Z434" s="281" t="n"/>
      <c r="AA434" s="118" t="n"/>
      <c r="AB434" s="280" t="n"/>
      <c r="AC434" s="118" t="n"/>
      <c r="AD434" s="282">
        <f>T434+V434+X434+AB434+Z434</f>
        <v/>
      </c>
      <c r="AE434" s="73">
        <f>AD434/AD$7</f>
        <v/>
      </c>
      <c r="AF434" s="81" t="n">
        <v>5</v>
      </c>
      <c r="AG434" s="76">
        <f>AD434*AF434</f>
        <v/>
      </c>
      <c r="AH434" s="33" t="n"/>
      <c r="AI434" s="33" t="n"/>
    </row>
    <row r="435" ht="14" customHeight="1">
      <c r="A435" s="78" t="inlineStr">
        <is>
          <t>iShares MSCI India ETF Acc USD</t>
        </is>
      </c>
      <c r="B435" s="75" t="inlineStr">
        <is>
          <t>IE00BZCQB185</t>
        </is>
      </c>
      <c r="C435" s="67" t="n"/>
      <c r="D435" s="67" t="n"/>
      <c r="E435" s="67" t="n"/>
      <c r="F435" s="67" t="n"/>
      <c r="G435" s="67" t="n"/>
      <c r="H435" s="67" t="n"/>
      <c r="I435" s="67" t="n"/>
      <c r="J435" s="67" t="n"/>
      <c r="K435" s="69" t="n"/>
      <c r="L435" s="67" t="n"/>
      <c r="M435" s="67" t="n"/>
      <c r="N435" s="67" t="n"/>
      <c r="O435" s="67" t="n"/>
      <c r="P435" s="67" t="n"/>
      <c r="Q435" s="70" t="n"/>
      <c r="R435" s="70" t="n"/>
      <c r="S435" s="71" t="n"/>
      <c r="T435" s="80">
        <f>SUM(C435:S435)</f>
        <v/>
      </c>
      <c r="U435" s="73">
        <f>T435/T$7</f>
        <v/>
      </c>
      <c r="V435" s="280" t="n"/>
      <c r="W435" s="118" t="n"/>
      <c r="X435" s="280" t="n"/>
      <c r="Y435" s="118" t="n"/>
      <c r="Z435" s="281" t="n"/>
      <c r="AA435" s="118" t="n"/>
      <c r="AB435" s="280" t="n"/>
      <c r="AC435" s="118" t="n"/>
      <c r="AD435" s="282">
        <f>T435+V435+X435+AB435+Z435</f>
        <v/>
      </c>
      <c r="AE435" s="73">
        <f>AD435/AD$7</f>
        <v/>
      </c>
      <c r="AF435" s="81" t="n">
        <v>5</v>
      </c>
      <c r="AG435" s="76">
        <f>AD435*AF435</f>
        <v/>
      </c>
      <c r="AH435" s="28" t="n"/>
      <c r="AI435" s="28" t="n"/>
    </row>
    <row r="436" ht="14" customHeight="1">
      <c r="A436" s="78" t="inlineStr">
        <is>
          <t>Candriam Sust. EM</t>
        </is>
      </c>
      <c r="B436" s="75" t="inlineStr">
        <is>
          <t>LU1434523954</t>
        </is>
      </c>
      <c r="C436" s="67" t="n"/>
      <c r="D436" s="67" t="n"/>
      <c r="E436" s="67" t="n"/>
      <c r="F436" s="67" t="n"/>
      <c r="G436" s="67" t="n"/>
      <c r="H436" s="67" t="n"/>
      <c r="I436" s="67" t="n"/>
      <c r="J436" s="67" t="n"/>
      <c r="K436" s="69" t="n"/>
      <c r="L436" s="67" t="n"/>
      <c r="M436" s="67" t="n"/>
      <c r="N436" s="67" t="n"/>
      <c r="O436" s="67" t="n"/>
      <c r="P436" s="67" t="n"/>
      <c r="Q436" s="70" t="n"/>
      <c r="R436" s="70" t="n"/>
      <c r="S436" s="71" t="n"/>
      <c r="T436" s="80">
        <f>SUM(C436:S436)</f>
        <v/>
      </c>
      <c r="U436" s="73">
        <f>T436/T$7</f>
        <v/>
      </c>
      <c r="V436" s="280" t="n"/>
      <c r="W436" s="118" t="n"/>
      <c r="X436" s="280" t="n"/>
      <c r="Y436" s="118" t="n"/>
      <c r="Z436" s="281" t="n"/>
      <c r="AA436" s="118" t="n"/>
      <c r="AB436" s="280" t="n"/>
      <c r="AC436" s="118" t="n"/>
      <c r="AD436" s="282">
        <f>T436+V436+X436+AB436+Z436</f>
        <v/>
      </c>
      <c r="AE436" s="73">
        <f>AD436/AD$7</f>
        <v/>
      </c>
      <c r="AF436" s="81" t="n">
        <v>4</v>
      </c>
      <c r="AG436" s="76">
        <f>AD436*AF436</f>
        <v/>
      </c>
      <c r="AH436" s="28" t="n"/>
      <c r="AI436" s="28" t="n"/>
    </row>
    <row r="437" ht="14" customFormat="1" customHeight="1" s="29">
      <c r="A437" s="78" t="inlineStr">
        <is>
          <t>iShares MSCI EM ETF Acc USD</t>
        </is>
      </c>
      <c r="B437" s="75" t="inlineStr">
        <is>
          <t>IE00B4L5YC18</t>
        </is>
      </c>
      <c r="C437" s="86" t="n"/>
      <c r="D437" s="86" t="n"/>
      <c r="E437" s="86" t="n"/>
      <c r="F437" s="86" t="n"/>
      <c r="G437" s="86" t="n"/>
      <c r="H437" s="86" t="n"/>
      <c r="I437" s="86" t="n"/>
      <c r="J437" s="86" t="n"/>
      <c r="K437" s="87" t="n"/>
      <c r="L437" s="86" t="n"/>
      <c r="M437" s="86" t="n"/>
      <c r="N437" s="86" t="n"/>
      <c r="O437" s="86" t="n"/>
      <c r="P437" s="86" t="n"/>
      <c r="Q437" s="88" t="n"/>
      <c r="R437" s="88" t="n"/>
      <c r="S437" s="89" t="n"/>
      <c r="T437" s="80">
        <f>SUM(C437:S437)</f>
        <v/>
      </c>
      <c r="U437" s="73">
        <f>T437/T$7</f>
        <v/>
      </c>
      <c r="V437" s="280" t="n"/>
      <c r="W437" s="118" t="n"/>
      <c r="X437" s="280" t="n"/>
      <c r="Y437" s="118" t="n"/>
      <c r="Z437" s="281" t="n"/>
      <c r="AA437" s="118" t="n"/>
      <c r="AB437" s="280" t="n"/>
      <c r="AC437" s="118" t="n"/>
      <c r="AD437" s="282">
        <f>T437+V437+X437+AB437+Z437</f>
        <v/>
      </c>
      <c r="AE437" s="73">
        <f>AD437/AD$7</f>
        <v/>
      </c>
      <c r="AF437" s="81" t="n">
        <v>4</v>
      </c>
      <c r="AG437" s="76">
        <f>AD437*AF437</f>
        <v/>
      </c>
      <c r="AH437" s="33" t="n"/>
      <c r="AI437" s="33" t="n"/>
    </row>
    <row r="438" ht="14" customFormat="1" customHeight="1" s="29">
      <c r="A438" s="78" t="inlineStr">
        <is>
          <t>iShares MSCI EM SRI ETF</t>
        </is>
      </c>
      <c r="B438" s="75" t="inlineStr">
        <is>
          <t>IE00BYVJRP78</t>
        </is>
      </c>
      <c r="C438" s="86" t="n"/>
      <c r="D438" s="86" t="n"/>
      <c r="E438" s="86" t="n"/>
      <c r="F438" s="86" t="n"/>
      <c r="G438" s="86" t="n"/>
      <c r="H438" s="86" t="n"/>
      <c r="I438" s="86" t="n"/>
      <c r="J438" s="86" t="n"/>
      <c r="K438" s="87" t="n"/>
      <c r="L438" s="86" t="n"/>
      <c r="M438" s="86" t="n"/>
      <c r="N438" s="86" t="n"/>
      <c r="O438" s="86" t="n"/>
      <c r="P438" s="86" t="n"/>
      <c r="Q438" s="88" t="n"/>
      <c r="R438" s="88" t="n"/>
      <c r="S438" s="89" t="n"/>
      <c r="T438" s="80">
        <f>SUM(C438:S438)</f>
        <v/>
      </c>
      <c r="U438" s="73">
        <f>T438/T$7</f>
        <v/>
      </c>
      <c r="V438" s="280" t="n"/>
      <c r="W438" s="118" t="n"/>
      <c r="X438" s="280" t="n"/>
      <c r="Y438" s="118" t="n"/>
      <c r="Z438" s="281" t="n"/>
      <c r="AA438" s="118" t="n"/>
      <c r="AB438" s="280" t="n"/>
      <c r="AC438" s="118" t="n"/>
      <c r="AD438" s="282">
        <f>T438+V438+X438+AB438+Z438</f>
        <v/>
      </c>
      <c r="AE438" s="73">
        <f>AD438/AD$7</f>
        <v/>
      </c>
      <c r="AF438" s="81" t="n">
        <v>4</v>
      </c>
      <c r="AG438" s="76">
        <f>AD438*AF438</f>
        <v/>
      </c>
      <c r="AH438" s="33" t="n"/>
      <c r="AI438" s="33" t="n"/>
    </row>
    <row r="439" ht="14" customFormat="1" customHeight="1" s="29">
      <c r="A439" s="78" t="inlineStr">
        <is>
          <t>GemEquity I</t>
        </is>
      </c>
      <c r="B439" s="75" t="inlineStr">
        <is>
          <t>FR0011274984</t>
        </is>
      </c>
      <c r="C439" s="67" t="n"/>
      <c r="D439" s="67" t="n"/>
      <c r="E439" s="67" t="n"/>
      <c r="F439" s="67" t="n"/>
      <c r="G439" s="67" t="n"/>
      <c r="H439" s="67" t="n"/>
      <c r="I439" s="67" t="n"/>
      <c r="J439" s="67" t="n"/>
      <c r="K439" s="69" t="n"/>
      <c r="L439" s="67" t="n"/>
      <c r="M439" s="67" t="n"/>
      <c r="N439" s="67" t="n"/>
      <c r="O439" s="67" t="n"/>
      <c r="P439" s="67" t="n"/>
      <c r="Q439" s="70" t="n"/>
      <c r="R439" s="70" t="n"/>
      <c r="S439" s="71" t="n"/>
      <c r="T439" s="80">
        <f>SUM(C439:S439)</f>
        <v/>
      </c>
      <c r="U439" s="73">
        <f>T439/T$7</f>
        <v/>
      </c>
      <c r="V439" s="280" t="n"/>
      <c r="W439" s="118" t="n"/>
      <c r="X439" s="280" t="n"/>
      <c r="Y439" s="118" t="n"/>
      <c r="Z439" s="281" t="n"/>
      <c r="AA439" s="118" t="n"/>
      <c r="AB439" s="280" t="n"/>
      <c r="AC439" s="118" t="n"/>
      <c r="AD439" s="282">
        <f>T439+V439+X439+AB439+Z439</f>
        <v/>
      </c>
      <c r="AE439" s="73">
        <f>AD439/AD$7</f>
        <v/>
      </c>
      <c r="AF439" s="81" t="n">
        <v>4</v>
      </c>
      <c r="AG439" s="76">
        <f>AD439*AF439</f>
        <v/>
      </c>
      <c r="AH439" s="28" t="n"/>
      <c r="AI439" s="28" t="n"/>
    </row>
    <row r="440" ht="14" customFormat="1" customHeight="1" s="29">
      <c r="A440" s="78" t="inlineStr">
        <is>
          <t xml:space="preserve">GemEquity R </t>
        </is>
      </c>
      <c r="B440" s="75" t="inlineStr">
        <is>
          <t>FR0011268705</t>
        </is>
      </c>
      <c r="C440" s="67" t="n"/>
      <c r="D440" s="67" t="n"/>
      <c r="E440" s="67" t="n"/>
      <c r="F440" s="67" t="n"/>
      <c r="G440" s="67" t="n"/>
      <c r="H440" s="67" t="n"/>
      <c r="I440" s="67" t="n"/>
      <c r="J440" s="67" t="n"/>
      <c r="K440" s="69" t="n"/>
      <c r="L440" s="67" t="n"/>
      <c r="M440" s="67" t="n"/>
      <c r="N440" s="67" t="n"/>
      <c r="O440" s="67" t="n"/>
      <c r="P440" s="67" t="n"/>
      <c r="Q440" s="70" t="n"/>
      <c r="R440" s="70" t="n"/>
      <c r="S440" s="71" t="n"/>
      <c r="T440" s="80">
        <f>SUM(C440:S440)</f>
        <v/>
      </c>
      <c r="U440" s="73">
        <f>T440/T$7</f>
        <v/>
      </c>
      <c r="V440" s="280" t="n"/>
      <c r="W440" s="118" t="n"/>
      <c r="X440" s="280" t="n"/>
      <c r="Y440" s="118" t="n"/>
      <c r="Z440" s="281" t="n"/>
      <c r="AA440" s="118" t="n"/>
      <c r="AB440" s="280" t="n"/>
      <c r="AC440" s="118" t="n"/>
      <c r="AD440" s="282">
        <f>T440+V440+X440+AB440+Z440</f>
        <v/>
      </c>
      <c r="AE440" s="73">
        <f>AD440/AD$7</f>
        <v/>
      </c>
      <c r="AF440" s="81" t="n">
        <v>4</v>
      </c>
      <c r="AG440" s="76">
        <f>AD440*AF440</f>
        <v/>
      </c>
      <c r="AH440" s="28" t="n"/>
      <c r="AI440" s="28" t="n"/>
    </row>
    <row r="441" ht="14" customFormat="1" customHeight="1" s="29">
      <c r="A441" s="78" t="inlineStr">
        <is>
          <t>GemAsia I</t>
        </is>
      </c>
      <c r="B441" s="75" t="inlineStr">
        <is>
          <t>FR0013291879</t>
        </is>
      </c>
      <c r="C441" s="67" t="n"/>
      <c r="D441" s="67" t="n"/>
      <c r="E441" s="67" t="n"/>
      <c r="F441" s="67" t="n"/>
      <c r="G441" s="67" t="n"/>
      <c r="H441" s="67" t="n"/>
      <c r="I441" s="67" t="n"/>
      <c r="J441" s="67" t="n"/>
      <c r="K441" s="69" t="n"/>
      <c r="L441" s="67" t="n"/>
      <c r="M441" s="67" t="n"/>
      <c r="N441" s="67" t="n"/>
      <c r="O441" s="67" t="n"/>
      <c r="P441" s="67" t="n"/>
      <c r="Q441" s="70" t="n"/>
      <c r="R441" s="70" t="n"/>
      <c r="S441" s="71" t="n"/>
      <c r="T441" s="80">
        <f>SUM(C441:S441)</f>
        <v/>
      </c>
      <c r="U441" s="73">
        <f>T441/T$7</f>
        <v/>
      </c>
      <c r="V441" s="280" t="n"/>
      <c r="W441" s="118" t="n"/>
      <c r="X441" s="280" t="n"/>
      <c r="Y441" s="118" t="n"/>
      <c r="Z441" s="281" t="n"/>
      <c r="AA441" s="118" t="n"/>
      <c r="AB441" s="280" t="n"/>
      <c r="AC441" s="118" t="n"/>
      <c r="AD441" s="282">
        <f>T441+V441+X441+AB441+Z441</f>
        <v/>
      </c>
      <c r="AE441" s="73">
        <f>AD441/AD$7</f>
        <v/>
      </c>
      <c r="AF441" s="81" t="n">
        <v>4</v>
      </c>
      <c r="AG441" s="76">
        <f>AD441*AF441</f>
        <v/>
      </c>
      <c r="AH441" s="28" t="n"/>
      <c r="AI441" s="28" t="n"/>
    </row>
    <row r="442" ht="14" customFormat="1" customHeight="1" s="29">
      <c r="A442" s="78" t="inlineStr">
        <is>
          <t>GemAsia R</t>
        </is>
      </c>
      <c r="B442" s="75" t="inlineStr">
        <is>
          <t>FR0013291861</t>
        </is>
      </c>
      <c r="C442" s="86" t="n"/>
      <c r="D442" s="86" t="n"/>
      <c r="E442" s="86" t="n"/>
      <c r="F442" s="86" t="n"/>
      <c r="G442" s="86" t="n"/>
      <c r="H442" s="86" t="n"/>
      <c r="I442" s="86" t="n"/>
      <c r="J442" s="86" t="n"/>
      <c r="K442" s="87" t="n"/>
      <c r="L442" s="86" t="n"/>
      <c r="M442" s="86" t="n"/>
      <c r="N442" s="86" t="n"/>
      <c r="O442" s="86" t="n"/>
      <c r="P442" s="86" t="n"/>
      <c r="Q442" s="88" t="n"/>
      <c r="R442" s="88" t="n"/>
      <c r="S442" s="89" t="n"/>
      <c r="T442" s="80">
        <f>SUM(C442:S442)</f>
        <v/>
      </c>
      <c r="U442" s="73">
        <f>T442/T$7</f>
        <v/>
      </c>
      <c r="V442" s="280" t="n"/>
      <c r="W442" s="118" t="n"/>
      <c r="X442" s="280" t="n"/>
      <c r="Y442" s="118" t="n"/>
      <c r="Z442" s="281" t="n"/>
      <c r="AA442" s="118" t="n"/>
      <c r="AB442" s="280" t="n"/>
      <c r="AC442" s="118" t="n"/>
      <c r="AD442" s="282">
        <f>T442+V442+X442+AB442+Z442</f>
        <v/>
      </c>
      <c r="AE442" s="73">
        <f>AD442/AD$7</f>
        <v/>
      </c>
      <c r="AF442" s="81" t="n">
        <v>4</v>
      </c>
      <c r="AG442" s="76">
        <f>AD442*AF442</f>
        <v/>
      </c>
      <c r="AH442" s="33" t="n"/>
      <c r="AI442" s="33" t="n"/>
    </row>
    <row r="443" ht="14" customFormat="1" customHeight="1" s="29">
      <c r="A443" s="78" t="inlineStr">
        <is>
          <t>GemAsia N</t>
        </is>
      </c>
      <c r="B443" s="75" t="inlineStr">
        <is>
          <t>FR0014002SM7</t>
        </is>
      </c>
      <c r="C443" s="86" t="n"/>
      <c r="D443" s="86" t="n"/>
      <c r="E443" s="86" t="n"/>
      <c r="F443" s="86" t="n"/>
      <c r="G443" s="86" t="n"/>
      <c r="H443" s="86" t="n"/>
      <c r="I443" s="86" t="n"/>
      <c r="J443" s="86" t="n"/>
      <c r="K443" s="87" t="n"/>
      <c r="L443" s="86" t="n"/>
      <c r="M443" s="86" t="n"/>
      <c r="N443" s="86" t="n"/>
      <c r="O443" s="86" t="n"/>
      <c r="P443" s="86" t="n"/>
      <c r="Q443" s="88" t="n"/>
      <c r="R443" s="88" t="n"/>
      <c r="S443" s="89" t="n"/>
      <c r="T443" s="80">
        <f>SUM(C443:S443)</f>
        <v/>
      </c>
      <c r="U443" s="73">
        <f>T443/T$7</f>
        <v/>
      </c>
      <c r="V443" s="280" t="n"/>
      <c r="W443" s="118" t="n"/>
      <c r="X443" s="280" t="n"/>
      <c r="Y443" s="118" t="n"/>
      <c r="Z443" s="281" t="n"/>
      <c r="AA443" s="118" t="n"/>
      <c r="AB443" s="280" t="n"/>
      <c r="AC443" s="118" t="n"/>
      <c r="AD443" s="282">
        <f>T443+V443+X443+AB443+Z443</f>
        <v/>
      </c>
      <c r="AE443" s="73">
        <f>AD443/AD$7</f>
        <v/>
      </c>
      <c r="AF443" s="81" t="n">
        <v>4</v>
      </c>
      <c r="AG443" s="76">
        <f>AD443*AF443</f>
        <v/>
      </c>
      <c r="AH443" s="33" t="n"/>
      <c r="AI443" s="33" t="n"/>
    </row>
    <row r="444" ht="14" customFormat="1" customHeight="1" s="29">
      <c r="A444" s="78" t="inlineStr">
        <is>
          <t>GemChina I</t>
        </is>
      </c>
      <c r="B444" s="75" t="inlineStr">
        <is>
          <t>FR0013433109</t>
        </is>
      </c>
      <c r="C444" s="86" t="n"/>
      <c r="D444" s="86" t="n"/>
      <c r="E444" s="86" t="n"/>
      <c r="F444" s="86" t="n"/>
      <c r="G444" s="86" t="n"/>
      <c r="H444" s="86" t="n"/>
      <c r="I444" s="86" t="n"/>
      <c r="J444" s="86" t="n"/>
      <c r="K444" s="87" t="n"/>
      <c r="L444" s="86" t="n"/>
      <c r="M444" s="86" t="n"/>
      <c r="N444" s="86" t="n"/>
      <c r="O444" s="86" t="n"/>
      <c r="P444" s="86" t="n"/>
      <c r="Q444" s="88" t="n"/>
      <c r="R444" s="88" t="n"/>
      <c r="S444" s="89" t="n"/>
      <c r="T444" s="80">
        <f>SUM(C444:S444)</f>
        <v/>
      </c>
      <c r="U444" s="73">
        <f>T444/T$7</f>
        <v/>
      </c>
      <c r="V444" s="280" t="n"/>
      <c r="W444" s="118" t="n"/>
      <c r="X444" s="280" t="n"/>
      <c r="Y444" s="118" t="n"/>
      <c r="Z444" s="281" t="n"/>
      <c r="AA444" s="118" t="n"/>
      <c r="AB444" s="280" t="n"/>
      <c r="AC444" s="118" t="n"/>
      <c r="AD444" s="282">
        <f>T444+V444+X444+AB444+Z444</f>
        <v/>
      </c>
      <c r="AE444" s="73">
        <f>AD444/AD$7</f>
        <v/>
      </c>
      <c r="AF444" s="81" t="n">
        <v>5</v>
      </c>
      <c r="AG444" s="76">
        <f>AD444*AF444</f>
        <v/>
      </c>
      <c r="AH444" s="33" t="n"/>
      <c r="AI444" s="33" t="n"/>
    </row>
    <row r="445" ht="14" customFormat="1" customHeight="1" s="29">
      <c r="A445" s="78" t="inlineStr">
        <is>
          <t>GemChina N</t>
        </is>
      </c>
      <c r="B445" s="75" t="inlineStr">
        <is>
          <t>FR0014002SN5</t>
        </is>
      </c>
      <c r="C445" s="86" t="n"/>
      <c r="D445" s="86" t="n"/>
      <c r="E445" s="86" t="n"/>
      <c r="F445" s="86" t="n"/>
      <c r="G445" s="86" t="n"/>
      <c r="H445" s="86" t="n"/>
      <c r="I445" s="86" t="n"/>
      <c r="J445" s="86" t="n"/>
      <c r="K445" s="87" t="n"/>
      <c r="L445" s="86" t="n"/>
      <c r="M445" s="86" t="n"/>
      <c r="N445" s="86" t="n"/>
      <c r="O445" s="86" t="n"/>
      <c r="P445" s="86" t="n"/>
      <c r="Q445" s="88" t="n"/>
      <c r="R445" s="88" t="n"/>
      <c r="S445" s="89" t="n"/>
      <c r="T445" s="80">
        <f>SUM(C445:S445)</f>
        <v/>
      </c>
      <c r="U445" s="73">
        <f>T445/T$7</f>
        <v/>
      </c>
      <c r="V445" s="280" t="n"/>
      <c r="W445" s="118" t="n"/>
      <c r="X445" s="280" t="n"/>
      <c r="Y445" s="118" t="n"/>
      <c r="Z445" s="281" t="n"/>
      <c r="AA445" s="118" t="n"/>
      <c r="AB445" s="280" t="n"/>
      <c r="AC445" s="118" t="n"/>
      <c r="AD445" s="282">
        <f>T445+V445+X445+AB445+Z445</f>
        <v/>
      </c>
      <c r="AE445" s="73">
        <f>AD445/AD$7</f>
        <v/>
      </c>
      <c r="AF445" s="81" t="n">
        <v>5</v>
      </c>
      <c r="AG445" s="76">
        <f>AD445*AF445</f>
        <v/>
      </c>
      <c r="AH445" s="33" t="n"/>
      <c r="AI445" s="33" t="n"/>
    </row>
    <row r="446" ht="14" customFormat="1" customHeight="1" s="29">
      <c r="A446" s="78" t="inlineStr">
        <is>
          <t>CG Nouvelle Asie Z</t>
        </is>
      </c>
      <c r="B446" s="75" t="inlineStr">
        <is>
          <t>FR0013290905</t>
        </is>
      </c>
      <c r="C446" s="67" t="n"/>
      <c r="D446" s="67" t="n"/>
      <c r="E446" s="67" t="n"/>
      <c r="F446" s="67" t="n"/>
      <c r="G446" s="67" t="n"/>
      <c r="H446" s="67" t="n"/>
      <c r="I446" s="67" t="n"/>
      <c r="J446" s="67" t="n"/>
      <c r="K446" s="69" t="n"/>
      <c r="L446" s="67" t="n"/>
      <c r="M446" s="67" t="n"/>
      <c r="N446" s="67" t="n"/>
      <c r="O446" s="67" t="n"/>
      <c r="P446" s="67" t="n"/>
      <c r="Q446" s="70" t="n"/>
      <c r="R446" s="70" t="n"/>
      <c r="S446" s="71" t="n"/>
      <c r="T446" s="80">
        <f>SUM(C446:S446)</f>
        <v/>
      </c>
      <c r="U446" s="73">
        <f>T446/T$7</f>
        <v/>
      </c>
      <c r="V446" s="280" t="n"/>
      <c r="W446" s="118" t="n"/>
      <c r="X446" s="280" t="n"/>
      <c r="Y446" s="118" t="n"/>
      <c r="Z446" s="281" t="n"/>
      <c r="AA446" s="118" t="n"/>
      <c r="AB446" s="280" t="n"/>
      <c r="AC446" s="118" t="n"/>
      <c r="AD446" s="282">
        <f>T446+V446+X446+AB446+Z446</f>
        <v/>
      </c>
      <c r="AE446" s="73">
        <f>AD446/AD$7</f>
        <v/>
      </c>
      <c r="AF446" s="81" t="n">
        <v>4</v>
      </c>
      <c r="AG446" s="76">
        <f>AD446*AF446</f>
        <v/>
      </c>
      <c r="AH446" s="28" t="n"/>
      <c r="AI446" s="28" t="n"/>
    </row>
    <row r="447" ht="14" customFormat="1" customHeight="1" s="29">
      <c r="A447" s="78" t="inlineStr">
        <is>
          <t>Candriam SRI Equity Em Mkts I EUR Acc</t>
        </is>
      </c>
      <c r="B447" s="75" t="inlineStr">
        <is>
          <t>LU1434524259</t>
        </is>
      </c>
      <c r="C447" s="86" t="n"/>
      <c r="D447" s="86" t="n"/>
      <c r="E447" s="86" t="n"/>
      <c r="F447" s="86" t="n"/>
      <c r="G447" s="86" t="n"/>
      <c r="H447" s="86" t="n"/>
      <c r="I447" s="86" t="n"/>
      <c r="J447" s="86" t="n"/>
      <c r="K447" s="87" t="n"/>
      <c r="L447" s="86" t="n"/>
      <c r="M447" s="86" t="n"/>
      <c r="N447" s="86" t="n"/>
      <c r="O447" s="86" t="n"/>
      <c r="P447" s="86" t="n"/>
      <c r="Q447" s="88" t="n"/>
      <c r="R447" s="88" t="n"/>
      <c r="S447" s="89" t="n"/>
      <c r="T447" s="80">
        <f>SUM(C447:S447)</f>
        <v/>
      </c>
      <c r="U447" s="73">
        <f>T447/T$7</f>
        <v/>
      </c>
      <c r="V447" s="280" t="n"/>
      <c r="W447" s="118" t="n"/>
      <c r="X447" s="280" t="n"/>
      <c r="Y447" s="118" t="n"/>
      <c r="Z447" s="281" t="n"/>
      <c r="AA447" s="118" t="n"/>
      <c r="AB447" s="280" t="n"/>
      <c r="AC447" s="118" t="n"/>
      <c r="AD447" s="282">
        <f>T447+V447+X447+AB447+Z447</f>
        <v/>
      </c>
      <c r="AE447" s="73">
        <f>AD447/AD$7</f>
        <v/>
      </c>
      <c r="AF447" s="81" t="n">
        <v>4</v>
      </c>
      <c r="AG447" s="76">
        <f>AD447*AF447</f>
        <v/>
      </c>
      <c r="AH447" s="33" t="n"/>
      <c r="AI447" s="33" t="n"/>
    </row>
    <row r="448" ht="14" customFormat="1" customHeight="1" s="29">
      <c r="A448" s="78" t="inlineStr">
        <is>
          <t>Candriam EM part C</t>
        </is>
      </c>
      <c r="B448" s="75" t="inlineStr">
        <is>
          <t>LU1434523954</t>
        </is>
      </c>
      <c r="C448" s="86" t="n"/>
      <c r="D448" s="86" t="n"/>
      <c r="E448" s="86" t="n"/>
      <c r="F448" s="86" t="n"/>
      <c r="G448" s="86" t="n"/>
      <c r="H448" s="86" t="n"/>
      <c r="I448" s="86" t="n"/>
      <c r="J448" s="86" t="n"/>
      <c r="K448" s="87" t="n"/>
      <c r="L448" s="86" t="n"/>
      <c r="M448" s="86" t="n"/>
      <c r="N448" s="86" t="n"/>
      <c r="O448" s="86" t="n"/>
      <c r="P448" s="86" t="n"/>
      <c r="Q448" s="88" t="n"/>
      <c r="R448" s="88" t="n"/>
      <c r="S448" s="89" t="n"/>
      <c r="T448" s="80">
        <f>SUM(C448:S448)</f>
        <v/>
      </c>
      <c r="U448" s="73">
        <f>T448/T$7</f>
        <v/>
      </c>
      <c r="V448" s="280" t="n"/>
      <c r="W448" s="118" t="n"/>
      <c r="X448" s="280" t="n"/>
      <c r="Y448" s="118" t="n"/>
      <c r="Z448" s="281" t="n"/>
      <c r="AA448" s="118" t="n"/>
      <c r="AB448" s="280" t="n"/>
      <c r="AC448" s="118" t="n"/>
      <c r="AD448" s="282">
        <f>T448+V448+X448+AB448+Z448</f>
        <v/>
      </c>
      <c r="AE448" s="73">
        <f>AD448/AD$7</f>
        <v/>
      </c>
      <c r="AF448" s="81" t="n">
        <v>4</v>
      </c>
      <c r="AG448" s="76">
        <f>AD448*AF448</f>
        <v/>
      </c>
      <c r="AH448" s="33" t="n"/>
      <c r="AI448" s="33" t="n"/>
    </row>
    <row r="449" ht="14" customFormat="1" customHeight="1" s="29">
      <c r="A449" s="78" t="inlineStr">
        <is>
          <t>Magellan C</t>
        </is>
      </c>
      <c r="B449" s="75" t="inlineStr">
        <is>
          <t>FR0000292278</t>
        </is>
      </c>
      <c r="C449" s="86" t="n"/>
      <c r="D449" s="86" t="n"/>
      <c r="E449" s="86" t="n"/>
      <c r="F449" s="86" t="n"/>
      <c r="G449" s="86" t="n"/>
      <c r="H449" s="86" t="n"/>
      <c r="I449" s="86" t="n"/>
      <c r="J449" s="86" t="n"/>
      <c r="K449" s="87" t="n"/>
      <c r="L449" s="86" t="n"/>
      <c r="M449" s="86" t="n"/>
      <c r="N449" s="86" t="n"/>
      <c r="O449" s="86" t="n"/>
      <c r="P449" s="86" t="n"/>
      <c r="Q449" s="88" t="n"/>
      <c r="R449" s="88" t="n"/>
      <c r="S449" s="89" t="n"/>
      <c r="T449" s="80">
        <f>SUM(C449:S449)</f>
        <v/>
      </c>
      <c r="U449" s="73">
        <f>T449/T$7</f>
        <v/>
      </c>
      <c r="V449" s="280" t="n"/>
      <c r="W449" s="118" t="n"/>
      <c r="X449" s="280" t="n"/>
      <c r="Y449" s="118" t="n"/>
      <c r="Z449" s="281" t="n"/>
      <c r="AA449" s="118" t="n"/>
      <c r="AB449" s="280" t="n"/>
      <c r="AC449" s="118" t="n"/>
      <c r="AD449" s="282">
        <f>T449+V449+X449+AB449+Z449</f>
        <v/>
      </c>
      <c r="AE449" s="73">
        <f>AD449/AD$7</f>
        <v/>
      </c>
      <c r="AF449" s="81" t="n">
        <v>4</v>
      </c>
      <c r="AG449" s="76">
        <f>AD449*AF449</f>
        <v/>
      </c>
      <c r="AH449" s="33" t="n"/>
      <c r="AI449" s="33" t="n"/>
    </row>
    <row r="450" ht="14" customFormat="1" customHeight="1" s="29">
      <c r="A450" s="78" t="n"/>
      <c r="B450" s="75" t="n"/>
      <c r="C450" s="86" t="n"/>
      <c r="D450" s="86" t="n"/>
      <c r="E450" s="86" t="n"/>
      <c r="F450" s="86" t="n"/>
      <c r="G450" s="86" t="n"/>
      <c r="H450" s="86" t="n"/>
      <c r="I450" s="86" t="n"/>
      <c r="J450" s="86" t="n"/>
      <c r="K450" s="87" t="n"/>
      <c r="L450" s="86" t="n"/>
      <c r="M450" s="86" t="n"/>
      <c r="N450" s="86" t="n"/>
      <c r="O450" s="86" t="n"/>
      <c r="P450" s="86" t="n"/>
      <c r="Q450" s="88" t="n"/>
      <c r="R450" s="88" t="n"/>
      <c r="S450" s="89" t="n"/>
      <c r="T450" s="80">
        <f>SUM(C450:S450)</f>
        <v/>
      </c>
      <c r="U450" s="73">
        <f>T450/T$7</f>
        <v/>
      </c>
      <c r="V450" s="280" t="n"/>
      <c r="W450" s="118" t="n"/>
      <c r="X450" s="280" t="n"/>
      <c r="Y450" s="118" t="n"/>
      <c r="Z450" s="281" t="n"/>
      <c r="AA450" s="118" t="n"/>
      <c r="AB450" s="280" t="n"/>
      <c r="AC450" s="118" t="n"/>
      <c r="AD450" s="282">
        <f>T450+V450+X450+AB450+Z450</f>
        <v/>
      </c>
      <c r="AE450" s="73">
        <f>AD450/AD$7</f>
        <v/>
      </c>
      <c r="AF450" s="81" t="n"/>
      <c r="AG450" s="76">
        <f>AD450*AF450</f>
        <v/>
      </c>
      <c r="AH450" s="33" t="n"/>
      <c r="AI450" s="33" t="n"/>
    </row>
    <row r="451" ht="14" customFormat="1" customHeight="1" s="29">
      <c r="A451" s="78" t="n"/>
      <c r="B451" s="75" t="n"/>
      <c r="C451" s="86" t="n"/>
      <c r="D451" s="86" t="n"/>
      <c r="E451" s="86" t="n"/>
      <c r="F451" s="86" t="n"/>
      <c r="G451" s="86" t="n"/>
      <c r="H451" s="86" t="n"/>
      <c r="I451" s="86" t="n"/>
      <c r="J451" s="86" t="n"/>
      <c r="K451" s="87" t="n"/>
      <c r="L451" s="86" t="n"/>
      <c r="M451" s="86" t="n"/>
      <c r="N451" s="86" t="n"/>
      <c r="O451" s="86" t="n"/>
      <c r="P451" s="86" t="n"/>
      <c r="Q451" s="88" t="n"/>
      <c r="R451" s="88" t="n"/>
      <c r="S451" s="89" t="n"/>
      <c r="T451" s="80">
        <f>SUM(C451:S451)</f>
        <v/>
      </c>
      <c r="U451" s="73">
        <f>T451/T$7</f>
        <v/>
      </c>
      <c r="V451" s="280" t="n"/>
      <c r="W451" s="118" t="n"/>
      <c r="X451" s="280" t="n"/>
      <c r="Y451" s="118" t="n"/>
      <c r="Z451" s="281" t="n"/>
      <c r="AA451" s="118" t="n"/>
      <c r="AB451" s="280" t="n"/>
      <c r="AC451" s="118" t="n"/>
      <c r="AD451" s="282">
        <f>T451+V451+X451+AB451+Z451</f>
        <v/>
      </c>
      <c r="AE451" s="73">
        <f>AD451/AD$7</f>
        <v/>
      </c>
      <c r="AF451" s="81" t="n"/>
      <c r="AG451" s="76">
        <f>AD451*AF451</f>
        <v/>
      </c>
      <c r="AH451" s="33" t="n"/>
      <c r="AI451" s="33" t="n"/>
    </row>
    <row r="452" ht="14" customFormat="1" customHeight="1" s="29">
      <c r="A452" s="78" t="n"/>
      <c r="B452" s="75" t="n"/>
      <c r="C452" s="86" t="n"/>
      <c r="D452" s="86" t="n"/>
      <c r="E452" s="86" t="n"/>
      <c r="F452" s="86" t="n"/>
      <c r="G452" s="86" t="n"/>
      <c r="H452" s="86" t="n"/>
      <c r="I452" s="86" t="n"/>
      <c r="J452" s="86" t="n"/>
      <c r="K452" s="87" t="n"/>
      <c r="L452" s="86" t="n"/>
      <c r="M452" s="86" t="n"/>
      <c r="N452" s="86" t="n"/>
      <c r="O452" s="86" t="n"/>
      <c r="P452" s="86" t="n"/>
      <c r="Q452" s="88" t="n"/>
      <c r="R452" s="88" t="n"/>
      <c r="S452" s="89" t="n"/>
      <c r="T452" s="80">
        <f>SUM(C452:S452)</f>
        <v/>
      </c>
      <c r="U452" s="73">
        <f>T452/T$7</f>
        <v/>
      </c>
      <c r="V452" s="280" t="n"/>
      <c r="W452" s="118" t="n"/>
      <c r="X452" s="280" t="n"/>
      <c r="Y452" s="118" t="n"/>
      <c r="Z452" s="281" t="n"/>
      <c r="AA452" s="118" t="n"/>
      <c r="AB452" s="280" t="n"/>
      <c r="AC452" s="118" t="n"/>
      <c r="AD452" s="282">
        <f>T452+V452+X452+AB452+Z452</f>
        <v/>
      </c>
      <c r="AE452" s="73">
        <f>AD452/AD$7</f>
        <v/>
      </c>
      <c r="AF452" s="81" t="n"/>
      <c r="AG452" s="76">
        <f>AD452*AF452</f>
        <v/>
      </c>
      <c r="AH452" s="33" t="n"/>
      <c r="AI452" s="33" t="n"/>
    </row>
    <row r="453" ht="14" customFormat="1" customHeight="1" s="29">
      <c r="A453" s="78" t="n"/>
      <c r="B453" s="75" t="n"/>
      <c r="C453" s="86" t="n"/>
      <c r="D453" s="86" t="n"/>
      <c r="E453" s="86" t="n"/>
      <c r="F453" s="86" t="n"/>
      <c r="G453" s="86" t="n"/>
      <c r="H453" s="86" t="n"/>
      <c r="I453" s="86" t="n"/>
      <c r="J453" s="86" t="n"/>
      <c r="K453" s="87" t="n"/>
      <c r="L453" s="86" t="n"/>
      <c r="M453" s="86" t="n"/>
      <c r="N453" s="86" t="n"/>
      <c r="O453" s="86" t="n"/>
      <c r="P453" s="86" t="n"/>
      <c r="Q453" s="88" t="n"/>
      <c r="R453" s="88" t="n"/>
      <c r="S453" s="89" t="n"/>
      <c r="T453" s="80">
        <f>SUM(C453:S453)</f>
        <v/>
      </c>
      <c r="U453" s="73">
        <f>T453/T$7</f>
        <v/>
      </c>
      <c r="V453" s="280" t="n"/>
      <c r="W453" s="118" t="n"/>
      <c r="X453" s="280" t="n"/>
      <c r="Y453" s="118" t="n"/>
      <c r="Z453" s="281" t="n"/>
      <c r="AA453" s="118" t="n"/>
      <c r="AB453" s="280" t="n"/>
      <c r="AC453" s="118" t="n"/>
      <c r="AD453" s="282">
        <f>T453+V453+X453+AB453+Z453</f>
        <v/>
      </c>
      <c r="AE453" s="73">
        <f>AD453/AD$7</f>
        <v/>
      </c>
      <c r="AF453" s="81" t="n"/>
      <c r="AG453" s="76">
        <f>AD453*AF453</f>
        <v/>
      </c>
      <c r="AH453" s="33" t="n"/>
      <c r="AI453" s="33" t="n"/>
    </row>
    <row r="454" ht="14" customFormat="1" customHeight="1" s="29">
      <c r="A454" s="78" t="n"/>
      <c r="B454" s="75" t="n"/>
      <c r="C454" s="86" t="n"/>
      <c r="D454" s="86" t="n"/>
      <c r="E454" s="86" t="n"/>
      <c r="F454" s="86" t="n"/>
      <c r="G454" s="86" t="n"/>
      <c r="H454" s="86" t="n"/>
      <c r="I454" s="86" t="n"/>
      <c r="J454" s="86" t="n"/>
      <c r="K454" s="87" t="n"/>
      <c r="L454" s="86" t="n"/>
      <c r="M454" s="86" t="n"/>
      <c r="N454" s="86" t="n"/>
      <c r="O454" s="86" t="n"/>
      <c r="P454" s="86" t="n"/>
      <c r="Q454" s="88" t="n"/>
      <c r="R454" s="88" t="n"/>
      <c r="S454" s="89" t="n"/>
      <c r="T454" s="80">
        <f>SUM(C454:S454)</f>
        <v/>
      </c>
      <c r="U454" s="73">
        <f>T454/T$7</f>
        <v/>
      </c>
      <c r="V454" s="280" t="n"/>
      <c r="W454" s="118" t="n"/>
      <c r="X454" s="280" t="n"/>
      <c r="Y454" s="118" t="n"/>
      <c r="Z454" s="281" t="n"/>
      <c r="AA454" s="118" t="n"/>
      <c r="AB454" s="280" t="n"/>
      <c r="AC454" s="118" t="n"/>
      <c r="AD454" s="282">
        <f>T454+V454+X454+AB454+Z454</f>
        <v/>
      </c>
      <c r="AE454" s="73">
        <f>AD454/AD$7</f>
        <v/>
      </c>
      <c r="AF454" s="81" t="n"/>
      <c r="AG454" s="76">
        <f>AD454*AF454</f>
        <v/>
      </c>
      <c r="AH454" s="33" t="n"/>
      <c r="AI454" s="33" t="n"/>
    </row>
    <row r="455" ht="14" customFormat="1" customHeight="1" s="29">
      <c r="A455" s="34" t="inlineStr">
        <is>
          <t>Or &amp; Bitcoin</t>
        </is>
      </c>
      <c r="B455" s="35" t="n"/>
      <c r="C455" s="36">
        <f>SUM(C456:C460)</f>
        <v/>
      </c>
      <c r="D455" s="36">
        <f>SUM(D456:D460)</f>
        <v/>
      </c>
      <c r="E455" s="36">
        <f>SUM(E456:E460)</f>
        <v/>
      </c>
      <c r="F455" s="36">
        <f>SUM(F456:F460)</f>
        <v/>
      </c>
      <c r="G455" s="36">
        <f>SUM(G456:G460)</f>
        <v/>
      </c>
      <c r="H455" s="36">
        <f>SUM(H456:H460)</f>
        <v/>
      </c>
      <c r="I455" s="36">
        <f>SUM(I456:I460)</f>
        <v/>
      </c>
      <c r="J455" s="36">
        <f>SUM(J456:J460)</f>
        <v/>
      </c>
      <c r="K455" s="36">
        <f>SUM(K456:K460)</f>
        <v/>
      </c>
      <c r="L455" s="36">
        <f>SUM(L456:L460)</f>
        <v/>
      </c>
      <c r="M455" s="36">
        <f>SUM(M456:M460)</f>
        <v/>
      </c>
      <c r="N455" s="36">
        <f>SUM(N456:N460)</f>
        <v/>
      </c>
      <c r="O455" s="36">
        <f>SUM(O456:O460)</f>
        <v/>
      </c>
      <c r="P455" s="36">
        <f>SUM(P456:P460)</f>
        <v/>
      </c>
      <c r="Q455" s="36">
        <f>SUM(Q456:Q460)</f>
        <v/>
      </c>
      <c r="R455" s="36">
        <f>SUM(R456:R460)</f>
        <v/>
      </c>
      <c r="S455" s="36">
        <f>SUM(S456:S460)</f>
        <v/>
      </c>
      <c r="T455" s="37">
        <f>SUM(C455:S455)</f>
        <v/>
      </c>
      <c r="U455" s="56">
        <f>SUM(U456:U460)</f>
        <v/>
      </c>
      <c r="V455" s="306" t="n"/>
      <c r="W455" s="121" t="n"/>
      <c r="X455" s="306" t="n"/>
      <c r="Y455" s="121" t="n"/>
      <c r="Z455" s="307" t="n"/>
      <c r="AA455" s="121" t="n"/>
      <c r="AB455" s="306" t="n"/>
      <c r="AC455" s="121" t="n"/>
      <c r="AD455" s="308">
        <f>SUM(AD456:AD460)</f>
        <v/>
      </c>
      <c r="AE455" s="62">
        <f>SUM(AE456:AE460)</f>
        <v/>
      </c>
      <c r="AF455" s="38" t="n"/>
      <c r="AG455" s="39" t="n"/>
      <c r="AH455" s="28" t="n"/>
      <c r="AI455" s="28" t="n"/>
    </row>
    <row r="456" ht="14" customFormat="1" customHeight="1" s="29">
      <c r="A456" s="78" t="n"/>
      <c r="B456" s="75" t="n"/>
      <c r="C456" s="86" t="n"/>
      <c r="D456" s="86" t="n"/>
      <c r="E456" s="86" t="n"/>
      <c r="F456" s="86" t="n"/>
      <c r="G456" s="86" t="n"/>
      <c r="H456" s="86" t="n"/>
      <c r="I456" s="86" t="n"/>
      <c r="J456" s="86" t="n"/>
      <c r="K456" s="87" t="n"/>
      <c r="L456" s="86" t="n"/>
      <c r="M456" s="86" t="n"/>
      <c r="N456" s="86" t="n"/>
      <c r="O456" s="86" t="n"/>
      <c r="P456" s="86" t="n"/>
      <c r="Q456" s="88" t="n"/>
      <c r="R456" s="88" t="n"/>
      <c r="S456" s="89" t="n"/>
      <c r="T456" s="80">
        <f>SUM(C456:S456)</f>
        <v/>
      </c>
      <c r="U456" s="73">
        <f>T456/T$7</f>
        <v/>
      </c>
      <c r="V456" s="280" t="n"/>
      <c r="W456" s="118" t="n"/>
      <c r="X456" s="280" t="n"/>
      <c r="Y456" s="118" t="n"/>
      <c r="Z456" s="281" t="n"/>
      <c r="AA456" s="118" t="n"/>
      <c r="AB456" s="280" t="n"/>
      <c r="AC456" s="118" t="n"/>
      <c r="AD456" s="282">
        <f>T456+V456+X456+AB456+Z456</f>
        <v/>
      </c>
      <c r="AE456" s="73">
        <f>AD456/AD$7</f>
        <v/>
      </c>
      <c r="AF456" s="81" t="n"/>
      <c r="AG456" s="76">
        <f>AD456*AF456</f>
        <v/>
      </c>
      <c r="AH456" s="33" t="n"/>
      <c r="AI456" s="33" t="n"/>
    </row>
    <row r="457" ht="14" customFormat="1" customHeight="1" s="29">
      <c r="A457" s="78" t="n"/>
      <c r="B457" s="75" t="n"/>
      <c r="C457" s="86" t="n"/>
      <c r="D457" s="86" t="n"/>
      <c r="E457" s="86" t="n"/>
      <c r="F457" s="86" t="n"/>
      <c r="G457" s="86" t="n"/>
      <c r="H457" s="86" t="n"/>
      <c r="I457" s="86" t="n"/>
      <c r="J457" s="86" t="n"/>
      <c r="K457" s="87" t="n"/>
      <c r="L457" s="86" t="n"/>
      <c r="M457" s="86" t="n"/>
      <c r="N457" s="86" t="n"/>
      <c r="O457" s="86" t="n"/>
      <c r="P457" s="86" t="n"/>
      <c r="Q457" s="88" t="n"/>
      <c r="R457" s="88" t="n"/>
      <c r="S457" s="89" t="n"/>
      <c r="T457" s="80" t="n"/>
      <c r="U457" s="73" t="n"/>
      <c r="V457" s="280" t="n"/>
      <c r="W457" s="118" t="n"/>
      <c r="X457" s="280" t="n"/>
      <c r="Y457" s="118" t="n"/>
      <c r="Z457" s="281" t="n"/>
      <c r="AA457" s="118" t="n"/>
      <c r="AB457" s="280" t="n"/>
      <c r="AC457" s="118" t="n"/>
      <c r="AD457" s="282">
        <f>T457+V457+X457+AB457+Z457</f>
        <v/>
      </c>
      <c r="AE457" s="73">
        <f>AD457/AD$7</f>
        <v/>
      </c>
      <c r="AF457" s="81" t="n"/>
      <c r="AG457" s="76">
        <f>AD457*AF457</f>
        <v/>
      </c>
      <c r="AH457" s="33" t="n"/>
      <c r="AI457" s="33" t="n"/>
    </row>
    <row r="458" ht="14" customFormat="1" customHeight="1" s="29">
      <c r="A458" s="78" t="n"/>
      <c r="B458" s="75" t="n"/>
      <c r="C458" s="86" t="n"/>
      <c r="D458" s="86" t="n"/>
      <c r="E458" s="86" t="n"/>
      <c r="F458" s="86" t="n"/>
      <c r="G458" s="86" t="n"/>
      <c r="H458" s="86" t="n"/>
      <c r="I458" s="86" t="n"/>
      <c r="J458" s="86" t="n"/>
      <c r="K458" s="87" t="n"/>
      <c r="L458" s="86" t="n"/>
      <c r="M458" s="86" t="n"/>
      <c r="N458" s="86" t="n"/>
      <c r="O458" s="86" t="n"/>
      <c r="P458" s="86" t="n"/>
      <c r="Q458" s="88" t="n"/>
      <c r="R458" s="88" t="n"/>
      <c r="S458" s="89" t="n"/>
      <c r="T458" s="80" t="n"/>
      <c r="U458" s="73" t="n"/>
      <c r="V458" s="280" t="n"/>
      <c r="W458" s="118" t="n"/>
      <c r="X458" s="280" t="n"/>
      <c r="Y458" s="118" t="n"/>
      <c r="Z458" s="281" t="n"/>
      <c r="AA458" s="118" t="n"/>
      <c r="AB458" s="280" t="n"/>
      <c r="AC458" s="118" t="n"/>
      <c r="AD458" s="282">
        <f>T458+V458+X458+AB458+Z458</f>
        <v/>
      </c>
      <c r="AE458" s="73">
        <f>AD458/AD$7</f>
        <v/>
      </c>
      <c r="AF458" s="81" t="n"/>
      <c r="AG458" s="76">
        <f>AD458*AF458</f>
        <v/>
      </c>
      <c r="AH458" s="33" t="n"/>
      <c r="AI458" s="33" t="n"/>
    </row>
    <row r="459" ht="14" customFormat="1" customHeight="1" s="29">
      <c r="A459" s="78" t="inlineStr">
        <is>
          <t>Amundi Physical Gold ETC</t>
        </is>
      </c>
      <c r="B459" s="75" t="inlineStr">
        <is>
          <t>FR0013416716</t>
        </is>
      </c>
      <c r="C459" s="86" t="n"/>
      <c r="D459" s="86" t="n"/>
      <c r="E459" s="86" t="n"/>
      <c r="F459" s="86" t="n"/>
      <c r="G459" s="86" t="n"/>
      <c r="H459" s="86" t="n"/>
      <c r="I459" s="86" t="n"/>
      <c r="J459" s="86" t="n"/>
      <c r="K459" s="87" t="n"/>
      <c r="L459" s="86" t="n"/>
      <c r="M459" s="86" t="n"/>
      <c r="N459" s="86" t="n"/>
      <c r="O459" s="86" t="n"/>
      <c r="P459" s="86" t="n"/>
      <c r="Q459" s="88" t="n"/>
      <c r="R459" s="88" t="n"/>
      <c r="S459" s="89" t="n"/>
      <c r="T459" s="80">
        <f>SUM(C459:S459)</f>
        <v/>
      </c>
      <c r="U459" s="73">
        <f>T459/T$7</f>
        <v/>
      </c>
      <c r="V459" s="280" t="n"/>
      <c r="W459" s="118" t="n"/>
      <c r="X459" s="280" t="n"/>
      <c r="Y459" s="118" t="n"/>
      <c r="Z459" s="281" t="n"/>
      <c r="AA459" s="118" t="n"/>
      <c r="AB459" s="280" t="n"/>
      <c r="AC459" s="118" t="n"/>
      <c r="AD459" s="282">
        <f>T459+V459+X459+AB459+Z459</f>
        <v/>
      </c>
      <c r="AE459" s="73">
        <f>AD459/AD$7</f>
        <v/>
      </c>
      <c r="AF459" s="81" t="n">
        <v>4</v>
      </c>
      <c r="AG459" s="76">
        <f>AD459*AF459</f>
        <v/>
      </c>
      <c r="AH459" s="33" t="n"/>
      <c r="AI459" s="33" t="n"/>
    </row>
    <row r="460" ht="14" customFormat="1" customHeight="1" s="29" thickBot="1">
      <c r="A460" s="78" t="inlineStr">
        <is>
          <t>iShares Bitcoin Trust ETF</t>
        </is>
      </c>
      <c r="B460" s="75" t="inlineStr">
        <is>
          <t>US46438F1012</t>
        </is>
      </c>
      <c r="C460" s="67" t="n"/>
      <c r="D460" s="67" t="n"/>
      <c r="E460" s="67" t="n"/>
      <c r="F460" s="67" t="n"/>
      <c r="G460" s="67" t="n"/>
      <c r="H460" s="67" t="n"/>
      <c r="I460" s="67" t="n"/>
      <c r="J460" s="67" t="n"/>
      <c r="K460" s="69" t="n"/>
      <c r="L460" s="67" t="n"/>
      <c r="M460" s="67" t="n"/>
      <c r="N460" s="67" t="n"/>
      <c r="O460" s="67" t="n"/>
      <c r="P460" s="67" t="n"/>
      <c r="Q460" s="220" t="n"/>
      <c r="R460" s="70" t="n"/>
      <c r="S460" s="71" t="n"/>
      <c r="T460" s="221">
        <f>SUM(C460:S460)</f>
        <v/>
      </c>
      <c r="U460" s="73">
        <f>T460/T$7</f>
        <v/>
      </c>
      <c r="V460" s="280" t="n"/>
      <c r="W460" s="118" t="n"/>
      <c r="X460" s="280" t="n"/>
      <c r="Y460" s="118" t="n"/>
      <c r="Z460" s="281" t="n"/>
      <c r="AA460" s="118" t="n"/>
      <c r="AB460" s="280" t="n"/>
      <c r="AC460" s="118" t="n"/>
      <c r="AD460" s="309">
        <f>T460+V460+X460+AB460+Z460</f>
        <v/>
      </c>
      <c r="AE460" s="73">
        <f>AD460/AD$7</f>
        <v/>
      </c>
      <c r="AF460" s="81" t="n">
        <v>7</v>
      </c>
      <c r="AG460" s="100">
        <f>AD460*AF460</f>
        <v/>
      </c>
      <c r="AH460" s="28" t="n"/>
      <c r="AI460" s="28" t="n"/>
    </row>
    <row r="461" ht="12.5" customHeight="1">
      <c r="A461" s="243" t="inlineStr">
        <is>
          <t>Les données en italique correspondent aux fonds logés dans un Fonds d'Assurance Spécialisé*</t>
        </is>
      </c>
      <c r="B461" s="244" t="n"/>
      <c r="C461" s="244" t="n"/>
      <c r="D461" s="244" t="n"/>
      <c r="E461" s="222" t="n"/>
      <c r="F461" s="222" t="n"/>
      <c r="G461" s="222" t="n"/>
      <c r="H461" s="222" t="n"/>
      <c r="I461" s="222" t="n"/>
      <c r="J461" s="222" t="n"/>
      <c r="K461" s="222" t="n"/>
      <c r="L461" s="222" t="n"/>
      <c r="M461" s="222" t="n"/>
      <c r="N461" s="222" t="n"/>
      <c r="O461" s="222" t="n"/>
      <c r="P461" s="222" t="n"/>
      <c r="Q461" s="222" t="n"/>
      <c r="R461" s="222" t="n"/>
      <c r="S461" s="222" t="n"/>
      <c r="T461" s="222" t="n"/>
      <c r="U461" s="223" t="n"/>
      <c r="V461" s="224" t="n"/>
      <c r="W461" s="224" t="n"/>
      <c r="X461" s="224" t="n"/>
      <c r="Y461" s="225" t="n"/>
      <c r="Z461" s="225" t="n"/>
      <c r="AA461" s="226" t="n"/>
      <c r="AB461" s="226" t="n"/>
      <c r="AC461" s="226" t="n"/>
      <c r="AD461" s="226" t="n"/>
      <c r="AE461" s="226" t="n"/>
      <c r="AF461" s="226" t="n"/>
      <c r="AG461" s="233" t="n"/>
    </row>
    <row r="462" ht="14.5" customFormat="1" customHeight="1" s="228">
      <c r="A462" s="40" t="n"/>
      <c r="C462" s="229" t="n"/>
      <c r="D462" s="229" t="n"/>
      <c r="E462" s="229" t="n"/>
      <c r="F462" s="229" t="n"/>
      <c r="G462" s="229" t="n"/>
      <c r="H462" s="229" t="n"/>
      <c r="I462" s="229" t="n"/>
      <c r="J462" s="229" t="n"/>
      <c r="K462" s="229" t="n"/>
      <c r="L462" s="229" t="n"/>
      <c r="M462" s="229" t="n"/>
      <c r="N462" s="229" t="n"/>
      <c r="O462" s="229" t="n"/>
      <c r="P462" s="229" t="n"/>
      <c r="Q462" s="229" t="n"/>
      <c r="R462" s="229" t="n"/>
      <c r="S462" s="229" t="n"/>
      <c r="T462" s="229" t="n"/>
      <c r="U462" s="41" t="n"/>
      <c r="V462" s="41" t="n"/>
      <c r="W462" s="41" t="n"/>
      <c r="X462" s="41" t="n"/>
      <c r="Y462" s="41" t="n"/>
      <c r="Z462" s="41" t="n"/>
      <c r="AA462" s="41" t="n"/>
      <c r="AB462" s="41" t="n"/>
      <c r="AC462" s="41" t="n"/>
      <c r="AD462" s="41" t="n"/>
      <c r="AE462" s="41" t="n"/>
      <c r="AH462" s="28" t="n"/>
      <c r="AI462" s="28" t="n"/>
    </row>
    <row r="463" ht="13.5" customFormat="1" customHeight="1" s="228">
      <c r="A463" s="42" t="inlineStr">
        <is>
          <t>dont actions européennes</t>
        </is>
      </c>
      <c r="B463" s="90">
        <f>+U312</f>
        <v/>
      </c>
      <c r="C463" s="229" t="n"/>
      <c r="G463" s="229" t="n"/>
      <c r="H463" s="229" t="n"/>
      <c r="I463" s="229" t="n"/>
      <c r="J463" s="229" t="n"/>
      <c r="K463" s="229" t="n"/>
      <c r="L463" s="229" t="n"/>
      <c r="M463" s="229" t="n"/>
      <c r="N463" s="229" t="n"/>
      <c r="O463" s="229" t="n"/>
      <c r="P463" s="229" t="n"/>
      <c r="Q463" s="229" t="n"/>
      <c r="R463" s="229" t="n"/>
      <c r="S463" s="229" t="n"/>
      <c r="T463" s="42">
        <f>A8</f>
        <v/>
      </c>
      <c r="U463" s="90">
        <f>U8</f>
        <v/>
      </c>
      <c r="V463" s="50" t="n"/>
      <c r="W463" s="50" t="n"/>
      <c r="X463" s="50" t="n"/>
      <c r="Y463" s="50" t="n"/>
      <c r="Z463" s="50" t="n"/>
      <c r="AA463" s="50" t="n"/>
      <c r="AB463" s="50" t="n"/>
      <c r="AC463" s="50" t="n"/>
      <c r="AD463" s="50" t="n"/>
      <c r="AE463" s="50" t="n"/>
      <c r="AH463" s="28" t="n"/>
      <c r="AI463" s="28" t="n"/>
    </row>
    <row r="464" customFormat="1" s="228">
      <c r="A464" s="43" t="inlineStr">
        <is>
          <t>dont actions américaines</t>
        </is>
      </c>
      <c r="B464" s="91">
        <f>+U352</f>
        <v/>
      </c>
      <c r="C464" s="229" t="n"/>
      <c r="G464" s="229" t="n"/>
      <c r="H464" s="229" t="n"/>
      <c r="I464" s="229" t="n"/>
      <c r="J464" s="229" t="n"/>
      <c r="K464" s="229" t="n"/>
      <c r="L464" s="229" t="n"/>
      <c r="M464" s="229" t="n"/>
      <c r="N464" s="229" t="n"/>
      <c r="O464" s="229" t="n"/>
      <c r="P464" s="229" t="n"/>
      <c r="Q464" s="229" t="n"/>
      <c r="R464" s="229" t="n"/>
      <c r="S464" s="229" t="n"/>
      <c r="T464" s="43">
        <f>A100</f>
        <v/>
      </c>
      <c r="U464" s="91">
        <f>U100</f>
        <v/>
      </c>
      <c r="V464" s="50" t="n"/>
      <c r="W464" s="50" t="n"/>
      <c r="X464" s="50" t="n"/>
      <c r="Y464" s="50" t="n"/>
      <c r="Z464" s="50" t="n"/>
      <c r="AA464" s="50" t="n"/>
      <c r="AB464" s="50" t="n"/>
      <c r="AC464" s="50" t="n"/>
      <c r="AD464" s="50" t="n"/>
      <c r="AE464" s="50" t="n"/>
      <c r="AH464" s="28" t="n"/>
      <c r="AI464" s="28" t="n"/>
    </row>
    <row r="465" customFormat="1" s="228">
      <c r="A465" s="43" t="inlineStr">
        <is>
          <t>dont actions internationales</t>
        </is>
      </c>
      <c r="B465" s="91">
        <f>+U389</f>
        <v/>
      </c>
      <c r="C465" s="229" t="n"/>
      <c r="G465" s="229" t="n"/>
      <c r="H465" s="229" t="n"/>
      <c r="I465" s="229" t="n"/>
      <c r="J465" s="229" t="n"/>
      <c r="K465" s="229" t="n"/>
      <c r="L465" s="229" t="n"/>
      <c r="M465" s="229" t="n"/>
      <c r="N465" s="229" t="n"/>
      <c r="O465" s="229" t="n"/>
      <c r="P465" s="229" t="n"/>
      <c r="Q465" s="229" t="n"/>
      <c r="R465" s="229" t="n"/>
      <c r="S465" s="229" t="n"/>
      <c r="T465" s="43">
        <f>A139</f>
        <v/>
      </c>
      <c r="U465" s="91">
        <f>U139</f>
        <v/>
      </c>
      <c r="V465" s="50" t="n"/>
      <c r="W465" s="50" t="n"/>
      <c r="X465" s="50" t="n"/>
      <c r="Y465" s="50" t="n"/>
      <c r="Z465" s="50" t="n"/>
      <c r="AA465" s="50" t="n"/>
      <c r="AB465" s="50" t="n"/>
      <c r="AC465" s="50" t="n"/>
      <c r="AD465" s="50" t="n"/>
      <c r="AE465" s="50" t="n"/>
      <c r="AH465" s="233" t="n"/>
      <c r="AI465" s="233" t="n"/>
    </row>
    <row r="466" customFormat="1" s="228">
      <c r="A466" s="43" t="inlineStr">
        <is>
          <t>dont actions japonaises</t>
        </is>
      </c>
      <c r="B466" s="92">
        <f>+U424</f>
        <v/>
      </c>
      <c r="C466" s="229" t="n"/>
      <c r="G466" s="229" t="n"/>
      <c r="H466" s="229" t="n"/>
      <c r="I466" s="229" t="n"/>
      <c r="J466" s="229" t="n"/>
      <c r="K466" s="229" t="n"/>
      <c r="L466" s="229" t="n"/>
      <c r="M466" s="229" t="n"/>
      <c r="N466" s="229" t="n"/>
      <c r="O466" s="229" t="n"/>
      <c r="P466" s="229" t="n"/>
      <c r="Q466" s="229" t="n"/>
      <c r="R466" s="229" t="n"/>
      <c r="S466" s="229" t="n"/>
      <c r="T466" s="43">
        <f>A173</f>
        <v/>
      </c>
      <c r="U466" s="92">
        <f>U173</f>
        <v/>
      </c>
      <c r="V466" s="51" t="n"/>
      <c r="W466" s="51" t="n"/>
      <c r="X466" s="51" t="n"/>
      <c r="Y466" s="51" t="n"/>
      <c r="Z466" s="51" t="n"/>
      <c r="AA466" s="51" t="n"/>
      <c r="AB466" s="51" t="n"/>
      <c r="AC466" s="51" t="n"/>
      <c r="AD466" s="51" t="n"/>
      <c r="AE466" s="51" t="n"/>
      <c r="AH466" s="233" t="n"/>
      <c r="AI466" s="233" t="n"/>
    </row>
    <row r="467" customFormat="1" s="228">
      <c r="A467" s="44" t="inlineStr">
        <is>
          <t>dont actions marchés émergents</t>
        </is>
      </c>
      <c r="B467" s="93">
        <f>+U431</f>
        <v/>
      </c>
      <c r="C467" s="229" t="n"/>
      <c r="G467" s="229" t="n"/>
      <c r="H467" s="229" t="n"/>
      <c r="I467" s="229" t="n"/>
      <c r="J467" s="229" t="n"/>
      <c r="K467" s="229" t="n"/>
      <c r="L467" s="229" t="n"/>
      <c r="M467" s="229" t="n"/>
      <c r="N467" s="229" t="n"/>
      <c r="O467" s="229" t="n"/>
      <c r="P467" s="229" t="n"/>
      <c r="Q467" s="229" t="n"/>
      <c r="R467" s="229" t="n"/>
      <c r="S467" s="229" t="n"/>
      <c r="T467" s="43">
        <f>A194</f>
        <v/>
      </c>
      <c r="U467" s="92">
        <f>U194</f>
        <v/>
      </c>
      <c r="V467" s="51" t="n"/>
      <c r="W467" s="51" t="n"/>
      <c r="X467" s="51" t="n"/>
      <c r="Y467" s="51" t="n"/>
      <c r="Z467" s="51" t="n"/>
      <c r="AA467" s="51" t="n"/>
      <c r="AB467" s="51" t="n"/>
      <c r="AC467" s="51" t="n"/>
      <c r="AD467" s="51" t="n"/>
      <c r="AE467" s="51" t="n"/>
      <c r="AH467" s="233" t="n"/>
      <c r="AI467" s="233" t="n"/>
    </row>
    <row r="468" hidden="1" ht="9.75" customFormat="1" customHeight="1" s="228">
      <c r="B468" s="45" t="n"/>
      <c r="C468" s="229" t="n"/>
      <c r="G468" s="229" t="n"/>
      <c r="H468" s="229" t="n"/>
      <c r="I468" s="229" t="n"/>
      <c r="J468" s="229" t="n"/>
      <c r="K468" s="229" t="n"/>
      <c r="L468" s="229" t="n"/>
      <c r="M468" s="229" t="n"/>
      <c r="N468" s="229" t="n"/>
      <c r="O468" s="229" t="n"/>
      <c r="P468" s="229" t="n"/>
      <c r="Q468" s="229" t="n"/>
      <c r="R468" s="229" t="n"/>
      <c r="S468" s="229" t="n"/>
      <c r="T468" s="46" t="n"/>
      <c r="U468" s="91" t="n"/>
      <c r="V468" s="50" t="n"/>
      <c r="W468" s="50" t="n"/>
      <c r="X468" s="50" t="n"/>
      <c r="Y468" s="50" t="n"/>
      <c r="Z468" s="50" t="n"/>
      <c r="AA468" s="50" t="n"/>
      <c r="AB468" s="50" t="n"/>
      <c r="AC468" s="50" t="n"/>
      <c r="AD468" s="50" t="n"/>
      <c r="AE468" s="50" t="n"/>
      <c r="AH468" s="233" t="n"/>
      <c r="AI468" s="233" t="n"/>
    </row>
    <row r="469" customFormat="1" s="228">
      <c r="B469" s="45" t="n"/>
      <c r="C469" s="229" t="n"/>
      <c r="G469" s="229" t="n"/>
      <c r="H469" s="229" t="n"/>
      <c r="I469" s="229" t="n"/>
      <c r="J469" s="229" t="n"/>
      <c r="K469" s="229" t="n"/>
      <c r="L469" s="229" t="n"/>
      <c r="M469" s="229" t="n"/>
      <c r="N469" s="229" t="n"/>
      <c r="O469" s="229" t="n"/>
      <c r="P469" s="229" t="n"/>
      <c r="Q469" s="229" t="n"/>
      <c r="R469" s="229" t="n"/>
      <c r="S469" s="229" t="n"/>
      <c r="T469" s="43">
        <f>A230</f>
        <v/>
      </c>
      <c r="U469" s="92">
        <f>U230</f>
        <v/>
      </c>
      <c r="V469" s="51" t="n"/>
      <c r="W469" s="51" t="n"/>
      <c r="X469" s="51" t="n"/>
      <c r="Y469" s="51" t="n"/>
      <c r="Z469" s="51" t="n"/>
      <c r="AA469" s="51" t="n"/>
      <c r="AB469" s="51" t="n"/>
      <c r="AC469" s="51" t="n"/>
      <c r="AD469" s="51" t="n"/>
      <c r="AE469" s="51" t="n"/>
      <c r="AH469" s="233" t="n"/>
      <c r="AI469" s="233" t="n"/>
    </row>
    <row r="470" customFormat="1" s="228">
      <c r="B470" s="47" t="n"/>
      <c r="C470" s="229" t="n"/>
      <c r="G470" s="229" t="n"/>
      <c r="H470" s="229" t="n"/>
      <c r="I470" s="229" t="n"/>
      <c r="J470" s="229" t="n"/>
      <c r="K470" s="229" t="n"/>
      <c r="L470" s="229" t="n"/>
      <c r="M470" s="229" t="n"/>
      <c r="N470" s="229" t="n"/>
      <c r="O470" s="229" t="n"/>
      <c r="P470" s="229" t="n"/>
      <c r="Q470" s="229" t="n"/>
      <c r="R470" s="229" t="n"/>
      <c r="S470" s="229" t="n"/>
      <c r="T470" s="44">
        <f>A311</f>
        <v/>
      </c>
      <c r="U470" s="93">
        <f>U311</f>
        <v/>
      </c>
      <c r="V470" s="51" t="n"/>
      <c r="W470" s="51" t="n"/>
      <c r="X470" s="51" t="n"/>
      <c r="Y470" s="51" t="n"/>
      <c r="Z470" s="51" t="n"/>
      <c r="AA470" s="51" t="n"/>
      <c r="AB470" s="51" t="n"/>
      <c r="AC470" s="51" t="n"/>
      <c r="AD470" s="51" t="n"/>
      <c r="AE470" s="51" t="n"/>
      <c r="AH470" s="233" t="n"/>
      <c r="AI470" s="233" t="n"/>
    </row>
    <row r="471" ht="9.75" customFormat="1" customHeight="1" s="228">
      <c r="B471" s="47" t="n"/>
      <c r="C471" s="229" t="n"/>
      <c r="D471" s="229" t="n"/>
      <c r="E471" s="229" t="n"/>
      <c r="F471" s="229" t="n"/>
      <c r="G471" s="229" t="n"/>
      <c r="H471" s="229" t="n"/>
      <c r="I471" s="229" t="n"/>
      <c r="J471" s="229" t="n"/>
      <c r="K471" s="229" t="n"/>
      <c r="L471" s="229" t="n"/>
      <c r="M471" s="229" t="n"/>
      <c r="N471" s="229" t="n"/>
      <c r="O471" s="229" t="n"/>
      <c r="P471" s="229" t="n"/>
      <c r="Q471" s="229" t="n"/>
      <c r="R471" s="229" t="n"/>
      <c r="S471" s="229" t="n"/>
      <c r="T471" s="229" t="n"/>
      <c r="U471" s="41" t="n"/>
      <c r="V471" s="41" t="n"/>
      <c r="W471" s="41" t="n"/>
      <c r="X471" s="41" t="n"/>
      <c r="Y471" s="41" t="n"/>
      <c r="Z471" s="41" t="n"/>
      <c r="AA471" s="41" t="n"/>
      <c r="AB471" s="41" t="n"/>
      <c r="AC471" s="41" t="n"/>
      <c r="AD471" s="41" t="n"/>
      <c r="AE471" s="41" t="n"/>
      <c r="AF471" s="47" t="n"/>
      <c r="AG471" s="47" t="n"/>
      <c r="AH471" s="233" t="n"/>
      <c r="AI471" s="233" t="n"/>
    </row>
    <row r="472" ht="9.75" customFormat="1" customHeight="1" s="228">
      <c r="C472" s="229" t="n"/>
      <c r="D472" s="229" t="n"/>
      <c r="E472" s="229" t="n"/>
      <c r="F472" s="229" t="n"/>
      <c r="G472" s="229" t="n"/>
      <c r="H472" s="229" t="n"/>
      <c r="I472" s="229" t="n"/>
      <c r="J472" s="229" t="n"/>
      <c r="K472" s="229" t="n"/>
      <c r="L472" s="229" t="n"/>
      <c r="M472" s="229" t="n"/>
      <c r="N472" s="229" t="n"/>
      <c r="O472" s="229" t="n"/>
      <c r="P472" s="229" t="n"/>
      <c r="Q472" s="229" t="n"/>
      <c r="R472" s="229" t="n"/>
      <c r="S472" s="229" t="n"/>
      <c r="T472" s="229" t="n"/>
      <c r="U472" s="41" t="n"/>
      <c r="V472" s="41" t="n"/>
      <c r="W472" s="41" t="n"/>
      <c r="X472" s="41" t="n"/>
      <c r="Y472" s="41" t="n"/>
      <c r="Z472" s="41" t="n"/>
      <c r="AA472" s="41" t="n"/>
      <c r="AB472" s="41" t="n"/>
      <c r="AC472" s="41" t="n"/>
      <c r="AD472" s="41" t="n"/>
      <c r="AE472" s="41" t="n"/>
      <c r="AF472" s="47" t="n"/>
      <c r="AG472" s="47" t="n"/>
      <c r="AH472" s="233" t="n"/>
      <c r="AI472" s="233" t="n"/>
    </row>
    <row r="473" ht="9.75" customFormat="1" customHeight="1" s="228">
      <c r="C473" s="229" t="n"/>
      <c r="D473" s="229" t="n"/>
      <c r="E473" s="229" t="n"/>
      <c r="F473" s="229" t="n"/>
      <c r="G473" s="229" t="n"/>
      <c r="H473" s="229" t="n"/>
      <c r="I473" s="229" t="n"/>
      <c r="J473" s="229" t="n"/>
      <c r="K473" s="229" t="n"/>
      <c r="L473" s="229" t="n"/>
      <c r="M473" s="229" t="n"/>
      <c r="N473" s="229" t="n"/>
      <c r="O473" s="229" t="n"/>
      <c r="P473" s="229" t="n"/>
      <c r="Q473" s="229" t="n"/>
      <c r="R473" s="229" t="n"/>
      <c r="S473" s="229" t="n"/>
      <c r="T473" s="229" t="n"/>
      <c r="U473" s="41" t="n"/>
      <c r="V473" s="41" t="n"/>
      <c r="W473" s="41" t="n"/>
      <c r="X473" s="41" t="n"/>
      <c r="Y473" s="41" t="n"/>
      <c r="Z473" s="41" t="n"/>
      <c r="AA473" s="41" t="n"/>
      <c r="AB473" s="41" t="n"/>
      <c r="AC473" s="41" t="n"/>
      <c r="AD473" s="41" t="n"/>
      <c r="AE473" s="41" t="n"/>
      <c r="AF473" s="47" t="n"/>
      <c r="AG473" s="47" t="n"/>
      <c r="AH473" s="233" t="n"/>
      <c r="AI473" s="233" t="n"/>
    </row>
    <row r="474" ht="9.75" customFormat="1" customHeight="1" s="228">
      <c r="C474" s="229" t="n"/>
      <c r="D474" s="229" t="n"/>
      <c r="E474" s="229" t="n"/>
      <c r="F474" s="229" t="n"/>
      <c r="G474" s="229" t="n"/>
      <c r="H474" s="229" t="n"/>
      <c r="I474" s="229" t="n"/>
      <c r="J474" s="229" t="n"/>
      <c r="K474" s="229" t="n"/>
      <c r="L474" s="229" t="n"/>
      <c r="M474" s="229" t="n"/>
      <c r="N474" s="229" t="n"/>
      <c r="O474" s="229" t="n"/>
      <c r="P474" s="229" t="n"/>
      <c r="Q474" s="229" t="n"/>
      <c r="R474" s="229" t="n"/>
      <c r="S474" s="229" t="n"/>
      <c r="T474" s="229" t="n"/>
      <c r="U474" s="41" t="n"/>
      <c r="V474" s="41" t="n"/>
      <c r="W474" s="41" t="n"/>
      <c r="X474" s="41" t="n"/>
      <c r="Y474" s="41" t="n"/>
      <c r="Z474" s="41" t="n"/>
      <c r="AA474" s="41" t="n"/>
      <c r="AB474" s="41" t="n"/>
      <c r="AC474" s="41" t="n"/>
      <c r="AD474" s="41" t="n"/>
      <c r="AE474" s="41" t="n"/>
      <c r="AF474" s="47" t="n"/>
      <c r="AG474" s="47" t="n"/>
      <c r="AH474" s="233" t="n"/>
      <c r="AI474" s="233" t="n"/>
    </row>
    <row r="475" ht="9.75" customFormat="1" customHeight="1" s="228">
      <c r="C475" s="229" t="n"/>
      <c r="D475" s="229" t="n"/>
      <c r="E475" s="229" t="n"/>
      <c r="F475" s="229" t="n"/>
      <c r="G475" s="229" t="n"/>
      <c r="H475" s="229" t="n"/>
      <c r="I475" s="229" t="n"/>
      <c r="J475" s="229" t="n"/>
      <c r="K475" s="229" t="n"/>
      <c r="L475" s="229" t="n"/>
      <c r="M475" s="229" t="n"/>
      <c r="N475" s="229" t="n"/>
      <c r="O475" s="229" t="n"/>
      <c r="P475" s="229" t="n"/>
      <c r="Q475" s="229" t="n"/>
      <c r="R475" s="229" t="n"/>
      <c r="S475" s="229" t="n"/>
      <c r="T475" s="229" t="n"/>
      <c r="U475" s="41" t="n"/>
      <c r="V475" s="41" t="n"/>
      <c r="W475" s="41" t="n"/>
      <c r="X475" s="41" t="n"/>
      <c r="Y475" s="41" t="n"/>
      <c r="Z475" s="41" t="n"/>
      <c r="AA475" s="41" t="n"/>
      <c r="AB475" s="41" t="n"/>
      <c r="AC475" s="41" t="n"/>
      <c r="AD475" s="41" t="n"/>
      <c r="AE475" s="41" t="n"/>
      <c r="AF475" s="47" t="n"/>
      <c r="AG475" s="47" t="n"/>
      <c r="AH475" s="233" t="n"/>
      <c r="AI475" s="233" t="n"/>
    </row>
    <row r="476" ht="9.75" customFormat="1" customHeight="1" s="228">
      <c r="C476" s="229" t="n"/>
      <c r="D476" s="229" t="n"/>
      <c r="E476" s="229" t="n"/>
      <c r="F476" s="229" t="n"/>
      <c r="G476" s="229" t="n"/>
      <c r="H476" s="229" t="n"/>
      <c r="I476" s="229" t="n"/>
      <c r="J476" s="229" t="n"/>
      <c r="K476" s="229" t="n"/>
      <c r="L476" s="229" t="n"/>
      <c r="M476" s="229" t="n"/>
      <c r="N476" s="229" t="n"/>
      <c r="O476" s="229" t="n"/>
      <c r="P476" s="229" t="n"/>
      <c r="Q476" s="229" t="n"/>
      <c r="R476" s="229" t="n"/>
      <c r="S476" s="229" t="n"/>
      <c r="T476" s="229" t="n"/>
      <c r="U476" s="41" t="n"/>
      <c r="V476" s="41" t="n"/>
      <c r="W476" s="41" t="n"/>
      <c r="X476" s="41" t="n"/>
      <c r="Y476" s="41" t="n"/>
      <c r="Z476" s="41" t="n"/>
      <c r="AA476" s="41" t="n"/>
      <c r="AB476" s="41" t="n"/>
      <c r="AC476" s="41" t="n"/>
      <c r="AD476" s="41" t="n"/>
      <c r="AE476" s="41" t="n"/>
      <c r="AF476" s="47" t="n"/>
      <c r="AG476" s="47" t="n"/>
      <c r="AH476" s="233" t="n"/>
      <c r="AI476" s="233" t="n"/>
    </row>
    <row r="477" ht="9.75" customFormat="1" customHeight="1" s="228">
      <c r="C477" s="229" t="n"/>
      <c r="D477" s="229" t="n"/>
      <c r="E477" s="229" t="n"/>
      <c r="F477" s="229" t="n"/>
      <c r="G477" s="229" t="n"/>
      <c r="H477" s="229" t="n"/>
      <c r="I477" s="229" t="n"/>
      <c r="J477" s="229" t="n"/>
      <c r="K477" s="229" t="n"/>
      <c r="L477" s="229" t="n"/>
      <c r="M477" s="229" t="n"/>
      <c r="N477" s="229" t="n"/>
      <c r="O477" s="229" t="n"/>
      <c r="P477" s="229" t="n"/>
      <c r="Q477" s="229" t="n"/>
      <c r="R477" s="229" t="n"/>
      <c r="S477" s="229" t="n"/>
      <c r="T477" s="229" t="n"/>
      <c r="U477" s="41" t="n"/>
      <c r="V477" s="41" t="n"/>
      <c r="W477" s="41" t="n"/>
      <c r="X477" s="41" t="n"/>
      <c r="Y477" s="41" t="n"/>
      <c r="Z477" s="41" t="n"/>
      <c r="AA477" s="41" t="n"/>
      <c r="AB477" s="41" t="n"/>
      <c r="AC477" s="41" t="n"/>
      <c r="AD477" s="41" t="n"/>
      <c r="AE477" s="41" t="n"/>
      <c r="AF477" s="47" t="n"/>
      <c r="AG477" s="47" t="n"/>
      <c r="AH477" s="233" t="n"/>
      <c r="AI477" s="233" t="n"/>
    </row>
    <row r="478" ht="9.75" customFormat="1" customHeight="1" s="228">
      <c r="C478" s="229" t="n"/>
      <c r="D478" s="229" t="n"/>
      <c r="E478" s="229" t="n"/>
      <c r="F478" s="229" t="n"/>
      <c r="G478" s="229" t="n"/>
      <c r="H478" s="229" t="n"/>
      <c r="I478" s="229" t="n"/>
      <c r="J478" s="229" t="n"/>
      <c r="K478" s="229" t="n"/>
      <c r="L478" s="229" t="n"/>
      <c r="M478" s="229" t="n"/>
      <c r="N478" s="229" t="n"/>
      <c r="O478" s="229" t="n"/>
      <c r="P478" s="229" t="n"/>
      <c r="Q478" s="229" t="n"/>
      <c r="R478" s="229" t="n"/>
      <c r="S478" s="229" t="n"/>
      <c r="T478" s="229" t="n"/>
      <c r="U478" s="41" t="n"/>
      <c r="V478" s="41" t="n"/>
      <c r="W478" s="41" t="n"/>
      <c r="X478" s="41" t="n"/>
      <c r="Y478" s="41" t="n"/>
      <c r="Z478" s="41" t="n"/>
      <c r="AA478" s="41" t="n"/>
      <c r="AB478" s="41" t="n"/>
      <c r="AC478" s="41" t="n"/>
      <c r="AD478" s="41" t="n"/>
      <c r="AE478" s="41" t="n"/>
      <c r="AF478" s="47" t="n"/>
      <c r="AG478" s="47" t="n"/>
      <c r="AH478" s="233" t="n"/>
      <c r="AI478" s="233" t="n"/>
    </row>
    <row r="479" ht="9.75" customHeight="1">
      <c r="C479" s="48" t="n"/>
      <c r="D479" s="48" t="n"/>
      <c r="E479" s="48" t="n"/>
      <c r="F479" s="48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9" t="n"/>
      <c r="V479" s="49" t="n"/>
      <c r="W479" s="49" t="n"/>
      <c r="X479" s="49" t="n"/>
      <c r="Y479" s="49" t="n"/>
      <c r="Z479" s="49" t="n"/>
      <c r="AA479" s="49" t="n"/>
      <c r="AB479" s="49" t="n"/>
      <c r="AC479" s="49" t="n"/>
      <c r="AD479" s="49" t="n"/>
      <c r="AE479" s="49" t="n"/>
      <c r="AF479" s="32" t="n"/>
      <c r="AG479" s="32" t="n"/>
    </row>
    <row r="480" ht="9.75" customHeight="1">
      <c r="C480" s="48" t="n"/>
      <c r="D480" s="48" t="n"/>
      <c r="E480" s="48" t="n"/>
      <c r="F480" s="48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9" t="n"/>
      <c r="V480" s="49" t="n"/>
      <c r="W480" s="49" t="n"/>
      <c r="X480" s="49" t="n"/>
      <c r="Y480" s="49" t="n"/>
      <c r="Z480" s="49" t="n"/>
      <c r="AA480" s="49" t="n"/>
      <c r="AB480" s="49" t="n"/>
      <c r="AC480" s="49" t="n"/>
      <c r="AD480" s="49" t="n"/>
      <c r="AE480" s="49" t="n"/>
      <c r="AF480" s="32" t="n"/>
      <c r="AG480" s="32" t="n"/>
    </row>
    <row r="481" ht="9.75" customHeight="1">
      <c r="A481" s="32" t="n"/>
      <c r="B481" s="45" t="n"/>
      <c r="C481" s="48" t="n"/>
      <c r="D481" s="48" t="n"/>
      <c r="E481" s="48" t="n"/>
      <c r="F481" s="48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9" t="n"/>
      <c r="V481" s="49" t="n"/>
      <c r="W481" s="49" t="n"/>
      <c r="X481" s="49" t="n"/>
      <c r="Y481" s="49" t="n"/>
      <c r="Z481" s="49" t="n"/>
      <c r="AA481" s="49" t="n"/>
      <c r="AB481" s="49" t="n"/>
      <c r="AC481" s="49" t="n"/>
      <c r="AD481" s="49" t="n"/>
      <c r="AE481" s="49" t="n"/>
      <c r="AF481" s="32" t="n"/>
      <c r="AG481" s="32" t="n"/>
    </row>
    <row r="482" ht="9.75" customHeight="1">
      <c r="A482" s="32" t="n"/>
      <c r="B482" s="45" t="n"/>
      <c r="C482" s="48" t="n"/>
      <c r="D482" s="48" t="n"/>
      <c r="E482" s="48" t="n"/>
      <c r="F482" s="48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9" t="n"/>
      <c r="V482" s="49" t="n"/>
      <c r="W482" s="49" t="n"/>
      <c r="X482" s="49" t="n"/>
      <c r="Y482" s="49" t="n"/>
      <c r="Z482" s="49" t="n"/>
      <c r="AA482" s="49" t="n"/>
      <c r="AB482" s="49" t="n"/>
      <c r="AC482" s="49" t="n"/>
      <c r="AD482" s="49" t="n"/>
      <c r="AE482" s="49" t="n"/>
      <c r="AF482" s="32" t="n"/>
      <c r="AG482" s="32" t="n"/>
    </row>
    <row r="483" ht="9.75" customHeight="1">
      <c r="A483" s="32" t="n"/>
      <c r="B483" s="45" t="n"/>
      <c r="C483" s="48" t="n"/>
      <c r="D483" s="48" t="n"/>
      <c r="E483" s="48" t="n"/>
      <c r="F483" s="48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9" t="n"/>
      <c r="V483" s="49" t="n"/>
      <c r="W483" s="49" t="n"/>
      <c r="X483" s="49" t="n"/>
      <c r="Y483" s="49" t="n"/>
      <c r="Z483" s="49" t="n"/>
      <c r="AA483" s="49" t="n"/>
      <c r="AB483" s="49" t="n"/>
      <c r="AC483" s="49" t="n"/>
      <c r="AD483" s="49" t="n"/>
      <c r="AE483" s="49" t="n"/>
      <c r="AF483" s="32" t="n"/>
      <c r="AG483" s="32" t="n"/>
    </row>
  </sheetData>
  <mergeCells count="18">
    <mergeCell ref="A139:B139"/>
    <mergeCell ref="A1:AG1"/>
    <mergeCell ref="V5:AE5"/>
    <mergeCell ref="V6:W6"/>
    <mergeCell ref="Z6:AA6"/>
    <mergeCell ref="A461:D461"/>
    <mergeCell ref="A3:AG3"/>
    <mergeCell ref="X6:Y6"/>
    <mergeCell ref="AB6:AC6"/>
    <mergeCell ref="A173:B173"/>
    <mergeCell ref="T6:U6"/>
    <mergeCell ref="A230:B230"/>
    <mergeCell ref="A194:B194"/>
    <mergeCell ref="AD6:AE6"/>
    <mergeCell ref="A6:A7"/>
    <mergeCell ref="A8:B8"/>
    <mergeCell ref="B6:B7"/>
    <mergeCell ref="A311:B311"/>
  </mergeCells>
  <hyperlinks>
    <hyperlink xmlns:r="http://schemas.openxmlformats.org/officeDocument/2006/relationships" ref="B330" r:id="rId1"/>
    <hyperlink xmlns:r="http://schemas.openxmlformats.org/officeDocument/2006/relationships" ref="B336" r:id="rId2"/>
    <hyperlink xmlns:r="http://schemas.openxmlformats.org/officeDocument/2006/relationships" ref="B460" r:id="rId3"/>
  </hyperlinks>
  <printOptions horizontalCentered="1" verticalCentered="1"/>
  <pageMargins left="0" right="0" top="0" bottom="0" header="0.511811023622047" footer="0.511811023622047"/>
  <pageSetup orientation="landscape" paperSize="8" scale="12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6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>
      <c r="A1" s="310" t="inlineStr">
        <is>
          <t>ISIN</t>
        </is>
      </c>
      <c r="B1" s="310" t="inlineStr">
        <is>
          <t>Nom</t>
        </is>
      </c>
      <c r="C1" s="310" t="inlineStr">
        <is>
          <t>Type</t>
        </is>
      </c>
      <c r="D1" s="310" t="inlineStr">
        <is>
          <t>Cutoff</t>
        </is>
      </c>
      <c r="E1" s="310" t="inlineStr">
        <is>
          <t>Valorisation</t>
        </is>
      </c>
      <c r="F1" s="310" t="inlineStr">
        <is>
          <t>Execution</t>
        </is>
      </c>
      <c r="G1" s="310" t="inlineStr">
        <is>
          <t>PublicationVL</t>
        </is>
      </c>
      <c r="H1" s="310" t="inlineStr">
        <is>
          <t>ReglementCash</t>
        </is>
      </c>
      <c r="I1" s="310" t="inlineStr">
        <is>
          <t>CleComposite</t>
        </is>
      </c>
    </row>
    <row r="2">
      <c r="A2" t="inlineStr">
        <is>
          <t>LU2702161618</t>
        </is>
      </c>
      <c r="B2" t="inlineStr"/>
      <c r="C2" t="inlineStr">
        <is>
          <t>Souscription</t>
        </is>
      </c>
      <c r="D2" s="311" t="n">
        <v>45649</v>
      </c>
      <c r="E2" s="311" t="n">
        <v>45657</v>
      </c>
      <c r="F2" s="311" t="n">
        <v>45658</v>
      </c>
      <c r="G2" s="311" t="n">
        <v>45680</v>
      </c>
      <c r="H2" s="311" t="n">
        <v>45653</v>
      </c>
      <c r="I2" t="inlineStr">
        <is>
          <t>LU2702161618|Souscription|2024-12-23</t>
        </is>
      </c>
    </row>
    <row r="3">
      <c r="A3" t="inlineStr">
        <is>
          <t>LU2702161618</t>
        </is>
      </c>
      <c r="B3" t="inlineStr"/>
      <c r="C3" t="inlineStr">
        <is>
          <t>Souscription</t>
        </is>
      </c>
      <c r="D3" s="311" t="n">
        <v>45684</v>
      </c>
      <c r="E3" s="311" t="n">
        <v>45688</v>
      </c>
      <c r="F3" s="311" t="n">
        <v>45689</v>
      </c>
      <c r="G3" s="311" t="n">
        <v>45712</v>
      </c>
      <c r="H3" s="311" t="n">
        <v>45686</v>
      </c>
      <c r="I3" t="inlineStr">
        <is>
          <t>LU2702161618|Souscription|2025-01-27</t>
        </is>
      </c>
    </row>
    <row r="4">
      <c r="A4" t="inlineStr">
        <is>
          <t>LU2702161618</t>
        </is>
      </c>
      <c r="B4" t="inlineStr"/>
      <c r="C4" t="inlineStr">
        <is>
          <t>Souscription</t>
        </is>
      </c>
      <c r="D4" s="311" t="n">
        <v>45712</v>
      </c>
      <c r="E4" s="311" t="n">
        <v>45716</v>
      </c>
      <c r="F4" s="311" t="n">
        <v>45717</v>
      </c>
      <c r="G4" s="311" t="n">
        <v>45737</v>
      </c>
      <c r="H4" s="311" t="n">
        <v>45714</v>
      </c>
      <c r="I4" t="inlineStr">
        <is>
          <t>LU2702161618|Souscription|2025-02-24</t>
        </is>
      </c>
    </row>
    <row r="5">
      <c r="A5" t="inlineStr">
        <is>
          <t>LU2702161618</t>
        </is>
      </c>
      <c r="B5" t="inlineStr"/>
      <c r="C5" t="inlineStr">
        <is>
          <t>Souscription</t>
        </is>
      </c>
      <c r="D5" s="311" t="n">
        <v>45741</v>
      </c>
      <c r="E5" s="311" t="n">
        <v>45747</v>
      </c>
      <c r="F5" s="311" t="n">
        <v>45748</v>
      </c>
      <c r="G5" s="311" t="n">
        <v>45770</v>
      </c>
      <c r="H5" s="311" t="n">
        <v>45743</v>
      </c>
      <c r="I5" t="inlineStr">
        <is>
          <t>LU2702161618|Souscription|2025-03-25</t>
        </is>
      </c>
    </row>
    <row r="6">
      <c r="A6" t="inlineStr">
        <is>
          <t>LU2702161618</t>
        </is>
      </c>
      <c r="B6" t="inlineStr"/>
      <c r="C6" t="inlineStr">
        <is>
          <t>Souscription</t>
        </is>
      </c>
      <c r="D6" s="311" t="n">
        <v>45771</v>
      </c>
      <c r="E6" s="311" t="n">
        <v>45777</v>
      </c>
      <c r="F6" s="311" t="n">
        <v>45778</v>
      </c>
      <c r="G6" s="311" t="n">
        <v>45804</v>
      </c>
      <c r="H6" s="311" t="n">
        <v>45775</v>
      </c>
      <c r="I6" t="inlineStr">
        <is>
          <t>LU2702161618|Souscription|2025-04-24</t>
        </is>
      </c>
    </row>
    <row r="7">
      <c r="A7" t="inlineStr">
        <is>
          <t>LU2702161618</t>
        </is>
      </c>
      <c r="B7" t="inlineStr"/>
      <c r="C7" t="inlineStr">
        <is>
          <t>Souscription</t>
        </is>
      </c>
      <c r="D7" s="311" t="n">
        <v>45799</v>
      </c>
      <c r="E7" s="311" t="n">
        <v>45808</v>
      </c>
      <c r="F7" s="311" t="n">
        <v>45809</v>
      </c>
      <c r="G7" s="311" t="n">
        <v>45832</v>
      </c>
      <c r="H7" s="311" t="n">
        <v>45804</v>
      </c>
      <c r="I7" t="inlineStr">
        <is>
          <t>LU2702161618|Souscription|2025-05-22</t>
        </is>
      </c>
    </row>
    <row r="8">
      <c r="A8" t="inlineStr">
        <is>
          <t>LU2702161618</t>
        </is>
      </c>
      <c r="B8" t="inlineStr"/>
      <c r="C8" t="inlineStr">
        <is>
          <t>Souscription</t>
        </is>
      </c>
      <c r="D8" s="311" t="n">
        <v>45832</v>
      </c>
      <c r="E8" s="311" t="n">
        <v>45838</v>
      </c>
      <c r="F8" s="311" t="n">
        <v>45839</v>
      </c>
      <c r="G8" s="311" t="n">
        <v>45860</v>
      </c>
      <c r="H8" s="311" t="n">
        <v>45834</v>
      </c>
      <c r="I8" t="inlineStr">
        <is>
          <t>LU2702161618|Souscription|2025-06-24</t>
        </is>
      </c>
    </row>
    <row r="9">
      <c r="A9" t="inlineStr">
        <is>
          <t>LU2702161618</t>
        </is>
      </c>
      <c r="B9" t="inlineStr"/>
      <c r="C9" t="inlineStr">
        <is>
          <t>Souscription</t>
        </is>
      </c>
      <c r="D9" s="311" t="n">
        <v>45863</v>
      </c>
      <c r="E9" s="311" t="n">
        <v>45869</v>
      </c>
      <c r="F9" s="311" t="n">
        <v>45870</v>
      </c>
      <c r="G9" s="311" t="n">
        <v>45891</v>
      </c>
      <c r="H9" s="311" t="n">
        <v>45867</v>
      </c>
      <c r="I9" t="inlineStr">
        <is>
          <t>LU2702161618|Souscription|2025-07-25</t>
        </is>
      </c>
    </row>
    <row r="10">
      <c r="A10" t="inlineStr">
        <is>
          <t>LU2702161618</t>
        </is>
      </c>
      <c r="B10" t="inlineStr"/>
      <c r="C10" t="inlineStr">
        <is>
          <t>Souscription</t>
        </is>
      </c>
      <c r="D10" s="311" t="n">
        <v>45891</v>
      </c>
      <c r="E10" s="311" t="n">
        <v>45900</v>
      </c>
      <c r="F10" s="311" t="n">
        <v>45901</v>
      </c>
      <c r="G10" s="311" t="n">
        <v>45922</v>
      </c>
      <c r="H10" s="311" t="n">
        <v>45896</v>
      </c>
      <c r="I10" t="inlineStr">
        <is>
          <t>LU2702161618|Souscription|2025-08-22</t>
        </is>
      </c>
    </row>
    <row r="11">
      <c r="A11" t="inlineStr">
        <is>
          <t>LU2702161618</t>
        </is>
      </c>
      <c r="B11" t="inlineStr"/>
      <c r="C11" t="inlineStr">
        <is>
          <t>Souscription</t>
        </is>
      </c>
      <c r="D11" s="311" t="n">
        <v>45924</v>
      </c>
      <c r="E11" s="311" t="n">
        <v>45930</v>
      </c>
      <c r="F11" s="311" t="n">
        <v>45931</v>
      </c>
      <c r="G11" s="311" t="n">
        <v>45952</v>
      </c>
      <c r="H11" s="311" t="n">
        <v>45926</v>
      </c>
      <c r="I11" t="inlineStr">
        <is>
          <t>LU2702161618|Souscription|2025-09-24</t>
        </is>
      </c>
    </row>
    <row r="12">
      <c r="A12" t="inlineStr">
        <is>
          <t>LU2702161618</t>
        </is>
      </c>
      <c r="B12" t="inlineStr"/>
      <c r="C12" t="inlineStr">
        <is>
          <t>Souscription</t>
        </is>
      </c>
      <c r="D12" s="311" t="n">
        <v>45957</v>
      </c>
      <c r="E12" s="311" t="n">
        <v>45961</v>
      </c>
      <c r="F12" s="311" t="n">
        <v>45962</v>
      </c>
      <c r="G12" s="311" t="n">
        <v>45985</v>
      </c>
      <c r="H12" s="311" t="n">
        <v>45959</v>
      </c>
      <c r="I12" t="inlineStr">
        <is>
          <t>LU2702161618|Souscription|2025-10-27</t>
        </is>
      </c>
    </row>
    <row r="13">
      <c r="A13" t="inlineStr">
        <is>
          <t>LU2702161618</t>
        </is>
      </c>
      <c r="B13" t="inlineStr"/>
      <c r="C13" t="inlineStr">
        <is>
          <t>Souscription</t>
        </is>
      </c>
      <c r="D13" s="311" t="n">
        <v>45982</v>
      </c>
      <c r="E13" s="311" t="n">
        <v>45991</v>
      </c>
      <c r="F13" s="311" t="n">
        <v>45992</v>
      </c>
      <c r="G13" s="311" t="n">
        <v>46010</v>
      </c>
      <c r="H13" s="311" t="n">
        <v>45986</v>
      </c>
      <c r="I13" t="inlineStr">
        <is>
          <t>LU2702161618|Souscription|2025-11-21</t>
        </is>
      </c>
    </row>
    <row r="14">
      <c r="A14" t="inlineStr">
        <is>
          <t>LU2702161618</t>
        </is>
      </c>
      <c r="B14" t="inlineStr"/>
      <c r="C14" t="inlineStr">
        <is>
          <t>Souscription</t>
        </is>
      </c>
      <c r="D14" s="311" t="n">
        <v>46013</v>
      </c>
      <c r="E14" s="311" t="n">
        <v>46022</v>
      </c>
      <c r="F14" s="311" t="n">
        <v>46023</v>
      </c>
      <c r="G14" s="311" t="n">
        <v>46043</v>
      </c>
      <c r="H14" s="311" t="n">
        <v>46020</v>
      </c>
      <c r="I14" t="inlineStr">
        <is>
          <t>LU2702161618|Souscription|2025-12-22</t>
        </is>
      </c>
    </row>
    <row r="15">
      <c r="A15" t="inlineStr">
        <is>
          <t>LU2702161618</t>
        </is>
      </c>
      <c r="B15" t="inlineStr"/>
      <c r="C15" t="inlineStr">
        <is>
          <t>Rachat</t>
        </is>
      </c>
      <c r="D15" s="311" t="n">
        <v>45659</v>
      </c>
      <c r="E15" s="311" t="n">
        <v>45688</v>
      </c>
      <c r="F15" s="311" t="n">
        <v>45688</v>
      </c>
      <c r="G15" s="311" t="n">
        <v>45712</v>
      </c>
      <c r="H15" s="311" t="n">
        <v>45714</v>
      </c>
      <c r="I15" t="inlineStr">
        <is>
          <t>LU2702161618|Rachat|2025-01-02</t>
        </is>
      </c>
    </row>
    <row r="16">
      <c r="A16" t="inlineStr">
        <is>
          <t>LU2702161618</t>
        </is>
      </c>
      <c r="B16" t="inlineStr"/>
      <c r="C16" t="inlineStr">
        <is>
          <t>Rachat</t>
        </is>
      </c>
      <c r="D16" s="311" t="n">
        <v>45691</v>
      </c>
      <c r="E16" s="311" t="n">
        <v>45716</v>
      </c>
      <c r="F16" s="311" t="n">
        <v>45716</v>
      </c>
      <c r="G16" s="311" t="n">
        <v>45737</v>
      </c>
      <c r="H16" s="311" t="n">
        <v>45741</v>
      </c>
      <c r="I16" t="inlineStr">
        <is>
          <t>LU2702161618|Rachat|2025-02-03</t>
        </is>
      </c>
    </row>
    <row r="17">
      <c r="A17" t="inlineStr">
        <is>
          <t>LU2702161618</t>
        </is>
      </c>
      <c r="B17" t="inlineStr"/>
      <c r="C17" t="inlineStr">
        <is>
          <t>Rachat</t>
        </is>
      </c>
      <c r="D17" s="311" t="n">
        <v>45719</v>
      </c>
      <c r="E17" s="311" t="n">
        <v>45747</v>
      </c>
      <c r="F17" s="311" t="n">
        <v>45747</v>
      </c>
      <c r="G17" s="311" t="n">
        <v>45770</v>
      </c>
      <c r="H17" s="311" t="n">
        <v>45772</v>
      </c>
      <c r="I17" t="inlineStr">
        <is>
          <t>LU2702161618|Rachat|2025-03-03</t>
        </is>
      </c>
    </row>
    <row r="18">
      <c r="A18" t="inlineStr">
        <is>
          <t>LU2702161618</t>
        </is>
      </c>
      <c r="B18" t="inlineStr"/>
      <c r="C18" t="inlineStr">
        <is>
          <t>Rachat</t>
        </is>
      </c>
      <c r="D18" s="311" t="n">
        <v>45748</v>
      </c>
      <c r="E18" s="311" t="n">
        <v>45777</v>
      </c>
      <c r="F18" s="311" t="n">
        <v>45777</v>
      </c>
      <c r="G18" s="311" t="n">
        <v>45804</v>
      </c>
      <c r="H18" s="311" t="n">
        <v>45806</v>
      </c>
      <c r="I18" t="inlineStr">
        <is>
          <t>LU2702161618|Rachat|2025-04-01</t>
        </is>
      </c>
    </row>
    <row r="19">
      <c r="A19" t="inlineStr">
        <is>
          <t>LU2702161618</t>
        </is>
      </c>
      <c r="B19" t="inlineStr"/>
      <c r="C19" t="inlineStr">
        <is>
          <t>Rachat</t>
        </is>
      </c>
      <c r="D19" s="311" t="n">
        <v>45779</v>
      </c>
      <c r="E19" s="311" t="n">
        <v>45808</v>
      </c>
      <c r="F19" s="311" t="n">
        <v>45808</v>
      </c>
      <c r="G19" s="311" t="n">
        <v>45832</v>
      </c>
      <c r="H19" s="311" t="n">
        <v>45834</v>
      </c>
      <c r="I19" t="inlineStr">
        <is>
          <t>LU2702161618|Rachat|2025-05-02</t>
        </is>
      </c>
    </row>
    <row r="20">
      <c r="A20" t="inlineStr">
        <is>
          <t>LU2702161618</t>
        </is>
      </c>
      <c r="B20" t="inlineStr"/>
      <c r="C20" t="inlineStr">
        <is>
          <t>Rachat</t>
        </is>
      </c>
      <c r="D20" s="311" t="n">
        <v>45810</v>
      </c>
      <c r="E20" s="311" t="n">
        <v>45838</v>
      </c>
      <c r="F20" s="311" t="n">
        <v>45838</v>
      </c>
      <c r="G20" s="311" t="n">
        <v>45860</v>
      </c>
      <c r="H20" s="311" t="n">
        <v>45862</v>
      </c>
      <c r="I20" t="inlineStr">
        <is>
          <t>LU2702161618|Rachat|2025-06-02</t>
        </is>
      </c>
    </row>
    <row r="21">
      <c r="A21" t="inlineStr">
        <is>
          <t>LU2702161618</t>
        </is>
      </c>
      <c r="B21" t="inlineStr"/>
      <c r="C21" t="inlineStr">
        <is>
          <t>Rachat</t>
        </is>
      </c>
      <c r="D21" s="311" t="n">
        <v>45839</v>
      </c>
      <c r="E21" s="311" t="n">
        <v>45869</v>
      </c>
      <c r="F21" s="311" t="n">
        <v>45869</v>
      </c>
      <c r="G21" s="311" t="n">
        <v>45891</v>
      </c>
      <c r="H21" s="311" t="n">
        <v>45896</v>
      </c>
      <c r="I21" t="inlineStr">
        <is>
          <t>LU2702161618|Rachat|2025-07-01</t>
        </is>
      </c>
    </row>
    <row r="22">
      <c r="A22" t="inlineStr">
        <is>
          <t>LU2702161618</t>
        </is>
      </c>
      <c r="B22" t="inlineStr"/>
      <c r="C22" t="inlineStr">
        <is>
          <t>Rachat</t>
        </is>
      </c>
      <c r="D22" s="311" t="n">
        <v>45870</v>
      </c>
      <c r="E22" s="311" t="n">
        <v>45900</v>
      </c>
      <c r="F22" s="311" t="n">
        <v>45900</v>
      </c>
      <c r="G22" s="311" t="n">
        <v>45922</v>
      </c>
      <c r="H22" s="311" t="n">
        <v>45924</v>
      </c>
      <c r="I22" t="inlineStr">
        <is>
          <t>LU2702161618|Rachat|2025-08-01</t>
        </is>
      </c>
    </row>
    <row r="23">
      <c r="A23" t="inlineStr">
        <is>
          <t>LU2702161618</t>
        </is>
      </c>
      <c r="B23" t="inlineStr"/>
      <c r="C23" t="inlineStr">
        <is>
          <t>Rachat</t>
        </is>
      </c>
      <c r="D23" s="311" t="n">
        <v>45902</v>
      </c>
      <c r="E23" s="311" t="n">
        <v>45930</v>
      </c>
      <c r="F23" s="311" t="n">
        <v>45930</v>
      </c>
      <c r="G23" s="311" t="n">
        <v>45952</v>
      </c>
      <c r="H23" s="311" t="n">
        <v>45954</v>
      </c>
      <c r="I23" t="inlineStr">
        <is>
          <t>LU2702161618|Rachat|2025-09-02</t>
        </is>
      </c>
    </row>
    <row r="24">
      <c r="A24" t="inlineStr">
        <is>
          <t>LU2702161618</t>
        </is>
      </c>
      <c r="B24" t="inlineStr"/>
      <c r="C24" t="inlineStr">
        <is>
          <t>Rachat</t>
        </is>
      </c>
      <c r="D24" s="311" t="n">
        <v>45931</v>
      </c>
      <c r="E24" s="311" t="n">
        <v>45961</v>
      </c>
      <c r="F24" s="311" t="n">
        <v>45961</v>
      </c>
      <c r="G24" s="311" t="n">
        <v>45985</v>
      </c>
      <c r="H24" s="311" t="n">
        <v>45987</v>
      </c>
      <c r="I24" t="inlineStr">
        <is>
          <t>LU2702161618|Rachat|2025-10-01</t>
        </is>
      </c>
    </row>
    <row r="25">
      <c r="A25" t="inlineStr">
        <is>
          <t>LU2702161618</t>
        </is>
      </c>
      <c r="B25" t="inlineStr"/>
      <c r="C25" t="inlineStr">
        <is>
          <t>Rachat</t>
        </is>
      </c>
      <c r="D25" s="311" t="n">
        <v>45964</v>
      </c>
      <c r="E25" s="311" t="n">
        <v>45991</v>
      </c>
      <c r="F25" s="311" t="n">
        <v>45991</v>
      </c>
      <c r="G25" s="311" t="n">
        <v>46010</v>
      </c>
      <c r="H25" s="311" t="n">
        <v>46014</v>
      </c>
      <c r="I25" t="inlineStr">
        <is>
          <t>LU2702161618|Rachat|2025-11-03</t>
        </is>
      </c>
    </row>
    <row r="26">
      <c r="A26" t="inlineStr">
        <is>
          <t>LU2702161618</t>
        </is>
      </c>
      <c r="B26" t="inlineStr"/>
      <c r="C26" t="inlineStr">
        <is>
          <t>Rachat</t>
        </is>
      </c>
      <c r="D26" s="311" t="n">
        <v>45992</v>
      </c>
      <c r="E26" s="311" t="n">
        <v>46022</v>
      </c>
      <c r="F26" s="311" t="n">
        <v>46022</v>
      </c>
      <c r="G26" s="311" t="n">
        <v>46043</v>
      </c>
      <c r="H26" s="311" t="n">
        <v>46045</v>
      </c>
      <c r="I26" t="inlineStr">
        <is>
          <t>LU2702161618|Rachat|2025-12-01</t>
        </is>
      </c>
    </row>
    <row r="27">
      <c r="A27" t="inlineStr">
        <is>
          <t>LU2605912075</t>
        </is>
      </c>
      <c r="B27" t="inlineStr"/>
      <c r="C27" t="inlineStr">
        <is>
          <t>Souscription</t>
        </is>
      </c>
      <c r="D27" s="311" t="n">
        <v>46048</v>
      </c>
      <c r="F27" s="311" t="n">
        <v>46052</v>
      </c>
      <c r="G27" s="311" t="n">
        <v>46081</v>
      </c>
      <c r="H27" s="311" t="n">
        <v>46051</v>
      </c>
      <c r="I27" t="inlineStr">
        <is>
          <t>LU2605912075|Souscription|2026-01-26</t>
        </is>
      </c>
    </row>
    <row r="28">
      <c r="A28" t="inlineStr">
        <is>
          <t>LU2605912075</t>
        </is>
      </c>
      <c r="B28" t="inlineStr"/>
      <c r="C28" t="inlineStr">
        <is>
          <t>Souscription</t>
        </is>
      </c>
      <c r="D28" s="311" t="n">
        <v>46076</v>
      </c>
      <c r="F28" s="311" t="n">
        <v>46080</v>
      </c>
      <c r="G28" s="311" t="n">
        <v>46112</v>
      </c>
      <c r="H28" s="311" t="n">
        <v>46079</v>
      </c>
      <c r="I28" t="inlineStr">
        <is>
          <t>LU2605912075|Souscription|2026-02-23</t>
        </is>
      </c>
    </row>
    <row r="29">
      <c r="A29" t="inlineStr">
        <is>
          <t>LU2605912075</t>
        </is>
      </c>
      <c r="B29" t="inlineStr"/>
      <c r="C29" t="inlineStr">
        <is>
          <t>Souscription</t>
        </is>
      </c>
      <c r="D29" s="311" t="n">
        <v>46106</v>
      </c>
      <c r="F29" s="311" t="n">
        <v>46112</v>
      </c>
      <c r="G29" s="311" t="n">
        <v>46142</v>
      </c>
      <c r="H29" s="311" t="n">
        <v>46111</v>
      </c>
      <c r="I29" t="inlineStr">
        <is>
          <t>LU2605912075|Souscription|2026-03-25</t>
        </is>
      </c>
    </row>
    <row r="30">
      <c r="A30" t="inlineStr">
        <is>
          <t>LU2605912075</t>
        </is>
      </c>
      <c r="B30" t="inlineStr"/>
      <c r="C30" t="inlineStr">
        <is>
          <t>Souscription</t>
        </is>
      </c>
      <c r="D30" s="311" t="n">
        <v>46136</v>
      </c>
      <c r="F30" s="311" t="n">
        <v>46142</v>
      </c>
      <c r="G30" s="311" t="n">
        <v>46173</v>
      </c>
      <c r="H30" s="311" t="n">
        <v>46141</v>
      </c>
      <c r="I30" t="inlineStr">
        <is>
          <t>LU2605912075|Souscription|2026-04-24</t>
        </is>
      </c>
    </row>
    <row r="31">
      <c r="A31" t="inlineStr">
        <is>
          <t>LU2605912075</t>
        </is>
      </c>
      <c r="B31" t="inlineStr"/>
      <c r="C31" t="inlineStr">
        <is>
          <t>Souscription</t>
        </is>
      </c>
      <c r="D31" s="311" t="n">
        <v>46164</v>
      </c>
      <c r="F31" s="311" t="n">
        <v>46171</v>
      </c>
      <c r="G31" s="311" t="n">
        <v>46203</v>
      </c>
      <c r="H31" s="311" t="n">
        <v>46170</v>
      </c>
      <c r="I31" t="inlineStr">
        <is>
          <t>LU2605912075|Souscription|2026-05-22</t>
        </is>
      </c>
    </row>
    <row r="32">
      <c r="A32" t="inlineStr">
        <is>
          <t>LU2605912075</t>
        </is>
      </c>
      <c r="B32" t="inlineStr"/>
      <c r="C32" t="inlineStr">
        <is>
          <t>Souscription</t>
        </is>
      </c>
      <c r="D32" s="311" t="n">
        <v>46197</v>
      </c>
      <c r="F32" s="311" t="n">
        <v>46203</v>
      </c>
      <c r="G32" s="311" t="n">
        <v>46234</v>
      </c>
      <c r="H32" s="311" t="n">
        <v>46202</v>
      </c>
      <c r="I32" t="inlineStr">
        <is>
          <t>LU2605912075|Souscription|2026-06-24</t>
        </is>
      </c>
    </row>
    <row r="33">
      <c r="A33" t="inlineStr">
        <is>
          <t>LU2605912075</t>
        </is>
      </c>
      <c r="B33" t="inlineStr"/>
      <c r="C33" t="inlineStr">
        <is>
          <t>Souscription</t>
        </is>
      </c>
      <c r="D33" s="311" t="n">
        <v>46230</v>
      </c>
      <c r="F33" s="311" t="n">
        <v>46234</v>
      </c>
      <c r="G33" s="311" t="n">
        <v>46265</v>
      </c>
      <c r="H33" s="311" t="n">
        <v>46233</v>
      </c>
      <c r="I33" t="inlineStr">
        <is>
          <t>LU2605912075|Souscription|2026-07-27</t>
        </is>
      </c>
    </row>
    <row r="34">
      <c r="A34" t="inlineStr">
        <is>
          <t>LU2605912075</t>
        </is>
      </c>
      <c r="B34" t="inlineStr"/>
      <c r="C34" t="inlineStr">
        <is>
          <t>Souscription</t>
        </is>
      </c>
      <c r="D34" s="311" t="n">
        <v>46258</v>
      </c>
      <c r="F34" s="311" t="n">
        <v>46262</v>
      </c>
      <c r="G34" s="311" t="n">
        <v>46295</v>
      </c>
      <c r="H34" s="311" t="n">
        <v>46261</v>
      </c>
      <c r="I34" t="inlineStr">
        <is>
          <t>LU2605912075|Souscription|2026-08-24</t>
        </is>
      </c>
    </row>
    <row r="35">
      <c r="A35" t="inlineStr">
        <is>
          <t>LU2605912075</t>
        </is>
      </c>
      <c r="B35" t="inlineStr"/>
      <c r="C35" t="inlineStr">
        <is>
          <t>Souscription</t>
        </is>
      </c>
      <c r="D35" s="311" t="n">
        <v>46289</v>
      </c>
      <c r="F35" s="311" t="n">
        <v>46295</v>
      </c>
      <c r="G35" s="311" t="n">
        <v>46326</v>
      </c>
      <c r="H35" s="311" t="n">
        <v>46294</v>
      </c>
      <c r="I35" t="inlineStr">
        <is>
          <t>LU2605912075|Souscription|2026-09-24</t>
        </is>
      </c>
    </row>
    <row r="36">
      <c r="A36" t="inlineStr">
        <is>
          <t>LU2605912075</t>
        </is>
      </c>
      <c r="B36" t="inlineStr"/>
      <c r="C36" t="inlineStr">
        <is>
          <t>Souscription</t>
        </is>
      </c>
      <c r="D36" s="311" t="n">
        <v>46321</v>
      </c>
      <c r="F36" s="311" t="n">
        <v>46325</v>
      </c>
      <c r="G36" s="311" t="n">
        <v>46356</v>
      </c>
      <c r="H36" s="311" t="n">
        <v>46324</v>
      </c>
      <c r="I36" t="inlineStr">
        <is>
          <t>LU2605912075|Souscription|2026-10-26</t>
        </is>
      </c>
    </row>
    <row r="37">
      <c r="A37" t="inlineStr">
        <is>
          <t>LU2605912075</t>
        </is>
      </c>
      <c r="B37" t="inlineStr"/>
      <c r="C37" t="inlineStr">
        <is>
          <t>Souscription</t>
        </is>
      </c>
      <c r="D37" s="311" t="n">
        <v>46349</v>
      </c>
      <c r="F37" s="311" t="n">
        <v>46356</v>
      </c>
      <c r="G37" s="311" t="n">
        <v>46387</v>
      </c>
      <c r="H37" s="311" t="n">
        <v>46355</v>
      </c>
      <c r="I37" t="inlineStr">
        <is>
          <t>LU2605912075|Souscription|2026-11-23</t>
        </is>
      </c>
    </row>
    <row r="38">
      <c r="A38" t="inlineStr">
        <is>
          <t>LU2605912075</t>
        </is>
      </c>
      <c r="B38" t="inlineStr"/>
      <c r="C38" t="inlineStr">
        <is>
          <t>Souscription</t>
        </is>
      </c>
      <c r="D38" s="311" t="n">
        <v>46378</v>
      </c>
      <c r="F38" s="311" t="n">
        <v>46387</v>
      </c>
      <c r="G38" s="311" t="n">
        <v>46418</v>
      </c>
      <c r="H38" s="311" t="n">
        <v>46386</v>
      </c>
      <c r="I38" t="inlineStr">
        <is>
          <t>LU2605912075|Souscription|2026-12-22</t>
        </is>
      </c>
    </row>
    <row r="39">
      <c r="A39" t="inlineStr">
        <is>
          <t>LU2605912075</t>
        </is>
      </c>
      <c r="B39" t="inlineStr"/>
      <c r="C39" t="inlineStr">
        <is>
          <t>Rachat</t>
        </is>
      </c>
      <c r="D39" s="311" t="n">
        <v>46024</v>
      </c>
      <c r="F39" s="311" t="n">
        <v>46052</v>
      </c>
      <c r="H39" s="311" t="n">
        <v>46111</v>
      </c>
      <c r="I39" t="inlineStr">
        <is>
          <t>LU2605912075|Rachat|2026-01-02</t>
        </is>
      </c>
    </row>
    <row r="40">
      <c r="A40" t="inlineStr">
        <is>
          <t>LU2605912075</t>
        </is>
      </c>
      <c r="B40" t="inlineStr"/>
      <c r="C40" t="inlineStr">
        <is>
          <t>Rachat</t>
        </is>
      </c>
      <c r="D40" s="311" t="n">
        <v>46055</v>
      </c>
      <c r="F40" s="311" t="n">
        <v>46080</v>
      </c>
      <c r="H40" s="311" t="n">
        <v>46141</v>
      </c>
      <c r="I40" t="inlineStr">
        <is>
          <t>LU2605912075|Rachat|2026-02-02</t>
        </is>
      </c>
    </row>
    <row r="41">
      <c r="A41" t="inlineStr">
        <is>
          <t>LU2605912075</t>
        </is>
      </c>
      <c r="B41" t="inlineStr"/>
      <c r="C41" t="inlineStr">
        <is>
          <t>Rachat</t>
        </is>
      </c>
      <c r="D41" s="311" t="n">
        <v>46083</v>
      </c>
      <c r="F41" s="311" t="n">
        <v>46112</v>
      </c>
      <c r="H41" s="311" t="n">
        <v>46172</v>
      </c>
      <c r="I41" t="inlineStr">
        <is>
          <t>LU2605912075|Rachat|2026-03-02</t>
        </is>
      </c>
    </row>
    <row r="42">
      <c r="A42" t="inlineStr">
        <is>
          <t>LU2605912075</t>
        </is>
      </c>
      <c r="B42" t="inlineStr"/>
      <c r="C42" t="inlineStr">
        <is>
          <t>Rachat</t>
        </is>
      </c>
      <c r="D42" s="311" t="n">
        <v>46113</v>
      </c>
      <c r="F42" s="311" t="n">
        <v>46142</v>
      </c>
      <c r="H42" s="311" t="n">
        <v>46203</v>
      </c>
      <c r="I42" t="inlineStr">
        <is>
          <t>LU2605912075|Rachat|2026-04-01</t>
        </is>
      </c>
    </row>
    <row r="43">
      <c r="A43" t="inlineStr">
        <is>
          <t>LU2605912075</t>
        </is>
      </c>
      <c r="B43" t="inlineStr"/>
      <c r="C43" t="inlineStr">
        <is>
          <t>Rachat</t>
        </is>
      </c>
      <c r="D43" s="311" t="n">
        <v>46147</v>
      </c>
      <c r="F43" s="311" t="n">
        <v>46171</v>
      </c>
      <c r="H43" s="311" t="n">
        <v>46233</v>
      </c>
      <c r="I43" t="inlineStr">
        <is>
          <t>LU2605912075|Rachat|2026-05-05</t>
        </is>
      </c>
    </row>
    <row r="44">
      <c r="A44" t="inlineStr">
        <is>
          <t>LU2605912075</t>
        </is>
      </c>
      <c r="B44" t="inlineStr"/>
      <c r="C44" t="inlineStr">
        <is>
          <t>Rachat</t>
        </is>
      </c>
      <c r="D44" s="311" t="n">
        <v>46174</v>
      </c>
      <c r="F44" s="311" t="n">
        <v>46203</v>
      </c>
      <c r="H44" s="311" t="n">
        <v>46263</v>
      </c>
      <c r="I44" t="inlineStr">
        <is>
          <t>LU2605912075|Rachat|2026-06-01</t>
        </is>
      </c>
    </row>
    <row r="45">
      <c r="A45" t="inlineStr">
        <is>
          <t>LU2605912075</t>
        </is>
      </c>
      <c r="B45" t="inlineStr"/>
      <c r="C45" t="inlineStr">
        <is>
          <t>Rachat</t>
        </is>
      </c>
      <c r="D45" s="311" t="n">
        <v>46204</v>
      </c>
      <c r="F45" s="311" t="n">
        <v>46234</v>
      </c>
      <c r="H45" s="311" t="n">
        <v>46294</v>
      </c>
      <c r="I45" t="inlineStr">
        <is>
          <t>LU2605912075|Rachat|2026-07-01</t>
        </is>
      </c>
    </row>
    <row r="46">
      <c r="A46" t="inlineStr">
        <is>
          <t>LU2605912075</t>
        </is>
      </c>
      <c r="B46" t="inlineStr"/>
      <c r="C46" t="inlineStr">
        <is>
          <t>Rachat</t>
        </is>
      </c>
      <c r="D46" s="311" t="n">
        <v>46237</v>
      </c>
      <c r="F46" s="311" t="n">
        <v>46262</v>
      </c>
      <c r="H46" s="311" t="n">
        <v>46325</v>
      </c>
      <c r="I46" t="inlineStr">
        <is>
          <t>LU2605912075|Rachat|2026-08-03</t>
        </is>
      </c>
    </row>
    <row r="47">
      <c r="A47" t="inlineStr">
        <is>
          <t>LU2605912075</t>
        </is>
      </c>
      <c r="B47" t="inlineStr"/>
      <c r="C47" t="inlineStr">
        <is>
          <t>Rachat</t>
        </is>
      </c>
      <c r="D47" s="311" t="n">
        <v>46266</v>
      </c>
      <c r="F47" s="311" t="n">
        <v>46295</v>
      </c>
      <c r="H47" s="311" t="n">
        <v>46354</v>
      </c>
      <c r="I47" t="inlineStr">
        <is>
          <t>LU2605912075|Rachat|2026-09-01</t>
        </is>
      </c>
    </row>
    <row r="48">
      <c r="A48" t="inlineStr">
        <is>
          <t>LU2605912075</t>
        </is>
      </c>
      <c r="B48" t="inlineStr"/>
      <c r="C48" t="inlineStr">
        <is>
          <t>Rachat</t>
        </is>
      </c>
      <c r="D48" s="311" t="n">
        <v>46296</v>
      </c>
      <c r="F48" s="311" t="n">
        <v>46325</v>
      </c>
      <c r="H48" s="311" t="n">
        <v>46386</v>
      </c>
      <c r="I48" t="inlineStr">
        <is>
          <t>LU2605912075|Rachat|2026-10-01</t>
        </is>
      </c>
    </row>
    <row r="49">
      <c r="A49" t="inlineStr">
        <is>
          <t>LU2605912075</t>
        </is>
      </c>
      <c r="B49" t="inlineStr"/>
      <c r="C49" t="inlineStr">
        <is>
          <t>Rachat</t>
        </is>
      </c>
      <c r="D49" s="311" t="n">
        <v>46328</v>
      </c>
      <c r="F49" s="311" t="n">
        <v>46356</v>
      </c>
      <c r="H49" s="311" t="n">
        <v>46416</v>
      </c>
      <c r="I49" t="inlineStr">
        <is>
          <t>LU2605912075|Rachat|2026-11-02</t>
        </is>
      </c>
    </row>
    <row r="50">
      <c r="A50" t="inlineStr">
        <is>
          <t>LU2605912075</t>
        </is>
      </c>
      <c r="B50" t="inlineStr"/>
      <c r="C50" t="inlineStr">
        <is>
          <t>Rachat</t>
        </is>
      </c>
      <c r="D50" s="311" t="n">
        <v>46357</v>
      </c>
      <c r="F50" s="311" t="n">
        <v>46387</v>
      </c>
      <c r="H50" s="311" t="n">
        <v>46445</v>
      </c>
      <c r="I50" t="inlineStr">
        <is>
          <t>LU2605912075|Rachat|2026-12-01</t>
        </is>
      </c>
    </row>
    <row r="51">
      <c r="A51" t="inlineStr">
        <is>
          <t>LU2860459879</t>
        </is>
      </c>
      <c r="B51" t="inlineStr"/>
      <c r="C51" t="inlineStr">
        <is>
          <t>Souscription</t>
        </is>
      </c>
      <c r="D51" s="311" t="n">
        <v>46038</v>
      </c>
      <c r="E51" s="311" t="n">
        <v>46052</v>
      </c>
      <c r="F51" s="311" t="n">
        <v>46052</v>
      </c>
      <c r="H51" s="311" t="n">
        <v>46052</v>
      </c>
      <c r="I51" t="inlineStr">
        <is>
          <t>LU2860459879|Souscription|2026-01-16</t>
        </is>
      </c>
    </row>
    <row r="52">
      <c r="A52" t="inlineStr">
        <is>
          <t>LU2860459879</t>
        </is>
      </c>
      <c r="B52" t="inlineStr"/>
      <c r="C52" t="inlineStr">
        <is>
          <t>Souscription</t>
        </is>
      </c>
      <c r="D52" s="311" t="n">
        <v>46066</v>
      </c>
      <c r="E52" s="311" t="n">
        <v>46080</v>
      </c>
      <c r="F52" s="311" t="n">
        <v>46080</v>
      </c>
      <c r="H52" s="311" t="n">
        <v>46080</v>
      </c>
      <c r="I52" t="inlineStr">
        <is>
          <t>LU2860459879|Souscription|2026-02-13</t>
        </is>
      </c>
    </row>
    <row r="53">
      <c r="A53" t="inlineStr">
        <is>
          <t>LU2860459879</t>
        </is>
      </c>
      <c r="B53" t="inlineStr"/>
      <c r="C53" t="inlineStr">
        <is>
          <t>Souscription</t>
        </is>
      </c>
      <c r="D53" s="311" t="n">
        <v>46097</v>
      </c>
      <c r="E53" s="311" t="n">
        <v>46112</v>
      </c>
      <c r="F53" s="311" t="n">
        <v>46112</v>
      </c>
      <c r="H53" s="311" t="n">
        <v>46112</v>
      </c>
      <c r="I53" t="inlineStr">
        <is>
          <t>LU2860459879|Souscription|2026-03-16</t>
        </is>
      </c>
    </row>
    <row r="54">
      <c r="A54" t="inlineStr">
        <is>
          <t>LU2860459879</t>
        </is>
      </c>
      <c r="B54" t="inlineStr"/>
      <c r="C54" t="inlineStr">
        <is>
          <t>Souscription</t>
        </is>
      </c>
      <c r="D54" s="311" t="n">
        <v>46128</v>
      </c>
      <c r="E54" s="311" t="n">
        <v>46142</v>
      </c>
      <c r="F54" s="311" t="n">
        <v>46142</v>
      </c>
      <c r="H54" s="311" t="n">
        <v>46142</v>
      </c>
      <c r="I54" t="inlineStr">
        <is>
          <t>LU2860459879|Souscription|2026-04-16</t>
        </is>
      </c>
    </row>
    <row r="55">
      <c r="A55" t="inlineStr">
        <is>
          <t>LU2860459879</t>
        </is>
      </c>
      <c r="B55" t="inlineStr"/>
      <c r="C55" t="inlineStr">
        <is>
          <t>Souscription</t>
        </is>
      </c>
      <c r="D55" s="311" t="n">
        <v>46155</v>
      </c>
      <c r="E55" s="311" t="n">
        <v>46171</v>
      </c>
      <c r="F55" s="311" t="n">
        <v>46171</v>
      </c>
      <c r="H55" s="311" t="n">
        <v>46171</v>
      </c>
      <c r="I55" t="inlineStr">
        <is>
          <t>LU2860459879|Souscription|2026-05-13</t>
        </is>
      </c>
    </row>
    <row r="56">
      <c r="A56" t="inlineStr">
        <is>
          <t>LU2860459879</t>
        </is>
      </c>
      <c r="B56" t="inlineStr"/>
      <c r="C56" t="inlineStr">
        <is>
          <t>Souscription</t>
        </is>
      </c>
      <c r="D56" s="311" t="n">
        <v>46188</v>
      </c>
      <c r="E56" s="311" t="n">
        <v>46203</v>
      </c>
      <c r="F56" s="311" t="n">
        <v>46203</v>
      </c>
      <c r="H56" s="311" t="n">
        <v>46203</v>
      </c>
      <c r="I56" t="inlineStr">
        <is>
          <t>LU2860459879|Souscription|2026-06-15</t>
        </is>
      </c>
    </row>
    <row r="57">
      <c r="A57" t="inlineStr">
        <is>
          <t>LU2860459879</t>
        </is>
      </c>
      <c r="B57" t="inlineStr"/>
      <c r="C57" t="inlineStr">
        <is>
          <t>Souscription</t>
        </is>
      </c>
      <c r="D57" s="311" t="n">
        <v>46220</v>
      </c>
      <c r="E57" s="311" t="n">
        <v>46234</v>
      </c>
      <c r="F57" s="311" t="n">
        <v>46234</v>
      </c>
      <c r="H57" s="311" t="n">
        <v>46234</v>
      </c>
      <c r="I57" t="inlineStr">
        <is>
          <t>LU2860459879|Souscription|2026-07-17</t>
        </is>
      </c>
    </row>
    <row r="58">
      <c r="A58" t="inlineStr">
        <is>
          <t>LU2860459879</t>
        </is>
      </c>
      <c r="B58" t="inlineStr"/>
      <c r="C58" t="inlineStr">
        <is>
          <t>Souscription</t>
        </is>
      </c>
      <c r="D58" s="311" t="n">
        <v>46248</v>
      </c>
      <c r="E58" s="311" t="n">
        <v>46262</v>
      </c>
      <c r="F58" s="311" t="n">
        <v>46262</v>
      </c>
      <c r="H58" s="311" t="n">
        <v>46262</v>
      </c>
      <c r="I58" t="inlineStr">
        <is>
          <t>LU2860459879|Souscription|2026-08-14</t>
        </is>
      </c>
    </row>
    <row r="59">
      <c r="A59" t="inlineStr">
        <is>
          <t>LU2860459879</t>
        </is>
      </c>
      <c r="B59" t="inlineStr"/>
      <c r="C59" t="inlineStr">
        <is>
          <t>Souscription</t>
        </is>
      </c>
      <c r="D59" s="311" t="n">
        <v>46281</v>
      </c>
      <c r="E59" s="311" t="n">
        <v>46295</v>
      </c>
      <c r="F59" s="311" t="n">
        <v>46295</v>
      </c>
      <c r="H59" s="311" t="n">
        <v>46295</v>
      </c>
      <c r="I59" t="inlineStr">
        <is>
          <t>LU2860459879|Souscription|2026-09-16</t>
        </is>
      </c>
    </row>
    <row r="60">
      <c r="A60" t="inlineStr">
        <is>
          <t>LU2860459879</t>
        </is>
      </c>
      <c r="B60" t="inlineStr"/>
      <c r="C60" t="inlineStr">
        <is>
          <t>Souscription</t>
        </is>
      </c>
      <c r="D60" s="311" t="n">
        <v>46310</v>
      </c>
      <c r="E60" s="311" t="n">
        <v>46326</v>
      </c>
      <c r="F60" s="311" t="n">
        <v>46326</v>
      </c>
      <c r="H60" s="311" t="n">
        <v>46326</v>
      </c>
      <c r="I60" t="inlineStr">
        <is>
          <t>LU2860459879|Souscription|2026-10-15</t>
        </is>
      </c>
    </row>
    <row r="61">
      <c r="A61" t="inlineStr">
        <is>
          <t>LU2860459879</t>
        </is>
      </c>
      <c r="B61" t="inlineStr"/>
      <c r="C61" t="inlineStr">
        <is>
          <t>Souscription</t>
        </is>
      </c>
      <c r="D61" s="311" t="n">
        <v>46342</v>
      </c>
      <c r="E61" s="311" t="n">
        <v>46356</v>
      </c>
      <c r="F61" s="311" t="n">
        <v>46356</v>
      </c>
      <c r="H61" s="311" t="n">
        <v>46356</v>
      </c>
      <c r="I61" t="inlineStr">
        <is>
          <t>LU2860459879|Souscription|2026-11-16</t>
        </is>
      </c>
    </row>
    <row r="62">
      <c r="A62" t="inlineStr">
        <is>
          <t>LU2860459879</t>
        </is>
      </c>
      <c r="B62" t="inlineStr"/>
      <c r="C62" t="inlineStr">
        <is>
          <t>Souscription</t>
        </is>
      </c>
      <c r="D62" s="311" t="n">
        <v>46371</v>
      </c>
      <c r="E62" s="311" t="n">
        <v>46387</v>
      </c>
      <c r="F62" s="311" t="n">
        <v>46387</v>
      </c>
      <c r="H62" s="311" t="n">
        <v>46387</v>
      </c>
      <c r="I62" t="inlineStr">
        <is>
          <t>LU2860459879|Souscription|2026-12-15</t>
        </is>
      </c>
    </row>
    <row r="63">
      <c r="A63" t="inlineStr">
        <is>
          <t>LU2860459879</t>
        </is>
      </c>
      <c r="B63" t="inlineStr"/>
      <c r="C63" t="inlineStr">
        <is>
          <t>Rachat</t>
        </is>
      </c>
      <c r="D63" s="311" t="n">
        <v>46052</v>
      </c>
      <c r="E63" s="311" t="n">
        <v>46112</v>
      </c>
      <c r="F63" s="311" t="n">
        <v>46112</v>
      </c>
      <c r="H63" s="311" t="n">
        <v>46171</v>
      </c>
      <c r="I63" t="inlineStr">
        <is>
          <t>LU2860459879|Rachat|2026-01-30</t>
        </is>
      </c>
    </row>
    <row r="64">
      <c r="A64" t="inlineStr">
        <is>
          <t>LU2860459879</t>
        </is>
      </c>
      <c r="B64" t="inlineStr"/>
      <c r="C64" t="inlineStr">
        <is>
          <t>Rachat</t>
        </is>
      </c>
      <c r="D64" s="311" t="n">
        <v>46143</v>
      </c>
      <c r="E64" s="311" t="n">
        <v>46203</v>
      </c>
      <c r="F64" s="311" t="n">
        <v>46203</v>
      </c>
      <c r="H64" s="311" t="n">
        <v>46262</v>
      </c>
      <c r="I64" t="inlineStr">
        <is>
          <t>LU2860459879|Rachat|2026-05-01</t>
        </is>
      </c>
    </row>
    <row r="65">
      <c r="A65" t="inlineStr">
        <is>
          <t>LU2860459879</t>
        </is>
      </c>
      <c r="B65" t="inlineStr"/>
      <c r="C65" t="inlineStr">
        <is>
          <t>Rachat</t>
        </is>
      </c>
      <c r="D65" s="311" t="n">
        <v>46235</v>
      </c>
      <c r="E65" s="311" t="n">
        <v>46295</v>
      </c>
      <c r="F65" s="311" t="n">
        <v>46295</v>
      </c>
      <c r="H65" s="311" t="n">
        <v>46353</v>
      </c>
      <c r="I65" t="inlineStr">
        <is>
          <t>LU2860459879|Rachat|2026-08-01</t>
        </is>
      </c>
    </row>
    <row r="66">
      <c r="A66" t="inlineStr">
        <is>
          <t>LU2860459879</t>
        </is>
      </c>
      <c r="B66" t="inlineStr"/>
      <c r="C66" t="inlineStr">
        <is>
          <t>Rachat</t>
        </is>
      </c>
      <c r="D66" s="311" t="n">
        <v>46327</v>
      </c>
      <c r="E66" s="311" t="n">
        <v>46387</v>
      </c>
      <c r="F66" s="311" t="n">
        <v>46387</v>
      </c>
      <c r="H66" s="311" t="n">
        <v>46447</v>
      </c>
      <c r="I66" t="inlineStr">
        <is>
          <t>LU2860459879|Rachat|2026-11-01</t>
        </is>
      </c>
    </row>
    <row r="67">
      <c r="A67" t="inlineStr">
        <is>
          <t>FR001400AUA7</t>
        </is>
      </c>
      <c r="B67" t="inlineStr"/>
      <c r="C67" t="inlineStr">
        <is>
          <t>Souscription</t>
        </is>
      </c>
      <c r="D67" s="311" t="n">
        <v>46009</v>
      </c>
      <c r="E67" s="311" t="n">
        <v>46022</v>
      </c>
      <c r="F67" s="311" t="n">
        <v>46024</v>
      </c>
      <c r="G67" s="311" t="n">
        <v>46049</v>
      </c>
      <c r="H67" s="311" t="n">
        <v>46014</v>
      </c>
      <c r="I67" t="inlineStr">
        <is>
          <t>FR001400AUA7|Souscription|2025-12-18</t>
        </is>
      </c>
    </row>
    <row r="68">
      <c r="A68" t="inlineStr">
        <is>
          <t>FR001400AUA7</t>
        </is>
      </c>
      <c r="B68" t="inlineStr"/>
      <c r="C68" t="inlineStr">
        <is>
          <t>Souscription</t>
        </is>
      </c>
      <c r="D68" s="311" t="n">
        <v>46043</v>
      </c>
      <c r="E68" s="311" t="n">
        <v>46053</v>
      </c>
      <c r="F68" s="311" t="n">
        <v>46055</v>
      </c>
      <c r="G68" s="311" t="n">
        <v>46078</v>
      </c>
      <c r="H68" s="311" t="n">
        <v>46048</v>
      </c>
      <c r="I68" t="inlineStr">
        <is>
          <t>FR001400AUA7|Souscription|2026-01-21</t>
        </is>
      </c>
    </row>
    <row r="69">
      <c r="A69" t="inlineStr">
        <is>
          <t>FR001400AUA7</t>
        </is>
      </c>
      <c r="B69" t="inlineStr"/>
      <c r="C69" t="inlineStr">
        <is>
          <t>Souscription</t>
        </is>
      </c>
      <c r="D69" s="311" t="n">
        <v>46071</v>
      </c>
      <c r="E69" s="311" t="n">
        <v>46081</v>
      </c>
      <c r="F69" s="311" t="n">
        <v>46083</v>
      </c>
      <c r="G69" s="311" t="n">
        <v>46106</v>
      </c>
      <c r="H69" s="311" t="n">
        <v>46076</v>
      </c>
      <c r="I69" t="inlineStr">
        <is>
          <t>FR001400AUA7|Souscription|2026-02-18</t>
        </is>
      </c>
    </row>
    <row r="70">
      <c r="A70" t="inlineStr">
        <is>
          <t>FR001400AUA7</t>
        </is>
      </c>
      <c r="B70" t="inlineStr"/>
      <c r="C70" t="inlineStr">
        <is>
          <t>Souscription</t>
        </is>
      </c>
      <c r="D70" s="311" t="n">
        <v>46101</v>
      </c>
      <c r="E70" s="311" t="n">
        <v>46112</v>
      </c>
      <c r="F70" s="311" t="n">
        <v>46113</v>
      </c>
      <c r="G70" s="311" t="n">
        <v>46140</v>
      </c>
      <c r="H70" s="311" t="n">
        <v>46106</v>
      </c>
      <c r="I70" t="inlineStr">
        <is>
          <t>FR001400AUA7|Souscription|2026-03-20</t>
        </is>
      </c>
    </row>
    <row r="71">
      <c r="A71" t="inlineStr">
        <is>
          <t>FR001400AUA7</t>
        </is>
      </c>
      <c r="B71" t="inlineStr"/>
      <c r="C71" t="inlineStr">
        <is>
          <t>Souscription</t>
        </is>
      </c>
      <c r="D71" s="311" t="n">
        <v>46133</v>
      </c>
      <c r="E71" s="311" t="n">
        <v>46142</v>
      </c>
      <c r="F71" s="311" t="n">
        <v>46146</v>
      </c>
      <c r="G71" s="311" t="n">
        <v>46171</v>
      </c>
      <c r="H71" s="311" t="n">
        <v>46136</v>
      </c>
      <c r="I71" t="inlineStr">
        <is>
          <t>FR001400AUA7|Souscription|2026-04-21</t>
        </is>
      </c>
    </row>
    <row r="72">
      <c r="A72" t="inlineStr">
        <is>
          <t>FR001400AUA7</t>
        </is>
      </c>
      <c r="B72" t="inlineStr"/>
      <c r="C72" t="inlineStr">
        <is>
          <t>Souscription</t>
        </is>
      </c>
      <c r="D72" s="311" t="n">
        <v>46161</v>
      </c>
      <c r="E72" s="311" t="n">
        <v>46173</v>
      </c>
      <c r="F72" s="311" t="n">
        <v>46174</v>
      </c>
      <c r="G72" s="311" t="n">
        <v>46198</v>
      </c>
      <c r="H72" s="311" t="n">
        <v>46164</v>
      </c>
      <c r="I72" t="inlineStr">
        <is>
          <t>FR001400AUA7|Souscription|2026-05-19</t>
        </is>
      </c>
    </row>
    <row r="73">
      <c r="A73" t="inlineStr">
        <is>
          <t>FR001400AUA7</t>
        </is>
      </c>
      <c r="B73" t="inlineStr"/>
      <c r="C73" t="inlineStr">
        <is>
          <t>Souscription</t>
        </is>
      </c>
      <c r="D73" s="311" t="n">
        <v>46191</v>
      </c>
      <c r="E73" s="311" t="n">
        <v>46203</v>
      </c>
      <c r="F73" s="311" t="n">
        <v>46204</v>
      </c>
      <c r="G73" s="311" t="n">
        <v>46227</v>
      </c>
      <c r="H73" s="311" t="n">
        <v>46197</v>
      </c>
      <c r="I73" t="inlineStr">
        <is>
          <t>FR001400AUA7|Souscription|2026-06-18</t>
        </is>
      </c>
    </row>
    <row r="74">
      <c r="A74" t="inlineStr">
        <is>
          <t>FR001400AUA7</t>
        </is>
      </c>
      <c r="B74" t="inlineStr"/>
      <c r="C74" t="inlineStr">
        <is>
          <t>Souscription</t>
        </is>
      </c>
      <c r="D74" s="311" t="n">
        <v>46225</v>
      </c>
      <c r="E74" s="311" t="n">
        <v>46234</v>
      </c>
      <c r="F74" s="311" t="n">
        <v>46237</v>
      </c>
      <c r="G74" s="311" t="n">
        <v>46260</v>
      </c>
      <c r="H74" s="311" t="n">
        <v>46230</v>
      </c>
      <c r="I74" t="inlineStr">
        <is>
          <t>FR001400AUA7|Souscription|2026-07-22</t>
        </is>
      </c>
    </row>
    <row r="75">
      <c r="A75" t="inlineStr">
        <is>
          <t>FR001400AUA7</t>
        </is>
      </c>
      <c r="B75" t="inlineStr"/>
      <c r="C75" t="inlineStr">
        <is>
          <t>Souscription</t>
        </is>
      </c>
      <c r="D75" s="311" t="n">
        <v>46254</v>
      </c>
      <c r="E75" s="311" t="n">
        <v>46265</v>
      </c>
      <c r="F75" s="311" t="n">
        <v>46266</v>
      </c>
      <c r="G75" s="311" t="n">
        <v>46289</v>
      </c>
      <c r="H75" s="311" t="n">
        <v>46259</v>
      </c>
      <c r="I75" t="inlineStr">
        <is>
          <t>FR001400AUA7|Souscription|2026-08-20</t>
        </is>
      </c>
    </row>
    <row r="76">
      <c r="A76" t="inlineStr">
        <is>
          <t>FR001400AUA7</t>
        </is>
      </c>
      <c r="B76" t="inlineStr"/>
      <c r="C76" t="inlineStr">
        <is>
          <t>Souscription</t>
        </is>
      </c>
      <c r="D76" s="311" t="n">
        <v>46286</v>
      </c>
      <c r="E76" s="311" t="n">
        <v>46295</v>
      </c>
      <c r="F76" s="311" t="n">
        <v>46296</v>
      </c>
      <c r="G76" s="311" t="n">
        <v>46321</v>
      </c>
      <c r="H76" s="311" t="n">
        <v>46289</v>
      </c>
      <c r="I76" t="inlineStr">
        <is>
          <t>FR001400AUA7|Souscription|2026-09-21</t>
        </is>
      </c>
    </row>
    <row r="77">
      <c r="A77" t="inlineStr">
        <is>
          <t>FR001400AUA7</t>
        </is>
      </c>
      <c r="B77" t="inlineStr"/>
      <c r="C77" t="inlineStr">
        <is>
          <t>Souscription</t>
        </is>
      </c>
      <c r="D77" s="311" t="n">
        <v>46316</v>
      </c>
      <c r="E77" s="311" t="n">
        <v>46326</v>
      </c>
      <c r="F77" s="311" t="n">
        <v>46328</v>
      </c>
      <c r="G77" s="311" t="n">
        <v>46351</v>
      </c>
      <c r="H77" s="311" t="n">
        <v>46321</v>
      </c>
      <c r="I77" t="inlineStr">
        <is>
          <t>FR001400AUA7|Souscription|2026-10-21</t>
        </is>
      </c>
    </row>
    <row r="78">
      <c r="A78" t="inlineStr">
        <is>
          <t>FR001400AUA7</t>
        </is>
      </c>
      <c r="B78" t="inlineStr"/>
      <c r="C78" t="inlineStr">
        <is>
          <t>Souscription</t>
        </is>
      </c>
      <c r="D78" s="311" t="n">
        <v>46345</v>
      </c>
      <c r="E78" s="311" t="n">
        <v>46356</v>
      </c>
      <c r="F78" s="311" t="n">
        <v>46357</v>
      </c>
      <c r="G78" s="311" t="n">
        <v>46380</v>
      </c>
      <c r="H78" s="311" t="n">
        <v>46350</v>
      </c>
      <c r="I78" t="inlineStr">
        <is>
          <t>FR001400AUA7|Souscription|2026-11-19</t>
        </is>
      </c>
    </row>
    <row r="79">
      <c r="A79" t="inlineStr">
        <is>
          <t>FR001400AUA7</t>
        </is>
      </c>
      <c r="B79" t="inlineStr"/>
      <c r="C79" t="inlineStr">
        <is>
          <t>Rachat</t>
        </is>
      </c>
      <c r="D79" s="311" t="n">
        <v>46082</v>
      </c>
      <c r="E79" s="311" t="n">
        <v>46112</v>
      </c>
      <c r="F79" s="311" t="n">
        <v>46112</v>
      </c>
      <c r="G79" s="311" t="n">
        <v>46140</v>
      </c>
      <c r="H79" s="311" t="n">
        <v>46155</v>
      </c>
      <c r="I79" t="inlineStr">
        <is>
          <t>FR001400AUA7|Rachat|2026-03-01</t>
        </is>
      </c>
    </row>
    <row r="80">
      <c r="A80" t="inlineStr">
        <is>
          <t>FR001400AUA7</t>
        </is>
      </c>
      <c r="B80" t="inlineStr"/>
      <c r="C80" t="inlineStr">
        <is>
          <t>Rachat</t>
        </is>
      </c>
      <c r="D80" s="311" t="n">
        <v>46173</v>
      </c>
      <c r="E80" s="311" t="n">
        <v>46203</v>
      </c>
      <c r="F80" s="311" t="n">
        <v>46203</v>
      </c>
      <c r="G80" s="311" t="n">
        <v>46227</v>
      </c>
      <c r="H80" s="311" t="n">
        <v>46241</v>
      </c>
      <c r="I80" t="inlineStr">
        <is>
          <t>FR001400AUA7|Rachat|2026-05-31</t>
        </is>
      </c>
    </row>
    <row r="81">
      <c r="A81" t="inlineStr">
        <is>
          <t>FR001400AUA7</t>
        </is>
      </c>
      <c r="B81" t="inlineStr"/>
      <c r="C81" t="inlineStr">
        <is>
          <t>Rachat</t>
        </is>
      </c>
      <c r="D81" s="311" t="n">
        <v>46265</v>
      </c>
      <c r="E81" s="311" t="n">
        <v>46295</v>
      </c>
      <c r="F81" s="311" t="n">
        <v>46295</v>
      </c>
      <c r="G81" s="311" t="n">
        <v>46321</v>
      </c>
      <c r="H81" s="311" t="n">
        <v>46335</v>
      </c>
      <c r="I81" t="inlineStr">
        <is>
          <t>FR001400AUA7|Rachat|2026-08-31</t>
        </is>
      </c>
    </row>
    <row r="82">
      <c r="A82" t="inlineStr">
        <is>
          <t>FR001400AUA7</t>
        </is>
      </c>
      <c r="B82" t="inlineStr"/>
      <c r="C82" t="inlineStr">
        <is>
          <t>Rachat</t>
        </is>
      </c>
      <c r="D82" s="311" t="n">
        <v>46357</v>
      </c>
      <c r="E82" s="311" t="n">
        <v>46387</v>
      </c>
      <c r="F82" s="311" t="n">
        <v>46387</v>
      </c>
      <c r="G82" s="311" t="n">
        <v>46414</v>
      </c>
      <c r="H82" s="311" t="n">
        <v>46428</v>
      </c>
      <c r="I82" t="inlineStr">
        <is>
          <t>FR001400AUA7|Rachat|2026-12-01</t>
        </is>
      </c>
    </row>
    <row r="83">
      <c r="A83" t="inlineStr">
        <is>
          <t>LU2097348770</t>
        </is>
      </c>
      <c r="B83" t="inlineStr"/>
      <c r="C83" t="inlineStr">
        <is>
          <t>Souscription</t>
        </is>
      </c>
      <c r="D83" s="311" t="n">
        <v>46015</v>
      </c>
      <c r="E83" s="311" t="n">
        <v>46022</v>
      </c>
      <c r="F83" s="311" t="n">
        <v>46024</v>
      </c>
      <c r="G83" s="311" t="n">
        <v>46044</v>
      </c>
      <c r="I83" t="inlineStr">
        <is>
          <t>LU2097348770|Souscription|2025-12-24</t>
        </is>
      </c>
    </row>
    <row r="84">
      <c r="A84" t="inlineStr">
        <is>
          <t>LU2097348770</t>
        </is>
      </c>
      <c r="B84" t="inlineStr"/>
      <c r="C84" t="inlineStr">
        <is>
          <t>Souscription</t>
        </is>
      </c>
      <c r="D84" s="311" t="n">
        <v>46048</v>
      </c>
      <c r="E84" s="311" t="n">
        <v>46053</v>
      </c>
      <c r="F84" s="311" t="n">
        <v>46055</v>
      </c>
      <c r="G84" s="311" t="n">
        <v>46073</v>
      </c>
      <c r="I84" t="inlineStr">
        <is>
          <t>LU2097348770|Souscription|2026-01-26</t>
        </is>
      </c>
    </row>
    <row r="85">
      <c r="A85" t="inlineStr">
        <is>
          <t>LU2097348770</t>
        </is>
      </c>
      <c r="B85" t="inlineStr"/>
      <c r="C85" t="inlineStr">
        <is>
          <t>Souscription</t>
        </is>
      </c>
      <c r="D85" s="311" t="n">
        <v>46076</v>
      </c>
      <c r="E85" s="311" t="n">
        <v>46081</v>
      </c>
      <c r="F85" s="311" t="n">
        <v>46083</v>
      </c>
      <c r="G85" s="311" t="n">
        <v>46101</v>
      </c>
      <c r="I85" t="inlineStr">
        <is>
          <t>LU2097348770|Souscription|2026-02-23</t>
        </is>
      </c>
    </row>
    <row r="86">
      <c r="A86" t="inlineStr">
        <is>
          <t>LU2097348770</t>
        </is>
      </c>
      <c r="B86" t="inlineStr"/>
      <c r="C86" t="inlineStr">
        <is>
          <t>Souscription</t>
        </is>
      </c>
      <c r="D86" s="311" t="n">
        <v>46105</v>
      </c>
      <c r="E86" s="311" t="n">
        <v>46112</v>
      </c>
      <c r="F86" s="311" t="n">
        <v>46113</v>
      </c>
      <c r="G86" s="311" t="n">
        <v>46135</v>
      </c>
      <c r="I86" t="inlineStr">
        <is>
          <t>LU2097348770|Souscription|2026-03-24</t>
        </is>
      </c>
    </row>
    <row r="87">
      <c r="A87" t="inlineStr">
        <is>
          <t>LU2097348770</t>
        </is>
      </c>
      <c r="B87" t="inlineStr"/>
      <c r="C87" t="inlineStr">
        <is>
          <t>Souscription</t>
        </is>
      </c>
      <c r="D87" s="311" t="n">
        <v>46135</v>
      </c>
      <c r="E87" s="311" t="n">
        <v>46142</v>
      </c>
      <c r="F87" s="311" t="n">
        <v>46146</v>
      </c>
      <c r="G87" s="311" t="n">
        <v>46168</v>
      </c>
      <c r="I87" t="inlineStr">
        <is>
          <t>LU2097348770|Souscription|2026-04-23</t>
        </is>
      </c>
    </row>
    <row r="88">
      <c r="A88" t="inlineStr">
        <is>
          <t>LU2097348770</t>
        </is>
      </c>
      <c r="B88" t="inlineStr"/>
      <c r="C88" t="inlineStr">
        <is>
          <t>Souscription</t>
        </is>
      </c>
      <c r="D88" s="311" t="n">
        <v>46168</v>
      </c>
      <c r="E88" s="311" t="n">
        <v>46173</v>
      </c>
      <c r="F88" s="311" t="n">
        <v>46174</v>
      </c>
      <c r="G88" s="311" t="n">
        <v>46192</v>
      </c>
      <c r="I88" t="inlineStr">
        <is>
          <t>LU2097348770|Souscription|2026-05-26</t>
        </is>
      </c>
    </row>
    <row r="89">
      <c r="A89" t="inlineStr">
        <is>
          <t>LU2097348770</t>
        </is>
      </c>
      <c r="B89" t="inlineStr"/>
      <c r="C89" t="inlineStr">
        <is>
          <t>Souscription</t>
        </is>
      </c>
      <c r="D89" s="311" t="n">
        <v>46197</v>
      </c>
      <c r="E89" s="311" t="n">
        <v>46203</v>
      </c>
      <c r="F89" s="311" t="n">
        <v>46204</v>
      </c>
      <c r="G89" s="311" t="n">
        <v>46224</v>
      </c>
      <c r="I89" t="inlineStr">
        <is>
          <t>LU2097348770|Souscription|2026-06-24</t>
        </is>
      </c>
    </row>
    <row r="90">
      <c r="A90" t="inlineStr">
        <is>
          <t>LU2097348770</t>
        </is>
      </c>
      <c r="B90" t="inlineStr"/>
      <c r="C90" t="inlineStr">
        <is>
          <t>Souscription</t>
        </is>
      </c>
      <c r="D90" s="311" t="n">
        <v>46227</v>
      </c>
      <c r="E90" s="311" t="n">
        <v>46234</v>
      </c>
      <c r="F90" s="311" t="n">
        <v>46237</v>
      </c>
      <c r="G90" s="311" t="n">
        <v>46255</v>
      </c>
      <c r="I90" t="inlineStr">
        <is>
          <t>LU2097348770|Souscription|2026-07-24</t>
        </is>
      </c>
    </row>
    <row r="91">
      <c r="A91" t="inlineStr">
        <is>
          <t>LU2097348770</t>
        </is>
      </c>
      <c r="B91" t="inlineStr"/>
      <c r="C91" t="inlineStr">
        <is>
          <t>Souscription</t>
        </is>
      </c>
      <c r="D91" s="311" t="n">
        <v>46258</v>
      </c>
      <c r="E91" s="311" t="n">
        <v>46265</v>
      </c>
      <c r="F91" s="311" t="n">
        <v>46266</v>
      </c>
      <c r="G91" s="311" t="n">
        <v>46286</v>
      </c>
      <c r="I91" t="inlineStr">
        <is>
          <t>LU2097348770|Souscription|2026-08-24</t>
        </is>
      </c>
    </row>
    <row r="92">
      <c r="A92" t="inlineStr">
        <is>
          <t>LU2097348770</t>
        </is>
      </c>
      <c r="B92" t="inlineStr"/>
      <c r="C92" t="inlineStr">
        <is>
          <t>Souscription</t>
        </is>
      </c>
      <c r="D92" s="311" t="n">
        <v>46288</v>
      </c>
      <c r="E92" s="311" t="n">
        <v>46295</v>
      </c>
      <c r="F92" s="311" t="n">
        <v>46296</v>
      </c>
      <c r="G92" s="311" t="n">
        <v>46316</v>
      </c>
      <c r="I92" t="inlineStr">
        <is>
          <t>LU2097348770|Souscription|2026-09-23</t>
        </is>
      </c>
    </row>
    <row r="93">
      <c r="A93" t="inlineStr">
        <is>
          <t>LU2097348770</t>
        </is>
      </c>
      <c r="B93" t="inlineStr"/>
      <c r="C93" t="inlineStr">
        <is>
          <t>Souscription</t>
        </is>
      </c>
      <c r="D93" s="311" t="n">
        <v>46321</v>
      </c>
      <c r="E93" s="311" t="n">
        <v>46326</v>
      </c>
      <c r="F93" s="311" t="n">
        <v>46328</v>
      </c>
      <c r="G93" s="311" t="n">
        <v>46346</v>
      </c>
      <c r="I93" t="inlineStr">
        <is>
          <t>LU2097348770|Souscription|2026-10-26</t>
        </is>
      </c>
    </row>
    <row r="94">
      <c r="A94" t="inlineStr">
        <is>
          <t>LU2097348770</t>
        </is>
      </c>
      <c r="B94" t="inlineStr"/>
      <c r="C94" t="inlineStr">
        <is>
          <t>Souscription</t>
        </is>
      </c>
      <c r="D94" s="311" t="n">
        <v>46349</v>
      </c>
      <c r="E94" s="311" t="n">
        <v>46356</v>
      </c>
      <c r="F94" s="311" t="n">
        <v>46357</v>
      </c>
      <c r="G94" s="311" t="n">
        <v>46377</v>
      </c>
      <c r="I94" t="inlineStr">
        <is>
          <t>LU2097348770|Souscription|2026-11-23</t>
        </is>
      </c>
    </row>
    <row r="95">
      <c r="A95" t="inlineStr">
        <is>
          <t>LU2097348770</t>
        </is>
      </c>
      <c r="B95" t="inlineStr"/>
      <c r="C95" t="inlineStr">
        <is>
          <t>Souscription</t>
        </is>
      </c>
      <c r="D95" s="311" t="n">
        <v>46380</v>
      </c>
      <c r="E95" s="311" t="n">
        <v>46387</v>
      </c>
      <c r="F95" s="311" t="n">
        <v>46391</v>
      </c>
      <c r="G95" s="311" t="n">
        <v>46409</v>
      </c>
      <c r="I95" t="inlineStr">
        <is>
          <t>LU2097348770|Souscription|2026-12-24</t>
        </is>
      </c>
    </row>
    <row r="96">
      <c r="A96" t="inlineStr">
        <is>
          <t>LU2097348770</t>
        </is>
      </c>
      <c r="B96" t="inlineStr"/>
      <c r="C96" t="inlineStr">
        <is>
          <t>Rachat</t>
        </is>
      </c>
      <c r="D96" s="311" t="n">
        <v>46015</v>
      </c>
      <c r="E96" s="311" t="n">
        <v>46022</v>
      </c>
      <c r="F96" s="311" t="n">
        <v>46024</v>
      </c>
      <c r="G96" s="311" t="n">
        <v>46044</v>
      </c>
      <c r="I96" t="inlineStr">
        <is>
          <t>LU2097348770|Rachat|2025-12-24</t>
        </is>
      </c>
    </row>
    <row r="97">
      <c r="A97" t="inlineStr">
        <is>
          <t>LU2097348770</t>
        </is>
      </c>
      <c r="B97" t="inlineStr"/>
      <c r="C97" t="inlineStr">
        <is>
          <t>Rachat</t>
        </is>
      </c>
      <c r="D97" s="311" t="n">
        <v>46048</v>
      </c>
      <c r="E97" s="311" t="n">
        <v>46053</v>
      </c>
      <c r="F97" s="311" t="n">
        <v>46055</v>
      </c>
      <c r="G97" s="311" t="n">
        <v>46073</v>
      </c>
      <c r="I97" t="inlineStr">
        <is>
          <t>LU2097348770|Rachat|2026-01-26</t>
        </is>
      </c>
    </row>
    <row r="98">
      <c r="A98" t="inlineStr">
        <is>
          <t>LU2097348770</t>
        </is>
      </c>
      <c r="B98" t="inlineStr"/>
      <c r="C98" t="inlineStr">
        <is>
          <t>Rachat</t>
        </is>
      </c>
      <c r="D98" s="311" t="n">
        <v>46076</v>
      </c>
      <c r="E98" s="311" t="n">
        <v>46081</v>
      </c>
      <c r="F98" s="311" t="n">
        <v>46083</v>
      </c>
      <c r="G98" s="311" t="n">
        <v>46101</v>
      </c>
      <c r="I98" t="inlineStr">
        <is>
          <t>LU2097348770|Rachat|2026-02-23</t>
        </is>
      </c>
    </row>
    <row r="99">
      <c r="A99" t="inlineStr">
        <is>
          <t>LU2097348770</t>
        </is>
      </c>
      <c r="B99" t="inlineStr"/>
      <c r="C99" t="inlineStr">
        <is>
          <t>Rachat</t>
        </is>
      </c>
      <c r="D99" s="311" t="n">
        <v>46105</v>
      </c>
      <c r="E99" s="311" t="n">
        <v>46112</v>
      </c>
      <c r="F99" s="311" t="n">
        <v>46113</v>
      </c>
      <c r="G99" s="311" t="n">
        <v>46135</v>
      </c>
      <c r="I99" t="inlineStr">
        <is>
          <t>LU2097348770|Rachat|2026-03-24</t>
        </is>
      </c>
    </row>
    <row r="100">
      <c r="A100" t="inlineStr">
        <is>
          <t>LU2097348770</t>
        </is>
      </c>
      <c r="B100" t="inlineStr"/>
      <c r="C100" t="inlineStr">
        <is>
          <t>Rachat</t>
        </is>
      </c>
      <c r="D100" s="311" t="n">
        <v>46135</v>
      </c>
      <c r="E100" s="311" t="n">
        <v>46142</v>
      </c>
      <c r="F100" s="311" t="n">
        <v>46146</v>
      </c>
      <c r="G100" s="311" t="n">
        <v>46168</v>
      </c>
      <c r="I100" t="inlineStr">
        <is>
          <t>LU2097348770|Rachat|2026-04-23</t>
        </is>
      </c>
    </row>
    <row r="101">
      <c r="A101" t="inlineStr">
        <is>
          <t>LU2097348770</t>
        </is>
      </c>
      <c r="B101" t="inlineStr"/>
      <c r="C101" t="inlineStr">
        <is>
          <t>Rachat</t>
        </is>
      </c>
      <c r="D101" s="311" t="n">
        <v>46168</v>
      </c>
      <c r="E101" s="311" t="n">
        <v>46173</v>
      </c>
      <c r="F101" s="311" t="n">
        <v>46174</v>
      </c>
      <c r="G101" s="311" t="n">
        <v>46192</v>
      </c>
      <c r="I101" t="inlineStr">
        <is>
          <t>LU2097348770|Rachat|2026-05-26</t>
        </is>
      </c>
    </row>
    <row r="102">
      <c r="A102" t="inlineStr">
        <is>
          <t>LU2097348770</t>
        </is>
      </c>
      <c r="B102" t="inlineStr"/>
      <c r="C102" t="inlineStr">
        <is>
          <t>Rachat</t>
        </is>
      </c>
      <c r="D102" s="311" t="n">
        <v>46197</v>
      </c>
      <c r="E102" s="311" t="n">
        <v>46203</v>
      </c>
      <c r="F102" s="311" t="n">
        <v>46204</v>
      </c>
      <c r="G102" s="311" t="n">
        <v>46224</v>
      </c>
      <c r="I102" t="inlineStr">
        <is>
          <t>LU2097348770|Rachat|2026-06-24</t>
        </is>
      </c>
    </row>
    <row r="103">
      <c r="A103" t="inlineStr">
        <is>
          <t>LU2097348770</t>
        </is>
      </c>
      <c r="B103" t="inlineStr"/>
      <c r="C103" t="inlineStr">
        <is>
          <t>Rachat</t>
        </is>
      </c>
      <c r="D103" s="311" t="n">
        <v>46227</v>
      </c>
      <c r="E103" s="311" t="n">
        <v>46234</v>
      </c>
      <c r="F103" s="311" t="n">
        <v>46237</v>
      </c>
      <c r="G103" s="311" t="n">
        <v>46255</v>
      </c>
      <c r="I103" t="inlineStr">
        <is>
          <t>LU2097348770|Rachat|2026-07-24</t>
        </is>
      </c>
    </row>
    <row r="104">
      <c r="A104" t="inlineStr">
        <is>
          <t>LU2097348770</t>
        </is>
      </c>
      <c r="B104" t="inlineStr"/>
      <c r="C104" t="inlineStr">
        <is>
          <t>Rachat</t>
        </is>
      </c>
      <c r="D104" s="311" t="n">
        <v>46258</v>
      </c>
      <c r="E104" s="311" t="n">
        <v>46265</v>
      </c>
      <c r="F104" s="311" t="n">
        <v>46266</v>
      </c>
      <c r="G104" s="311" t="n">
        <v>46286</v>
      </c>
      <c r="I104" t="inlineStr">
        <is>
          <t>LU2097348770|Rachat|2026-08-24</t>
        </is>
      </c>
    </row>
    <row r="105">
      <c r="A105" t="inlineStr">
        <is>
          <t>LU2097348770</t>
        </is>
      </c>
      <c r="B105" t="inlineStr"/>
      <c r="C105" t="inlineStr">
        <is>
          <t>Rachat</t>
        </is>
      </c>
      <c r="D105" s="311" t="n">
        <v>46288</v>
      </c>
      <c r="E105" s="311" t="n">
        <v>46295</v>
      </c>
      <c r="F105" s="311" t="n">
        <v>46296</v>
      </c>
      <c r="G105" s="311" t="n">
        <v>46316</v>
      </c>
      <c r="I105" t="inlineStr">
        <is>
          <t>LU2097348770|Rachat|2026-09-23</t>
        </is>
      </c>
    </row>
    <row r="106">
      <c r="A106" t="inlineStr">
        <is>
          <t>LU2097348770</t>
        </is>
      </c>
      <c r="B106" t="inlineStr"/>
      <c r="C106" t="inlineStr">
        <is>
          <t>Rachat</t>
        </is>
      </c>
      <c r="D106" s="311" t="n">
        <v>46321</v>
      </c>
      <c r="E106" s="311" t="n">
        <v>46326</v>
      </c>
      <c r="F106" s="311" t="n">
        <v>46328</v>
      </c>
      <c r="G106" s="311" t="n">
        <v>46346</v>
      </c>
      <c r="I106" t="inlineStr">
        <is>
          <t>LU2097348770|Rachat|2026-10-26</t>
        </is>
      </c>
    </row>
    <row r="107">
      <c r="A107" t="inlineStr">
        <is>
          <t>LU2097348770</t>
        </is>
      </c>
      <c r="B107" t="inlineStr"/>
      <c r="C107" t="inlineStr">
        <is>
          <t>Rachat</t>
        </is>
      </c>
      <c r="D107" s="311" t="n">
        <v>46349</v>
      </c>
      <c r="E107" s="311" t="n">
        <v>46356</v>
      </c>
      <c r="F107" s="311" t="n">
        <v>46357</v>
      </c>
      <c r="G107" s="311" t="n">
        <v>46377</v>
      </c>
      <c r="I107" t="inlineStr">
        <is>
          <t>LU2097348770|Rachat|2026-11-23</t>
        </is>
      </c>
    </row>
    <row r="108">
      <c r="A108" t="inlineStr">
        <is>
          <t>LU2097348770</t>
        </is>
      </c>
      <c r="B108" t="inlineStr"/>
      <c r="C108" t="inlineStr">
        <is>
          <t>Rachat</t>
        </is>
      </c>
      <c r="D108" s="311" t="n">
        <v>46380</v>
      </c>
      <c r="E108" s="311" t="n">
        <v>46387</v>
      </c>
      <c r="F108" s="311" t="n">
        <v>46391</v>
      </c>
      <c r="G108" s="311" t="n">
        <v>46409</v>
      </c>
      <c r="I108" t="inlineStr">
        <is>
          <t>LU2097348770|Rachat|2026-12-24</t>
        </is>
      </c>
    </row>
    <row r="109">
      <c r="A109" t="inlineStr">
        <is>
          <t>LU2547277330</t>
        </is>
      </c>
      <c r="B109" t="inlineStr"/>
      <c r="C109" t="inlineStr">
        <is>
          <t>Souscription</t>
        </is>
      </c>
      <c r="D109" s="311" t="n">
        <v>46013</v>
      </c>
      <c r="E109" s="311" t="n">
        <v>46022</v>
      </c>
      <c r="F109" s="311" t="n">
        <v>46024</v>
      </c>
      <c r="G109" s="311" t="n">
        <v>46044</v>
      </c>
      <c r="H109" s="311" t="n">
        <v>46049</v>
      </c>
      <c r="I109" t="inlineStr">
        <is>
          <t>LU2547277330|Souscription|2025-12-22</t>
        </is>
      </c>
    </row>
    <row r="110">
      <c r="A110" t="inlineStr">
        <is>
          <t>LU2547277330</t>
        </is>
      </c>
      <c r="B110" t="inlineStr"/>
      <c r="C110" t="inlineStr">
        <is>
          <t>Souscription</t>
        </is>
      </c>
      <c r="D110" s="311" t="n">
        <v>46044</v>
      </c>
      <c r="E110" s="311" t="n">
        <v>46053</v>
      </c>
      <c r="F110" s="311" t="n">
        <v>46055</v>
      </c>
      <c r="G110" s="311" t="n">
        <v>46073</v>
      </c>
      <c r="H110" s="311" t="n">
        <v>46078</v>
      </c>
      <c r="I110" t="inlineStr">
        <is>
          <t>LU2547277330|Souscription|2026-01-22</t>
        </is>
      </c>
    </row>
    <row r="111">
      <c r="A111" t="inlineStr">
        <is>
          <t>LU2547277330</t>
        </is>
      </c>
      <c r="B111" t="inlineStr"/>
      <c r="C111" t="inlineStr">
        <is>
          <t>Souscription</t>
        </is>
      </c>
      <c r="D111" s="311" t="n">
        <v>46076</v>
      </c>
      <c r="E111" s="311" t="n">
        <v>46081</v>
      </c>
      <c r="F111" s="311" t="n">
        <v>46083</v>
      </c>
      <c r="G111" s="311" t="n">
        <v>46101</v>
      </c>
      <c r="H111" s="311" t="n">
        <v>46106</v>
      </c>
      <c r="I111" t="inlineStr">
        <is>
          <t>LU2547277330|Souscription|2026-02-23</t>
        </is>
      </c>
    </row>
    <row r="112">
      <c r="A112" t="inlineStr">
        <is>
          <t>LU2547277330</t>
        </is>
      </c>
      <c r="B112" t="inlineStr"/>
      <c r="C112" t="inlineStr">
        <is>
          <t>Souscription</t>
        </is>
      </c>
      <c r="D112" s="311" t="n">
        <v>46104</v>
      </c>
      <c r="E112" s="311" t="n">
        <v>46112</v>
      </c>
      <c r="F112" s="311" t="n">
        <v>46113</v>
      </c>
      <c r="G112" s="311" t="n">
        <v>46135</v>
      </c>
      <c r="H112" s="311" t="n">
        <v>46140</v>
      </c>
      <c r="I112" t="inlineStr">
        <is>
          <t>LU2547277330|Souscription|2026-03-23</t>
        </is>
      </c>
    </row>
    <row r="113">
      <c r="A113" t="inlineStr">
        <is>
          <t>LU2547277330</t>
        </is>
      </c>
      <c r="B113" t="inlineStr"/>
      <c r="C113" t="inlineStr">
        <is>
          <t>Souscription</t>
        </is>
      </c>
      <c r="D113" s="311" t="n">
        <v>46134</v>
      </c>
      <c r="E113" s="311" t="n">
        <v>46142</v>
      </c>
      <c r="F113" s="311" t="n">
        <v>46146</v>
      </c>
      <c r="G113" s="311" t="n">
        <v>46168</v>
      </c>
      <c r="H113" s="311" t="n">
        <v>46171</v>
      </c>
      <c r="I113" t="inlineStr">
        <is>
          <t>LU2547277330|Souscription|2026-04-22</t>
        </is>
      </c>
    </row>
    <row r="114">
      <c r="A114" t="inlineStr">
        <is>
          <t>LU2547277330</t>
        </is>
      </c>
      <c r="B114" t="inlineStr"/>
      <c r="C114" t="inlineStr">
        <is>
          <t>Souscription</t>
        </is>
      </c>
      <c r="D114" s="311" t="n">
        <v>46164</v>
      </c>
      <c r="E114" s="311" t="n">
        <v>46173</v>
      </c>
      <c r="F114" s="311" t="n">
        <v>46174</v>
      </c>
      <c r="G114" s="311" t="n">
        <v>46192</v>
      </c>
      <c r="H114" s="311" t="n">
        <v>46198</v>
      </c>
      <c r="I114" t="inlineStr">
        <is>
          <t>LU2547277330|Souscription|2026-05-22</t>
        </is>
      </c>
    </row>
    <row r="115">
      <c r="A115" t="inlineStr">
        <is>
          <t>LU2547277330</t>
        </is>
      </c>
      <c r="B115" t="inlineStr"/>
      <c r="C115" t="inlineStr">
        <is>
          <t>Souscription</t>
        </is>
      </c>
      <c r="D115" s="311" t="n">
        <v>46195</v>
      </c>
      <c r="E115" s="311" t="n">
        <v>46203</v>
      </c>
      <c r="F115" s="311" t="n">
        <v>46204</v>
      </c>
      <c r="G115" s="311" t="n">
        <v>46224</v>
      </c>
      <c r="H115" s="311" t="n">
        <v>46227</v>
      </c>
      <c r="I115" t="inlineStr">
        <is>
          <t>LU2547277330|Souscription|2026-06-22</t>
        </is>
      </c>
    </row>
    <row r="116">
      <c r="A116" t="inlineStr">
        <is>
          <t>LU2547277330</t>
        </is>
      </c>
      <c r="B116" t="inlineStr"/>
      <c r="C116" t="inlineStr">
        <is>
          <t>Souscription</t>
        </is>
      </c>
      <c r="D116" s="311" t="n">
        <v>46225</v>
      </c>
      <c r="E116" s="311" t="n">
        <v>46234</v>
      </c>
      <c r="F116" s="311" t="n">
        <v>46237</v>
      </c>
      <c r="G116" s="311" t="n">
        <v>46255</v>
      </c>
      <c r="H116" s="311" t="n">
        <v>46260</v>
      </c>
      <c r="I116" t="inlineStr">
        <is>
          <t>LU2547277330|Souscription|2026-07-22</t>
        </is>
      </c>
    </row>
    <row r="117">
      <c r="A117" t="inlineStr">
        <is>
          <t>LU2547277330</t>
        </is>
      </c>
      <c r="B117" t="inlineStr"/>
      <c r="C117" t="inlineStr">
        <is>
          <t>Souscription</t>
        </is>
      </c>
      <c r="D117" s="311" t="n">
        <v>46258</v>
      </c>
      <c r="E117" s="311" t="n">
        <v>46265</v>
      </c>
      <c r="F117" s="311" t="n">
        <v>46266</v>
      </c>
      <c r="G117" s="311" t="n">
        <v>46286</v>
      </c>
      <c r="H117" s="311" t="n">
        <v>46289</v>
      </c>
      <c r="I117" t="inlineStr">
        <is>
          <t>LU2547277330|Souscription|2026-08-24</t>
        </is>
      </c>
    </row>
    <row r="118">
      <c r="A118" t="inlineStr">
        <is>
          <t>LU2547277330</t>
        </is>
      </c>
      <c r="B118" t="inlineStr"/>
      <c r="C118" t="inlineStr">
        <is>
          <t>Souscription</t>
        </is>
      </c>
      <c r="D118" s="311" t="n">
        <v>46287</v>
      </c>
      <c r="E118" s="311" t="n">
        <v>46295</v>
      </c>
      <c r="F118" s="311" t="n">
        <v>46296</v>
      </c>
      <c r="G118" s="311" t="n">
        <v>46316</v>
      </c>
      <c r="H118" s="311" t="n">
        <v>46321</v>
      </c>
      <c r="I118" t="inlineStr">
        <is>
          <t>LU2547277330|Souscription|2026-09-22</t>
        </is>
      </c>
    </row>
    <row r="119">
      <c r="A119" t="inlineStr">
        <is>
          <t>LU2547277330</t>
        </is>
      </c>
      <c r="B119" t="inlineStr"/>
      <c r="C119" t="inlineStr">
        <is>
          <t>Souscription</t>
        </is>
      </c>
      <c r="D119" s="311" t="n">
        <v>46317</v>
      </c>
      <c r="E119" s="311" t="n">
        <v>46326</v>
      </c>
      <c r="F119" s="311" t="n">
        <v>46328</v>
      </c>
      <c r="G119" s="311" t="n">
        <v>46346</v>
      </c>
      <c r="H119" s="311" t="n">
        <v>46351</v>
      </c>
      <c r="I119" t="inlineStr">
        <is>
          <t>LU2547277330|Souscription|2026-10-22</t>
        </is>
      </c>
    </row>
    <row r="120">
      <c r="A120" t="inlineStr">
        <is>
          <t>LU2547277330</t>
        </is>
      </c>
      <c r="B120" t="inlineStr"/>
      <c r="C120" t="inlineStr">
        <is>
          <t>Souscription</t>
        </is>
      </c>
      <c r="D120" s="311" t="n">
        <v>46349</v>
      </c>
      <c r="E120" s="311" t="n">
        <v>46356</v>
      </c>
      <c r="F120" s="311" t="n">
        <v>46357</v>
      </c>
      <c r="G120" s="311" t="n">
        <v>46377</v>
      </c>
      <c r="H120" s="311" t="n">
        <v>46380</v>
      </c>
      <c r="I120" t="inlineStr">
        <is>
          <t>LU2547277330|Souscription|2026-11-23</t>
        </is>
      </c>
    </row>
    <row r="121">
      <c r="A121" t="inlineStr">
        <is>
          <t>LU2547277330</t>
        </is>
      </c>
      <c r="B121" t="inlineStr"/>
      <c r="C121" t="inlineStr">
        <is>
          <t>Souscription</t>
        </is>
      </c>
      <c r="D121" s="311" t="n">
        <v>46378</v>
      </c>
      <c r="E121" s="311" t="n">
        <v>46387</v>
      </c>
      <c r="F121" s="311" t="n">
        <v>46391</v>
      </c>
      <c r="G121" s="311" t="n">
        <v>46409</v>
      </c>
      <c r="H121" s="311" t="n">
        <v>46414</v>
      </c>
      <c r="I121" t="inlineStr">
        <is>
          <t>LU2547277330|Souscription|2026-12-22</t>
        </is>
      </c>
    </row>
    <row r="122">
      <c r="A122" t="inlineStr">
        <is>
          <t>LU2547277330</t>
        </is>
      </c>
      <c r="B122" t="inlineStr"/>
      <c r="C122" t="inlineStr">
        <is>
          <t>Rachat</t>
        </is>
      </c>
      <c r="D122" s="311" t="n">
        <v>46013</v>
      </c>
      <c r="E122" s="311" t="n">
        <v>46022</v>
      </c>
      <c r="F122" s="311" t="n">
        <v>46024</v>
      </c>
      <c r="G122" s="311" t="n">
        <v>46044</v>
      </c>
      <c r="I122" t="inlineStr">
        <is>
          <t>LU2547277330|Rachat|2025-12-22</t>
        </is>
      </c>
    </row>
    <row r="123">
      <c r="A123" t="inlineStr">
        <is>
          <t>LU2547277330</t>
        </is>
      </c>
      <c r="B123" t="inlineStr"/>
      <c r="C123" t="inlineStr">
        <is>
          <t>Rachat</t>
        </is>
      </c>
      <c r="D123" s="311" t="n">
        <v>46044</v>
      </c>
      <c r="E123" s="311" t="n">
        <v>46053</v>
      </c>
      <c r="F123" s="311" t="n">
        <v>46055</v>
      </c>
      <c r="G123" s="311" t="n">
        <v>46073</v>
      </c>
      <c r="I123" t="inlineStr">
        <is>
          <t>LU2547277330|Rachat|2026-01-22</t>
        </is>
      </c>
    </row>
    <row r="124">
      <c r="A124" t="inlineStr">
        <is>
          <t>LU2547277330</t>
        </is>
      </c>
      <c r="B124" t="inlineStr"/>
      <c r="C124" t="inlineStr">
        <is>
          <t>Rachat</t>
        </is>
      </c>
      <c r="D124" s="311" t="n">
        <v>46076</v>
      </c>
      <c r="E124" s="311" t="n">
        <v>46081</v>
      </c>
      <c r="F124" s="311" t="n">
        <v>46083</v>
      </c>
      <c r="G124" s="311" t="n">
        <v>46101</v>
      </c>
      <c r="I124" t="inlineStr">
        <is>
          <t>LU2547277330|Rachat|2026-02-23</t>
        </is>
      </c>
    </row>
    <row r="125">
      <c r="A125" t="inlineStr">
        <is>
          <t>LU2547277330</t>
        </is>
      </c>
      <c r="B125" t="inlineStr"/>
      <c r="C125" t="inlineStr">
        <is>
          <t>Rachat</t>
        </is>
      </c>
      <c r="D125" s="311" t="n">
        <v>46104</v>
      </c>
      <c r="E125" s="311" t="n">
        <v>46112</v>
      </c>
      <c r="F125" s="311" t="n">
        <v>46113</v>
      </c>
      <c r="G125" s="311" t="n">
        <v>46135</v>
      </c>
      <c r="I125" t="inlineStr">
        <is>
          <t>LU2547277330|Rachat|2026-03-23</t>
        </is>
      </c>
    </row>
    <row r="126">
      <c r="A126" t="inlineStr">
        <is>
          <t>LU2547277330</t>
        </is>
      </c>
      <c r="B126" t="inlineStr"/>
      <c r="C126" t="inlineStr">
        <is>
          <t>Rachat</t>
        </is>
      </c>
      <c r="D126" s="311" t="n">
        <v>46134</v>
      </c>
      <c r="E126" s="311" t="n">
        <v>46142</v>
      </c>
      <c r="F126" s="311" t="n">
        <v>46146</v>
      </c>
      <c r="G126" s="311" t="n">
        <v>46168</v>
      </c>
      <c r="I126" t="inlineStr">
        <is>
          <t>LU2547277330|Rachat|2026-04-22</t>
        </is>
      </c>
    </row>
    <row r="127">
      <c r="A127" t="inlineStr">
        <is>
          <t>LU2547277330</t>
        </is>
      </c>
      <c r="B127" t="inlineStr"/>
      <c r="C127" t="inlineStr">
        <is>
          <t>Rachat</t>
        </is>
      </c>
      <c r="D127" s="311" t="n">
        <v>46164</v>
      </c>
      <c r="E127" s="311" t="n">
        <v>46173</v>
      </c>
      <c r="F127" s="311" t="n">
        <v>46174</v>
      </c>
      <c r="G127" s="311" t="n">
        <v>46192</v>
      </c>
      <c r="I127" t="inlineStr">
        <is>
          <t>LU2547277330|Rachat|2026-05-22</t>
        </is>
      </c>
    </row>
    <row r="128">
      <c r="A128" t="inlineStr">
        <is>
          <t>LU2547277330</t>
        </is>
      </c>
      <c r="B128" t="inlineStr"/>
      <c r="C128" t="inlineStr">
        <is>
          <t>Rachat</t>
        </is>
      </c>
      <c r="D128" s="311" t="n">
        <v>46195</v>
      </c>
      <c r="E128" s="311" t="n">
        <v>46203</v>
      </c>
      <c r="F128" s="311" t="n">
        <v>46204</v>
      </c>
      <c r="G128" s="311" t="n">
        <v>46224</v>
      </c>
      <c r="I128" t="inlineStr">
        <is>
          <t>LU2547277330|Rachat|2026-06-22</t>
        </is>
      </c>
    </row>
    <row r="129">
      <c r="A129" t="inlineStr">
        <is>
          <t>LU2547277330</t>
        </is>
      </c>
      <c r="B129" t="inlineStr"/>
      <c r="C129" t="inlineStr">
        <is>
          <t>Rachat</t>
        </is>
      </c>
      <c r="D129" s="311" t="n">
        <v>46225</v>
      </c>
      <c r="E129" s="311" t="n">
        <v>46234</v>
      </c>
      <c r="F129" s="311" t="n">
        <v>46237</v>
      </c>
      <c r="G129" s="311" t="n">
        <v>46255</v>
      </c>
      <c r="I129" t="inlineStr">
        <is>
          <t>LU2547277330|Rachat|2026-07-22</t>
        </is>
      </c>
    </row>
    <row r="130">
      <c r="A130" t="inlineStr">
        <is>
          <t>LU2547277330</t>
        </is>
      </c>
      <c r="B130" t="inlineStr"/>
      <c r="C130" t="inlineStr">
        <is>
          <t>Rachat</t>
        </is>
      </c>
      <c r="D130" s="311" t="n">
        <v>46258</v>
      </c>
      <c r="E130" s="311" t="n">
        <v>46265</v>
      </c>
      <c r="F130" s="311" t="n">
        <v>46266</v>
      </c>
      <c r="G130" s="311" t="n">
        <v>46286</v>
      </c>
      <c r="I130" t="inlineStr">
        <is>
          <t>LU2547277330|Rachat|2026-08-24</t>
        </is>
      </c>
    </row>
    <row r="131">
      <c r="A131" t="inlineStr">
        <is>
          <t>LU2547277330</t>
        </is>
      </c>
      <c r="B131" t="inlineStr"/>
      <c r="C131" t="inlineStr">
        <is>
          <t>Rachat</t>
        </is>
      </c>
      <c r="D131" s="311" t="n">
        <v>46287</v>
      </c>
      <c r="E131" s="311" t="n">
        <v>46295</v>
      </c>
      <c r="F131" s="311" t="n">
        <v>46296</v>
      </c>
      <c r="G131" s="311" t="n">
        <v>46316</v>
      </c>
      <c r="I131" t="inlineStr">
        <is>
          <t>LU2547277330|Rachat|2026-09-22</t>
        </is>
      </c>
    </row>
    <row r="132">
      <c r="A132" t="inlineStr">
        <is>
          <t>LU2547277330</t>
        </is>
      </c>
      <c r="B132" t="inlineStr"/>
      <c r="C132" t="inlineStr">
        <is>
          <t>Rachat</t>
        </is>
      </c>
      <c r="D132" s="311" t="n">
        <v>46317</v>
      </c>
      <c r="E132" s="311" t="n">
        <v>46326</v>
      </c>
      <c r="F132" s="311" t="n">
        <v>46328</v>
      </c>
      <c r="G132" s="311" t="n">
        <v>46346</v>
      </c>
      <c r="I132" t="inlineStr">
        <is>
          <t>LU2547277330|Rachat|2026-10-22</t>
        </is>
      </c>
    </row>
    <row r="133">
      <c r="A133" t="inlineStr">
        <is>
          <t>LU2547277330</t>
        </is>
      </c>
      <c r="B133" t="inlineStr"/>
      <c r="C133" t="inlineStr">
        <is>
          <t>Rachat</t>
        </is>
      </c>
      <c r="D133" s="311" t="n">
        <v>46349</v>
      </c>
      <c r="E133" s="311" t="n">
        <v>46356</v>
      </c>
      <c r="F133" s="311" t="n">
        <v>46357</v>
      </c>
      <c r="G133" s="311" t="n">
        <v>46377</v>
      </c>
      <c r="I133" t="inlineStr">
        <is>
          <t>LU2547277330|Rachat|2026-11-23</t>
        </is>
      </c>
    </row>
    <row r="134">
      <c r="A134" t="inlineStr">
        <is>
          <t>LU2547277330</t>
        </is>
      </c>
      <c r="B134" t="inlineStr"/>
      <c r="C134" t="inlineStr">
        <is>
          <t>Rachat</t>
        </is>
      </c>
      <c r="D134" s="311" t="n">
        <v>46378</v>
      </c>
      <c r="E134" s="311" t="n">
        <v>46387</v>
      </c>
      <c r="F134" s="311" t="n">
        <v>46391</v>
      </c>
      <c r="G134" s="311" t="n">
        <v>46409</v>
      </c>
      <c r="I134" t="inlineStr">
        <is>
          <t>LU2547277330|Rachat|2026-12-22</t>
        </is>
      </c>
    </row>
    <row r="135">
      <c r="A135" t="inlineStr">
        <is>
          <t>FR001400XGO9</t>
        </is>
      </c>
      <c r="B135" t="inlineStr"/>
      <c r="C135" t="inlineStr">
        <is>
          <t>Rachat</t>
        </is>
      </c>
      <c r="D135" s="311" t="n">
        <v>46008</v>
      </c>
      <c r="E135" s="311" t="n">
        <v>46052</v>
      </c>
      <c r="F135" s="311" t="n">
        <v>46052</v>
      </c>
      <c r="G135" s="311" t="n">
        <v>46108</v>
      </c>
      <c r="H135" s="311" t="n">
        <v>46129</v>
      </c>
      <c r="I135" t="inlineStr">
        <is>
          <t>FR001400XGO9|Rachat|2025-12-17</t>
        </is>
      </c>
    </row>
    <row r="136">
      <c r="A136" t="inlineStr">
        <is>
          <t>FR001400XGO9</t>
        </is>
      </c>
      <c r="B136" t="inlineStr"/>
      <c r="C136" t="inlineStr">
        <is>
          <t>Rachat</t>
        </is>
      </c>
      <c r="D136" s="311" t="n">
        <v>46038</v>
      </c>
      <c r="E136" s="311" t="n">
        <v>46080</v>
      </c>
      <c r="F136" s="311" t="n">
        <v>46080</v>
      </c>
      <c r="G136" s="311" t="n">
        <v>46136</v>
      </c>
      <c r="H136" s="311" t="n">
        <v>46158</v>
      </c>
      <c r="I136" t="inlineStr">
        <is>
          <t>FR001400XGO9|Rachat|2026-01-16</t>
        </is>
      </c>
    </row>
    <row r="137">
      <c r="A137" t="inlineStr">
        <is>
          <t>FR001400XGO9</t>
        </is>
      </c>
      <c r="B137" t="inlineStr"/>
      <c r="C137" t="inlineStr">
        <is>
          <t>Rachat</t>
        </is>
      </c>
      <c r="D137" s="311" t="n">
        <v>46070</v>
      </c>
      <c r="E137" s="311" t="n">
        <v>46112</v>
      </c>
      <c r="F137" s="311" t="n">
        <v>46112</v>
      </c>
      <c r="G137" s="311" t="n">
        <v>46168</v>
      </c>
      <c r="H137" s="311" t="n">
        <v>46190</v>
      </c>
      <c r="I137" t="inlineStr">
        <is>
          <t>FR001400XGO9|Rachat|2026-02-17</t>
        </is>
      </c>
    </row>
    <row r="138">
      <c r="A138" t="inlineStr">
        <is>
          <t>FR001400XGO9</t>
        </is>
      </c>
      <c r="B138" t="inlineStr"/>
      <c r="C138" t="inlineStr">
        <is>
          <t>Rachat</t>
        </is>
      </c>
      <c r="D138" s="311" t="n">
        <v>46098</v>
      </c>
      <c r="E138" s="311" t="n">
        <v>46142</v>
      </c>
      <c r="F138" s="311" t="n">
        <v>46142</v>
      </c>
      <c r="G138" s="311" t="n">
        <v>46198</v>
      </c>
      <c r="H138" s="311" t="n">
        <v>46220</v>
      </c>
      <c r="I138" t="inlineStr">
        <is>
          <t>FR001400XGO9|Rachat|2026-03-17</t>
        </is>
      </c>
    </row>
    <row r="139">
      <c r="A139" t="inlineStr">
        <is>
          <t>FR001400XGO9</t>
        </is>
      </c>
      <c r="B139" t="inlineStr"/>
      <c r="C139" t="inlineStr">
        <is>
          <t>Rachat</t>
        </is>
      </c>
      <c r="D139" s="311" t="n">
        <v>46125</v>
      </c>
      <c r="E139" s="311" t="n">
        <v>46171</v>
      </c>
      <c r="F139" s="311" t="n">
        <v>46171</v>
      </c>
      <c r="G139" s="311" t="n">
        <v>46227</v>
      </c>
      <c r="H139" s="311" t="n">
        <v>46247</v>
      </c>
      <c r="I139" t="inlineStr">
        <is>
          <t>FR001400XGO9|Rachat|2026-04-13</t>
        </is>
      </c>
    </row>
    <row r="140">
      <c r="A140" t="inlineStr">
        <is>
          <t>FR001400XGO9</t>
        </is>
      </c>
      <c r="B140" t="inlineStr"/>
      <c r="C140" t="inlineStr">
        <is>
          <t>Rachat</t>
        </is>
      </c>
      <c r="D140" s="311" t="n">
        <v>46160</v>
      </c>
      <c r="E140" s="311" t="n">
        <v>46203</v>
      </c>
      <c r="F140" s="311" t="n">
        <v>46203</v>
      </c>
      <c r="G140" s="311" t="n">
        <v>46259</v>
      </c>
      <c r="H140" s="311" t="n">
        <v>46283</v>
      </c>
      <c r="I140" t="inlineStr">
        <is>
          <t>FR001400XGO9|Rachat|2026-05-18</t>
        </is>
      </c>
    </row>
    <row r="141">
      <c r="A141" t="inlineStr">
        <is>
          <t>FR001400XGO9</t>
        </is>
      </c>
      <c r="B141" t="inlineStr"/>
      <c r="C141" t="inlineStr">
        <is>
          <t>Rachat</t>
        </is>
      </c>
      <c r="D141" s="311" t="n">
        <v>46191</v>
      </c>
      <c r="E141" s="311" t="n">
        <v>46234</v>
      </c>
      <c r="F141" s="311" t="n">
        <v>46234</v>
      </c>
      <c r="G141" s="311" t="n">
        <v>46290</v>
      </c>
      <c r="H141" s="311" t="n">
        <v>46313</v>
      </c>
      <c r="I141" t="inlineStr">
        <is>
          <t>FR001400XGO9|Rachat|2026-06-18</t>
        </is>
      </c>
    </row>
    <row r="142">
      <c r="A142" t="inlineStr">
        <is>
          <t>FR001400XGO9</t>
        </is>
      </c>
      <c r="B142" t="inlineStr"/>
      <c r="C142" t="inlineStr">
        <is>
          <t>Rachat</t>
        </is>
      </c>
      <c r="D142" s="311" t="n">
        <v>46223</v>
      </c>
      <c r="E142" s="311" t="n">
        <v>46265</v>
      </c>
      <c r="F142" s="311" t="n">
        <v>46265</v>
      </c>
      <c r="G142" s="311" t="n">
        <v>46321</v>
      </c>
      <c r="H142" s="311" t="n">
        <v>46346</v>
      </c>
      <c r="I142" t="inlineStr">
        <is>
          <t>FR001400XGO9|Rachat|2026-07-20</t>
        </is>
      </c>
    </row>
    <row r="143">
      <c r="A143" t="inlineStr">
        <is>
          <t>FR001400XGO9</t>
        </is>
      </c>
      <c r="B143" t="inlineStr"/>
      <c r="C143" t="inlineStr">
        <is>
          <t>Rachat</t>
        </is>
      </c>
      <c r="D143" s="311" t="n">
        <v>46253</v>
      </c>
      <c r="E143" s="311" t="n">
        <v>46295</v>
      </c>
      <c r="F143" s="311" t="n">
        <v>46295</v>
      </c>
      <c r="G143" s="311" t="n">
        <v>46351</v>
      </c>
      <c r="H143" s="311" t="n">
        <v>46375</v>
      </c>
      <c r="I143" t="inlineStr">
        <is>
          <t>FR001400XGO9|Rachat|2026-08-19</t>
        </is>
      </c>
    </row>
    <row r="144">
      <c r="A144" t="inlineStr">
        <is>
          <t>FR001400XGO9</t>
        </is>
      </c>
      <c r="B144" t="inlineStr"/>
      <c r="C144" t="inlineStr">
        <is>
          <t>Rachat</t>
        </is>
      </c>
      <c r="D144" s="311" t="n">
        <v>46283</v>
      </c>
      <c r="E144" s="311" t="n">
        <v>46325</v>
      </c>
      <c r="F144" s="311" t="n">
        <v>46325</v>
      </c>
      <c r="G144" s="311" t="n">
        <v>46381</v>
      </c>
      <c r="H144" s="311" t="n">
        <v>46405</v>
      </c>
      <c r="I144" t="inlineStr">
        <is>
          <t>FR001400XGO9|Rachat|2026-09-18</t>
        </is>
      </c>
    </row>
    <row r="145">
      <c r="A145" t="inlineStr">
        <is>
          <t>FR001400XGO9</t>
        </is>
      </c>
      <c r="B145" t="inlineStr"/>
      <c r="C145" t="inlineStr">
        <is>
          <t>Rachat</t>
        </is>
      </c>
      <c r="D145" s="311" t="n">
        <v>46311</v>
      </c>
      <c r="E145" s="311" t="n">
        <v>46356</v>
      </c>
      <c r="F145" s="311" t="n">
        <v>46356</v>
      </c>
      <c r="G145" s="311" t="n">
        <v>46412</v>
      </c>
      <c r="H145" s="311" t="n">
        <v>46434</v>
      </c>
      <c r="I145" t="inlineStr">
        <is>
          <t>FR001400XGO9|Rachat|2026-10-16</t>
        </is>
      </c>
    </row>
    <row r="146">
      <c r="A146" t="inlineStr">
        <is>
          <t>FR001400XGO9</t>
        </is>
      </c>
      <c r="B146" t="inlineStr"/>
      <c r="C146" t="inlineStr">
        <is>
          <t>Rachat</t>
        </is>
      </c>
      <c r="D146" s="311" t="n">
        <v>46344</v>
      </c>
      <c r="E146" s="311" t="n">
        <v>46387</v>
      </c>
      <c r="F146" s="311" t="n">
        <v>46387</v>
      </c>
      <c r="G146" s="311" t="n">
        <v>46443</v>
      </c>
      <c r="H146" s="311" t="n">
        <v>46464</v>
      </c>
      <c r="I146" t="inlineStr">
        <is>
          <t>FR001400XGO9|Rachat|2026-11-18</t>
        </is>
      </c>
    </row>
    <row r="147">
      <c r="A147" t="inlineStr">
        <is>
          <t>FR001400XGM3</t>
        </is>
      </c>
      <c r="B147" t="inlineStr"/>
      <c r="C147" t="inlineStr">
        <is>
          <t>Rachat</t>
        </is>
      </c>
      <c r="D147" s="311" t="n">
        <v>46008</v>
      </c>
      <c r="E147" s="311" t="n">
        <v>46052</v>
      </c>
      <c r="F147" s="311" t="n">
        <v>46052</v>
      </c>
      <c r="G147" s="311" t="n">
        <v>46108</v>
      </c>
      <c r="H147" s="311" t="n">
        <v>46129</v>
      </c>
      <c r="I147" t="inlineStr">
        <is>
          <t>FR001400XGM3|Rachat|2025-12-17</t>
        </is>
      </c>
    </row>
    <row r="148">
      <c r="A148" t="inlineStr">
        <is>
          <t>FR001400XGM3</t>
        </is>
      </c>
      <c r="B148" t="inlineStr"/>
      <c r="C148" t="inlineStr">
        <is>
          <t>Rachat</t>
        </is>
      </c>
      <c r="D148" s="311" t="n">
        <v>46038</v>
      </c>
      <c r="E148" s="311" t="n">
        <v>46080</v>
      </c>
      <c r="F148" s="311" t="n">
        <v>46080</v>
      </c>
      <c r="G148" s="311" t="n">
        <v>46136</v>
      </c>
      <c r="H148" s="311" t="n">
        <v>46158</v>
      </c>
      <c r="I148" t="inlineStr">
        <is>
          <t>FR001400XGM3|Rachat|2026-01-16</t>
        </is>
      </c>
    </row>
    <row r="149">
      <c r="A149" t="inlineStr">
        <is>
          <t>FR001400XGM3</t>
        </is>
      </c>
      <c r="B149" t="inlineStr"/>
      <c r="C149" t="inlineStr">
        <is>
          <t>Rachat</t>
        </is>
      </c>
      <c r="D149" s="311" t="n">
        <v>46070</v>
      </c>
      <c r="E149" s="311" t="n">
        <v>46112</v>
      </c>
      <c r="F149" s="311" t="n">
        <v>46112</v>
      </c>
      <c r="G149" s="311" t="n">
        <v>46168</v>
      </c>
      <c r="H149" s="311" t="n">
        <v>46190</v>
      </c>
      <c r="I149" t="inlineStr">
        <is>
          <t>FR001400XGM3|Rachat|2026-02-17</t>
        </is>
      </c>
    </row>
    <row r="150">
      <c r="A150" t="inlineStr">
        <is>
          <t>FR001400XGM3</t>
        </is>
      </c>
      <c r="B150" t="inlineStr"/>
      <c r="C150" t="inlineStr">
        <is>
          <t>Rachat</t>
        </is>
      </c>
      <c r="D150" s="311" t="n">
        <v>46098</v>
      </c>
      <c r="E150" s="311" t="n">
        <v>46142</v>
      </c>
      <c r="F150" s="311" t="n">
        <v>46142</v>
      </c>
      <c r="G150" s="311" t="n">
        <v>46198</v>
      </c>
      <c r="H150" s="311" t="n">
        <v>46220</v>
      </c>
      <c r="I150" t="inlineStr">
        <is>
          <t>FR001400XGM3|Rachat|2026-03-17</t>
        </is>
      </c>
    </row>
    <row r="151">
      <c r="A151" t="inlineStr">
        <is>
          <t>FR001400XGM3</t>
        </is>
      </c>
      <c r="B151" t="inlineStr"/>
      <c r="C151" t="inlineStr">
        <is>
          <t>Rachat</t>
        </is>
      </c>
      <c r="D151" s="311" t="n">
        <v>46125</v>
      </c>
      <c r="E151" s="311" t="n">
        <v>46171</v>
      </c>
      <c r="F151" s="311" t="n">
        <v>46171</v>
      </c>
      <c r="G151" s="311" t="n">
        <v>46227</v>
      </c>
      <c r="H151" s="311" t="n">
        <v>46247</v>
      </c>
      <c r="I151" t="inlineStr">
        <is>
          <t>FR001400XGM3|Rachat|2026-04-13</t>
        </is>
      </c>
    </row>
    <row r="152">
      <c r="A152" t="inlineStr">
        <is>
          <t>FR001400XGM3</t>
        </is>
      </c>
      <c r="B152" t="inlineStr"/>
      <c r="C152" t="inlineStr">
        <is>
          <t>Rachat</t>
        </is>
      </c>
      <c r="D152" s="311" t="n">
        <v>46160</v>
      </c>
      <c r="E152" s="311" t="n">
        <v>46203</v>
      </c>
      <c r="F152" s="311" t="n">
        <v>46203</v>
      </c>
      <c r="G152" s="311" t="n">
        <v>46259</v>
      </c>
      <c r="H152" s="311" t="n">
        <v>46283</v>
      </c>
      <c r="I152" t="inlineStr">
        <is>
          <t>FR001400XGM3|Rachat|2026-05-18</t>
        </is>
      </c>
    </row>
    <row r="153">
      <c r="A153" t="inlineStr">
        <is>
          <t>FR001400XGM3</t>
        </is>
      </c>
      <c r="B153" t="inlineStr"/>
      <c r="C153" t="inlineStr">
        <is>
          <t>Rachat</t>
        </is>
      </c>
      <c r="D153" s="311" t="n">
        <v>46191</v>
      </c>
      <c r="E153" s="311" t="n">
        <v>46234</v>
      </c>
      <c r="F153" s="311" t="n">
        <v>46234</v>
      </c>
      <c r="G153" s="311" t="n">
        <v>46290</v>
      </c>
      <c r="H153" s="311" t="n">
        <v>46313</v>
      </c>
      <c r="I153" t="inlineStr">
        <is>
          <t>FR001400XGM3|Rachat|2026-06-18</t>
        </is>
      </c>
    </row>
    <row r="154">
      <c r="A154" t="inlineStr">
        <is>
          <t>FR001400XGM3</t>
        </is>
      </c>
      <c r="B154" t="inlineStr"/>
      <c r="C154" t="inlineStr">
        <is>
          <t>Rachat</t>
        </is>
      </c>
      <c r="D154" s="311" t="n">
        <v>46223</v>
      </c>
      <c r="E154" s="311" t="n">
        <v>46265</v>
      </c>
      <c r="F154" s="311" t="n">
        <v>46265</v>
      </c>
      <c r="G154" s="311" t="n">
        <v>46321</v>
      </c>
      <c r="H154" s="311" t="n">
        <v>46346</v>
      </c>
      <c r="I154" t="inlineStr">
        <is>
          <t>FR001400XGM3|Rachat|2026-07-20</t>
        </is>
      </c>
    </row>
    <row r="155">
      <c r="A155" t="inlineStr">
        <is>
          <t>FR001400XGM3</t>
        </is>
      </c>
      <c r="B155" t="inlineStr"/>
      <c r="C155" t="inlineStr">
        <is>
          <t>Rachat</t>
        </is>
      </c>
      <c r="D155" s="311" t="n">
        <v>46253</v>
      </c>
      <c r="E155" s="311" t="n">
        <v>46295</v>
      </c>
      <c r="F155" s="311" t="n">
        <v>46295</v>
      </c>
      <c r="G155" s="311" t="n">
        <v>46351</v>
      </c>
      <c r="H155" s="311" t="n">
        <v>46375</v>
      </c>
      <c r="I155" t="inlineStr">
        <is>
          <t>FR001400XGM3|Rachat|2026-08-19</t>
        </is>
      </c>
    </row>
    <row r="156">
      <c r="A156" t="inlineStr">
        <is>
          <t>FR001400XGM3</t>
        </is>
      </c>
      <c r="B156" t="inlineStr"/>
      <c r="C156" t="inlineStr">
        <is>
          <t>Rachat</t>
        </is>
      </c>
      <c r="D156" s="311" t="n">
        <v>46283</v>
      </c>
      <c r="E156" s="311" t="n">
        <v>46325</v>
      </c>
      <c r="F156" s="311" t="n">
        <v>46325</v>
      </c>
      <c r="G156" s="311" t="n">
        <v>46381</v>
      </c>
      <c r="H156" s="311" t="n">
        <v>46405</v>
      </c>
      <c r="I156" t="inlineStr">
        <is>
          <t>FR001400XGM3|Rachat|2026-09-18</t>
        </is>
      </c>
    </row>
    <row r="157">
      <c r="A157" t="inlineStr">
        <is>
          <t>FR001400XGM3</t>
        </is>
      </c>
      <c r="B157" t="inlineStr"/>
      <c r="C157" t="inlineStr">
        <is>
          <t>Rachat</t>
        </is>
      </c>
      <c r="D157" s="311" t="n">
        <v>46311</v>
      </c>
      <c r="E157" s="311" t="n">
        <v>46356</v>
      </c>
      <c r="F157" s="311" t="n">
        <v>46356</v>
      </c>
      <c r="G157" s="311" t="n">
        <v>46412</v>
      </c>
      <c r="H157" s="311" t="n">
        <v>46434</v>
      </c>
      <c r="I157" t="inlineStr">
        <is>
          <t>FR001400XGM3|Rachat|2026-10-16</t>
        </is>
      </c>
    </row>
    <row r="158">
      <c r="A158" t="inlineStr">
        <is>
          <t>FR001400XGM3</t>
        </is>
      </c>
      <c r="B158" t="inlineStr"/>
      <c r="C158" t="inlineStr">
        <is>
          <t>Rachat</t>
        </is>
      </c>
      <c r="D158" s="311" t="n">
        <v>46344</v>
      </c>
      <c r="E158" s="311" t="n">
        <v>46387</v>
      </c>
      <c r="F158" s="311" t="n">
        <v>46387</v>
      </c>
      <c r="G158" s="311" t="n">
        <v>46443</v>
      </c>
      <c r="H158" s="311" t="n">
        <v>46464</v>
      </c>
      <c r="I158" t="inlineStr">
        <is>
          <t>FR001400XGM3|Rachat|2026-11-18</t>
        </is>
      </c>
    </row>
    <row r="159">
      <c r="A159" t="inlineStr">
        <is>
          <t>FR001400XGV4</t>
        </is>
      </c>
      <c r="B159" t="inlineStr"/>
      <c r="C159" t="inlineStr">
        <is>
          <t>Rachat</t>
        </is>
      </c>
      <c r="D159" s="311" t="n">
        <v>46008</v>
      </c>
      <c r="E159" s="311" t="n">
        <v>46052</v>
      </c>
      <c r="F159" s="311" t="n">
        <v>46052</v>
      </c>
      <c r="G159" s="311" t="n">
        <v>46108</v>
      </c>
      <c r="H159" s="311" t="n">
        <v>46129</v>
      </c>
      <c r="I159" t="inlineStr">
        <is>
          <t>FR001400XGV4|Rachat|2025-12-17</t>
        </is>
      </c>
    </row>
    <row r="160">
      <c r="A160" t="inlineStr">
        <is>
          <t>FR001400XGV4</t>
        </is>
      </c>
      <c r="B160" t="inlineStr"/>
      <c r="C160" t="inlineStr">
        <is>
          <t>Rachat</t>
        </is>
      </c>
      <c r="D160" s="311" t="n">
        <v>46038</v>
      </c>
      <c r="E160" s="311" t="n">
        <v>46080</v>
      </c>
      <c r="F160" s="311" t="n">
        <v>46080</v>
      </c>
      <c r="G160" s="311" t="n">
        <v>46136</v>
      </c>
      <c r="H160" s="311" t="n">
        <v>46158</v>
      </c>
      <c r="I160" t="inlineStr">
        <is>
          <t>FR001400XGV4|Rachat|2026-01-16</t>
        </is>
      </c>
    </row>
    <row r="161">
      <c r="A161" t="inlineStr">
        <is>
          <t>FR001400XGV4</t>
        </is>
      </c>
      <c r="B161" t="inlineStr"/>
      <c r="C161" t="inlineStr">
        <is>
          <t>Rachat</t>
        </is>
      </c>
      <c r="D161" s="311" t="n">
        <v>46070</v>
      </c>
      <c r="E161" s="311" t="n">
        <v>46112</v>
      </c>
      <c r="F161" s="311" t="n">
        <v>46112</v>
      </c>
      <c r="G161" s="311" t="n">
        <v>46168</v>
      </c>
      <c r="H161" s="311" t="n">
        <v>46190</v>
      </c>
      <c r="I161" t="inlineStr">
        <is>
          <t>FR001400XGV4|Rachat|2026-02-17</t>
        </is>
      </c>
    </row>
    <row r="162">
      <c r="A162" t="inlineStr">
        <is>
          <t>FR001400XGV4</t>
        </is>
      </c>
      <c r="B162" t="inlineStr"/>
      <c r="C162" t="inlineStr">
        <is>
          <t>Rachat</t>
        </is>
      </c>
      <c r="D162" s="311" t="n">
        <v>46098</v>
      </c>
      <c r="E162" s="311" t="n">
        <v>46142</v>
      </c>
      <c r="F162" s="311" t="n">
        <v>46142</v>
      </c>
      <c r="G162" s="311" t="n">
        <v>46198</v>
      </c>
      <c r="H162" s="311" t="n">
        <v>46220</v>
      </c>
      <c r="I162" t="inlineStr">
        <is>
          <t>FR001400XGV4|Rachat|2026-03-17</t>
        </is>
      </c>
    </row>
    <row r="163">
      <c r="A163" t="inlineStr">
        <is>
          <t>FR001400XGV4</t>
        </is>
      </c>
      <c r="B163" t="inlineStr"/>
      <c r="C163" t="inlineStr">
        <is>
          <t>Rachat</t>
        </is>
      </c>
      <c r="D163" s="311" t="n">
        <v>46125</v>
      </c>
      <c r="E163" s="311" t="n">
        <v>46171</v>
      </c>
      <c r="F163" s="311" t="n">
        <v>46171</v>
      </c>
      <c r="G163" s="311" t="n">
        <v>46227</v>
      </c>
      <c r="H163" s="311" t="n">
        <v>46247</v>
      </c>
      <c r="I163" t="inlineStr">
        <is>
          <t>FR001400XGV4|Rachat|2026-04-13</t>
        </is>
      </c>
    </row>
    <row r="164">
      <c r="A164" t="inlineStr">
        <is>
          <t>FR001400XGV4</t>
        </is>
      </c>
      <c r="B164" t="inlineStr"/>
      <c r="C164" t="inlineStr">
        <is>
          <t>Rachat</t>
        </is>
      </c>
      <c r="D164" s="311" t="n">
        <v>46160</v>
      </c>
      <c r="E164" s="311" t="n">
        <v>46203</v>
      </c>
      <c r="F164" s="311" t="n">
        <v>46203</v>
      </c>
      <c r="G164" s="311" t="n">
        <v>46259</v>
      </c>
      <c r="H164" s="311" t="n">
        <v>46283</v>
      </c>
      <c r="I164" t="inlineStr">
        <is>
          <t>FR001400XGV4|Rachat|2026-05-18</t>
        </is>
      </c>
    </row>
    <row r="165">
      <c r="A165" t="inlineStr">
        <is>
          <t>FR001400XGV4</t>
        </is>
      </c>
      <c r="B165" t="inlineStr"/>
      <c r="C165" t="inlineStr">
        <is>
          <t>Rachat</t>
        </is>
      </c>
      <c r="D165" s="311" t="n">
        <v>46191</v>
      </c>
      <c r="E165" s="311" t="n">
        <v>46234</v>
      </c>
      <c r="F165" s="311" t="n">
        <v>46234</v>
      </c>
      <c r="G165" s="311" t="n">
        <v>46290</v>
      </c>
      <c r="H165" s="311" t="n">
        <v>46313</v>
      </c>
      <c r="I165" t="inlineStr">
        <is>
          <t>FR001400XGV4|Rachat|2026-06-18</t>
        </is>
      </c>
    </row>
    <row r="166">
      <c r="A166" t="inlineStr">
        <is>
          <t>FR001400XGV4</t>
        </is>
      </c>
      <c r="B166" t="inlineStr"/>
      <c r="C166" t="inlineStr">
        <is>
          <t>Rachat</t>
        </is>
      </c>
      <c r="D166" s="311" t="n">
        <v>46223</v>
      </c>
      <c r="E166" s="311" t="n">
        <v>46265</v>
      </c>
      <c r="F166" s="311" t="n">
        <v>46265</v>
      </c>
      <c r="G166" s="311" t="n">
        <v>46321</v>
      </c>
      <c r="H166" s="311" t="n">
        <v>46346</v>
      </c>
      <c r="I166" t="inlineStr">
        <is>
          <t>FR001400XGV4|Rachat|2026-07-20</t>
        </is>
      </c>
    </row>
    <row r="167">
      <c r="A167" t="inlineStr">
        <is>
          <t>FR001400XGV4</t>
        </is>
      </c>
      <c r="B167" t="inlineStr"/>
      <c r="C167" t="inlineStr">
        <is>
          <t>Rachat</t>
        </is>
      </c>
      <c r="D167" s="311" t="n">
        <v>46253</v>
      </c>
      <c r="E167" s="311" t="n">
        <v>46295</v>
      </c>
      <c r="F167" s="311" t="n">
        <v>46295</v>
      </c>
      <c r="G167" s="311" t="n">
        <v>46351</v>
      </c>
      <c r="H167" s="311" t="n">
        <v>46375</v>
      </c>
      <c r="I167" t="inlineStr">
        <is>
          <t>FR001400XGV4|Rachat|2026-08-19</t>
        </is>
      </c>
    </row>
    <row r="168">
      <c r="A168" t="inlineStr">
        <is>
          <t>FR001400XGV4</t>
        </is>
      </c>
      <c r="B168" t="inlineStr"/>
      <c r="C168" t="inlineStr">
        <is>
          <t>Rachat</t>
        </is>
      </c>
      <c r="D168" s="311" t="n">
        <v>46283</v>
      </c>
      <c r="E168" s="311" t="n">
        <v>46325</v>
      </c>
      <c r="F168" s="311" t="n">
        <v>46325</v>
      </c>
      <c r="G168" s="311" t="n">
        <v>46381</v>
      </c>
      <c r="H168" s="311" t="n">
        <v>46405</v>
      </c>
      <c r="I168" t="inlineStr">
        <is>
          <t>FR001400XGV4|Rachat|2026-09-18</t>
        </is>
      </c>
    </row>
    <row r="169">
      <c r="A169" t="inlineStr">
        <is>
          <t>FR001400XGV4</t>
        </is>
      </c>
      <c r="B169" t="inlineStr"/>
      <c r="C169" t="inlineStr">
        <is>
          <t>Rachat</t>
        </is>
      </c>
      <c r="D169" s="311" t="n">
        <v>46311</v>
      </c>
      <c r="E169" s="311" t="n">
        <v>46356</v>
      </c>
      <c r="F169" s="311" t="n">
        <v>46356</v>
      </c>
      <c r="G169" s="311" t="n">
        <v>46412</v>
      </c>
      <c r="H169" s="311" t="n">
        <v>46434</v>
      </c>
      <c r="I169" t="inlineStr">
        <is>
          <t>FR001400XGV4|Rachat|2026-10-16</t>
        </is>
      </c>
    </row>
    <row r="170">
      <c r="A170" t="inlineStr">
        <is>
          <t>FR001400XGV4</t>
        </is>
      </c>
      <c r="B170" t="inlineStr"/>
      <c r="C170" t="inlineStr">
        <is>
          <t>Rachat</t>
        </is>
      </c>
      <c r="D170" s="311" t="n">
        <v>46344</v>
      </c>
      <c r="E170" s="311" t="n">
        <v>46387</v>
      </c>
      <c r="F170" s="311" t="n">
        <v>46387</v>
      </c>
      <c r="G170" s="311" t="n">
        <v>46443</v>
      </c>
      <c r="H170" s="311" t="n">
        <v>46464</v>
      </c>
      <c r="I170" t="inlineStr">
        <is>
          <t>FR001400XGV4|Rachat|2026-11-18</t>
        </is>
      </c>
    </row>
    <row r="171">
      <c r="A171" t="inlineStr">
        <is>
          <t>FR001400XGQ4</t>
        </is>
      </c>
      <c r="B171" t="inlineStr"/>
      <c r="C171" t="inlineStr">
        <is>
          <t>Rachat</t>
        </is>
      </c>
      <c r="D171" s="311" t="n">
        <v>46008</v>
      </c>
      <c r="E171" s="311" t="n">
        <v>46052</v>
      </c>
      <c r="F171" s="311" t="n">
        <v>46052</v>
      </c>
      <c r="G171" s="311" t="n">
        <v>46108</v>
      </c>
      <c r="H171" s="311" t="n">
        <v>46129</v>
      </c>
      <c r="I171" t="inlineStr">
        <is>
          <t>FR001400XGQ4|Rachat|2025-12-17</t>
        </is>
      </c>
    </row>
    <row r="172">
      <c r="A172" t="inlineStr">
        <is>
          <t>FR001400XGQ4</t>
        </is>
      </c>
      <c r="B172" t="inlineStr"/>
      <c r="C172" t="inlineStr">
        <is>
          <t>Rachat</t>
        </is>
      </c>
      <c r="D172" s="311" t="n">
        <v>46038</v>
      </c>
      <c r="E172" s="311" t="n">
        <v>46080</v>
      </c>
      <c r="F172" s="311" t="n">
        <v>46080</v>
      </c>
      <c r="G172" s="311" t="n">
        <v>46136</v>
      </c>
      <c r="H172" s="311" t="n">
        <v>46158</v>
      </c>
      <c r="I172" t="inlineStr">
        <is>
          <t>FR001400XGQ4|Rachat|2026-01-16</t>
        </is>
      </c>
    </row>
    <row r="173">
      <c r="A173" t="inlineStr">
        <is>
          <t>FR001400XGQ4</t>
        </is>
      </c>
      <c r="B173" t="inlineStr"/>
      <c r="C173" t="inlineStr">
        <is>
          <t>Rachat</t>
        </is>
      </c>
      <c r="D173" s="311" t="n">
        <v>46070</v>
      </c>
      <c r="E173" s="311" t="n">
        <v>46112</v>
      </c>
      <c r="F173" s="311" t="n">
        <v>46112</v>
      </c>
      <c r="G173" s="311" t="n">
        <v>46168</v>
      </c>
      <c r="H173" s="311" t="n">
        <v>46190</v>
      </c>
      <c r="I173" t="inlineStr">
        <is>
          <t>FR001400XGQ4|Rachat|2026-02-17</t>
        </is>
      </c>
    </row>
    <row r="174">
      <c r="A174" t="inlineStr">
        <is>
          <t>FR001400XGQ4</t>
        </is>
      </c>
      <c r="B174" t="inlineStr"/>
      <c r="C174" t="inlineStr">
        <is>
          <t>Rachat</t>
        </is>
      </c>
      <c r="D174" s="311" t="n">
        <v>46098</v>
      </c>
      <c r="E174" s="311" t="n">
        <v>46142</v>
      </c>
      <c r="F174" s="311" t="n">
        <v>46142</v>
      </c>
      <c r="G174" s="311" t="n">
        <v>46198</v>
      </c>
      <c r="H174" s="311" t="n">
        <v>46220</v>
      </c>
      <c r="I174" t="inlineStr">
        <is>
          <t>FR001400XGQ4|Rachat|2026-03-17</t>
        </is>
      </c>
    </row>
    <row r="175">
      <c r="A175" t="inlineStr">
        <is>
          <t>FR001400XGQ4</t>
        </is>
      </c>
      <c r="B175" t="inlineStr"/>
      <c r="C175" t="inlineStr">
        <is>
          <t>Rachat</t>
        </is>
      </c>
      <c r="D175" s="311" t="n">
        <v>46125</v>
      </c>
      <c r="E175" s="311" t="n">
        <v>46171</v>
      </c>
      <c r="F175" s="311" t="n">
        <v>46171</v>
      </c>
      <c r="G175" s="311" t="n">
        <v>46227</v>
      </c>
      <c r="H175" s="311" t="n">
        <v>46247</v>
      </c>
      <c r="I175" t="inlineStr">
        <is>
          <t>FR001400XGQ4|Rachat|2026-04-13</t>
        </is>
      </c>
    </row>
    <row r="176">
      <c r="A176" t="inlineStr">
        <is>
          <t>FR001400XGQ4</t>
        </is>
      </c>
      <c r="B176" t="inlineStr"/>
      <c r="C176" t="inlineStr">
        <is>
          <t>Rachat</t>
        </is>
      </c>
      <c r="D176" s="311" t="n">
        <v>46160</v>
      </c>
      <c r="E176" s="311" t="n">
        <v>46203</v>
      </c>
      <c r="F176" s="311" t="n">
        <v>46203</v>
      </c>
      <c r="G176" s="311" t="n">
        <v>46259</v>
      </c>
      <c r="H176" s="311" t="n">
        <v>46283</v>
      </c>
      <c r="I176" t="inlineStr">
        <is>
          <t>FR001400XGQ4|Rachat|2026-05-18</t>
        </is>
      </c>
    </row>
    <row r="177">
      <c r="A177" t="inlineStr">
        <is>
          <t>FR001400XGQ4</t>
        </is>
      </c>
      <c r="B177" t="inlineStr"/>
      <c r="C177" t="inlineStr">
        <is>
          <t>Rachat</t>
        </is>
      </c>
      <c r="D177" s="311" t="n">
        <v>46191</v>
      </c>
      <c r="E177" s="311" t="n">
        <v>46234</v>
      </c>
      <c r="F177" s="311" t="n">
        <v>46234</v>
      </c>
      <c r="G177" s="311" t="n">
        <v>46290</v>
      </c>
      <c r="H177" s="311" t="n">
        <v>46313</v>
      </c>
      <c r="I177" t="inlineStr">
        <is>
          <t>FR001400XGQ4|Rachat|2026-06-18</t>
        </is>
      </c>
    </row>
    <row r="178">
      <c r="A178" t="inlineStr">
        <is>
          <t>FR001400XGQ4</t>
        </is>
      </c>
      <c r="B178" t="inlineStr"/>
      <c r="C178" t="inlineStr">
        <is>
          <t>Rachat</t>
        </is>
      </c>
      <c r="D178" s="311" t="n">
        <v>46223</v>
      </c>
      <c r="E178" s="311" t="n">
        <v>46265</v>
      </c>
      <c r="F178" s="311" t="n">
        <v>46265</v>
      </c>
      <c r="G178" s="311" t="n">
        <v>46321</v>
      </c>
      <c r="H178" s="311" t="n">
        <v>46346</v>
      </c>
      <c r="I178" t="inlineStr">
        <is>
          <t>FR001400XGQ4|Rachat|2026-07-20</t>
        </is>
      </c>
    </row>
    <row r="179">
      <c r="A179" t="inlineStr">
        <is>
          <t>FR001400XGQ4</t>
        </is>
      </c>
      <c r="B179" t="inlineStr"/>
      <c r="C179" t="inlineStr">
        <is>
          <t>Rachat</t>
        </is>
      </c>
      <c r="D179" s="311" t="n">
        <v>46253</v>
      </c>
      <c r="E179" s="311" t="n">
        <v>46295</v>
      </c>
      <c r="F179" s="311" t="n">
        <v>46295</v>
      </c>
      <c r="G179" s="311" t="n">
        <v>46351</v>
      </c>
      <c r="H179" s="311" t="n">
        <v>46375</v>
      </c>
      <c r="I179" t="inlineStr">
        <is>
          <t>FR001400XGQ4|Rachat|2026-08-19</t>
        </is>
      </c>
    </row>
    <row r="180">
      <c r="A180" t="inlineStr">
        <is>
          <t>FR001400XGQ4</t>
        </is>
      </c>
      <c r="B180" t="inlineStr"/>
      <c r="C180" t="inlineStr">
        <is>
          <t>Rachat</t>
        </is>
      </c>
      <c r="D180" s="311" t="n">
        <v>46283</v>
      </c>
      <c r="E180" s="311" t="n">
        <v>46325</v>
      </c>
      <c r="F180" s="311" t="n">
        <v>46325</v>
      </c>
      <c r="G180" s="311" t="n">
        <v>46381</v>
      </c>
      <c r="H180" s="311" t="n">
        <v>46405</v>
      </c>
      <c r="I180" t="inlineStr">
        <is>
          <t>FR001400XGQ4|Rachat|2026-09-18</t>
        </is>
      </c>
    </row>
    <row r="181">
      <c r="A181" t="inlineStr">
        <is>
          <t>FR001400XGQ4</t>
        </is>
      </c>
      <c r="B181" t="inlineStr"/>
      <c r="C181" t="inlineStr">
        <is>
          <t>Rachat</t>
        </is>
      </c>
      <c r="D181" s="311" t="n">
        <v>46311</v>
      </c>
      <c r="E181" s="311" t="n">
        <v>46356</v>
      </c>
      <c r="F181" s="311" t="n">
        <v>46356</v>
      </c>
      <c r="G181" s="311" t="n">
        <v>46412</v>
      </c>
      <c r="H181" s="311" t="n">
        <v>46434</v>
      </c>
      <c r="I181" t="inlineStr">
        <is>
          <t>FR001400XGQ4|Rachat|2026-10-16</t>
        </is>
      </c>
    </row>
    <row r="182">
      <c r="A182" t="inlineStr">
        <is>
          <t>FR001400XGQ4</t>
        </is>
      </c>
      <c r="B182" t="inlineStr"/>
      <c r="C182" t="inlineStr">
        <is>
          <t>Rachat</t>
        </is>
      </c>
      <c r="D182" s="311" t="n">
        <v>46344</v>
      </c>
      <c r="E182" s="311" t="n">
        <v>46387</v>
      </c>
      <c r="F182" s="311" t="n">
        <v>46387</v>
      </c>
      <c r="G182" s="311" t="n">
        <v>46443</v>
      </c>
      <c r="H182" s="311" t="n">
        <v>46464</v>
      </c>
      <c r="I182" t="inlineStr">
        <is>
          <t>FR001400XGQ4|Rachat|2026-11-18</t>
        </is>
      </c>
    </row>
    <row r="183">
      <c r="A183" t="inlineStr">
        <is>
          <t>FR001400QZ70</t>
        </is>
      </c>
      <c r="B183" t="inlineStr"/>
      <c r="C183" t="inlineStr">
        <is>
          <t>Rachat</t>
        </is>
      </c>
      <c r="D183" s="311" t="n">
        <v>46031</v>
      </c>
      <c r="E183" s="311" t="n">
        <v>46052</v>
      </c>
      <c r="F183" s="311" t="n">
        <v>46052</v>
      </c>
      <c r="G183" s="311" t="n">
        <v>46108</v>
      </c>
      <c r="H183" s="311" t="n">
        <v>46121</v>
      </c>
      <c r="I183" t="inlineStr">
        <is>
          <t>FR001400QZ70|Rachat|2026-01-09</t>
        </is>
      </c>
    </row>
    <row r="184">
      <c r="A184" t="inlineStr">
        <is>
          <t>FR001400QZ70</t>
        </is>
      </c>
      <c r="B184" t="inlineStr"/>
      <c r="C184" t="inlineStr">
        <is>
          <t>Rachat</t>
        </is>
      </c>
      <c r="D184" s="311" t="n">
        <v>46059</v>
      </c>
      <c r="E184" s="311" t="n">
        <v>46080</v>
      </c>
      <c r="F184" s="311" t="n">
        <v>46080</v>
      </c>
      <c r="G184" s="311" t="n">
        <v>46136</v>
      </c>
      <c r="H184" s="311" t="n">
        <v>46148</v>
      </c>
      <c r="I184" t="inlineStr">
        <is>
          <t>FR001400QZ70|Rachat|2026-02-06</t>
        </is>
      </c>
    </row>
    <row r="185">
      <c r="A185" t="inlineStr">
        <is>
          <t>FR001400QZ70</t>
        </is>
      </c>
      <c r="B185" t="inlineStr"/>
      <c r="C185" t="inlineStr">
        <is>
          <t>Rachat</t>
        </is>
      </c>
      <c r="D185" s="311" t="n">
        <v>46091</v>
      </c>
      <c r="E185" s="311" t="n">
        <v>46112</v>
      </c>
      <c r="F185" s="311" t="n">
        <v>46112</v>
      </c>
      <c r="G185" s="311" t="n">
        <v>46168</v>
      </c>
      <c r="H185" s="311" t="n">
        <v>46183</v>
      </c>
      <c r="I185" t="inlineStr">
        <is>
          <t>FR001400QZ70|Rachat|2026-03-10</t>
        </is>
      </c>
    </row>
    <row r="186">
      <c r="A186" t="inlineStr">
        <is>
          <t>FR001400QZ70</t>
        </is>
      </c>
      <c r="B186" t="inlineStr"/>
      <c r="C186" t="inlineStr">
        <is>
          <t>Rachat</t>
        </is>
      </c>
      <c r="D186" s="311" t="n">
        <v>46121</v>
      </c>
      <c r="E186" s="311" t="n">
        <v>46142</v>
      </c>
      <c r="F186" s="311" t="n">
        <v>46142</v>
      </c>
      <c r="G186" s="311" t="n">
        <v>46198</v>
      </c>
      <c r="H186" s="311" t="n">
        <v>46212</v>
      </c>
      <c r="I186" t="inlineStr">
        <is>
          <t>FR001400QZ70|Rachat|2026-04-09</t>
        </is>
      </c>
    </row>
    <row r="187">
      <c r="A187" t="inlineStr">
        <is>
          <t>FR001400QZ70</t>
        </is>
      </c>
      <c r="B187" t="inlineStr"/>
      <c r="C187" t="inlineStr">
        <is>
          <t>Rachat</t>
        </is>
      </c>
      <c r="D187" s="311" t="n">
        <v>46147</v>
      </c>
      <c r="E187" s="311" t="n">
        <v>46171</v>
      </c>
      <c r="F187" s="311" t="n">
        <v>46171</v>
      </c>
      <c r="G187" s="311" t="n">
        <v>46227</v>
      </c>
      <c r="H187" s="311" t="n">
        <v>46239</v>
      </c>
      <c r="I187" t="inlineStr">
        <is>
          <t>FR001400QZ70|Rachat|2026-05-05</t>
        </is>
      </c>
    </row>
    <row r="188">
      <c r="A188" t="inlineStr">
        <is>
          <t>FR001400QZ70</t>
        </is>
      </c>
      <c r="B188" t="inlineStr"/>
      <c r="C188" t="inlineStr">
        <is>
          <t>Rachat</t>
        </is>
      </c>
      <c r="D188" s="311" t="n">
        <v>46182</v>
      </c>
      <c r="E188" s="311" t="n">
        <v>46203</v>
      </c>
      <c r="F188" s="311" t="n">
        <v>46203</v>
      </c>
      <c r="G188" s="311" t="n">
        <v>46259</v>
      </c>
      <c r="H188" s="311" t="n">
        <v>46274</v>
      </c>
      <c r="I188" t="inlineStr">
        <is>
          <t>FR001400QZ70|Rachat|2026-06-09</t>
        </is>
      </c>
    </row>
    <row r="189">
      <c r="A189" t="inlineStr">
        <is>
          <t>FR001400QZ70</t>
        </is>
      </c>
      <c r="B189" t="inlineStr"/>
      <c r="C189" t="inlineStr">
        <is>
          <t>Rachat</t>
        </is>
      </c>
      <c r="D189" s="311" t="n">
        <v>46212</v>
      </c>
      <c r="E189" s="311" t="n">
        <v>46234</v>
      </c>
      <c r="F189" s="311" t="n">
        <v>46234</v>
      </c>
      <c r="G189" s="311" t="n">
        <v>46290</v>
      </c>
      <c r="H189" s="311" t="n">
        <v>46304</v>
      </c>
      <c r="I189" t="inlineStr">
        <is>
          <t>FR001400QZ70|Rachat|2026-07-09</t>
        </is>
      </c>
    </row>
    <row r="190">
      <c r="A190" t="inlineStr">
        <is>
          <t>FR001400QZ70</t>
        </is>
      </c>
      <c r="B190" t="inlineStr"/>
      <c r="C190" t="inlineStr">
        <is>
          <t>Rachat</t>
        </is>
      </c>
      <c r="D190" s="311" t="n">
        <v>46244</v>
      </c>
      <c r="E190" s="311" t="n">
        <v>46265</v>
      </c>
      <c r="F190" s="311" t="n">
        <v>46265</v>
      </c>
      <c r="G190" s="311" t="n">
        <v>46321</v>
      </c>
      <c r="H190" s="311" t="n">
        <v>46336</v>
      </c>
      <c r="I190" t="inlineStr">
        <is>
          <t>FR001400QZ70|Rachat|2026-08-10</t>
        </is>
      </c>
    </row>
    <row r="191">
      <c r="A191" t="inlineStr">
        <is>
          <t>FR001400QZ70</t>
        </is>
      </c>
      <c r="B191" t="inlineStr"/>
      <c r="C191" t="inlineStr">
        <is>
          <t>Rachat</t>
        </is>
      </c>
      <c r="D191" s="311" t="n">
        <v>46274</v>
      </c>
      <c r="E191" s="311" t="n">
        <v>46295</v>
      </c>
      <c r="F191" s="311" t="n">
        <v>46295</v>
      </c>
      <c r="G191" s="311" t="n">
        <v>46351</v>
      </c>
      <c r="H191" s="311" t="n">
        <v>46365</v>
      </c>
      <c r="I191" t="inlineStr">
        <is>
          <t>FR001400QZ70|Rachat|2026-09-09</t>
        </is>
      </c>
    </row>
    <row r="192">
      <c r="A192" t="inlineStr">
        <is>
          <t>FR001400QZ70</t>
        </is>
      </c>
      <c r="B192" t="inlineStr"/>
      <c r="C192" t="inlineStr">
        <is>
          <t>Rachat</t>
        </is>
      </c>
      <c r="D192" s="311" t="n">
        <v>46304</v>
      </c>
      <c r="E192" s="311" t="n">
        <v>46325</v>
      </c>
      <c r="F192" s="311" t="n">
        <v>46325</v>
      </c>
      <c r="G192" s="311" t="n">
        <v>46381</v>
      </c>
      <c r="H192" s="311" t="n">
        <v>46396</v>
      </c>
      <c r="I192" t="inlineStr">
        <is>
          <t>FR001400QZ70|Rachat|2026-10-09</t>
        </is>
      </c>
    </row>
    <row r="193">
      <c r="A193" t="inlineStr">
        <is>
          <t>FR001400QZ70</t>
        </is>
      </c>
      <c r="B193" t="inlineStr"/>
      <c r="C193" t="inlineStr">
        <is>
          <t>Rachat</t>
        </is>
      </c>
      <c r="D193" s="311" t="n">
        <v>46332</v>
      </c>
      <c r="E193" s="311" t="n">
        <v>46356</v>
      </c>
      <c r="F193" s="311" t="n">
        <v>46356</v>
      </c>
      <c r="G193" s="311" t="n">
        <v>46412</v>
      </c>
      <c r="H193" s="311" t="n">
        <v>46424</v>
      </c>
      <c r="I193" t="inlineStr">
        <is>
          <t>FR001400QZ70|Rachat|2026-11-06</t>
        </is>
      </c>
    </row>
    <row r="194">
      <c r="A194" t="inlineStr">
        <is>
          <t>FR001400QZ70</t>
        </is>
      </c>
      <c r="B194" t="inlineStr"/>
      <c r="C194" t="inlineStr">
        <is>
          <t>Rachat</t>
        </is>
      </c>
      <c r="D194" s="311" t="n">
        <v>46365</v>
      </c>
      <c r="E194" s="311" t="n">
        <v>46387</v>
      </c>
      <c r="F194" s="311" t="n">
        <v>46387</v>
      </c>
      <c r="G194" s="311" t="n">
        <v>46443</v>
      </c>
      <c r="H194" s="311" t="n">
        <v>46455</v>
      </c>
      <c r="I194" t="inlineStr">
        <is>
          <t>FR001400QZ70|Rachat|2026-12-09</t>
        </is>
      </c>
    </row>
    <row r="195">
      <c r="A195" t="inlineStr">
        <is>
          <t>FR001400QZB0</t>
        </is>
      </c>
      <c r="B195" t="inlineStr"/>
      <c r="C195" t="inlineStr">
        <is>
          <t>Rachat</t>
        </is>
      </c>
      <c r="D195" s="311" t="n">
        <v>46031</v>
      </c>
      <c r="E195" s="311" t="n">
        <v>46052</v>
      </c>
      <c r="F195" s="311" t="n">
        <v>46052</v>
      </c>
      <c r="G195" s="311" t="n">
        <v>46108</v>
      </c>
      <c r="H195" s="311" t="n">
        <v>46121</v>
      </c>
      <c r="I195" t="inlineStr">
        <is>
          <t>FR001400QZB0|Rachat|2026-01-09</t>
        </is>
      </c>
    </row>
    <row r="196">
      <c r="A196" t="inlineStr">
        <is>
          <t>FR001400QZB0</t>
        </is>
      </c>
      <c r="B196" t="inlineStr"/>
      <c r="C196" t="inlineStr">
        <is>
          <t>Rachat</t>
        </is>
      </c>
      <c r="D196" s="311" t="n">
        <v>46059</v>
      </c>
      <c r="E196" s="311" t="n">
        <v>46080</v>
      </c>
      <c r="F196" s="311" t="n">
        <v>46080</v>
      </c>
      <c r="G196" s="311" t="n">
        <v>46136</v>
      </c>
      <c r="H196" s="311" t="n">
        <v>46148</v>
      </c>
      <c r="I196" t="inlineStr">
        <is>
          <t>FR001400QZB0|Rachat|2026-02-06</t>
        </is>
      </c>
    </row>
    <row r="197">
      <c r="A197" t="inlineStr">
        <is>
          <t>FR001400QZB0</t>
        </is>
      </c>
      <c r="B197" t="inlineStr"/>
      <c r="C197" t="inlineStr">
        <is>
          <t>Rachat</t>
        </is>
      </c>
      <c r="D197" s="311" t="n">
        <v>46091</v>
      </c>
      <c r="E197" s="311" t="n">
        <v>46112</v>
      </c>
      <c r="F197" s="311" t="n">
        <v>46112</v>
      </c>
      <c r="G197" s="311" t="n">
        <v>46168</v>
      </c>
      <c r="H197" s="311" t="n">
        <v>46183</v>
      </c>
      <c r="I197" t="inlineStr">
        <is>
          <t>FR001400QZB0|Rachat|2026-03-10</t>
        </is>
      </c>
    </row>
    <row r="198">
      <c r="A198" t="inlineStr">
        <is>
          <t>FR001400QZB0</t>
        </is>
      </c>
      <c r="B198" t="inlineStr"/>
      <c r="C198" t="inlineStr">
        <is>
          <t>Rachat</t>
        </is>
      </c>
      <c r="D198" s="311" t="n">
        <v>46121</v>
      </c>
      <c r="E198" s="311" t="n">
        <v>46142</v>
      </c>
      <c r="F198" s="311" t="n">
        <v>46142</v>
      </c>
      <c r="G198" s="311" t="n">
        <v>46198</v>
      </c>
      <c r="H198" s="311" t="n">
        <v>46212</v>
      </c>
      <c r="I198" t="inlineStr">
        <is>
          <t>FR001400QZB0|Rachat|2026-04-09</t>
        </is>
      </c>
    </row>
    <row r="199">
      <c r="A199" t="inlineStr">
        <is>
          <t>FR001400QZB0</t>
        </is>
      </c>
      <c r="B199" t="inlineStr"/>
      <c r="C199" t="inlineStr">
        <is>
          <t>Rachat</t>
        </is>
      </c>
      <c r="D199" s="311" t="n">
        <v>46147</v>
      </c>
      <c r="E199" s="311" t="n">
        <v>46171</v>
      </c>
      <c r="F199" s="311" t="n">
        <v>46171</v>
      </c>
      <c r="G199" s="311" t="n">
        <v>46227</v>
      </c>
      <c r="H199" s="311" t="n">
        <v>46239</v>
      </c>
      <c r="I199" t="inlineStr">
        <is>
          <t>FR001400QZB0|Rachat|2026-05-05</t>
        </is>
      </c>
    </row>
    <row r="200">
      <c r="A200" t="inlineStr">
        <is>
          <t>FR001400QZB0</t>
        </is>
      </c>
      <c r="B200" t="inlineStr"/>
      <c r="C200" t="inlineStr">
        <is>
          <t>Rachat</t>
        </is>
      </c>
      <c r="D200" s="311" t="n">
        <v>46182</v>
      </c>
      <c r="E200" s="311" t="n">
        <v>46203</v>
      </c>
      <c r="F200" s="311" t="n">
        <v>46203</v>
      </c>
      <c r="G200" s="311" t="n">
        <v>46259</v>
      </c>
      <c r="H200" s="311" t="n">
        <v>46274</v>
      </c>
      <c r="I200" t="inlineStr">
        <is>
          <t>FR001400QZB0|Rachat|2026-06-09</t>
        </is>
      </c>
    </row>
    <row r="201">
      <c r="A201" t="inlineStr">
        <is>
          <t>FR001400QZB0</t>
        </is>
      </c>
      <c r="B201" t="inlineStr"/>
      <c r="C201" t="inlineStr">
        <is>
          <t>Rachat</t>
        </is>
      </c>
      <c r="D201" s="311" t="n">
        <v>46212</v>
      </c>
      <c r="E201" s="311" t="n">
        <v>46234</v>
      </c>
      <c r="F201" s="311" t="n">
        <v>46234</v>
      </c>
      <c r="G201" s="311" t="n">
        <v>46290</v>
      </c>
      <c r="H201" s="311" t="n">
        <v>46304</v>
      </c>
      <c r="I201" t="inlineStr">
        <is>
          <t>FR001400QZB0|Rachat|2026-07-09</t>
        </is>
      </c>
    </row>
    <row r="202">
      <c r="A202" t="inlineStr">
        <is>
          <t>FR001400QZB0</t>
        </is>
      </c>
      <c r="B202" t="inlineStr"/>
      <c r="C202" t="inlineStr">
        <is>
          <t>Rachat</t>
        </is>
      </c>
      <c r="D202" s="311" t="n">
        <v>46244</v>
      </c>
      <c r="E202" s="311" t="n">
        <v>46265</v>
      </c>
      <c r="F202" s="311" t="n">
        <v>46265</v>
      </c>
      <c r="G202" s="311" t="n">
        <v>46321</v>
      </c>
      <c r="H202" s="311" t="n">
        <v>46336</v>
      </c>
      <c r="I202" t="inlineStr">
        <is>
          <t>FR001400QZB0|Rachat|2026-08-10</t>
        </is>
      </c>
    </row>
    <row r="203">
      <c r="A203" t="inlineStr">
        <is>
          <t>FR001400QZB0</t>
        </is>
      </c>
      <c r="B203" t="inlineStr"/>
      <c r="C203" t="inlineStr">
        <is>
          <t>Rachat</t>
        </is>
      </c>
      <c r="D203" s="311" t="n">
        <v>46274</v>
      </c>
      <c r="E203" s="311" t="n">
        <v>46295</v>
      </c>
      <c r="F203" s="311" t="n">
        <v>46295</v>
      </c>
      <c r="G203" s="311" t="n">
        <v>46351</v>
      </c>
      <c r="H203" s="311" t="n">
        <v>46365</v>
      </c>
      <c r="I203" t="inlineStr">
        <is>
          <t>FR001400QZB0|Rachat|2026-09-09</t>
        </is>
      </c>
    </row>
    <row r="204">
      <c r="A204" t="inlineStr">
        <is>
          <t>FR001400QZB0</t>
        </is>
      </c>
      <c r="B204" t="inlineStr"/>
      <c r="C204" t="inlineStr">
        <is>
          <t>Rachat</t>
        </is>
      </c>
      <c r="D204" s="311" t="n">
        <v>46304</v>
      </c>
      <c r="E204" s="311" t="n">
        <v>46325</v>
      </c>
      <c r="F204" s="311" t="n">
        <v>46325</v>
      </c>
      <c r="G204" s="311" t="n">
        <v>46381</v>
      </c>
      <c r="H204" s="311" t="n">
        <v>46396</v>
      </c>
      <c r="I204" t="inlineStr">
        <is>
          <t>FR001400QZB0|Rachat|2026-10-09</t>
        </is>
      </c>
    </row>
    <row r="205">
      <c r="A205" t="inlineStr">
        <is>
          <t>FR001400QZB0</t>
        </is>
      </c>
      <c r="B205" t="inlineStr"/>
      <c r="C205" t="inlineStr">
        <is>
          <t>Rachat</t>
        </is>
      </c>
      <c r="D205" s="311" t="n">
        <v>46332</v>
      </c>
      <c r="E205" s="311" t="n">
        <v>46356</v>
      </c>
      <c r="F205" s="311" t="n">
        <v>46356</v>
      </c>
      <c r="G205" s="311" t="n">
        <v>46412</v>
      </c>
      <c r="H205" s="311" t="n">
        <v>46424</v>
      </c>
      <c r="I205" t="inlineStr">
        <is>
          <t>FR001400QZB0|Rachat|2026-11-06</t>
        </is>
      </c>
    </row>
    <row r="206">
      <c r="A206" t="inlineStr">
        <is>
          <t>FR001400QZB0</t>
        </is>
      </c>
      <c r="B206" t="inlineStr"/>
      <c r="C206" t="inlineStr">
        <is>
          <t>Rachat</t>
        </is>
      </c>
      <c r="D206" s="311" t="n">
        <v>46365</v>
      </c>
      <c r="E206" s="311" t="n">
        <v>46387</v>
      </c>
      <c r="F206" s="311" t="n">
        <v>46387</v>
      </c>
      <c r="G206" s="311" t="n">
        <v>46443</v>
      </c>
      <c r="H206" s="311" t="n">
        <v>46455</v>
      </c>
      <c r="I206" t="inlineStr">
        <is>
          <t>FR001400QZB0|Rachat|2026-12-09</t>
        </is>
      </c>
    </row>
    <row r="207">
      <c r="A207" t="inlineStr">
        <is>
          <t>FR001400QZ88</t>
        </is>
      </c>
      <c r="B207" t="inlineStr"/>
      <c r="C207" t="inlineStr">
        <is>
          <t>Rachat</t>
        </is>
      </c>
      <c r="D207" s="311" t="n">
        <v>46031</v>
      </c>
      <c r="E207" s="311" t="n">
        <v>46052</v>
      </c>
      <c r="F207" s="311" t="n">
        <v>46052</v>
      </c>
      <c r="G207" s="311" t="n">
        <v>46108</v>
      </c>
      <c r="H207" s="311" t="n">
        <v>46121</v>
      </c>
      <c r="I207" t="inlineStr">
        <is>
          <t>FR001400QZ88|Rachat|2026-01-09</t>
        </is>
      </c>
    </row>
    <row r="208">
      <c r="A208" t="inlineStr">
        <is>
          <t>FR001400QZ88</t>
        </is>
      </c>
      <c r="B208" t="inlineStr"/>
      <c r="C208" t="inlineStr">
        <is>
          <t>Rachat</t>
        </is>
      </c>
      <c r="D208" s="311" t="n">
        <v>46059</v>
      </c>
      <c r="E208" s="311" t="n">
        <v>46080</v>
      </c>
      <c r="F208" s="311" t="n">
        <v>46080</v>
      </c>
      <c r="G208" s="311" t="n">
        <v>46136</v>
      </c>
      <c r="H208" s="311" t="n">
        <v>46148</v>
      </c>
      <c r="I208" t="inlineStr">
        <is>
          <t>FR001400QZ88|Rachat|2026-02-06</t>
        </is>
      </c>
    </row>
    <row r="209">
      <c r="A209" t="inlineStr">
        <is>
          <t>FR001400QZ88</t>
        </is>
      </c>
      <c r="B209" t="inlineStr"/>
      <c r="C209" t="inlineStr">
        <is>
          <t>Rachat</t>
        </is>
      </c>
      <c r="D209" s="311" t="n">
        <v>46091</v>
      </c>
      <c r="E209" s="311" t="n">
        <v>46112</v>
      </c>
      <c r="F209" s="311" t="n">
        <v>46112</v>
      </c>
      <c r="G209" s="311" t="n">
        <v>46168</v>
      </c>
      <c r="H209" s="311" t="n">
        <v>46183</v>
      </c>
      <c r="I209" t="inlineStr">
        <is>
          <t>FR001400QZ88|Rachat|2026-03-10</t>
        </is>
      </c>
    </row>
    <row r="210">
      <c r="A210" t="inlineStr">
        <is>
          <t>FR001400QZ88</t>
        </is>
      </c>
      <c r="B210" t="inlineStr"/>
      <c r="C210" t="inlineStr">
        <is>
          <t>Rachat</t>
        </is>
      </c>
      <c r="D210" s="311" t="n">
        <v>46121</v>
      </c>
      <c r="E210" s="311" t="n">
        <v>46142</v>
      </c>
      <c r="F210" s="311" t="n">
        <v>46142</v>
      </c>
      <c r="G210" s="311" t="n">
        <v>46198</v>
      </c>
      <c r="H210" s="311" t="n">
        <v>46212</v>
      </c>
      <c r="I210" t="inlineStr">
        <is>
          <t>FR001400QZ88|Rachat|2026-04-09</t>
        </is>
      </c>
    </row>
    <row r="211">
      <c r="A211" t="inlineStr">
        <is>
          <t>FR001400QZ88</t>
        </is>
      </c>
      <c r="B211" t="inlineStr"/>
      <c r="C211" t="inlineStr">
        <is>
          <t>Rachat</t>
        </is>
      </c>
      <c r="D211" s="311" t="n">
        <v>46147</v>
      </c>
      <c r="E211" s="311" t="n">
        <v>46171</v>
      </c>
      <c r="F211" s="311" t="n">
        <v>46171</v>
      </c>
      <c r="G211" s="311" t="n">
        <v>46227</v>
      </c>
      <c r="H211" s="311" t="n">
        <v>46239</v>
      </c>
      <c r="I211" t="inlineStr">
        <is>
          <t>FR001400QZ88|Rachat|2026-05-05</t>
        </is>
      </c>
    </row>
    <row r="212">
      <c r="A212" t="inlineStr">
        <is>
          <t>FR001400QZ88</t>
        </is>
      </c>
      <c r="B212" t="inlineStr"/>
      <c r="C212" t="inlineStr">
        <is>
          <t>Rachat</t>
        </is>
      </c>
      <c r="D212" s="311" t="n">
        <v>46182</v>
      </c>
      <c r="E212" s="311" t="n">
        <v>46203</v>
      </c>
      <c r="F212" s="311" t="n">
        <v>46203</v>
      </c>
      <c r="G212" s="311" t="n">
        <v>46259</v>
      </c>
      <c r="H212" s="311" t="n">
        <v>46274</v>
      </c>
      <c r="I212" t="inlineStr">
        <is>
          <t>FR001400QZ88|Rachat|2026-06-09</t>
        </is>
      </c>
    </row>
    <row r="213">
      <c r="A213" t="inlineStr">
        <is>
          <t>FR001400QZ88</t>
        </is>
      </c>
      <c r="B213" t="inlineStr"/>
      <c r="C213" t="inlineStr">
        <is>
          <t>Rachat</t>
        </is>
      </c>
      <c r="D213" s="311" t="n">
        <v>46212</v>
      </c>
      <c r="E213" s="311" t="n">
        <v>46234</v>
      </c>
      <c r="F213" s="311" t="n">
        <v>46234</v>
      </c>
      <c r="G213" s="311" t="n">
        <v>46290</v>
      </c>
      <c r="H213" s="311" t="n">
        <v>46304</v>
      </c>
      <c r="I213" t="inlineStr">
        <is>
          <t>FR001400QZ88|Rachat|2026-07-09</t>
        </is>
      </c>
    </row>
    <row r="214">
      <c r="A214" t="inlineStr">
        <is>
          <t>FR001400QZ88</t>
        </is>
      </c>
      <c r="B214" t="inlineStr"/>
      <c r="C214" t="inlineStr">
        <is>
          <t>Rachat</t>
        </is>
      </c>
      <c r="D214" s="311" t="n">
        <v>46244</v>
      </c>
      <c r="E214" s="311" t="n">
        <v>46265</v>
      </c>
      <c r="F214" s="311" t="n">
        <v>46265</v>
      </c>
      <c r="G214" s="311" t="n">
        <v>46321</v>
      </c>
      <c r="H214" s="311" t="n">
        <v>46336</v>
      </c>
      <c r="I214" t="inlineStr">
        <is>
          <t>FR001400QZ88|Rachat|2026-08-10</t>
        </is>
      </c>
    </row>
    <row r="215">
      <c r="A215" t="inlineStr">
        <is>
          <t>FR001400QZ88</t>
        </is>
      </c>
      <c r="B215" t="inlineStr"/>
      <c r="C215" t="inlineStr">
        <is>
          <t>Rachat</t>
        </is>
      </c>
      <c r="D215" s="311" t="n">
        <v>46274</v>
      </c>
      <c r="E215" s="311" t="n">
        <v>46295</v>
      </c>
      <c r="F215" s="311" t="n">
        <v>46295</v>
      </c>
      <c r="G215" s="311" t="n">
        <v>46351</v>
      </c>
      <c r="H215" s="311" t="n">
        <v>46365</v>
      </c>
      <c r="I215" t="inlineStr">
        <is>
          <t>FR001400QZ88|Rachat|2026-09-09</t>
        </is>
      </c>
    </row>
    <row r="216">
      <c r="A216" t="inlineStr">
        <is>
          <t>FR001400QZ88</t>
        </is>
      </c>
      <c r="B216" t="inlineStr"/>
      <c r="C216" t="inlineStr">
        <is>
          <t>Rachat</t>
        </is>
      </c>
      <c r="D216" s="311" t="n">
        <v>46304</v>
      </c>
      <c r="E216" s="311" t="n">
        <v>46325</v>
      </c>
      <c r="F216" s="311" t="n">
        <v>46325</v>
      </c>
      <c r="G216" s="311" t="n">
        <v>46381</v>
      </c>
      <c r="H216" s="311" t="n">
        <v>46396</v>
      </c>
      <c r="I216" t="inlineStr">
        <is>
          <t>FR001400QZ88|Rachat|2026-10-09</t>
        </is>
      </c>
    </row>
    <row r="217">
      <c r="A217" t="inlineStr">
        <is>
          <t>FR001400QZ88</t>
        </is>
      </c>
      <c r="B217" t="inlineStr"/>
      <c r="C217" t="inlineStr">
        <is>
          <t>Rachat</t>
        </is>
      </c>
      <c r="D217" s="311" t="n">
        <v>46332</v>
      </c>
      <c r="E217" s="311" t="n">
        <v>46356</v>
      </c>
      <c r="F217" s="311" t="n">
        <v>46356</v>
      </c>
      <c r="G217" s="311" t="n">
        <v>46412</v>
      </c>
      <c r="H217" s="311" t="n">
        <v>46424</v>
      </c>
      <c r="I217" t="inlineStr">
        <is>
          <t>FR001400QZ88|Rachat|2026-11-06</t>
        </is>
      </c>
    </row>
    <row r="218">
      <c r="A218" t="inlineStr">
        <is>
          <t>FR001400QZ88</t>
        </is>
      </c>
      <c r="B218" t="inlineStr"/>
      <c r="C218" t="inlineStr">
        <is>
          <t>Rachat</t>
        </is>
      </c>
      <c r="D218" s="311" t="n">
        <v>46365</v>
      </c>
      <c r="E218" s="311" t="n">
        <v>46387</v>
      </c>
      <c r="F218" s="311" t="n">
        <v>46387</v>
      </c>
      <c r="G218" s="311" t="n">
        <v>46443</v>
      </c>
      <c r="H218" s="311" t="n">
        <v>46455</v>
      </c>
      <c r="I218" t="inlineStr">
        <is>
          <t>FR001400QZ88|Rachat|2026-12-09</t>
        </is>
      </c>
    </row>
    <row r="219">
      <c r="A219" t="inlineStr">
        <is>
          <t>FR001400QZA2</t>
        </is>
      </c>
      <c r="B219" t="inlineStr"/>
      <c r="C219" t="inlineStr">
        <is>
          <t>Rachat</t>
        </is>
      </c>
      <c r="D219" s="311" t="n">
        <v>46031</v>
      </c>
      <c r="E219" s="311" t="n">
        <v>46052</v>
      </c>
      <c r="F219" s="311" t="n">
        <v>46052</v>
      </c>
      <c r="G219" s="311" t="n">
        <v>46108</v>
      </c>
      <c r="H219" s="311" t="n">
        <v>46121</v>
      </c>
      <c r="I219" t="inlineStr">
        <is>
          <t>FR001400QZA2|Rachat|2026-01-09</t>
        </is>
      </c>
    </row>
    <row r="220">
      <c r="A220" t="inlineStr">
        <is>
          <t>FR001400QZA2</t>
        </is>
      </c>
      <c r="B220" t="inlineStr"/>
      <c r="C220" t="inlineStr">
        <is>
          <t>Rachat</t>
        </is>
      </c>
      <c r="D220" s="311" t="n">
        <v>46059</v>
      </c>
      <c r="E220" s="311" t="n">
        <v>46080</v>
      </c>
      <c r="F220" s="311" t="n">
        <v>46080</v>
      </c>
      <c r="G220" s="311" t="n">
        <v>46136</v>
      </c>
      <c r="H220" s="311" t="n">
        <v>46148</v>
      </c>
      <c r="I220" t="inlineStr">
        <is>
          <t>FR001400QZA2|Rachat|2026-02-06</t>
        </is>
      </c>
    </row>
    <row r="221">
      <c r="A221" t="inlineStr">
        <is>
          <t>FR001400QZA2</t>
        </is>
      </c>
      <c r="B221" t="inlineStr"/>
      <c r="C221" t="inlineStr">
        <is>
          <t>Rachat</t>
        </is>
      </c>
      <c r="D221" s="311" t="n">
        <v>46091</v>
      </c>
      <c r="E221" s="311" t="n">
        <v>46112</v>
      </c>
      <c r="F221" s="311" t="n">
        <v>46112</v>
      </c>
      <c r="G221" s="311" t="n">
        <v>46168</v>
      </c>
      <c r="H221" s="311" t="n">
        <v>46183</v>
      </c>
      <c r="I221" t="inlineStr">
        <is>
          <t>FR001400QZA2|Rachat|2026-03-10</t>
        </is>
      </c>
    </row>
    <row r="222">
      <c r="A222" t="inlineStr">
        <is>
          <t>FR001400QZA2</t>
        </is>
      </c>
      <c r="B222" t="inlineStr"/>
      <c r="C222" t="inlineStr">
        <is>
          <t>Rachat</t>
        </is>
      </c>
      <c r="D222" s="311" t="n">
        <v>46121</v>
      </c>
      <c r="E222" s="311" t="n">
        <v>46142</v>
      </c>
      <c r="F222" s="311" t="n">
        <v>46142</v>
      </c>
      <c r="G222" s="311" t="n">
        <v>46198</v>
      </c>
      <c r="H222" s="311" t="n">
        <v>46212</v>
      </c>
      <c r="I222" t="inlineStr">
        <is>
          <t>FR001400QZA2|Rachat|2026-04-09</t>
        </is>
      </c>
    </row>
    <row r="223">
      <c r="A223" t="inlineStr">
        <is>
          <t>FR001400QZA2</t>
        </is>
      </c>
      <c r="B223" t="inlineStr"/>
      <c r="C223" t="inlineStr">
        <is>
          <t>Rachat</t>
        </is>
      </c>
      <c r="D223" s="311" t="n">
        <v>46147</v>
      </c>
      <c r="E223" s="311" t="n">
        <v>46171</v>
      </c>
      <c r="F223" s="311" t="n">
        <v>46171</v>
      </c>
      <c r="G223" s="311" t="n">
        <v>46227</v>
      </c>
      <c r="H223" s="311" t="n">
        <v>46239</v>
      </c>
      <c r="I223" t="inlineStr">
        <is>
          <t>FR001400QZA2|Rachat|2026-05-05</t>
        </is>
      </c>
    </row>
    <row r="224">
      <c r="A224" t="inlineStr">
        <is>
          <t>FR001400QZA2</t>
        </is>
      </c>
      <c r="B224" t="inlineStr"/>
      <c r="C224" t="inlineStr">
        <is>
          <t>Rachat</t>
        </is>
      </c>
      <c r="D224" s="311" t="n">
        <v>46182</v>
      </c>
      <c r="E224" s="311" t="n">
        <v>46203</v>
      </c>
      <c r="F224" s="311" t="n">
        <v>46203</v>
      </c>
      <c r="G224" s="311" t="n">
        <v>46259</v>
      </c>
      <c r="H224" s="311" t="n">
        <v>46274</v>
      </c>
      <c r="I224" t="inlineStr">
        <is>
          <t>FR001400QZA2|Rachat|2026-06-09</t>
        </is>
      </c>
    </row>
    <row r="225">
      <c r="A225" t="inlineStr">
        <is>
          <t>FR001400QZA2</t>
        </is>
      </c>
      <c r="B225" t="inlineStr"/>
      <c r="C225" t="inlineStr">
        <is>
          <t>Rachat</t>
        </is>
      </c>
      <c r="D225" s="311" t="n">
        <v>46212</v>
      </c>
      <c r="E225" s="311" t="n">
        <v>46234</v>
      </c>
      <c r="F225" s="311" t="n">
        <v>46234</v>
      </c>
      <c r="G225" s="311" t="n">
        <v>46290</v>
      </c>
      <c r="H225" s="311" t="n">
        <v>46304</v>
      </c>
      <c r="I225" t="inlineStr">
        <is>
          <t>FR001400QZA2|Rachat|2026-07-09</t>
        </is>
      </c>
    </row>
    <row r="226">
      <c r="A226" t="inlineStr">
        <is>
          <t>FR001400QZA2</t>
        </is>
      </c>
      <c r="B226" t="inlineStr"/>
      <c r="C226" t="inlineStr">
        <is>
          <t>Rachat</t>
        </is>
      </c>
      <c r="D226" s="311" t="n">
        <v>46244</v>
      </c>
      <c r="E226" s="311" t="n">
        <v>46265</v>
      </c>
      <c r="F226" s="311" t="n">
        <v>46265</v>
      </c>
      <c r="G226" s="311" t="n">
        <v>46321</v>
      </c>
      <c r="H226" s="311" t="n">
        <v>46336</v>
      </c>
      <c r="I226" t="inlineStr">
        <is>
          <t>FR001400QZA2|Rachat|2026-08-10</t>
        </is>
      </c>
    </row>
    <row r="227">
      <c r="A227" t="inlineStr">
        <is>
          <t>FR001400QZA2</t>
        </is>
      </c>
      <c r="B227" t="inlineStr"/>
      <c r="C227" t="inlineStr">
        <is>
          <t>Rachat</t>
        </is>
      </c>
      <c r="D227" s="311" t="n">
        <v>46274</v>
      </c>
      <c r="E227" s="311" t="n">
        <v>46295</v>
      </c>
      <c r="F227" s="311" t="n">
        <v>46295</v>
      </c>
      <c r="G227" s="311" t="n">
        <v>46351</v>
      </c>
      <c r="H227" s="311" t="n">
        <v>46365</v>
      </c>
      <c r="I227" t="inlineStr">
        <is>
          <t>FR001400QZA2|Rachat|2026-09-09</t>
        </is>
      </c>
    </row>
    <row r="228">
      <c r="A228" t="inlineStr">
        <is>
          <t>FR001400QZA2</t>
        </is>
      </c>
      <c r="B228" t="inlineStr"/>
      <c r="C228" t="inlineStr">
        <is>
          <t>Rachat</t>
        </is>
      </c>
      <c r="D228" s="311" t="n">
        <v>46304</v>
      </c>
      <c r="E228" s="311" t="n">
        <v>46325</v>
      </c>
      <c r="F228" s="311" t="n">
        <v>46325</v>
      </c>
      <c r="G228" s="311" t="n">
        <v>46381</v>
      </c>
      <c r="H228" s="311" t="n">
        <v>46396</v>
      </c>
      <c r="I228" t="inlineStr">
        <is>
          <t>FR001400QZA2|Rachat|2026-10-09</t>
        </is>
      </c>
    </row>
    <row r="229">
      <c r="A229" t="inlineStr">
        <is>
          <t>FR001400QZA2</t>
        </is>
      </c>
      <c r="B229" t="inlineStr"/>
      <c r="C229" t="inlineStr">
        <is>
          <t>Rachat</t>
        </is>
      </c>
      <c r="D229" s="311" t="n">
        <v>46332</v>
      </c>
      <c r="E229" s="311" t="n">
        <v>46356</v>
      </c>
      <c r="F229" s="311" t="n">
        <v>46356</v>
      </c>
      <c r="G229" s="311" t="n">
        <v>46412</v>
      </c>
      <c r="H229" s="311" t="n">
        <v>46424</v>
      </c>
      <c r="I229" t="inlineStr">
        <is>
          <t>FR001400QZA2|Rachat|2026-11-06</t>
        </is>
      </c>
    </row>
    <row r="230">
      <c r="A230" t="inlineStr">
        <is>
          <t>FR001400QZA2</t>
        </is>
      </c>
      <c r="B230" t="inlineStr"/>
      <c r="C230" t="inlineStr">
        <is>
          <t>Rachat</t>
        </is>
      </c>
      <c r="D230" s="311" t="n">
        <v>46365</v>
      </c>
      <c r="E230" s="311" t="n">
        <v>46387</v>
      </c>
      <c r="F230" s="311" t="n">
        <v>46387</v>
      </c>
      <c r="G230" s="311" t="n">
        <v>46443</v>
      </c>
      <c r="H230" s="311" t="n">
        <v>46455</v>
      </c>
      <c r="I230" t="inlineStr">
        <is>
          <t>FR001400QZA2|Rachat|2026-12-09</t>
        </is>
      </c>
    </row>
    <row r="231">
      <c r="A231" t="inlineStr">
        <is>
          <t>FR001400QZC8</t>
        </is>
      </c>
      <c r="B231" t="inlineStr"/>
      <c r="C231" t="inlineStr">
        <is>
          <t>Rachat</t>
        </is>
      </c>
      <c r="D231" s="311" t="n">
        <v>46031</v>
      </c>
      <c r="E231" s="311" t="n">
        <v>46052</v>
      </c>
      <c r="F231" s="311" t="n">
        <v>46052</v>
      </c>
      <c r="G231" s="311" t="n">
        <v>46108</v>
      </c>
      <c r="H231" s="311" t="n">
        <v>46121</v>
      </c>
      <c r="I231" t="inlineStr">
        <is>
          <t>FR001400QZC8|Rachat|2026-01-09</t>
        </is>
      </c>
    </row>
    <row r="232">
      <c r="A232" t="inlineStr">
        <is>
          <t>FR001400QZC8</t>
        </is>
      </c>
      <c r="B232" t="inlineStr"/>
      <c r="C232" t="inlineStr">
        <is>
          <t>Rachat</t>
        </is>
      </c>
      <c r="D232" s="311" t="n">
        <v>46059</v>
      </c>
      <c r="E232" s="311" t="n">
        <v>46080</v>
      </c>
      <c r="F232" s="311" t="n">
        <v>46080</v>
      </c>
      <c r="G232" s="311" t="n">
        <v>46136</v>
      </c>
      <c r="H232" s="311" t="n">
        <v>46148</v>
      </c>
      <c r="I232" t="inlineStr">
        <is>
          <t>FR001400QZC8|Rachat|2026-02-06</t>
        </is>
      </c>
    </row>
    <row r="233">
      <c r="A233" t="inlineStr">
        <is>
          <t>FR001400QZC8</t>
        </is>
      </c>
      <c r="B233" t="inlineStr"/>
      <c r="C233" t="inlineStr">
        <is>
          <t>Rachat</t>
        </is>
      </c>
      <c r="D233" s="311" t="n">
        <v>46091</v>
      </c>
      <c r="E233" s="311" t="n">
        <v>46112</v>
      </c>
      <c r="F233" s="311" t="n">
        <v>46112</v>
      </c>
      <c r="G233" s="311" t="n">
        <v>46168</v>
      </c>
      <c r="H233" s="311" t="n">
        <v>46183</v>
      </c>
      <c r="I233" t="inlineStr">
        <is>
          <t>FR001400QZC8|Rachat|2026-03-10</t>
        </is>
      </c>
    </row>
    <row r="234">
      <c r="A234" t="inlineStr">
        <is>
          <t>FR001400QZC8</t>
        </is>
      </c>
      <c r="B234" t="inlineStr"/>
      <c r="C234" t="inlineStr">
        <is>
          <t>Rachat</t>
        </is>
      </c>
      <c r="D234" s="311" t="n">
        <v>46121</v>
      </c>
      <c r="E234" s="311" t="n">
        <v>46142</v>
      </c>
      <c r="F234" s="311" t="n">
        <v>46142</v>
      </c>
      <c r="G234" s="311" t="n">
        <v>46198</v>
      </c>
      <c r="H234" s="311" t="n">
        <v>46212</v>
      </c>
      <c r="I234" t="inlineStr">
        <is>
          <t>FR001400QZC8|Rachat|2026-04-09</t>
        </is>
      </c>
    </row>
    <row r="235">
      <c r="A235" t="inlineStr">
        <is>
          <t>FR001400QZC8</t>
        </is>
      </c>
      <c r="B235" t="inlineStr"/>
      <c r="C235" t="inlineStr">
        <is>
          <t>Rachat</t>
        </is>
      </c>
      <c r="D235" s="311" t="n">
        <v>46147</v>
      </c>
      <c r="E235" s="311" t="n">
        <v>46171</v>
      </c>
      <c r="F235" s="311" t="n">
        <v>46171</v>
      </c>
      <c r="G235" s="311" t="n">
        <v>46227</v>
      </c>
      <c r="H235" s="311" t="n">
        <v>46239</v>
      </c>
      <c r="I235" t="inlineStr">
        <is>
          <t>FR001400QZC8|Rachat|2026-05-05</t>
        </is>
      </c>
    </row>
    <row r="236">
      <c r="A236" t="inlineStr">
        <is>
          <t>FR001400QZC8</t>
        </is>
      </c>
      <c r="B236" t="inlineStr"/>
      <c r="C236" t="inlineStr">
        <is>
          <t>Rachat</t>
        </is>
      </c>
      <c r="D236" s="311" t="n">
        <v>46182</v>
      </c>
      <c r="E236" s="311" t="n">
        <v>46203</v>
      </c>
      <c r="F236" s="311" t="n">
        <v>46203</v>
      </c>
      <c r="G236" s="311" t="n">
        <v>46259</v>
      </c>
      <c r="H236" s="311" t="n">
        <v>46274</v>
      </c>
      <c r="I236" t="inlineStr">
        <is>
          <t>FR001400QZC8|Rachat|2026-06-09</t>
        </is>
      </c>
    </row>
    <row r="237">
      <c r="A237" t="inlineStr">
        <is>
          <t>FR001400QZC8</t>
        </is>
      </c>
      <c r="B237" t="inlineStr"/>
      <c r="C237" t="inlineStr">
        <is>
          <t>Rachat</t>
        </is>
      </c>
      <c r="D237" s="311" t="n">
        <v>46212</v>
      </c>
      <c r="E237" s="311" t="n">
        <v>46234</v>
      </c>
      <c r="F237" s="311" t="n">
        <v>46234</v>
      </c>
      <c r="G237" s="311" t="n">
        <v>46290</v>
      </c>
      <c r="H237" s="311" t="n">
        <v>46304</v>
      </c>
      <c r="I237" t="inlineStr">
        <is>
          <t>FR001400QZC8|Rachat|2026-07-09</t>
        </is>
      </c>
    </row>
    <row r="238">
      <c r="A238" t="inlineStr">
        <is>
          <t>FR001400QZC8</t>
        </is>
      </c>
      <c r="B238" t="inlineStr"/>
      <c r="C238" t="inlineStr">
        <is>
          <t>Rachat</t>
        </is>
      </c>
      <c r="D238" s="311" t="n">
        <v>46244</v>
      </c>
      <c r="E238" s="311" t="n">
        <v>46265</v>
      </c>
      <c r="F238" s="311" t="n">
        <v>46265</v>
      </c>
      <c r="G238" s="311" t="n">
        <v>46321</v>
      </c>
      <c r="H238" s="311" t="n">
        <v>46336</v>
      </c>
      <c r="I238" t="inlineStr">
        <is>
          <t>FR001400QZC8|Rachat|2026-08-10</t>
        </is>
      </c>
    </row>
    <row r="239">
      <c r="A239" t="inlineStr">
        <is>
          <t>FR001400QZC8</t>
        </is>
      </c>
      <c r="B239" t="inlineStr"/>
      <c r="C239" t="inlineStr">
        <is>
          <t>Rachat</t>
        </is>
      </c>
      <c r="D239" s="311" t="n">
        <v>46274</v>
      </c>
      <c r="E239" s="311" t="n">
        <v>46295</v>
      </c>
      <c r="F239" s="311" t="n">
        <v>46295</v>
      </c>
      <c r="G239" s="311" t="n">
        <v>46351</v>
      </c>
      <c r="H239" s="311" t="n">
        <v>46365</v>
      </c>
      <c r="I239" t="inlineStr">
        <is>
          <t>FR001400QZC8|Rachat|2026-09-09</t>
        </is>
      </c>
    </row>
    <row r="240">
      <c r="A240" t="inlineStr">
        <is>
          <t>FR001400QZC8</t>
        </is>
      </c>
      <c r="B240" t="inlineStr"/>
      <c r="C240" t="inlineStr">
        <is>
          <t>Rachat</t>
        </is>
      </c>
      <c r="D240" s="311" t="n">
        <v>46304</v>
      </c>
      <c r="E240" s="311" t="n">
        <v>46325</v>
      </c>
      <c r="F240" s="311" t="n">
        <v>46325</v>
      </c>
      <c r="G240" s="311" t="n">
        <v>46381</v>
      </c>
      <c r="H240" s="311" t="n">
        <v>46396</v>
      </c>
      <c r="I240" t="inlineStr">
        <is>
          <t>FR001400QZC8|Rachat|2026-10-09</t>
        </is>
      </c>
    </row>
    <row r="241">
      <c r="A241" t="inlineStr">
        <is>
          <t>FR001400QZC8</t>
        </is>
      </c>
      <c r="B241" t="inlineStr"/>
      <c r="C241" t="inlineStr">
        <is>
          <t>Rachat</t>
        </is>
      </c>
      <c r="D241" s="311" t="n">
        <v>46332</v>
      </c>
      <c r="E241" s="311" t="n">
        <v>46356</v>
      </c>
      <c r="F241" s="311" t="n">
        <v>46356</v>
      </c>
      <c r="G241" s="311" t="n">
        <v>46412</v>
      </c>
      <c r="H241" s="311" t="n">
        <v>46424</v>
      </c>
      <c r="I241" t="inlineStr">
        <is>
          <t>FR001400QZC8|Rachat|2026-11-06</t>
        </is>
      </c>
    </row>
    <row r="242">
      <c r="A242" t="inlineStr">
        <is>
          <t>FR001400QZC8</t>
        </is>
      </c>
      <c r="B242" t="inlineStr"/>
      <c r="C242" t="inlineStr">
        <is>
          <t>Rachat</t>
        </is>
      </c>
      <c r="D242" s="311" t="n">
        <v>46365</v>
      </c>
      <c r="E242" s="311" t="n">
        <v>46387</v>
      </c>
      <c r="F242" s="311" t="n">
        <v>46387</v>
      </c>
      <c r="G242" s="311" t="n">
        <v>46443</v>
      </c>
      <c r="H242" s="311" t="n">
        <v>46455</v>
      </c>
      <c r="I242" t="inlineStr">
        <is>
          <t>FR001400QZC8|Rachat|2026-12-09</t>
        </is>
      </c>
    </row>
    <row r="243">
      <c r="A243" t="inlineStr">
        <is>
          <t>FR001400QZD6</t>
        </is>
      </c>
      <c r="B243" t="inlineStr"/>
      <c r="C243" t="inlineStr">
        <is>
          <t>Rachat</t>
        </is>
      </c>
      <c r="D243" s="311" t="n">
        <v>46031</v>
      </c>
      <c r="E243" s="311" t="n">
        <v>46052</v>
      </c>
      <c r="F243" s="311" t="n">
        <v>46052</v>
      </c>
      <c r="G243" s="311" t="n">
        <v>46108</v>
      </c>
      <c r="H243" s="311" t="n">
        <v>46121</v>
      </c>
      <c r="I243" t="inlineStr">
        <is>
          <t>FR001400QZD6|Rachat|2026-01-09</t>
        </is>
      </c>
    </row>
    <row r="244">
      <c r="A244" t="inlineStr">
        <is>
          <t>FR001400QZD6</t>
        </is>
      </c>
      <c r="B244" t="inlineStr"/>
      <c r="C244" t="inlineStr">
        <is>
          <t>Rachat</t>
        </is>
      </c>
      <c r="D244" s="311" t="n">
        <v>46059</v>
      </c>
      <c r="E244" s="311" t="n">
        <v>46080</v>
      </c>
      <c r="F244" s="311" t="n">
        <v>46080</v>
      </c>
      <c r="G244" s="311" t="n">
        <v>46136</v>
      </c>
      <c r="H244" s="311" t="n">
        <v>46148</v>
      </c>
      <c r="I244" t="inlineStr">
        <is>
          <t>FR001400QZD6|Rachat|2026-02-06</t>
        </is>
      </c>
    </row>
    <row r="245">
      <c r="A245" t="inlineStr">
        <is>
          <t>FR001400QZD6</t>
        </is>
      </c>
      <c r="B245" t="inlineStr"/>
      <c r="C245" t="inlineStr">
        <is>
          <t>Rachat</t>
        </is>
      </c>
      <c r="D245" s="311" t="n">
        <v>46091</v>
      </c>
      <c r="E245" s="311" t="n">
        <v>46112</v>
      </c>
      <c r="F245" s="311" t="n">
        <v>46112</v>
      </c>
      <c r="G245" s="311" t="n">
        <v>46168</v>
      </c>
      <c r="H245" s="311" t="n">
        <v>46183</v>
      </c>
      <c r="I245" t="inlineStr">
        <is>
          <t>FR001400QZD6|Rachat|2026-03-10</t>
        </is>
      </c>
    </row>
    <row r="246">
      <c r="A246" t="inlineStr">
        <is>
          <t>FR001400QZD6</t>
        </is>
      </c>
      <c r="B246" t="inlineStr"/>
      <c r="C246" t="inlineStr">
        <is>
          <t>Rachat</t>
        </is>
      </c>
      <c r="D246" s="311" t="n">
        <v>46121</v>
      </c>
      <c r="E246" s="311" t="n">
        <v>46142</v>
      </c>
      <c r="F246" s="311" t="n">
        <v>46142</v>
      </c>
      <c r="G246" s="311" t="n">
        <v>46198</v>
      </c>
      <c r="H246" s="311" t="n">
        <v>46212</v>
      </c>
      <c r="I246" t="inlineStr">
        <is>
          <t>FR001400QZD6|Rachat|2026-04-09</t>
        </is>
      </c>
    </row>
    <row r="247">
      <c r="A247" t="inlineStr">
        <is>
          <t>FR001400QZD6</t>
        </is>
      </c>
      <c r="B247" t="inlineStr"/>
      <c r="C247" t="inlineStr">
        <is>
          <t>Rachat</t>
        </is>
      </c>
      <c r="D247" s="311" t="n">
        <v>46147</v>
      </c>
      <c r="E247" s="311" t="n">
        <v>46171</v>
      </c>
      <c r="F247" s="311" t="n">
        <v>46171</v>
      </c>
      <c r="G247" s="311" t="n">
        <v>46227</v>
      </c>
      <c r="H247" s="311" t="n">
        <v>46239</v>
      </c>
      <c r="I247" t="inlineStr">
        <is>
          <t>FR001400QZD6|Rachat|2026-05-05</t>
        </is>
      </c>
    </row>
    <row r="248">
      <c r="A248" t="inlineStr">
        <is>
          <t>FR001400QZD6</t>
        </is>
      </c>
      <c r="B248" t="inlineStr"/>
      <c r="C248" t="inlineStr">
        <is>
          <t>Rachat</t>
        </is>
      </c>
      <c r="D248" s="311" t="n">
        <v>46182</v>
      </c>
      <c r="E248" s="311" t="n">
        <v>46203</v>
      </c>
      <c r="F248" s="311" t="n">
        <v>46203</v>
      </c>
      <c r="G248" s="311" t="n">
        <v>46259</v>
      </c>
      <c r="H248" s="311" t="n">
        <v>46274</v>
      </c>
      <c r="I248" t="inlineStr">
        <is>
          <t>FR001400QZD6|Rachat|2026-06-09</t>
        </is>
      </c>
    </row>
    <row r="249">
      <c r="A249" t="inlineStr">
        <is>
          <t>FR001400QZD6</t>
        </is>
      </c>
      <c r="B249" t="inlineStr"/>
      <c r="C249" t="inlineStr">
        <is>
          <t>Rachat</t>
        </is>
      </c>
      <c r="D249" s="311" t="n">
        <v>46212</v>
      </c>
      <c r="E249" s="311" t="n">
        <v>46234</v>
      </c>
      <c r="F249" s="311" t="n">
        <v>46234</v>
      </c>
      <c r="G249" s="311" t="n">
        <v>46290</v>
      </c>
      <c r="H249" s="311" t="n">
        <v>46304</v>
      </c>
      <c r="I249" t="inlineStr">
        <is>
          <t>FR001400QZD6|Rachat|2026-07-09</t>
        </is>
      </c>
    </row>
    <row r="250">
      <c r="A250" t="inlineStr">
        <is>
          <t>FR001400QZD6</t>
        </is>
      </c>
      <c r="B250" t="inlineStr"/>
      <c r="C250" t="inlineStr">
        <is>
          <t>Rachat</t>
        </is>
      </c>
      <c r="D250" s="311" t="n">
        <v>46244</v>
      </c>
      <c r="E250" s="311" t="n">
        <v>46265</v>
      </c>
      <c r="F250" s="311" t="n">
        <v>46265</v>
      </c>
      <c r="G250" s="311" t="n">
        <v>46321</v>
      </c>
      <c r="H250" s="311" t="n">
        <v>46336</v>
      </c>
      <c r="I250" t="inlineStr">
        <is>
          <t>FR001400QZD6|Rachat|2026-08-10</t>
        </is>
      </c>
    </row>
    <row r="251">
      <c r="A251" t="inlineStr">
        <is>
          <t>FR001400QZD6</t>
        </is>
      </c>
      <c r="B251" t="inlineStr"/>
      <c r="C251" t="inlineStr">
        <is>
          <t>Rachat</t>
        </is>
      </c>
      <c r="D251" s="311" t="n">
        <v>46274</v>
      </c>
      <c r="E251" s="311" t="n">
        <v>46295</v>
      </c>
      <c r="F251" s="311" t="n">
        <v>46295</v>
      </c>
      <c r="G251" s="311" t="n">
        <v>46351</v>
      </c>
      <c r="H251" s="311" t="n">
        <v>46365</v>
      </c>
      <c r="I251" t="inlineStr">
        <is>
          <t>FR001400QZD6|Rachat|2026-09-09</t>
        </is>
      </c>
    </row>
    <row r="252">
      <c r="A252" t="inlineStr">
        <is>
          <t>FR001400QZD6</t>
        </is>
      </c>
      <c r="B252" t="inlineStr"/>
      <c r="C252" t="inlineStr">
        <is>
          <t>Rachat</t>
        </is>
      </c>
      <c r="D252" s="311" t="n">
        <v>46304</v>
      </c>
      <c r="E252" s="311" t="n">
        <v>46325</v>
      </c>
      <c r="F252" s="311" t="n">
        <v>46325</v>
      </c>
      <c r="G252" s="311" t="n">
        <v>46381</v>
      </c>
      <c r="H252" s="311" t="n">
        <v>46396</v>
      </c>
      <c r="I252" t="inlineStr">
        <is>
          <t>FR001400QZD6|Rachat|2026-10-09</t>
        </is>
      </c>
    </row>
    <row r="253">
      <c r="A253" t="inlineStr">
        <is>
          <t>FR001400QZD6</t>
        </is>
      </c>
      <c r="B253" t="inlineStr"/>
      <c r="C253" t="inlineStr">
        <is>
          <t>Rachat</t>
        </is>
      </c>
      <c r="D253" s="311" t="n">
        <v>46332</v>
      </c>
      <c r="E253" s="311" t="n">
        <v>46356</v>
      </c>
      <c r="F253" s="311" t="n">
        <v>46356</v>
      </c>
      <c r="G253" s="311" t="n">
        <v>46412</v>
      </c>
      <c r="H253" s="311" t="n">
        <v>46424</v>
      </c>
      <c r="I253" t="inlineStr">
        <is>
          <t>FR001400QZD6|Rachat|2026-11-06</t>
        </is>
      </c>
    </row>
    <row r="254">
      <c r="A254" t="inlineStr">
        <is>
          <t>FR001400QZD6</t>
        </is>
      </c>
      <c r="B254" t="inlineStr"/>
      <c r="C254" t="inlineStr">
        <is>
          <t>Rachat</t>
        </is>
      </c>
      <c r="D254" s="311" t="n">
        <v>46365</v>
      </c>
      <c r="E254" s="311" t="n">
        <v>46387</v>
      </c>
      <c r="F254" s="311" t="n">
        <v>46387</v>
      </c>
      <c r="G254" s="311" t="n">
        <v>46443</v>
      </c>
      <c r="H254" s="311" t="n">
        <v>46455</v>
      </c>
      <c r="I254" t="inlineStr">
        <is>
          <t>FR001400QZD6|Rachat|2026-12-09</t>
        </is>
      </c>
    </row>
    <row r="255">
      <c r="A255" t="inlineStr">
        <is>
          <t>FR001400ZLZ0</t>
        </is>
      </c>
      <c r="B255" t="inlineStr"/>
      <c r="C255" t="inlineStr">
        <is>
          <t>Rachat</t>
        </is>
      </c>
      <c r="D255" s="311" t="n">
        <v>46008</v>
      </c>
      <c r="E255" s="311" t="n">
        <v>46052</v>
      </c>
      <c r="F255" s="311" t="n">
        <v>46052</v>
      </c>
      <c r="G255" s="311" t="n">
        <v>46108</v>
      </c>
      <c r="H255" s="311" t="n">
        <v>46129</v>
      </c>
      <c r="I255" t="inlineStr">
        <is>
          <t>FR001400ZLZ0|Rachat|2025-12-17</t>
        </is>
      </c>
    </row>
    <row r="256">
      <c r="A256" t="inlineStr">
        <is>
          <t>FR001400ZLZ0</t>
        </is>
      </c>
      <c r="B256" t="inlineStr"/>
      <c r="C256" t="inlineStr">
        <is>
          <t>Rachat</t>
        </is>
      </c>
      <c r="D256" s="311" t="n">
        <v>46038</v>
      </c>
      <c r="E256" s="311" t="n">
        <v>46080</v>
      </c>
      <c r="F256" s="311" t="n">
        <v>46080</v>
      </c>
      <c r="G256" s="311" t="n">
        <v>46136</v>
      </c>
      <c r="H256" s="311" t="n">
        <v>46158</v>
      </c>
      <c r="I256" t="inlineStr">
        <is>
          <t>FR001400ZLZ0|Rachat|2026-01-16</t>
        </is>
      </c>
    </row>
    <row r="257">
      <c r="A257" t="inlineStr">
        <is>
          <t>FR001400ZLZ0</t>
        </is>
      </c>
      <c r="B257" t="inlineStr"/>
      <c r="C257" t="inlineStr">
        <is>
          <t>Rachat</t>
        </is>
      </c>
      <c r="D257" s="311" t="n">
        <v>46070</v>
      </c>
      <c r="E257" s="311" t="n">
        <v>46112</v>
      </c>
      <c r="F257" s="311" t="n">
        <v>46112</v>
      </c>
      <c r="G257" s="311" t="n">
        <v>46168</v>
      </c>
      <c r="H257" s="311" t="n">
        <v>46190</v>
      </c>
      <c r="I257" t="inlineStr">
        <is>
          <t>FR001400ZLZ0|Rachat|2026-02-17</t>
        </is>
      </c>
    </row>
    <row r="258">
      <c r="A258" t="inlineStr">
        <is>
          <t>FR001400ZLZ0</t>
        </is>
      </c>
      <c r="B258" t="inlineStr"/>
      <c r="C258" t="inlineStr">
        <is>
          <t>Rachat</t>
        </is>
      </c>
      <c r="D258" s="311" t="n">
        <v>46098</v>
      </c>
      <c r="E258" s="311" t="n">
        <v>46142</v>
      </c>
      <c r="F258" s="311" t="n">
        <v>46142</v>
      </c>
      <c r="G258" s="311" t="n">
        <v>46198</v>
      </c>
      <c r="H258" s="311" t="n">
        <v>46220</v>
      </c>
      <c r="I258" t="inlineStr">
        <is>
          <t>FR001400ZLZ0|Rachat|2026-03-17</t>
        </is>
      </c>
    </row>
    <row r="259">
      <c r="A259" t="inlineStr">
        <is>
          <t>FR001400ZLZ0</t>
        </is>
      </c>
      <c r="B259" t="inlineStr"/>
      <c r="C259" t="inlineStr">
        <is>
          <t>Rachat</t>
        </is>
      </c>
      <c r="D259" s="311" t="n">
        <v>46125</v>
      </c>
      <c r="E259" s="311" t="n">
        <v>46171</v>
      </c>
      <c r="F259" s="311" t="n">
        <v>46171</v>
      </c>
      <c r="G259" s="311" t="n">
        <v>46227</v>
      </c>
      <c r="H259" s="311" t="n">
        <v>46247</v>
      </c>
      <c r="I259" t="inlineStr">
        <is>
          <t>FR001400ZLZ0|Rachat|2026-04-13</t>
        </is>
      </c>
    </row>
    <row r="260">
      <c r="A260" t="inlineStr">
        <is>
          <t>FR001400ZLZ0</t>
        </is>
      </c>
      <c r="B260" t="inlineStr"/>
      <c r="C260" t="inlineStr">
        <is>
          <t>Rachat</t>
        </is>
      </c>
      <c r="D260" s="311" t="n">
        <v>46160</v>
      </c>
      <c r="E260" s="311" t="n">
        <v>46203</v>
      </c>
      <c r="F260" s="311" t="n">
        <v>46203</v>
      </c>
      <c r="G260" s="311" t="n">
        <v>46259</v>
      </c>
      <c r="H260" s="311" t="n">
        <v>46283</v>
      </c>
      <c r="I260" t="inlineStr">
        <is>
          <t>FR001400ZLZ0|Rachat|2026-05-18</t>
        </is>
      </c>
    </row>
    <row r="261">
      <c r="A261" t="inlineStr">
        <is>
          <t>FR001400ZLZ0</t>
        </is>
      </c>
      <c r="B261" t="inlineStr"/>
      <c r="C261" t="inlineStr">
        <is>
          <t>Rachat</t>
        </is>
      </c>
      <c r="D261" s="311" t="n">
        <v>46191</v>
      </c>
      <c r="E261" s="311" t="n">
        <v>46234</v>
      </c>
      <c r="F261" s="311" t="n">
        <v>46234</v>
      </c>
      <c r="G261" s="311" t="n">
        <v>46290</v>
      </c>
      <c r="H261" s="311" t="n">
        <v>46313</v>
      </c>
      <c r="I261" t="inlineStr">
        <is>
          <t>FR001400ZLZ0|Rachat|2026-06-18</t>
        </is>
      </c>
    </row>
    <row r="262">
      <c r="A262" t="inlineStr">
        <is>
          <t>FR001400ZLZ0</t>
        </is>
      </c>
      <c r="B262" t="inlineStr"/>
      <c r="C262" t="inlineStr">
        <is>
          <t>Rachat</t>
        </is>
      </c>
      <c r="D262" s="311" t="n">
        <v>46223</v>
      </c>
      <c r="E262" s="311" t="n">
        <v>46265</v>
      </c>
      <c r="F262" s="311" t="n">
        <v>46265</v>
      </c>
      <c r="G262" s="311" t="n">
        <v>46321</v>
      </c>
      <c r="H262" s="311" t="n">
        <v>46346</v>
      </c>
      <c r="I262" t="inlineStr">
        <is>
          <t>FR001400ZLZ0|Rachat|2026-07-20</t>
        </is>
      </c>
    </row>
    <row r="263">
      <c r="A263" t="inlineStr">
        <is>
          <t>FR001400ZLZ0</t>
        </is>
      </c>
      <c r="B263" t="inlineStr"/>
      <c r="C263" t="inlineStr">
        <is>
          <t>Rachat</t>
        </is>
      </c>
      <c r="D263" s="311" t="n">
        <v>46253</v>
      </c>
      <c r="E263" s="311" t="n">
        <v>46295</v>
      </c>
      <c r="F263" s="311" t="n">
        <v>46295</v>
      </c>
      <c r="G263" s="311" t="n">
        <v>46351</v>
      </c>
      <c r="H263" s="311" t="n">
        <v>46375</v>
      </c>
      <c r="I263" t="inlineStr">
        <is>
          <t>FR001400ZLZ0|Rachat|2026-08-19</t>
        </is>
      </c>
    </row>
    <row r="264">
      <c r="A264" t="inlineStr">
        <is>
          <t>FR001400ZLZ0</t>
        </is>
      </c>
      <c r="B264" t="inlineStr"/>
      <c r="C264" t="inlineStr">
        <is>
          <t>Rachat</t>
        </is>
      </c>
      <c r="D264" s="311" t="n">
        <v>46283</v>
      </c>
      <c r="E264" s="311" t="n">
        <v>46325</v>
      </c>
      <c r="F264" s="311" t="n">
        <v>46325</v>
      </c>
      <c r="G264" s="311" t="n">
        <v>46381</v>
      </c>
      <c r="H264" s="311" t="n">
        <v>46405</v>
      </c>
      <c r="I264" t="inlineStr">
        <is>
          <t>FR001400ZLZ0|Rachat|2026-09-18</t>
        </is>
      </c>
    </row>
    <row r="265">
      <c r="A265" t="inlineStr">
        <is>
          <t>FR001400ZLZ0</t>
        </is>
      </c>
      <c r="B265" t="inlineStr"/>
      <c r="C265" t="inlineStr">
        <is>
          <t>Rachat</t>
        </is>
      </c>
      <c r="D265" s="311" t="n">
        <v>46311</v>
      </c>
      <c r="E265" s="311" t="n">
        <v>46356</v>
      </c>
      <c r="F265" s="311" t="n">
        <v>46356</v>
      </c>
      <c r="G265" s="311" t="n">
        <v>46412</v>
      </c>
      <c r="H265" s="311" t="n">
        <v>46434</v>
      </c>
      <c r="I265" t="inlineStr">
        <is>
          <t>FR001400ZLZ0|Rachat|2026-10-16</t>
        </is>
      </c>
    </row>
    <row r="266">
      <c r="A266" t="inlineStr">
        <is>
          <t>FR001400ZLZ0</t>
        </is>
      </c>
      <c r="B266" t="inlineStr"/>
      <c r="C266" t="inlineStr">
        <is>
          <t>Rachat</t>
        </is>
      </c>
      <c r="D266" s="311" t="n">
        <v>46344</v>
      </c>
      <c r="E266" s="311" t="n">
        <v>46387</v>
      </c>
      <c r="F266" s="311" t="n">
        <v>46387</v>
      </c>
      <c r="G266" s="311" t="n">
        <v>46443</v>
      </c>
      <c r="H266" s="311" t="n">
        <v>46464</v>
      </c>
      <c r="I266" t="inlineStr">
        <is>
          <t>FR001400ZLZ0|Rachat|2026-11-18</t>
        </is>
      </c>
    </row>
    <row r="267">
      <c r="A267" t="inlineStr">
        <is>
          <t>FR001400ZM58</t>
        </is>
      </c>
      <c r="B267" t="inlineStr"/>
      <c r="C267" t="inlineStr">
        <is>
          <t>Rachat</t>
        </is>
      </c>
      <c r="D267" s="311" t="n">
        <v>46008</v>
      </c>
      <c r="E267" s="311" t="n">
        <v>46052</v>
      </c>
      <c r="F267" s="311" t="n">
        <v>46052</v>
      </c>
      <c r="G267" s="311" t="n">
        <v>46108</v>
      </c>
      <c r="H267" s="311" t="n">
        <v>46129</v>
      </c>
      <c r="I267" t="inlineStr">
        <is>
          <t>FR001400ZM58|Rachat|2025-12-17</t>
        </is>
      </c>
    </row>
    <row r="268">
      <c r="A268" t="inlineStr">
        <is>
          <t>FR001400ZM58</t>
        </is>
      </c>
      <c r="B268" t="inlineStr"/>
      <c r="C268" t="inlineStr">
        <is>
          <t>Rachat</t>
        </is>
      </c>
      <c r="D268" s="311" t="n">
        <v>46038</v>
      </c>
      <c r="E268" s="311" t="n">
        <v>46080</v>
      </c>
      <c r="F268" s="311" t="n">
        <v>46080</v>
      </c>
      <c r="G268" s="311" t="n">
        <v>46136</v>
      </c>
      <c r="H268" s="311" t="n">
        <v>46158</v>
      </c>
      <c r="I268" t="inlineStr">
        <is>
          <t>FR001400ZM58|Rachat|2026-01-16</t>
        </is>
      </c>
    </row>
    <row r="269">
      <c r="A269" t="inlineStr">
        <is>
          <t>FR001400ZM58</t>
        </is>
      </c>
      <c r="B269" t="inlineStr"/>
      <c r="C269" t="inlineStr">
        <is>
          <t>Rachat</t>
        </is>
      </c>
      <c r="D269" s="311" t="n">
        <v>46070</v>
      </c>
      <c r="E269" s="311" t="n">
        <v>46112</v>
      </c>
      <c r="F269" s="311" t="n">
        <v>46112</v>
      </c>
      <c r="G269" s="311" t="n">
        <v>46168</v>
      </c>
      <c r="H269" s="311" t="n">
        <v>46190</v>
      </c>
      <c r="I269" t="inlineStr">
        <is>
          <t>FR001400ZM58|Rachat|2026-02-17</t>
        </is>
      </c>
    </row>
    <row r="270">
      <c r="A270" t="inlineStr">
        <is>
          <t>FR001400ZM58</t>
        </is>
      </c>
      <c r="B270" t="inlineStr"/>
      <c r="C270" t="inlineStr">
        <is>
          <t>Rachat</t>
        </is>
      </c>
      <c r="D270" s="311" t="n">
        <v>46098</v>
      </c>
      <c r="E270" s="311" t="n">
        <v>46142</v>
      </c>
      <c r="F270" s="311" t="n">
        <v>46142</v>
      </c>
      <c r="G270" s="311" t="n">
        <v>46198</v>
      </c>
      <c r="H270" s="311" t="n">
        <v>46220</v>
      </c>
      <c r="I270" t="inlineStr">
        <is>
          <t>FR001400ZM58|Rachat|2026-03-17</t>
        </is>
      </c>
    </row>
    <row r="271">
      <c r="A271" t="inlineStr">
        <is>
          <t>FR001400ZM58</t>
        </is>
      </c>
      <c r="B271" t="inlineStr"/>
      <c r="C271" t="inlineStr">
        <is>
          <t>Rachat</t>
        </is>
      </c>
      <c r="D271" s="311" t="n">
        <v>46125</v>
      </c>
      <c r="E271" s="311" t="n">
        <v>46171</v>
      </c>
      <c r="F271" s="311" t="n">
        <v>46171</v>
      </c>
      <c r="G271" s="311" t="n">
        <v>46227</v>
      </c>
      <c r="H271" s="311" t="n">
        <v>46247</v>
      </c>
      <c r="I271" t="inlineStr">
        <is>
          <t>FR001400ZM58|Rachat|2026-04-13</t>
        </is>
      </c>
    </row>
    <row r="272">
      <c r="A272" t="inlineStr">
        <is>
          <t>FR001400ZM58</t>
        </is>
      </c>
      <c r="B272" t="inlineStr"/>
      <c r="C272" t="inlineStr">
        <is>
          <t>Rachat</t>
        </is>
      </c>
      <c r="D272" s="311" t="n">
        <v>46160</v>
      </c>
      <c r="E272" s="311" t="n">
        <v>46203</v>
      </c>
      <c r="F272" s="311" t="n">
        <v>46203</v>
      </c>
      <c r="G272" s="311" t="n">
        <v>46259</v>
      </c>
      <c r="H272" s="311" t="n">
        <v>46283</v>
      </c>
      <c r="I272" t="inlineStr">
        <is>
          <t>FR001400ZM58|Rachat|2026-05-18</t>
        </is>
      </c>
    </row>
    <row r="273">
      <c r="A273" t="inlineStr">
        <is>
          <t>FR001400ZM58</t>
        </is>
      </c>
      <c r="B273" t="inlineStr"/>
      <c r="C273" t="inlineStr">
        <is>
          <t>Rachat</t>
        </is>
      </c>
      <c r="D273" s="311" t="n">
        <v>46191</v>
      </c>
      <c r="E273" s="311" t="n">
        <v>46234</v>
      </c>
      <c r="F273" s="311" t="n">
        <v>46234</v>
      </c>
      <c r="G273" s="311" t="n">
        <v>46290</v>
      </c>
      <c r="H273" s="311" t="n">
        <v>46313</v>
      </c>
      <c r="I273" t="inlineStr">
        <is>
          <t>FR001400ZM58|Rachat|2026-06-18</t>
        </is>
      </c>
    </row>
    <row r="274">
      <c r="A274" t="inlineStr">
        <is>
          <t>FR001400ZM58</t>
        </is>
      </c>
      <c r="B274" t="inlineStr"/>
      <c r="C274" t="inlineStr">
        <is>
          <t>Rachat</t>
        </is>
      </c>
      <c r="D274" s="311" t="n">
        <v>46223</v>
      </c>
      <c r="E274" s="311" t="n">
        <v>46265</v>
      </c>
      <c r="F274" s="311" t="n">
        <v>46265</v>
      </c>
      <c r="G274" s="311" t="n">
        <v>46321</v>
      </c>
      <c r="H274" s="311" t="n">
        <v>46346</v>
      </c>
      <c r="I274" t="inlineStr">
        <is>
          <t>FR001400ZM58|Rachat|2026-07-20</t>
        </is>
      </c>
    </row>
    <row r="275">
      <c r="A275" t="inlineStr">
        <is>
          <t>FR001400ZM58</t>
        </is>
      </c>
      <c r="B275" t="inlineStr"/>
      <c r="C275" t="inlineStr">
        <is>
          <t>Rachat</t>
        </is>
      </c>
      <c r="D275" s="311" t="n">
        <v>46253</v>
      </c>
      <c r="E275" s="311" t="n">
        <v>46295</v>
      </c>
      <c r="F275" s="311" t="n">
        <v>46295</v>
      </c>
      <c r="G275" s="311" t="n">
        <v>46351</v>
      </c>
      <c r="H275" s="311" t="n">
        <v>46375</v>
      </c>
      <c r="I275" t="inlineStr">
        <is>
          <t>FR001400ZM58|Rachat|2026-08-19</t>
        </is>
      </c>
    </row>
    <row r="276">
      <c r="A276" t="inlineStr">
        <is>
          <t>FR001400ZM58</t>
        </is>
      </c>
      <c r="B276" t="inlineStr"/>
      <c r="C276" t="inlineStr">
        <is>
          <t>Rachat</t>
        </is>
      </c>
      <c r="D276" s="311" t="n">
        <v>46283</v>
      </c>
      <c r="E276" s="311" t="n">
        <v>46325</v>
      </c>
      <c r="F276" s="311" t="n">
        <v>46325</v>
      </c>
      <c r="G276" s="311" t="n">
        <v>46381</v>
      </c>
      <c r="H276" s="311" t="n">
        <v>46405</v>
      </c>
      <c r="I276" t="inlineStr">
        <is>
          <t>FR001400ZM58|Rachat|2026-09-18</t>
        </is>
      </c>
    </row>
    <row r="277">
      <c r="A277" t="inlineStr">
        <is>
          <t>FR001400ZM58</t>
        </is>
      </c>
      <c r="B277" t="inlineStr"/>
      <c r="C277" t="inlineStr">
        <is>
          <t>Rachat</t>
        </is>
      </c>
      <c r="D277" s="311" t="n">
        <v>46311</v>
      </c>
      <c r="E277" s="311" t="n">
        <v>46356</v>
      </c>
      <c r="F277" s="311" t="n">
        <v>46356</v>
      </c>
      <c r="G277" s="311" t="n">
        <v>46412</v>
      </c>
      <c r="H277" s="311" t="n">
        <v>46434</v>
      </c>
      <c r="I277" t="inlineStr">
        <is>
          <t>FR001400ZM58|Rachat|2026-10-16</t>
        </is>
      </c>
    </row>
    <row r="278">
      <c r="A278" t="inlineStr">
        <is>
          <t>FR001400ZM58</t>
        </is>
      </c>
      <c r="B278" t="inlineStr"/>
      <c r="C278" t="inlineStr">
        <is>
          <t>Rachat</t>
        </is>
      </c>
      <c r="D278" s="311" t="n">
        <v>46344</v>
      </c>
      <c r="E278" s="311" t="n">
        <v>46387</v>
      </c>
      <c r="F278" s="311" t="n">
        <v>46387</v>
      </c>
      <c r="G278" s="311" t="n">
        <v>46443</v>
      </c>
      <c r="H278" s="311" t="n">
        <v>46464</v>
      </c>
      <c r="I278" t="inlineStr">
        <is>
          <t>FR001400ZM58|Rachat|2026-11-18</t>
        </is>
      </c>
    </row>
    <row r="279">
      <c r="A279" t="inlineStr">
        <is>
          <t>FR001400ZM09</t>
        </is>
      </c>
      <c r="B279" t="inlineStr"/>
      <c r="C279" t="inlineStr">
        <is>
          <t>Rachat</t>
        </is>
      </c>
      <c r="D279" s="311" t="n">
        <v>46008</v>
      </c>
      <c r="E279" s="311" t="n">
        <v>46052</v>
      </c>
      <c r="F279" s="311" t="n">
        <v>46052</v>
      </c>
      <c r="G279" s="311" t="n">
        <v>46108</v>
      </c>
      <c r="H279" s="311" t="n">
        <v>46129</v>
      </c>
      <c r="I279" t="inlineStr">
        <is>
          <t>FR001400ZM09|Rachat|2025-12-17</t>
        </is>
      </c>
    </row>
    <row r="280">
      <c r="A280" t="inlineStr">
        <is>
          <t>FR001400ZM09</t>
        </is>
      </c>
      <c r="B280" t="inlineStr"/>
      <c r="C280" t="inlineStr">
        <is>
          <t>Rachat</t>
        </is>
      </c>
      <c r="D280" s="311" t="n">
        <v>46038</v>
      </c>
      <c r="E280" s="311" t="n">
        <v>46080</v>
      </c>
      <c r="F280" s="311" t="n">
        <v>46080</v>
      </c>
      <c r="G280" s="311" t="n">
        <v>46136</v>
      </c>
      <c r="H280" s="311" t="n">
        <v>46158</v>
      </c>
      <c r="I280" t="inlineStr">
        <is>
          <t>FR001400ZM09|Rachat|2026-01-16</t>
        </is>
      </c>
    </row>
    <row r="281">
      <c r="A281" t="inlineStr">
        <is>
          <t>FR001400ZM09</t>
        </is>
      </c>
      <c r="B281" t="inlineStr"/>
      <c r="C281" t="inlineStr">
        <is>
          <t>Rachat</t>
        </is>
      </c>
      <c r="D281" s="311" t="n">
        <v>46070</v>
      </c>
      <c r="E281" s="311" t="n">
        <v>46112</v>
      </c>
      <c r="F281" s="311" t="n">
        <v>46112</v>
      </c>
      <c r="G281" s="311" t="n">
        <v>46168</v>
      </c>
      <c r="H281" s="311" t="n">
        <v>46190</v>
      </c>
      <c r="I281" t="inlineStr">
        <is>
          <t>FR001400ZM09|Rachat|2026-02-17</t>
        </is>
      </c>
    </row>
    <row r="282">
      <c r="A282" t="inlineStr">
        <is>
          <t>FR001400ZM09</t>
        </is>
      </c>
      <c r="B282" t="inlineStr"/>
      <c r="C282" t="inlineStr">
        <is>
          <t>Rachat</t>
        </is>
      </c>
      <c r="D282" s="311" t="n">
        <v>46098</v>
      </c>
      <c r="E282" s="311" t="n">
        <v>46142</v>
      </c>
      <c r="F282" s="311" t="n">
        <v>46142</v>
      </c>
      <c r="G282" s="311" t="n">
        <v>46198</v>
      </c>
      <c r="H282" s="311" t="n">
        <v>46220</v>
      </c>
      <c r="I282" t="inlineStr">
        <is>
          <t>FR001400ZM09|Rachat|2026-03-17</t>
        </is>
      </c>
    </row>
    <row r="283">
      <c r="A283" t="inlineStr">
        <is>
          <t>FR001400ZM09</t>
        </is>
      </c>
      <c r="B283" t="inlineStr"/>
      <c r="C283" t="inlineStr">
        <is>
          <t>Rachat</t>
        </is>
      </c>
      <c r="D283" s="311" t="n">
        <v>46125</v>
      </c>
      <c r="E283" s="311" t="n">
        <v>46171</v>
      </c>
      <c r="F283" s="311" t="n">
        <v>46171</v>
      </c>
      <c r="G283" s="311" t="n">
        <v>46227</v>
      </c>
      <c r="H283" s="311" t="n">
        <v>46247</v>
      </c>
      <c r="I283" t="inlineStr">
        <is>
          <t>FR001400ZM09|Rachat|2026-04-13</t>
        </is>
      </c>
    </row>
    <row r="284">
      <c r="A284" t="inlineStr">
        <is>
          <t>FR001400ZM09</t>
        </is>
      </c>
      <c r="B284" t="inlineStr"/>
      <c r="C284" t="inlineStr">
        <is>
          <t>Rachat</t>
        </is>
      </c>
      <c r="D284" s="311" t="n">
        <v>46160</v>
      </c>
      <c r="E284" s="311" t="n">
        <v>46203</v>
      </c>
      <c r="F284" s="311" t="n">
        <v>46203</v>
      </c>
      <c r="G284" s="311" t="n">
        <v>46259</v>
      </c>
      <c r="H284" s="311" t="n">
        <v>46283</v>
      </c>
      <c r="I284" t="inlineStr">
        <is>
          <t>FR001400ZM09|Rachat|2026-05-18</t>
        </is>
      </c>
    </row>
    <row r="285">
      <c r="A285" t="inlineStr">
        <is>
          <t>FR001400ZM09</t>
        </is>
      </c>
      <c r="B285" t="inlineStr"/>
      <c r="C285" t="inlineStr">
        <is>
          <t>Rachat</t>
        </is>
      </c>
      <c r="D285" s="311" t="n">
        <v>46191</v>
      </c>
      <c r="E285" s="311" t="n">
        <v>46234</v>
      </c>
      <c r="F285" s="311" t="n">
        <v>46234</v>
      </c>
      <c r="G285" s="311" t="n">
        <v>46290</v>
      </c>
      <c r="H285" s="311" t="n">
        <v>46313</v>
      </c>
      <c r="I285" t="inlineStr">
        <is>
          <t>FR001400ZM09|Rachat|2026-06-18</t>
        </is>
      </c>
    </row>
    <row r="286">
      <c r="A286" t="inlineStr">
        <is>
          <t>FR001400ZM09</t>
        </is>
      </c>
      <c r="B286" t="inlineStr"/>
      <c r="C286" t="inlineStr">
        <is>
          <t>Rachat</t>
        </is>
      </c>
      <c r="D286" s="311" t="n">
        <v>46223</v>
      </c>
      <c r="E286" s="311" t="n">
        <v>46265</v>
      </c>
      <c r="F286" s="311" t="n">
        <v>46265</v>
      </c>
      <c r="G286" s="311" t="n">
        <v>46321</v>
      </c>
      <c r="H286" s="311" t="n">
        <v>46346</v>
      </c>
      <c r="I286" t="inlineStr">
        <is>
          <t>FR001400ZM09|Rachat|2026-07-20</t>
        </is>
      </c>
    </row>
    <row r="287">
      <c r="A287" t="inlineStr">
        <is>
          <t>FR001400ZM09</t>
        </is>
      </c>
      <c r="B287" t="inlineStr"/>
      <c r="C287" t="inlineStr">
        <is>
          <t>Rachat</t>
        </is>
      </c>
      <c r="D287" s="311" t="n">
        <v>46253</v>
      </c>
      <c r="E287" s="311" t="n">
        <v>46295</v>
      </c>
      <c r="F287" s="311" t="n">
        <v>46295</v>
      </c>
      <c r="G287" s="311" t="n">
        <v>46351</v>
      </c>
      <c r="H287" s="311" t="n">
        <v>46375</v>
      </c>
      <c r="I287" t="inlineStr">
        <is>
          <t>FR001400ZM09|Rachat|2026-08-19</t>
        </is>
      </c>
    </row>
    <row r="288">
      <c r="A288" t="inlineStr">
        <is>
          <t>FR001400ZM09</t>
        </is>
      </c>
      <c r="B288" t="inlineStr"/>
      <c r="C288" t="inlineStr">
        <is>
          <t>Rachat</t>
        </is>
      </c>
      <c r="D288" s="311" t="n">
        <v>46283</v>
      </c>
      <c r="E288" s="311" t="n">
        <v>46325</v>
      </c>
      <c r="F288" s="311" t="n">
        <v>46325</v>
      </c>
      <c r="G288" s="311" t="n">
        <v>46381</v>
      </c>
      <c r="H288" s="311" t="n">
        <v>46405</v>
      </c>
      <c r="I288" t="inlineStr">
        <is>
          <t>FR001400ZM09|Rachat|2026-09-18</t>
        </is>
      </c>
    </row>
    <row r="289">
      <c r="A289" t="inlineStr">
        <is>
          <t>FR001400ZM09</t>
        </is>
      </c>
      <c r="B289" t="inlineStr"/>
      <c r="C289" t="inlineStr">
        <is>
          <t>Rachat</t>
        </is>
      </c>
      <c r="D289" s="311" t="n">
        <v>46311</v>
      </c>
      <c r="E289" s="311" t="n">
        <v>46356</v>
      </c>
      <c r="F289" s="311" t="n">
        <v>46356</v>
      </c>
      <c r="G289" s="311" t="n">
        <v>46412</v>
      </c>
      <c r="H289" s="311" t="n">
        <v>46434</v>
      </c>
      <c r="I289" t="inlineStr">
        <is>
          <t>FR001400ZM09|Rachat|2026-10-16</t>
        </is>
      </c>
    </row>
    <row r="290">
      <c r="A290" t="inlineStr">
        <is>
          <t>FR001400ZM09</t>
        </is>
      </c>
      <c r="B290" t="inlineStr"/>
      <c r="C290" t="inlineStr">
        <is>
          <t>Rachat</t>
        </is>
      </c>
      <c r="D290" s="311" t="n">
        <v>46344</v>
      </c>
      <c r="E290" s="311" t="n">
        <v>46387</v>
      </c>
      <c r="F290" s="311" t="n">
        <v>46387</v>
      </c>
      <c r="G290" s="311" t="n">
        <v>46443</v>
      </c>
      <c r="H290" s="311" t="n">
        <v>46464</v>
      </c>
      <c r="I290" t="inlineStr">
        <is>
          <t>FR001400ZM09|Rachat|2026-11-18</t>
        </is>
      </c>
    </row>
    <row r="291">
      <c r="A291" t="inlineStr">
        <is>
          <t>LU2984100870</t>
        </is>
      </c>
      <c r="B291" t="inlineStr"/>
      <c r="C291" t="inlineStr">
        <is>
          <t>Souscription</t>
        </is>
      </c>
      <c r="D291" s="311" t="n">
        <v>46009</v>
      </c>
      <c r="E291" s="311" t="n">
        <v>46022</v>
      </c>
      <c r="F291" s="311" t="n">
        <v>46024</v>
      </c>
      <c r="H291" s="311" t="n">
        <v>46020</v>
      </c>
      <c r="I291" t="inlineStr">
        <is>
          <t>LU2984100870|Souscription|2025-12-18</t>
        </is>
      </c>
    </row>
    <row r="292">
      <c r="A292" t="inlineStr">
        <is>
          <t>LU2984100870</t>
        </is>
      </c>
      <c r="B292" t="inlineStr"/>
      <c r="C292" t="inlineStr">
        <is>
          <t>Souscription</t>
        </is>
      </c>
      <c r="D292" s="311" t="n">
        <v>46044</v>
      </c>
      <c r="E292" s="311" t="n">
        <v>46053</v>
      </c>
      <c r="F292" s="311" t="n">
        <v>46055</v>
      </c>
      <c r="H292" s="311" t="n">
        <v>46050</v>
      </c>
      <c r="I292" t="inlineStr">
        <is>
          <t>LU2984100870|Souscription|2026-01-22</t>
        </is>
      </c>
    </row>
    <row r="293">
      <c r="A293" t="inlineStr">
        <is>
          <t>LU2984100870</t>
        </is>
      </c>
      <c r="B293" t="inlineStr"/>
      <c r="C293" t="inlineStr">
        <is>
          <t>Souscription</t>
        </is>
      </c>
      <c r="D293" s="311" t="n">
        <v>46072</v>
      </c>
      <c r="E293" s="311" t="n">
        <v>46081</v>
      </c>
      <c r="F293" s="311" t="n">
        <v>46083</v>
      </c>
      <c r="H293" s="311" t="n">
        <v>46078</v>
      </c>
      <c r="I293" t="inlineStr">
        <is>
          <t>LU2984100870|Souscription|2026-02-19</t>
        </is>
      </c>
    </row>
    <row r="294">
      <c r="A294" t="inlineStr">
        <is>
          <t>LU2984100870</t>
        </is>
      </c>
      <c r="B294" t="inlineStr"/>
      <c r="C294" t="inlineStr">
        <is>
          <t>Souscription</t>
        </is>
      </c>
      <c r="D294" s="311" t="n">
        <v>46101</v>
      </c>
      <c r="E294" s="311" t="n">
        <v>46112</v>
      </c>
      <c r="F294" s="311" t="n">
        <v>46113</v>
      </c>
      <c r="H294" s="311" t="n">
        <v>46108</v>
      </c>
      <c r="I294" t="inlineStr">
        <is>
          <t>LU2984100870|Souscription|2026-03-20</t>
        </is>
      </c>
    </row>
    <row r="295">
      <c r="A295" t="inlineStr">
        <is>
          <t>LU2984100870</t>
        </is>
      </c>
      <c r="B295" t="inlineStr"/>
      <c r="C295" t="inlineStr">
        <is>
          <t>Souscription</t>
        </is>
      </c>
      <c r="D295" s="311" t="n">
        <v>46133</v>
      </c>
      <c r="E295" s="311" t="n">
        <v>46142</v>
      </c>
      <c r="F295" s="311" t="n">
        <v>46146</v>
      </c>
      <c r="H295" s="311" t="n">
        <v>46140</v>
      </c>
      <c r="I295" t="inlineStr">
        <is>
          <t>LU2984100870|Souscription|2026-04-21</t>
        </is>
      </c>
    </row>
    <row r="296">
      <c r="A296" t="inlineStr">
        <is>
          <t>LU2984100870</t>
        </is>
      </c>
      <c r="B296" t="inlineStr"/>
      <c r="C296" t="inlineStr">
        <is>
          <t>Souscription</t>
        </is>
      </c>
      <c r="D296" s="311" t="n">
        <v>46162</v>
      </c>
      <c r="E296" s="311" t="n">
        <v>46173</v>
      </c>
      <c r="F296" s="311" t="n">
        <v>46174</v>
      </c>
      <c r="H296" s="311" t="n">
        <v>46169</v>
      </c>
      <c r="I296" t="inlineStr">
        <is>
          <t>LU2984100870|Souscription|2026-05-20</t>
        </is>
      </c>
    </row>
    <row r="297">
      <c r="A297" t="inlineStr">
        <is>
          <t>LU2984100870</t>
        </is>
      </c>
      <c r="B297" t="inlineStr"/>
      <c r="C297" t="inlineStr">
        <is>
          <t>Souscription</t>
        </is>
      </c>
      <c r="D297" s="311" t="n">
        <v>46191</v>
      </c>
      <c r="E297" s="311" t="n">
        <v>46203</v>
      </c>
      <c r="F297" s="311" t="n">
        <v>46204</v>
      </c>
      <c r="H297" s="311" t="n">
        <v>46199</v>
      </c>
      <c r="I297" t="inlineStr">
        <is>
          <t>LU2984100870|Souscription|2026-06-18</t>
        </is>
      </c>
    </row>
    <row r="298">
      <c r="A298" t="inlineStr">
        <is>
          <t>LU2984100870</t>
        </is>
      </c>
      <c r="B298" t="inlineStr"/>
      <c r="C298" t="inlineStr">
        <is>
          <t>Souscription</t>
        </is>
      </c>
      <c r="D298" s="311" t="n">
        <v>46225</v>
      </c>
      <c r="E298" s="311" t="n">
        <v>46234</v>
      </c>
      <c r="F298" s="311" t="n">
        <v>46237</v>
      </c>
      <c r="H298" s="311" t="n">
        <v>46232</v>
      </c>
      <c r="I298" t="inlineStr">
        <is>
          <t>LU2984100870|Souscription|2026-07-22</t>
        </is>
      </c>
    </row>
    <row r="299">
      <c r="A299" t="inlineStr">
        <is>
          <t>LU2984100870</t>
        </is>
      </c>
      <c r="B299" t="inlineStr"/>
      <c r="C299" t="inlineStr">
        <is>
          <t>Souscription</t>
        </is>
      </c>
      <c r="D299" s="311" t="n">
        <v>46254</v>
      </c>
      <c r="E299" s="311" t="n">
        <v>46265</v>
      </c>
      <c r="F299" s="311" t="n">
        <v>46266</v>
      </c>
      <c r="H299" s="311" t="n">
        <v>46261</v>
      </c>
      <c r="I299" t="inlineStr">
        <is>
          <t>LU2984100870|Souscription|2026-08-20</t>
        </is>
      </c>
    </row>
    <row r="300">
      <c r="A300" t="inlineStr">
        <is>
          <t>LU2984100870</t>
        </is>
      </c>
      <c r="B300" t="inlineStr"/>
      <c r="C300" t="inlineStr">
        <is>
          <t>Souscription</t>
        </is>
      </c>
      <c r="D300" s="311" t="n">
        <v>46286</v>
      </c>
      <c r="E300" s="311" t="n">
        <v>46295</v>
      </c>
      <c r="F300" s="311" t="n">
        <v>46296</v>
      </c>
      <c r="H300" s="311" t="n">
        <v>46293</v>
      </c>
      <c r="I300" t="inlineStr">
        <is>
          <t>LU2984100870|Souscription|2026-09-21</t>
        </is>
      </c>
    </row>
    <row r="301">
      <c r="A301" t="inlineStr">
        <is>
          <t>LU2984100870</t>
        </is>
      </c>
      <c r="B301" t="inlineStr"/>
      <c r="C301" t="inlineStr">
        <is>
          <t>Souscription</t>
        </is>
      </c>
      <c r="D301" s="311" t="n">
        <v>46317</v>
      </c>
      <c r="E301" s="311" t="n">
        <v>46326</v>
      </c>
      <c r="F301" s="311" t="n">
        <v>46328</v>
      </c>
      <c r="H301" s="311" t="n">
        <v>46323</v>
      </c>
      <c r="I301" t="inlineStr">
        <is>
          <t>LU2984100870|Souscription|2026-10-22</t>
        </is>
      </c>
    </row>
    <row r="302">
      <c r="A302" t="inlineStr">
        <is>
          <t>LU2984100870</t>
        </is>
      </c>
      <c r="B302" t="inlineStr"/>
      <c r="C302" t="inlineStr">
        <is>
          <t>Souscription</t>
        </is>
      </c>
      <c r="D302" s="311" t="n">
        <v>46345</v>
      </c>
      <c r="E302" s="311" t="n">
        <v>46356</v>
      </c>
      <c r="F302" s="311" t="n">
        <v>46357</v>
      </c>
      <c r="H302" s="311" t="n">
        <v>46352</v>
      </c>
      <c r="I302" t="inlineStr">
        <is>
          <t>LU2984100870|Souscription|2026-11-19</t>
        </is>
      </c>
    </row>
    <row r="303">
      <c r="A303" t="inlineStr">
        <is>
          <t>LU2984100870</t>
        </is>
      </c>
      <c r="B303" t="inlineStr"/>
      <c r="C303" t="inlineStr">
        <is>
          <t>Souscription</t>
        </is>
      </c>
      <c r="D303" s="311" t="n">
        <v>46377</v>
      </c>
      <c r="E303" s="311" t="n">
        <v>46387</v>
      </c>
      <c r="F303" s="311" t="n">
        <v>46391</v>
      </c>
      <c r="H303" s="311" t="n">
        <v>46385</v>
      </c>
      <c r="I303" t="inlineStr">
        <is>
          <t>LU2984100870|Souscription|2026-12-21</t>
        </is>
      </c>
    </row>
    <row r="304">
      <c r="A304" t="inlineStr">
        <is>
          <t>LU2984100870</t>
        </is>
      </c>
      <c r="B304" t="inlineStr"/>
      <c r="C304" t="inlineStr">
        <is>
          <t>Rachat</t>
        </is>
      </c>
      <c r="D304" s="311" t="n">
        <v>46082</v>
      </c>
      <c r="E304" s="311" t="n">
        <v>46112</v>
      </c>
      <c r="F304" s="311" t="n">
        <v>46112</v>
      </c>
      <c r="I304" t="inlineStr">
        <is>
          <t>LU2984100870|Rachat|2026-03-01</t>
        </is>
      </c>
    </row>
    <row r="305">
      <c r="A305" t="inlineStr">
        <is>
          <t>LU2984100870</t>
        </is>
      </c>
      <c r="B305" t="inlineStr"/>
      <c r="C305" t="inlineStr">
        <is>
          <t>Rachat</t>
        </is>
      </c>
      <c r="D305" s="311" t="n">
        <v>46173</v>
      </c>
      <c r="E305" s="311" t="n">
        <v>46203</v>
      </c>
      <c r="F305" s="311" t="n">
        <v>46203</v>
      </c>
      <c r="I305" t="inlineStr">
        <is>
          <t>LU2984100870|Rachat|2026-05-31</t>
        </is>
      </c>
    </row>
    <row r="306">
      <c r="A306" t="inlineStr">
        <is>
          <t>LU2984100870</t>
        </is>
      </c>
      <c r="B306" t="inlineStr"/>
      <c r="C306" t="inlineStr">
        <is>
          <t>Rachat</t>
        </is>
      </c>
      <c r="D306" s="311" t="n">
        <v>46265</v>
      </c>
      <c r="E306" s="311" t="n">
        <v>46295</v>
      </c>
      <c r="F306" s="311" t="n">
        <v>46295</v>
      </c>
      <c r="I306" t="inlineStr">
        <is>
          <t>LU2984100870|Rachat|2026-08-31</t>
        </is>
      </c>
    </row>
    <row r="307">
      <c r="A307" t="inlineStr">
        <is>
          <t>LU2984100870</t>
        </is>
      </c>
      <c r="B307" t="inlineStr"/>
      <c r="C307" t="inlineStr">
        <is>
          <t>Rachat</t>
        </is>
      </c>
      <c r="D307" s="311" t="n">
        <v>46357</v>
      </c>
      <c r="E307" s="311" t="n">
        <v>46387</v>
      </c>
      <c r="F307" s="311" t="n">
        <v>46387</v>
      </c>
      <c r="I307" t="inlineStr">
        <is>
          <t>LU2984100870|Rachat|2026-12-01</t>
        </is>
      </c>
    </row>
    <row r="308">
      <c r="A308" t="inlineStr">
        <is>
          <t>LU2617117614</t>
        </is>
      </c>
      <c r="B308" t="inlineStr"/>
      <c r="C308" t="inlineStr">
        <is>
          <t>Souscription</t>
        </is>
      </c>
      <c r="D308" s="311" t="n">
        <v>46009</v>
      </c>
      <c r="E308" s="311" t="n">
        <v>46022</v>
      </c>
      <c r="F308" s="311" t="n">
        <v>46024</v>
      </c>
      <c r="H308" s="311" t="n">
        <v>46020</v>
      </c>
      <c r="I308" t="inlineStr">
        <is>
          <t>LU2617117614|Souscription|2025-12-18</t>
        </is>
      </c>
    </row>
    <row r="309">
      <c r="A309" t="inlineStr">
        <is>
          <t>LU2617117614</t>
        </is>
      </c>
      <c r="B309" t="inlineStr"/>
      <c r="C309" t="inlineStr">
        <is>
          <t>Souscription</t>
        </is>
      </c>
      <c r="D309" s="311" t="n">
        <v>46044</v>
      </c>
      <c r="E309" s="311" t="n">
        <v>46053</v>
      </c>
      <c r="F309" s="311" t="n">
        <v>46055</v>
      </c>
      <c r="H309" s="311" t="n">
        <v>46050</v>
      </c>
      <c r="I309" t="inlineStr">
        <is>
          <t>LU2617117614|Souscription|2026-01-22</t>
        </is>
      </c>
    </row>
    <row r="310">
      <c r="A310" t="inlineStr">
        <is>
          <t>LU2617117614</t>
        </is>
      </c>
      <c r="B310" t="inlineStr"/>
      <c r="C310" t="inlineStr">
        <is>
          <t>Souscription</t>
        </is>
      </c>
      <c r="D310" s="311" t="n">
        <v>46072</v>
      </c>
      <c r="E310" s="311" t="n">
        <v>46081</v>
      </c>
      <c r="F310" s="311" t="n">
        <v>46083</v>
      </c>
      <c r="H310" s="311" t="n">
        <v>46078</v>
      </c>
      <c r="I310" t="inlineStr">
        <is>
          <t>LU2617117614|Souscription|2026-02-19</t>
        </is>
      </c>
    </row>
    <row r="311">
      <c r="A311" t="inlineStr">
        <is>
          <t>LU2617117614</t>
        </is>
      </c>
      <c r="B311" t="inlineStr"/>
      <c r="C311" t="inlineStr">
        <is>
          <t>Souscription</t>
        </is>
      </c>
      <c r="D311" s="311" t="n">
        <v>46101</v>
      </c>
      <c r="E311" s="311" t="n">
        <v>46112</v>
      </c>
      <c r="F311" s="311" t="n">
        <v>46113</v>
      </c>
      <c r="H311" s="311" t="n">
        <v>46108</v>
      </c>
      <c r="I311" t="inlineStr">
        <is>
          <t>LU2617117614|Souscription|2026-03-20</t>
        </is>
      </c>
    </row>
    <row r="312">
      <c r="A312" t="inlineStr">
        <is>
          <t>LU2617117614</t>
        </is>
      </c>
      <c r="B312" t="inlineStr"/>
      <c r="C312" t="inlineStr">
        <is>
          <t>Souscription</t>
        </is>
      </c>
      <c r="D312" s="311" t="n">
        <v>46133</v>
      </c>
      <c r="E312" s="311" t="n">
        <v>46142</v>
      </c>
      <c r="F312" s="311" t="n">
        <v>46146</v>
      </c>
      <c r="H312" s="311" t="n">
        <v>46140</v>
      </c>
      <c r="I312" t="inlineStr">
        <is>
          <t>LU2617117614|Souscription|2026-04-21</t>
        </is>
      </c>
    </row>
    <row r="313">
      <c r="A313" t="inlineStr">
        <is>
          <t>LU2617117614</t>
        </is>
      </c>
      <c r="B313" t="inlineStr"/>
      <c r="C313" t="inlineStr">
        <is>
          <t>Souscription</t>
        </is>
      </c>
      <c r="D313" s="311" t="n">
        <v>46162</v>
      </c>
      <c r="E313" s="311" t="n">
        <v>46173</v>
      </c>
      <c r="F313" s="311" t="n">
        <v>46174</v>
      </c>
      <c r="H313" s="311" t="n">
        <v>46169</v>
      </c>
      <c r="I313" t="inlineStr">
        <is>
          <t>LU2617117614|Souscription|2026-05-20</t>
        </is>
      </c>
    </row>
    <row r="314">
      <c r="A314" t="inlineStr">
        <is>
          <t>LU2617117614</t>
        </is>
      </c>
      <c r="B314" t="inlineStr"/>
      <c r="C314" t="inlineStr">
        <is>
          <t>Souscription</t>
        </is>
      </c>
      <c r="D314" s="311" t="n">
        <v>46191</v>
      </c>
      <c r="E314" s="311" t="n">
        <v>46203</v>
      </c>
      <c r="F314" s="311" t="n">
        <v>46204</v>
      </c>
      <c r="H314" s="311" t="n">
        <v>46199</v>
      </c>
      <c r="I314" t="inlineStr">
        <is>
          <t>LU2617117614|Souscription|2026-06-18</t>
        </is>
      </c>
    </row>
    <row r="315">
      <c r="A315" t="inlineStr">
        <is>
          <t>LU2617117614</t>
        </is>
      </c>
      <c r="B315" t="inlineStr"/>
      <c r="C315" t="inlineStr">
        <is>
          <t>Souscription</t>
        </is>
      </c>
      <c r="D315" s="311" t="n">
        <v>46225</v>
      </c>
      <c r="E315" s="311" t="n">
        <v>46234</v>
      </c>
      <c r="F315" s="311" t="n">
        <v>46237</v>
      </c>
      <c r="H315" s="311" t="n">
        <v>46232</v>
      </c>
      <c r="I315" t="inlineStr">
        <is>
          <t>LU2617117614|Souscription|2026-07-22</t>
        </is>
      </c>
    </row>
    <row r="316">
      <c r="A316" t="inlineStr">
        <is>
          <t>LU2617117614</t>
        </is>
      </c>
      <c r="B316" t="inlineStr"/>
      <c r="C316" t="inlineStr">
        <is>
          <t>Souscription</t>
        </is>
      </c>
      <c r="D316" s="311" t="n">
        <v>46254</v>
      </c>
      <c r="E316" s="311" t="n">
        <v>46265</v>
      </c>
      <c r="F316" s="311" t="n">
        <v>46266</v>
      </c>
      <c r="H316" s="311" t="n">
        <v>46261</v>
      </c>
      <c r="I316" t="inlineStr">
        <is>
          <t>LU2617117614|Souscription|2026-08-20</t>
        </is>
      </c>
    </row>
    <row r="317">
      <c r="A317" t="inlineStr">
        <is>
          <t>LU2617117614</t>
        </is>
      </c>
      <c r="B317" t="inlineStr"/>
      <c r="C317" t="inlineStr">
        <is>
          <t>Souscription</t>
        </is>
      </c>
      <c r="D317" s="311" t="n">
        <v>46286</v>
      </c>
      <c r="E317" s="311" t="n">
        <v>46295</v>
      </c>
      <c r="F317" s="311" t="n">
        <v>46296</v>
      </c>
      <c r="H317" s="311" t="n">
        <v>46293</v>
      </c>
      <c r="I317" t="inlineStr">
        <is>
          <t>LU2617117614|Souscription|2026-09-21</t>
        </is>
      </c>
    </row>
    <row r="318">
      <c r="A318" t="inlineStr">
        <is>
          <t>LU2617117614</t>
        </is>
      </c>
      <c r="B318" t="inlineStr"/>
      <c r="C318" t="inlineStr">
        <is>
          <t>Souscription</t>
        </is>
      </c>
      <c r="D318" s="311" t="n">
        <v>46317</v>
      </c>
      <c r="E318" s="311" t="n">
        <v>46326</v>
      </c>
      <c r="F318" s="311" t="n">
        <v>46328</v>
      </c>
      <c r="H318" s="311" t="n">
        <v>46323</v>
      </c>
      <c r="I318" t="inlineStr">
        <is>
          <t>LU2617117614|Souscription|2026-10-22</t>
        </is>
      </c>
    </row>
    <row r="319">
      <c r="A319" t="inlineStr">
        <is>
          <t>LU2617117614</t>
        </is>
      </c>
      <c r="B319" t="inlineStr"/>
      <c r="C319" t="inlineStr">
        <is>
          <t>Souscription</t>
        </is>
      </c>
      <c r="D319" s="311" t="n">
        <v>46345</v>
      </c>
      <c r="E319" s="311" t="n">
        <v>46356</v>
      </c>
      <c r="F319" s="311" t="n">
        <v>46357</v>
      </c>
      <c r="H319" s="311" t="n">
        <v>46352</v>
      </c>
      <c r="I319" t="inlineStr">
        <is>
          <t>LU2617117614|Souscription|2026-11-19</t>
        </is>
      </c>
    </row>
    <row r="320">
      <c r="A320" t="inlineStr">
        <is>
          <t>LU2617117614</t>
        </is>
      </c>
      <c r="B320" t="inlineStr"/>
      <c r="C320" t="inlineStr">
        <is>
          <t>Souscription</t>
        </is>
      </c>
      <c r="D320" s="311" t="n">
        <v>46377</v>
      </c>
      <c r="E320" s="311" t="n">
        <v>46387</v>
      </c>
      <c r="F320" s="311" t="n">
        <v>46391</v>
      </c>
      <c r="H320" s="311" t="n">
        <v>46385</v>
      </c>
      <c r="I320" t="inlineStr">
        <is>
          <t>LU2617117614|Souscription|2026-12-21</t>
        </is>
      </c>
    </row>
    <row r="321">
      <c r="A321" t="inlineStr">
        <is>
          <t>LU2617117614</t>
        </is>
      </c>
      <c r="B321" t="inlineStr"/>
      <c r="C321" t="inlineStr">
        <is>
          <t>Rachat</t>
        </is>
      </c>
      <c r="D321" s="311" t="n">
        <v>46082</v>
      </c>
      <c r="E321" s="311" t="n">
        <v>46112</v>
      </c>
      <c r="F321" s="311" t="n">
        <v>46112</v>
      </c>
      <c r="I321" t="inlineStr">
        <is>
          <t>LU2617117614|Rachat|2026-03-01</t>
        </is>
      </c>
    </row>
    <row r="322">
      <c r="A322" t="inlineStr">
        <is>
          <t>LU2617117614</t>
        </is>
      </c>
      <c r="B322" t="inlineStr"/>
      <c r="C322" t="inlineStr">
        <is>
          <t>Rachat</t>
        </is>
      </c>
      <c r="D322" s="311" t="n">
        <v>46173</v>
      </c>
      <c r="E322" s="311" t="n">
        <v>46203</v>
      </c>
      <c r="F322" s="311" t="n">
        <v>46203</v>
      </c>
      <c r="I322" t="inlineStr">
        <is>
          <t>LU2617117614|Rachat|2026-05-31</t>
        </is>
      </c>
    </row>
    <row r="323">
      <c r="A323" t="inlineStr">
        <is>
          <t>LU2617117614</t>
        </is>
      </c>
      <c r="B323" t="inlineStr"/>
      <c r="C323" t="inlineStr">
        <is>
          <t>Rachat</t>
        </is>
      </c>
      <c r="D323" s="311" t="n">
        <v>46265</v>
      </c>
      <c r="E323" s="311" t="n">
        <v>46295</v>
      </c>
      <c r="F323" s="311" t="n">
        <v>46295</v>
      </c>
      <c r="I323" t="inlineStr">
        <is>
          <t>LU2617117614|Rachat|2026-08-31</t>
        </is>
      </c>
    </row>
    <row r="324">
      <c r="A324" t="inlineStr">
        <is>
          <t>LU2617117614</t>
        </is>
      </c>
      <c r="B324" t="inlineStr"/>
      <c r="C324" t="inlineStr">
        <is>
          <t>Rachat</t>
        </is>
      </c>
      <c r="D324" s="311" t="n">
        <v>46357</v>
      </c>
      <c r="E324" s="311" t="n">
        <v>46387</v>
      </c>
      <c r="F324" s="311" t="n">
        <v>46387</v>
      </c>
      <c r="I324" t="inlineStr">
        <is>
          <t>LU2617117614|Rachat|2026-12-01</t>
        </is>
      </c>
    </row>
    <row r="325">
      <c r="A325" t="inlineStr">
        <is>
          <t>LU2884017059</t>
        </is>
      </c>
      <c r="B325" t="inlineStr"/>
      <c r="C325" t="inlineStr">
        <is>
          <t>Souscription</t>
        </is>
      </c>
      <c r="D325" s="311" t="n">
        <v>46013</v>
      </c>
      <c r="E325" s="311" t="n">
        <v>46022</v>
      </c>
      <c r="F325" s="311" t="n">
        <v>46022</v>
      </c>
      <c r="H325" s="311" t="n">
        <v>46015</v>
      </c>
      <c r="I325" t="inlineStr">
        <is>
          <t>LU2884017059|Souscription|2025-12-22</t>
        </is>
      </c>
    </row>
    <row r="326">
      <c r="A326" t="inlineStr">
        <is>
          <t>LU2884017059</t>
        </is>
      </c>
      <c r="B326" t="inlineStr"/>
      <c r="C326" t="inlineStr">
        <is>
          <t>Souscription</t>
        </is>
      </c>
      <c r="D326" s="311" t="n">
        <v>46045</v>
      </c>
      <c r="E326" s="311" t="n">
        <v>46052</v>
      </c>
      <c r="F326" s="311" t="n">
        <v>46052</v>
      </c>
      <c r="H326" s="311" t="n">
        <v>46049</v>
      </c>
      <c r="I326" t="inlineStr">
        <is>
          <t>LU2884017059|Souscription|2026-01-23</t>
        </is>
      </c>
    </row>
    <row r="327">
      <c r="A327" t="inlineStr">
        <is>
          <t>LU2884017059</t>
        </is>
      </c>
      <c r="B327" t="inlineStr"/>
      <c r="C327" t="inlineStr">
        <is>
          <t>Souscription</t>
        </is>
      </c>
      <c r="D327" s="311" t="n">
        <v>46073</v>
      </c>
      <c r="E327" s="311" t="n">
        <v>46080</v>
      </c>
      <c r="F327" s="311" t="n">
        <v>46080</v>
      </c>
      <c r="H327" s="311" t="n">
        <v>46077</v>
      </c>
      <c r="I327" t="inlineStr">
        <is>
          <t>LU2884017059|Souscription|2026-02-20</t>
        </is>
      </c>
    </row>
    <row r="328">
      <c r="A328" t="inlineStr">
        <is>
          <t>LU2884017059</t>
        </is>
      </c>
      <c r="B328" t="inlineStr"/>
      <c r="C328" t="inlineStr">
        <is>
          <t>Souscription</t>
        </is>
      </c>
      <c r="D328" s="311" t="n">
        <v>46105</v>
      </c>
      <c r="E328" s="311" t="n">
        <v>46112</v>
      </c>
      <c r="F328" s="311" t="n">
        <v>46112</v>
      </c>
      <c r="H328" s="311" t="n">
        <v>46107</v>
      </c>
      <c r="I328" t="inlineStr">
        <is>
          <t>LU2884017059|Souscription|2026-03-24</t>
        </is>
      </c>
    </row>
    <row r="329">
      <c r="A329" t="inlineStr">
        <is>
          <t>LU2884017059</t>
        </is>
      </c>
      <c r="B329" t="inlineStr"/>
      <c r="C329" t="inlineStr">
        <is>
          <t>Souscription</t>
        </is>
      </c>
      <c r="D329" s="311" t="n">
        <v>46135</v>
      </c>
      <c r="E329" s="311" t="n">
        <v>46142</v>
      </c>
      <c r="F329" s="311" t="n">
        <v>46142</v>
      </c>
      <c r="H329" s="311" t="n">
        <v>46139</v>
      </c>
      <c r="I329" t="inlineStr">
        <is>
          <t>LU2884017059|Souscription|2026-04-23</t>
        </is>
      </c>
    </row>
    <row r="330">
      <c r="A330" t="inlineStr">
        <is>
          <t>LU2884017059</t>
        </is>
      </c>
      <c r="B330" t="inlineStr"/>
      <c r="C330" t="inlineStr">
        <is>
          <t>Souscription</t>
        </is>
      </c>
      <c r="D330" s="311" t="n">
        <v>46163</v>
      </c>
      <c r="E330" s="311" t="n">
        <v>46171</v>
      </c>
      <c r="F330" s="311" t="n">
        <v>46171</v>
      </c>
      <c r="H330" s="311" t="n">
        <v>46168</v>
      </c>
      <c r="I330" t="inlineStr">
        <is>
          <t>LU2884017059|Souscription|2026-05-21</t>
        </is>
      </c>
    </row>
    <row r="331">
      <c r="A331" t="inlineStr">
        <is>
          <t>LU2884017059</t>
        </is>
      </c>
      <c r="B331" t="inlineStr"/>
      <c r="C331" t="inlineStr">
        <is>
          <t>Souscription</t>
        </is>
      </c>
      <c r="D331" s="311" t="n">
        <v>46196</v>
      </c>
      <c r="E331" s="311" t="n">
        <v>46203</v>
      </c>
      <c r="F331" s="311" t="n">
        <v>46203</v>
      </c>
      <c r="H331" s="311" t="n">
        <v>46198</v>
      </c>
      <c r="I331" t="inlineStr">
        <is>
          <t>LU2884017059|Souscription|2026-06-23</t>
        </is>
      </c>
    </row>
    <row r="332">
      <c r="A332" t="inlineStr">
        <is>
          <t>LU2884017059</t>
        </is>
      </c>
      <c r="B332" t="inlineStr"/>
      <c r="C332" t="inlineStr">
        <is>
          <t>Souscription</t>
        </is>
      </c>
      <c r="D332" s="311" t="n">
        <v>46227</v>
      </c>
      <c r="E332" s="311" t="n">
        <v>46234</v>
      </c>
      <c r="F332" s="311" t="n">
        <v>46234</v>
      </c>
      <c r="H332" s="311" t="n">
        <v>46231</v>
      </c>
      <c r="I332" t="inlineStr">
        <is>
          <t>LU2884017059|Souscription|2026-07-24</t>
        </is>
      </c>
    </row>
    <row r="333">
      <c r="A333" t="inlineStr">
        <is>
          <t>LU2884017059</t>
        </is>
      </c>
      <c r="B333" t="inlineStr"/>
      <c r="C333" t="inlineStr">
        <is>
          <t>Souscription</t>
        </is>
      </c>
      <c r="D333" s="311" t="n">
        <v>46255</v>
      </c>
      <c r="E333" s="311" t="n">
        <v>46262</v>
      </c>
      <c r="F333" s="311" t="n">
        <v>46262</v>
      </c>
      <c r="H333" s="311" t="n">
        <v>46259</v>
      </c>
      <c r="I333" t="inlineStr">
        <is>
          <t>LU2884017059|Souscription|2026-08-21</t>
        </is>
      </c>
    </row>
    <row r="334">
      <c r="A334" t="inlineStr">
        <is>
          <t>LU2884017059</t>
        </is>
      </c>
      <c r="B334" t="inlineStr"/>
      <c r="C334" t="inlineStr">
        <is>
          <t>Souscription</t>
        </is>
      </c>
      <c r="D334" s="311" t="n">
        <v>46288</v>
      </c>
      <c r="E334" s="311" t="n">
        <v>46295</v>
      </c>
      <c r="F334" s="311" t="n">
        <v>46295</v>
      </c>
      <c r="H334" s="311" t="n">
        <v>46290</v>
      </c>
      <c r="I334" t="inlineStr">
        <is>
          <t>LU2884017059|Souscription|2026-09-23</t>
        </is>
      </c>
    </row>
    <row r="335">
      <c r="A335" t="inlineStr">
        <is>
          <t>LU2884017059</t>
        </is>
      </c>
      <c r="B335" t="inlineStr"/>
      <c r="C335" t="inlineStr">
        <is>
          <t>Souscription</t>
        </is>
      </c>
      <c r="D335" s="311" t="n">
        <v>46318</v>
      </c>
      <c r="E335" s="311" t="n">
        <v>46325</v>
      </c>
      <c r="F335" s="311" t="n">
        <v>46325</v>
      </c>
      <c r="H335" s="311" t="n">
        <v>46322</v>
      </c>
      <c r="I335" t="inlineStr">
        <is>
          <t>LU2884017059|Souscription|2026-10-23</t>
        </is>
      </c>
    </row>
    <row r="336">
      <c r="A336" t="inlineStr">
        <is>
          <t>LU2884017059</t>
        </is>
      </c>
      <c r="B336" t="inlineStr"/>
      <c r="C336" t="inlineStr">
        <is>
          <t>Souscription</t>
        </is>
      </c>
      <c r="D336" s="311" t="n">
        <v>46346</v>
      </c>
      <c r="E336" s="311" t="n">
        <v>46356</v>
      </c>
      <c r="F336" s="311" t="n">
        <v>46356</v>
      </c>
      <c r="H336" s="311" t="n">
        <v>46350</v>
      </c>
      <c r="I336" t="inlineStr">
        <is>
          <t>LU2884017059|Souscription|2026-11-20</t>
        </is>
      </c>
    </row>
    <row r="337">
      <c r="A337" t="inlineStr">
        <is>
          <t>LU2884017059</t>
        </is>
      </c>
      <c r="B337" t="inlineStr"/>
      <c r="C337" t="inlineStr">
        <is>
          <t>Souscription</t>
        </is>
      </c>
      <c r="D337" s="311" t="n">
        <v>46378</v>
      </c>
      <c r="E337" s="311" t="n">
        <v>46387</v>
      </c>
      <c r="F337" s="311" t="n">
        <v>46387</v>
      </c>
      <c r="H337" s="311" t="n">
        <v>46380</v>
      </c>
      <c r="I337" t="inlineStr">
        <is>
          <t>LU2884017059|Souscription|2026-12-22</t>
        </is>
      </c>
    </row>
    <row r="338">
      <c r="A338" t="inlineStr">
        <is>
          <t>LU2884017059</t>
        </is>
      </c>
      <c r="B338" t="inlineStr"/>
      <c r="C338" t="inlineStr">
        <is>
          <t>Rachat</t>
        </is>
      </c>
      <c r="D338" s="311" t="n">
        <v>46084</v>
      </c>
      <c r="E338" s="311" t="n">
        <v>46112</v>
      </c>
      <c r="F338" s="311" t="n">
        <v>46112</v>
      </c>
      <c r="H338" s="311" t="n">
        <v>46156</v>
      </c>
      <c r="I338" t="inlineStr">
        <is>
          <t>LU2884017059|Rachat|2026-03-03</t>
        </is>
      </c>
    </row>
    <row r="339">
      <c r="A339" t="inlineStr">
        <is>
          <t>LU2884017059</t>
        </is>
      </c>
      <c r="B339" t="inlineStr"/>
      <c r="C339" t="inlineStr">
        <is>
          <t>Rachat</t>
        </is>
      </c>
      <c r="D339" s="311" t="n">
        <v>46174</v>
      </c>
      <c r="E339" s="311" t="n">
        <v>46203</v>
      </c>
      <c r="F339" s="311" t="n">
        <v>46203</v>
      </c>
      <c r="H339" s="311" t="n">
        <v>46244</v>
      </c>
      <c r="I339" t="inlineStr">
        <is>
          <t>LU2884017059|Rachat|2026-06-01</t>
        </is>
      </c>
    </row>
    <row r="340">
      <c r="A340" t="inlineStr">
        <is>
          <t>LU2884017059</t>
        </is>
      </c>
      <c r="B340" t="inlineStr"/>
      <c r="C340" t="inlineStr">
        <is>
          <t>Rachat</t>
        </is>
      </c>
      <c r="D340" s="311" t="n">
        <v>46266</v>
      </c>
      <c r="E340" s="311" t="n">
        <v>46295</v>
      </c>
      <c r="F340" s="311" t="n">
        <v>46295</v>
      </c>
      <c r="H340" s="311" t="n">
        <v>46335</v>
      </c>
      <c r="I340" t="inlineStr">
        <is>
          <t>LU2884017059|Rachat|2026-09-01</t>
        </is>
      </c>
    </row>
    <row r="341">
      <c r="A341" t="inlineStr">
        <is>
          <t>LU2884017059</t>
        </is>
      </c>
      <c r="B341" t="inlineStr"/>
      <c r="C341" t="inlineStr">
        <is>
          <t>Rachat</t>
        </is>
      </c>
      <c r="D341" s="311" t="n">
        <v>46357</v>
      </c>
      <c r="E341" s="311" t="n">
        <v>46387</v>
      </c>
      <c r="F341" s="311" t="n">
        <v>46387</v>
      </c>
      <c r="H341" s="311" t="n">
        <v>46427</v>
      </c>
      <c r="I341" t="inlineStr">
        <is>
          <t>LU2884017059|Rachat|2026-12-01</t>
        </is>
      </c>
    </row>
    <row r="342">
      <c r="A342" t="inlineStr">
        <is>
          <t>LU2996228198</t>
        </is>
      </c>
      <c r="B342" t="inlineStr"/>
      <c r="C342" t="inlineStr">
        <is>
          <t>Souscription</t>
        </is>
      </c>
      <c r="D342" s="311" t="n">
        <v>46010</v>
      </c>
      <c r="E342" s="311" t="n">
        <v>46022</v>
      </c>
      <c r="F342" s="311" t="n">
        <v>46023</v>
      </c>
      <c r="G342" s="311" t="n">
        <v>46052</v>
      </c>
      <c r="H342" s="311" t="n">
        <v>46015</v>
      </c>
      <c r="I342" t="inlineStr">
        <is>
          <t>LU2996228198|Souscription|2025-12-19</t>
        </is>
      </c>
    </row>
    <row r="343">
      <c r="A343" t="inlineStr">
        <is>
          <t>LU2996228198</t>
        </is>
      </c>
      <c r="B343" t="inlineStr"/>
      <c r="C343" t="inlineStr">
        <is>
          <t>Souscription</t>
        </is>
      </c>
      <c r="D343" s="311" t="n">
        <v>46045</v>
      </c>
      <c r="E343" s="311" t="n">
        <v>46053</v>
      </c>
      <c r="F343" s="311" t="n">
        <v>46054</v>
      </c>
      <c r="G343" s="311" t="n">
        <v>46084</v>
      </c>
      <c r="H343" s="311" t="n">
        <v>46050</v>
      </c>
      <c r="I343" t="inlineStr">
        <is>
          <t>LU2996228198|Souscription|2026-01-23</t>
        </is>
      </c>
    </row>
    <row r="344">
      <c r="A344" t="inlineStr">
        <is>
          <t>LU2996228198</t>
        </is>
      </c>
      <c r="B344" t="inlineStr"/>
      <c r="C344" t="inlineStr">
        <is>
          <t>Souscription</t>
        </is>
      </c>
      <c r="D344" s="311" t="n">
        <v>46073</v>
      </c>
      <c r="E344" s="311" t="n">
        <v>46081</v>
      </c>
      <c r="F344" s="311" t="n">
        <v>46082</v>
      </c>
      <c r="G344" s="311" t="n">
        <v>46111</v>
      </c>
      <c r="H344" s="311" t="n">
        <v>46078</v>
      </c>
      <c r="I344" t="inlineStr">
        <is>
          <t>LU2996228198|Souscription|2026-02-20</t>
        </is>
      </c>
    </row>
    <row r="345">
      <c r="A345" t="inlineStr">
        <is>
          <t>LU2996228198</t>
        </is>
      </c>
      <c r="B345" t="inlineStr"/>
      <c r="C345" t="inlineStr">
        <is>
          <t>Souscription</t>
        </is>
      </c>
      <c r="D345" s="311" t="n">
        <v>46104</v>
      </c>
      <c r="E345" s="311" t="n">
        <v>46112</v>
      </c>
      <c r="F345" s="311" t="n">
        <v>46113</v>
      </c>
      <c r="G345" s="311" t="n">
        <v>46142</v>
      </c>
      <c r="H345" s="311" t="n">
        <v>46107</v>
      </c>
      <c r="I345" t="inlineStr">
        <is>
          <t>LU2996228198|Souscription|2026-03-23</t>
        </is>
      </c>
    </row>
    <row r="346">
      <c r="A346" t="inlineStr">
        <is>
          <t>LU2996228198</t>
        </is>
      </c>
      <c r="B346" t="inlineStr"/>
      <c r="C346" t="inlineStr">
        <is>
          <t>Souscription</t>
        </is>
      </c>
      <c r="D346" s="311" t="n">
        <v>46134</v>
      </c>
      <c r="E346" s="311" t="n">
        <v>46142</v>
      </c>
      <c r="F346" s="311" t="n">
        <v>46143</v>
      </c>
      <c r="G346" s="311" t="n">
        <v>46177</v>
      </c>
      <c r="H346" s="311" t="n">
        <v>46139</v>
      </c>
      <c r="I346" t="inlineStr">
        <is>
          <t>LU2996228198|Souscription|2026-04-22</t>
        </is>
      </c>
    </row>
    <row r="347">
      <c r="A347" t="inlineStr">
        <is>
          <t>LU2996228198</t>
        </is>
      </c>
      <c r="B347" t="inlineStr"/>
      <c r="C347" t="inlineStr">
        <is>
          <t>Souscription</t>
        </is>
      </c>
      <c r="D347" s="311" t="n">
        <v>46163</v>
      </c>
      <c r="E347" s="311" t="n">
        <v>46173</v>
      </c>
      <c r="F347" s="311" t="n">
        <v>46174</v>
      </c>
      <c r="G347" s="311" t="n">
        <v>46204</v>
      </c>
      <c r="H347" s="311" t="n">
        <v>46169</v>
      </c>
      <c r="I347" t="inlineStr">
        <is>
          <t>LU2996228198|Souscription|2026-05-21</t>
        </is>
      </c>
    </row>
    <row r="348">
      <c r="A348" t="inlineStr">
        <is>
          <t>LU2996228198</t>
        </is>
      </c>
      <c r="B348" t="inlineStr"/>
      <c r="C348" t="inlineStr">
        <is>
          <t>Souscription</t>
        </is>
      </c>
      <c r="D348" s="311" t="n">
        <v>46191</v>
      </c>
      <c r="E348" s="311" t="n">
        <v>46203</v>
      </c>
      <c r="F348" s="311" t="n">
        <v>46204</v>
      </c>
      <c r="G348" s="311" t="n">
        <v>46232</v>
      </c>
      <c r="H348" s="311" t="n">
        <v>46198</v>
      </c>
      <c r="I348" t="inlineStr">
        <is>
          <t>LU2996228198|Souscription|2026-06-18</t>
        </is>
      </c>
    </row>
    <row r="349">
      <c r="A349" t="inlineStr">
        <is>
          <t>LU2996228198</t>
        </is>
      </c>
      <c r="B349" t="inlineStr"/>
      <c r="C349" t="inlineStr">
        <is>
          <t>Souscription</t>
        </is>
      </c>
      <c r="D349" s="311" t="n">
        <v>46226</v>
      </c>
      <c r="E349" s="311" t="n">
        <v>46234</v>
      </c>
      <c r="F349" s="311" t="n">
        <v>46235</v>
      </c>
      <c r="G349" s="311" t="n">
        <v>46266</v>
      </c>
      <c r="H349" s="311" t="n">
        <v>46231</v>
      </c>
      <c r="I349" t="inlineStr">
        <is>
          <t>LU2996228198|Souscription|2026-07-23</t>
        </is>
      </c>
    </row>
    <row r="350">
      <c r="A350" t="inlineStr">
        <is>
          <t>LU2996228198</t>
        </is>
      </c>
      <c r="B350" t="inlineStr"/>
      <c r="C350" t="inlineStr">
        <is>
          <t>Souscription</t>
        </is>
      </c>
      <c r="D350" s="311" t="n">
        <v>46255</v>
      </c>
      <c r="E350" s="311" t="n">
        <v>46265</v>
      </c>
      <c r="F350" s="311" t="n">
        <v>46266</v>
      </c>
      <c r="G350" s="311" t="n">
        <v>46294</v>
      </c>
      <c r="H350" s="311" t="n">
        <v>46260</v>
      </c>
      <c r="I350" t="inlineStr">
        <is>
          <t>LU2996228198|Souscription|2026-08-21</t>
        </is>
      </c>
    </row>
    <row r="351">
      <c r="A351" t="inlineStr">
        <is>
          <t>LU2996228198</t>
        </is>
      </c>
      <c r="B351" t="inlineStr"/>
      <c r="C351" t="inlineStr">
        <is>
          <t>Souscription</t>
        </is>
      </c>
      <c r="D351" s="311" t="n">
        <v>46287</v>
      </c>
      <c r="E351" s="311" t="n">
        <v>46295</v>
      </c>
      <c r="F351" s="311" t="n">
        <v>46296</v>
      </c>
      <c r="G351" s="311" t="n">
        <v>46325</v>
      </c>
      <c r="H351" s="311" t="n">
        <v>46290</v>
      </c>
      <c r="I351" t="inlineStr">
        <is>
          <t>LU2996228198|Souscription|2026-09-22</t>
        </is>
      </c>
    </row>
    <row r="352">
      <c r="A352" t="inlineStr">
        <is>
          <t>LU2996228198</t>
        </is>
      </c>
      <c r="B352" t="inlineStr"/>
      <c r="C352" t="inlineStr">
        <is>
          <t>Souscription</t>
        </is>
      </c>
      <c r="D352" s="311" t="n">
        <v>46317</v>
      </c>
      <c r="E352" s="311" t="n">
        <v>46326</v>
      </c>
      <c r="F352" s="311" t="n">
        <v>46327</v>
      </c>
      <c r="G352" s="311" t="n">
        <v>46357</v>
      </c>
      <c r="H352" s="311" t="n">
        <v>46323</v>
      </c>
      <c r="I352" t="inlineStr">
        <is>
          <t>LU2996228198|Souscription|2026-10-22</t>
        </is>
      </c>
    </row>
    <row r="353">
      <c r="A353" t="inlineStr">
        <is>
          <t>LU2996228198</t>
        </is>
      </c>
      <c r="B353" t="inlineStr"/>
      <c r="C353" t="inlineStr">
        <is>
          <t>Souscription</t>
        </is>
      </c>
      <c r="D353" s="311" t="n">
        <v>46345</v>
      </c>
      <c r="E353" s="311" t="n">
        <v>46356</v>
      </c>
      <c r="F353" s="311" t="n">
        <v>46357</v>
      </c>
      <c r="G353" s="311" t="n">
        <v>46386</v>
      </c>
      <c r="H353" s="311" t="n">
        <v>46350</v>
      </c>
      <c r="I353" t="inlineStr">
        <is>
          <t>LU2996228198|Souscription|2026-11-19</t>
        </is>
      </c>
    </row>
    <row r="354">
      <c r="A354" t="inlineStr">
        <is>
          <t>LU2996228198</t>
        </is>
      </c>
      <c r="B354" t="inlineStr"/>
      <c r="C354" t="inlineStr">
        <is>
          <t>Souscription</t>
        </is>
      </c>
      <c r="D354" s="311" t="n">
        <v>46377</v>
      </c>
      <c r="E354" s="311" t="n">
        <v>46387</v>
      </c>
      <c r="F354" s="311" t="n">
        <v>46388</v>
      </c>
      <c r="G354" s="311" t="n">
        <v>46419</v>
      </c>
      <c r="H354" s="311" t="n">
        <v>46380</v>
      </c>
      <c r="I354" t="inlineStr">
        <is>
          <t>LU2996228198|Souscription|2026-12-21</t>
        </is>
      </c>
    </row>
    <row r="355">
      <c r="A355" t="inlineStr">
        <is>
          <t>LU2996228198</t>
        </is>
      </c>
      <c r="B355" t="inlineStr"/>
      <c r="C355" t="inlineStr">
        <is>
          <t>Rachat</t>
        </is>
      </c>
      <c r="D355" s="311" t="n">
        <v>46081</v>
      </c>
      <c r="E355" s="311" t="n">
        <v>46112</v>
      </c>
      <c r="F355" s="311" t="n">
        <v>46112</v>
      </c>
      <c r="G355" s="311" t="n">
        <v>46142</v>
      </c>
      <c r="H355" s="311" t="n">
        <v>46153</v>
      </c>
      <c r="I355" t="inlineStr">
        <is>
          <t>LU2996228198|Rachat|2026-02-28</t>
        </is>
      </c>
    </row>
    <row r="356">
      <c r="A356" t="inlineStr">
        <is>
          <t>LU2996228198</t>
        </is>
      </c>
      <c r="B356" t="inlineStr"/>
      <c r="C356" t="inlineStr">
        <is>
          <t>Rachat</t>
        </is>
      </c>
      <c r="D356" s="311" t="n">
        <v>46172</v>
      </c>
      <c r="E356" s="311" t="n">
        <v>46203</v>
      </c>
      <c r="F356" s="311" t="n">
        <v>46203</v>
      </c>
      <c r="G356" s="311" t="n">
        <v>46232</v>
      </c>
      <c r="H356" s="311" t="n">
        <v>46240</v>
      </c>
      <c r="I356" t="inlineStr">
        <is>
          <t>LU2996228198|Rachat|2026-05-30</t>
        </is>
      </c>
    </row>
    <row r="357">
      <c r="A357" t="inlineStr">
        <is>
          <t>LU2996228198</t>
        </is>
      </c>
      <c r="B357" t="inlineStr"/>
      <c r="C357" t="inlineStr">
        <is>
          <t>Rachat</t>
        </is>
      </c>
      <c r="D357" s="311" t="n">
        <v>46264</v>
      </c>
      <c r="E357" s="311" t="n">
        <v>46295</v>
      </c>
      <c r="F357" s="311" t="n">
        <v>46295</v>
      </c>
      <c r="G357" s="311" t="n">
        <v>46325</v>
      </c>
      <c r="H357" s="311" t="n">
        <v>46332</v>
      </c>
      <c r="I357" t="inlineStr">
        <is>
          <t>LU2996228198|Rachat|2026-08-30</t>
        </is>
      </c>
    </row>
    <row r="358">
      <c r="A358" t="inlineStr">
        <is>
          <t>LU2996228198</t>
        </is>
      </c>
      <c r="B358" t="inlineStr"/>
      <c r="C358" t="inlineStr">
        <is>
          <t>Rachat</t>
        </is>
      </c>
      <c r="D358" s="311" t="n">
        <v>46356</v>
      </c>
      <c r="E358" s="311" t="n">
        <v>46387</v>
      </c>
      <c r="F358" s="311" t="n">
        <v>46387</v>
      </c>
      <c r="G358" s="311" t="n">
        <v>46420</v>
      </c>
      <c r="H358" s="311" t="n">
        <v>46427</v>
      </c>
      <c r="I358" t="inlineStr">
        <is>
          <t>LU2996228198|Rachat|2026-11-30</t>
        </is>
      </c>
    </row>
    <row r="359">
      <c r="A359" t="inlineStr">
        <is>
          <t>LU2756307729</t>
        </is>
      </c>
      <c r="B359" t="inlineStr"/>
      <c r="C359" t="inlineStr">
        <is>
          <t>Souscription</t>
        </is>
      </c>
      <c r="D359" s="311" t="n">
        <v>46010</v>
      </c>
      <c r="E359" s="311" t="n">
        <v>46022</v>
      </c>
      <c r="F359" s="311" t="n">
        <v>46023</v>
      </c>
      <c r="G359" s="311" t="n">
        <v>46052</v>
      </c>
      <c r="H359" s="311" t="n">
        <v>46015</v>
      </c>
      <c r="I359" t="inlineStr">
        <is>
          <t>LU2756307729|Souscription|2025-12-19</t>
        </is>
      </c>
    </row>
    <row r="360">
      <c r="A360" t="inlineStr">
        <is>
          <t>LU2756307729</t>
        </is>
      </c>
      <c r="B360" t="inlineStr"/>
      <c r="C360" t="inlineStr">
        <is>
          <t>Souscription</t>
        </is>
      </c>
      <c r="D360" s="311" t="n">
        <v>46045</v>
      </c>
      <c r="E360" s="311" t="n">
        <v>46053</v>
      </c>
      <c r="F360" s="311" t="n">
        <v>46054</v>
      </c>
      <c r="G360" s="311" t="n">
        <v>46084</v>
      </c>
      <c r="H360" s="311" t="n">
        <v>46050</v>
      </c>
      <c r="I360" t="inlineStr">
        <is>
          <t>LU2756307729|Souscription|2026-01-23</t>
        </is>
      </c>
    </row>
    <row r="361">
      <c r="A361" t="inlineStr">
        <is>
          <t>LU2756307729</t>
        </is>
      </c>
      <c r="B361" t="inlineStr"/>
      <c r="C361" t="inlineStr">
        <is>
          <t>Souscription</t>
        </is>
      </c>
      <c r="D361" s="311" t="n">
        <v>46073</v>
      </c>
      <c r="E361" s="311" t="n">
        <v>46081</v>
      </c>
      <c r="F361" s="311" t="n">
        <v>46082</v>
      </c>
      <c r="G361" s="311" t="n">
        <v>46111</v>
      </c>
      <c r="H361" s="311" t="n">
        <v>46078</v>
      </c>
      <c r="I361" t="inlineStr">
        <is>
          <t>LU2756307729|Souscription|2026-02-20</t>
        </is>
      </c>
    </row>
    <row r="362">
      <c r="A362" t="inlineStr">
        <is>
          <t>LU2756307729</t>
        </is>
      </c>
      <c r="B362" t="inlineStr"/>
      <c r="C362" t="inlineStr">
        <is>
          <t>Souscription</t>
        </is>
      </c>
      <c r="D362" s="311" t="n">
        <v>46104</v>
      </c>
      <c r="E362" s="311" t="n">
        <v>46112</v>
      </c>
      <c r="F362" s="311" t="n">
        <v>46113</v>
      </c>
      <c r="G362" s="311" t="n">
        <v>46142</v>
      </c>
      <c r="H362" s="311" t="n">
        <v>46107</v>
      </c>
      <c r="I362" t="inlineStr">
        <is>
          <t>LU2756307729|Souscription|2026-03-23</t>
        </is>
      </c>
    </row>
    <row r="363">
      <c r="A363" t="inlineStr">
        <is>
          <t>LU2756307729</t>
        </is>
      </c>
      <c r="B363" t="inlineStr"/>
      <c r="C363" t="inlineStr">
        <is>
          <t>Souscription</t>
        </is>
      </c>
      <c r="D363" s="311" t="n">
        <v>46134</v>
      </c>
      <c r="E363" s="311" t="n">
        <v>46142</v>
      </c>
      <c r="F363" s="311" t="n">
        <v>46143</v>
      </c>
      <c r="G363" s="311" t="n">
        <v>46177</v>
      </c>
      <c r="H363" s="311" t="n">
        <v>46139</v>
      </c>
      <c r="I363" t="inlineStr">
        <is>
          <t>LU2756307729|Souscription|2026-04-22</t>
        </is>
      </c>
    </row>
    <row r="364">
      <c r="A364" t="inlineStr">
        <is>
          <t>LU2756307729</t>
        </is>
      </c>
      <c r="B364" t="inlineStr"/>
      <c r="C364" t="inlineStr">
        <is>
          <t>Souscription</t>
        </is>
      </c>
      <c r="D364" s="311" t="n">
        <v>46163</v>
      </c>
      <c r="E364" s="311" t="n">
        <v>46173</v>
      </c>
      <c r="F364" s="311" t="n">
        <v>46174</v>
      </c>
      <c r="G364" s="311" t="n">
        <v>46204</v>
      </c>
      <c r="H364" s="311" t="n">
        <v>46169</v>
      </c>
      <c r="I364" t="inlineStr">
        <is>
          <t>LU2756307729|Souscription|2026-05-21</t>
        </is>
      </c>
    </row>
    <row r="365">
      <c r="A365" t="inlineStr">
        <is>
          <t>LU2756307729</t>
        </is>
      </c>
      <c r="B365" t="inlineStr"/>
      <c r="C365" t="inlineStr">
        <is>
          <t>Souscription</t>
        </is>
      </c>
      <c r="D365" s="311" t="n">
        <v>46191</v>
      </c>
      <c r="E365" s="311" t="n">
        <v>46203</v>
      </c>
      <c r="F365" s="311" t="n">
        <v>46204</v>
      </c>
      <c r="G365" s="311" t="n">
        <v>46232</v>
      </c>
      <c r="H365" s="311" t="n">
        <v>46198</v>
      </c>
      <c r="I365" t="inlineStr">
        <is>
          <t>LU2756307729|Souscription|2026-06-18</t>
        </is>
      </c>
    </row>
    <row r="366">
      <c r="A366" t="inlineStr">
        <is>
          <t>LU2756307729</t>
        </is>
      </c>
      <c r="B366" t="inlineStr"/>
      <c r="C366" t="inlineStr">
        <is>
          <t>Souscription</t>
        </is>
      </c>
      <c r="D366" s="311" t="n">
        <v>46226</v>
      </c>
      <c r="E366" s="311" t="n">
        <v>46234</v>
      </c>
      <c r="F366" s="311" t="n">
        <v>46235</v>
      </c>
      <c r="G366" s="311" t="n">
        <v>46266</v>
      </c>
      <c r="H366" s="311" t="n">
        <v>46231</v>
      </c>
      <c r="I366" t="inlineStr">
        <is>
          <t>LU2756307729|Souscription|2026-07-23</t>
        </is>
      </c>
    </row>
    <row r="367">
      <c r="A367" t="inlineStr">
        <is>
          <t>LU2756307729</t>
        </is>
      </c>
      <c r="B367" t="inlineStr"/>
      <c r="C367" t="inlineStr">
        <is>
          <t>Souscription</t>
        </is>
      </c>
      <c r="D367" s="311" t="n">
        <v>46255</v>
      </c>
      <c r="E367" s="311" t="n">
        <v>46265</v>
      </c>
      <c r="F367" s="311" t="n">
        <v>46266</v>
      </c>
      <c r="G367" s="311" t="n">
        <v>46294</v>
      </c>
      <c r="H367" s="311" t="n">
        <v>46260</v>
      </c>
      <c r="I367" t="inlineStr">
        <is>
          <t>LU2756307729|Souscription|2026-08-21</t>
        </is>
      </c>
    </row>
    <row r="368">
      <c r="A368" t="inlineStr">
        <is>
          <t>LU2756307729</t>
        </is>
      </c>
      <c r="B368" t="inlineStr"/>
      <c r="C368" t="inlineStr">
        <is>
          <t>Souscription</t>
        </is>
      </c>
      <c r="D368" s="311" t="n">
        <v>46287</v>
      </c>
      <c r="E368" s="311" t="n">
        <v>46295</v>
      </c>
      <c r="F368" s="311" t="n">
        <v>46296</v>
      </c>
      <c r="G368" s="311" t="n">
        <v>46325</v>
      </c>
      <c r="H368" s="311" t="n">
        <v>46290</v>
      </c>
      <c r="I368" t="inlineStr">
        <is>
          <t>LU2756307729|Souscription|2026-09-22</t>
        </is>
      </c>
    </row>
    <row r="369">
      <c r="A369" t="inlineStr">
        <is>
          <t>LU2756307729</t>
        </is>
      </c>
      <c r="B369" t="inlineStr"/>
      <c r="C369" t="inlineStr">
        <is>
          <t>Souscription</t>
        </is>
      </c>
      <c r="D369" s="311" t="n">
        <v>46317</v>
      </c>
      <c r="E369" s="311" t="n">
        <v>46326</v>
      </c>
      <c r="F369" s="311" t="n">
        <v>46327</v>
      </c>
      <c r="G369" s="311" t="n">
        <v>46357</v>
      </c>
      <c r="H369" s="311" t="n">
        <v>46323</v>
      </c>
      <c r="I369" t="inlineStr">
        <is>
          <t>LU2756307729|Souscription|2026-10-22</t>
        </is>
      </c>
    </row>
    <row r="370">
      <c r="A370" t="inlineStr">
        <is>
          <t>LU2756307729</t>
        </is>
      </c>
      <c r="B370" t="inlineStr"/>
      <c r="C370" t="inlineStr">
        <is>
          <t>Souscription</t>
        </is>
      </c>
      <c r="D370" s="311" t="n">
        <v>46345</v>
      </c>
      <c r="E370" s="311" t="n">
        <v>46356</v>
      </c>
      <c r="F370" s="311" t="n">
        <v>46357</v>
      </c>
      <c r="G370" s="311" t="n">
        <v>46386</v>
      </c>
      <c r="H370" s="311" t="n">
        <v>46350</v>
      </c>
      <c r="I370" t="inlineStr">
        <is>
          <t>LU2756307729|Souscription|2026-11-19</t>
        </is>
      </c>
    </row>
    <row r="371">
      <c r="A371" t="inlineStr">
        <is>
          <t>LU2756307729</t>
        </is>
      </c>
      <c r="B371" t="inlineStr"/>
      <c r="C371" t="inlineStr">
        <is>
          <t>Souscription</t>
        </is>
      </c>
      <c r="D371" s="311" t="n">
        <v>46377</v>
      </c>
      <c r="E371" s="311" t="n">
        <v>46387</v>
      </c>
      <c r="F371" s="311" t="n">
        <v>46388</v>
      </c>
      <c r="G371" s="311" t="n">
        <v>46419</v>
      </c>
      <c r="H371" s="311" t="n">
        <v>46380</v>
      </c>
      <c r="I371" t="inlineStr">
        <is>
          <t>LU2756307729|Souscription|2026-12-21</t>
        </is>
      </c>
    </row>
    <row r="372">
      <c r="A372" t="inlineStr">
        <is>
          <t>LU2756307729</t>
        </is>
      </c>
      <c r="B372" t="inlineStr"/>
      <c r="C372" t="inlineStr">
        <is>
          <t>Rachat</t>
        </is>
      </c>
      <c r="D372" s="311" t="n">
        <v>46081</v>
      </c>
      <c r="E372" s="311" t="n">
        <v>46112</v>
      </c>
      <c r="F372" s="311" t="n">
        <v>46112</v>
      </c>
      <c r="G372" s="311" t="n">
        <v>46142</v>
      </c>
      <c r="H372" s="311" t="n">
        <v>46153</v>
      </c>
      <c r="I372" t="inlineStr">
        <is>
          <t>LU2756307729|Rachat|2026-02-28</t>
        </is>
      </c>
    </row>
    <row r="373">
      <c r="A373" t="inlineStr">
        <is>
          <t>LU2756307729</t>
        </is>
      </c>
      <c r="B373" t="inlineStr"/>
      <c r="C373" t="inlineStr">
        <is>
          <t>Rachat</t>
        </is>
      </c>
      <c r="D373" s="311" t="n">
        <v>46172</v>
      </c>
      <c r="E373" s="311" t="n">
        <v>46203</v>
      </c>
      <c r="F373" s="311" t="n">
        <v>46203</v>
      </c>
      <c r="G373" s="311" t="n">
        <v>46232</v>
      </c>
      <c r="H373" s="311" t="n">
        <v>46240</v>
      </c>
      <c r="I373" t="inlineStr">
        <is>
          <t>LU2756307729|Rachat|2026-05-30</t>
        </is>
      </c>
    </row>
    <row r="374">
      <c r="A374" t="inlineStr">
        <is>
          <t>LU2756307729</t>
        </is>
      </c>
      <c r="B374" t="inlineStr"/>
      <c r="C374" t="inlineStr">
        <is>
          <t>Rachat</t>
        </is>
      </c>
      <c r="D374" s="311" t="n">
        <v>46264</v>
      </c>
      <c r="E374" s="311" t="n">
        <v>46295</v>
      </c>
      <c r="F374" s="311" t="n">
        <v>46295</v>
      </c>
      <c r="G374" s="311" t="n">
        <v>46325</v>
      </c>
      <c r="H374" s="311" t="n">
        <v>46332</v>
      </c>
      <c r="I374" t="inlineStr">
        <is>
          <t>LU2756307729|Rachat|2026-08-30</t>
        </is>
      </c>
    </row>
    <row r="375">
      <c r="A375" t="inlineStr">
        <is>
          <t>LU2756307729</t>
        </is>
      </c>
      <c r="B375" t="inlineStr"/>
      <c r="C375" t="inlineStr">
        <is>
          <t>Rachat</t>
        </is>
      </c>
      <c r="D375" s="311" t="n">
        <v>46356</v>
      </c>
      <c r="E375" s="311" t="n">
        <v>46387</v>
      </c>
      <c r="F375" s="311" t="n">
        <v>46387</v>
      </c>
      <c r="G375" s="311" t="n">
        <v>46420</v>
      </c>
      <c r="H375" s="311" t="n">
        <v>46427</v>
      </c>
      <c r="I375" t="inlineStr">
        <is>
          <t>LU2756307729|Rachat|2026-11-30</t>
        </is>
      </c>
    </row>
    <row r="376">
      <c r="A376" t="inlineStr">
        <is>
          <t>LU3047997575</t>
        </is>
      </c>
      <c r="B376" t="inlineStr"/>
      <c r="C376" t="inlineStr">
        <is>
          <t>Souscription</t>
        </is>
      </c>
      <c r="D376" s="311" t="n">
        <v>46010</v>
      </c>
      <c r="E376" s="311" t="n">
        <v>46022</v>
      </c>
      <c r="F376" s="311" t="n">
        <v>46023</v>
      </c>
      <c r="G376" s="311" t="n">
        <v>46057</v>
      </c>
      <c r="H376" s="311" t="n">
        <v>46015</v>
      </c>
      <c r="I376" t="inlineStr">
        <is>
          <t>LU3047997575|Souscription|2025-12-19</t>
        </is>
      </c>
    </row>
    <row r="377">
      <c r="A377" t="inlineStr">
        <is>
          <t>LU3047997575</t>
        </is>
      </c>
      <c r="B377" t="inlineStr"/>
      <c r="C377" t="inlineStr">
        <is>
          <t>Souscription</t>
        </is>
      </c>
      <c r="D377" s="311" t="n">
        <v>46045</v>
      </c>
      <c r="E377" s="311" t="n">
        <v>46053</v>
      </c>
      <c r="F377" s="311" t="n">
        <v>46054</v>
      </c>
      <c r="G377" s="311" t="n">
        <v>46086</v>
      </c>
      <c r="H377" s="311" t="n">
        <v>46050</v>
      </c>
      <c r="I377" t="inlineStr">
        <is>
          <t>LU3047997575|Souscription|2026-01-23</t>
        </is>
      </c>
    </row>
    <row r="378">
      <c r="A378" t="inlineStr">
        <is>
          <t>LU3047997575</t>
        </is>
      </c>
      <c r="B378" t="inlineStr"/>
      <c r="C378" t="inlineStr">
        <is>
          <t>Souscription</t>
        </is>
      </c>
      <c r="D378" s="311" t="n">
        <v>46073</v>
      </c>
      <c r="E378" s="311" t="n">
        <v>46081</v>
      </c>
      <c r="F378" s="311" t="n">
        <v>46082</v>
      </c>
      <c r="G378" s="311" t="n">
        <v>46113</v>
      </c>
      <c r="H378" s="311" t="n">
        <v>46078</v>
      </c>
      <c r="I378" t="inlineStr">
        <is>
          <t>LU3047997575|Souscription|2026-02-20</t>
        </is>
      </c>
    </row>
    <row r="379">
      <c r="A379" t="inlineStr">
        <is>
          <t>LU3047997575</t>
        </is>
      </c>
      <c r="B379" t="inlineStr"/>
      <c r="C379" t="inlineStr">
        <is>
          <t>Souscription</t>
        </is>
      </c>
      <c r="D379" s="311" t="n">
        <v>46104</v>
      </c>
      <c r="E379" s="311" t="n">
        <v>46112</v>
      </c>
      <c r="F379" s="311" t="n">
        <v>46113</v>
      </c>
      <c r="G379" s="311" t="n">
        <v>46148</v>
      </c>
      <c r="H379" s="311" t="n">
        <v>46107</v>
      </c>
      <c r="I379" t="inlineStr">
        <is>
          <t>LU3047997575|Souscription|2026-03-23</t>
        </is>
      </c>
    </row>
    <row r="380">
      <c r="A380" t="inlineStr">
        <is>
          <t>LU3047997575</t>
        </is>
      </c>
      <c r="B380" t="inlineStr"/>
      <c r="C380" t="inlineStr">
        <is>
          <t>Souscription</t>
        </is>
      </c>
      <c r="D380" s="311" t="n">
        <v>46134</v>
      </c>
      <c r="E380" s="311" t="n">
        <v>46142</v>
      </c>
      <c r="F380" s="311" t="n">
        <v>46143</v>
      </c>
      <c r="G380" s="311" t="n">
        <v>46181</v>
      </c>
      <c r="H380" s="311" t="n">
        <v>46139</v>
      </c>
      <c r="I380" t="inlineStr">
        <is>
          <t>LU3047997575|Souscription|2026-04-22</t>
        </is>
      </c>
    </row>
    <row r="381">
      <c r="A381" t="inlineStr">
        <is>
          <t>LU3047997575</t>
        </is>
      </c>
      <c r="B381" t="inlineStr"/>
      <c r="C381" t="inlineStr">
        <is>
          <t>Souscription</t>
        </is>
      </c>
      <c r="D381" s="311" t="n">
        <v>46163</v>
      </c>
      <c r="E381" s="311" t="n">
        <v>46173</v>
      </c>
      <c r="F381" s="311" t="n">
        <v>46174</v>
      </c>
      <c r="G381" s="311" t="n">
        <v>46209</v>
      </c>
      <c r="H381" s="311" t="n">
        <v>46169</v>
      </c>
      <c r="I381" t="inlineStr">
        <is>
          <t>LU3047997575|Souscription|2026-05-21</t>
        </is>
      </c>
    </row>
    <row r="382">
      <c r="A382" t="inlineStr">
        <is>
          <t>LU3047997575</t>
        </is>
      </c>
      <c r="B382" t="inlineStr"/>
      <c r="C382" t="inlineStr">
        <is>
          <t>Souscription</t>
        </is>
      </c>
      <c r="D382" s="311" t="n">
        <v>46191</v>
      </c>
      <c r="E382" s="311" t="n">
        <v>46203</v>
      </c>
      <c r="F382" s="311" t="n">
        <v>46204</v>
      </c>
      <c r="G382" s="311" t="n">
        <v>46234</v>
      </c>
      <c r="H382" s="311" t="n">
        <v>46198</v>
      </c>
      <c r="I382" t="inlineStr">
        <is>
          <t>LU3047997575|Souscription|2026-06-18</t>
        </is>
      </c>
    </row>
    <row r="383">
      <c r="A383" t="inlineStr">
        <is>
          <t>LU3047997575</t>
        </is>
      </c>
      <c r="B383" t="inlineStr"/>
      <c r="C383" t="inlineStr">
        <is>
          <t>Souscription</t>
        </is>
      </c>
      <c r="D383" s="311" t="n">
        <v>46226</v>
      </c>
      <c r="E383" s="311" t="n">
        <v>46234</v>
      </c>
      <c r="F383" s="311" t="n">
        <v>46235</v>
      </c>
      <c r="G383" s="311" t="n">
        <v>46268</v>
      </c>
      <c r="H383" s="311" t="n">
        <v>46231</v>
      </c>
      <c r="I383" t="inlineStr">
        <is>
          <t>LU3047997575|Souscription|2026-07-23</t>
        </is>
      </c>
    </row>
    <row r="384">
      <c r="A384" t="inlineStr">
        <is>
          <t>LU3047997575</t>
        </is>
      </c>
      <c r="B384" t="inlineStr"/>
      <c r="C384" t="inlineStr">
        <is>
          <t>Souscription</t>
        </is>
      </c>
      <c r="D384" s="311" t="n">
        <v>46255</v>
      </c>
      <c r="E384" s="311" t="n">
        <v>46265</v>
      </c>
      <c r="F384" s="311" t="n">
        <v>46266</v>
      </c>
      <c r="G384" s="311" t="n">
        <v>46296</v>
      </c>
      <c r="H384" s="311" t="n">
        <v>46260</v>
      </c>
      <c r="I384" t="inlineStr">
        <is>
          <t>LU3047997575|Souscription|2026-08-21</t>
        </is>
      </c>
    </row>
    <row r="385">
      <c r="A385" t="inlineStr">
        <is>
          <t>LU3047997575</t>
        </is>
      </c>
      <c r="B385" t="inlineStr"/>
      <c r="C385" t="inlineStr">
        <is>
          <t>Souscription</t>
        </is>
      </c>
      <c r="D385" s="311" t="n">
        <v>46287</v>
      </c>
      <c r="E385" s="311" t="n">
        <v>46295</v>
      </c>
      <c r="F385" s="311" t="n">
        <v>46296</v>
      </c>
      <c r="G385" s="311" t="n">
        <v>46329</v>
      </c>
      <c r="H385" s="311" t="n">
        <v>46290</v>
      </c>
      <c r="I385" t="inlineStr">
        <is>
          <t>LU3047997575|Souscription|2026-09-22</t>
        </is>
      </c>
    </row>
    <row r="386">
      <c r="A386" t="inlineStr">
        <is>
          <t>LU3047997575</t>
        </is>
      </c>
      <c r="B386" t="inlineStr"/>
      <c r="C386" t="inlineStr">
        <is>
          <t>Souscription</t>
        </is>
      </c>
      <c r="D386" s="311" t="n">
        <v>46317</v>
      </c>
      <c r="E386" s="311" t="n">
        <v>46326</v>
      </c>
      <c r="F386" s="311" t="n">
        <v>46327</v>
      </c>
      <c r="G386" s="311" t="n">
        <v>46359</v>
      </c>
      <c r="H386" s="311" t="n">
        <v>46323</v>
      </c>
      <c r="I386" t="inlineStr">
        <is>
          <t>LU3047997575|Souscription|2026-10-22</t>
        </is>
      </c>
    </row>
    <row r="387">
      <c r="A387" t="inlineStr">
        <is>
          <t>LU3047997575</t>
        </is>
      </c>
      <c r="B387" t="inlineStr"/>
      <c r="C387" t="inlineStr">
        <is>
          <t>Souscription</t>
        </is>
      </c>
      <c r="D387" s="311" t="n">
        <v>46345</v>
      </c>
      <c r="E387" s="311" t="n">
        <v>46356</v>
      </c>
      <c r="F387" s="311" t="n">
        <v>46357</v>
      </c>
      <c r="G387" s="311" t="n">
        <v>46391</v>
      </c>
      <c r="H387" s="311" t="n">
        <v>46350</v>
      </c>
      <c r="I387" t="inlineStr">
        <is>
          <t>LU3047997575|Souscription|2026-11-19</t>
        </is>
      </c>
    </row>
    <row r="388">
      <c r="A388" t="inlineStr">
        <is>
          <t>LU3047997575</t>
        </is>
      </c>
      <c r="B388" t="inlineStr"/>
      <c r="C388" t="inlineStr">
        <is>
          <t>Souscription</t>
        </is>
      </c>
      <c r="D388" s="311" t="n">
        <v>46377</v>
      </c>
      <c r="E388" s="311" t="n">
        <v>46387</v>
      </c>
      <c r="F388" s="311" t="n">
        <v>46388</v>
      </c>
      <c r="G388" s="311" t="n">
        <v>46422</v>
      </c>
      <c r="H388" s="311" t="n">
        <v>46380</v>
      </c>
      <c r="I388" t="inlineStr">
        <is>
          <t>LU3047997575|Souscription|2026-12-21</t>
        </is>
      </c>
    </row>
    <row r="389">
      <c r="A389" t="inlineStr">
        <is>
          <t>LU3047997575</t>
        </is>
      </c>
      <c r="B389" t="inlineStr"/>
      <c r="C389" t="inlineStr">
        <is>
          <t>Rachat</t>
        </is>
      </c>
      <c r="D389" s="311" t="n">
        <v>46080</v>
      </c>
      <c r="E389" s="311" t="n">
        <v>46112</v>
      </c>
      <c r="F389" s="311" t="n">
        <v>46112</v>
      </c>
      <c r="G389" s="311" t="n">
        <v>46148</v>
      </c>
      <c r="H389" s="311" t="n">
        <v>46155</v>
      </c>
      <c r="I389" t="inlineStr">
        <is>
          <t>LU3047997575|Rachat|2026-02-27</t>
        </is>
      </c>
    </row>
    <row r="390">
      <c r="A390" t="inlineStr">
        <is>
          <t>LU3047997575</t>
        </is>
      </c>
      <c r="B390" t="inlineStr"/>
      <c r="C390" t="inlineStr">
        <is>
          <t>Rachat</t>
        </is>
      </c>
      <c r="D390" s="311" t="n">
        <v>46169</v>
      </c>
      <c r="E390" s="311" t="n">
        <v>46203</v>
      </c>
      <c r="F390" s="311" t="n">
        <v>46203</v>
      </c>
      <c r="G390" s="311" t="n">
        <v>46234</v>
      </c>
      <c r="H390" s="311" t="n">
        <v>46244</v>
      </c>
      <c r="I390" t="inlineStr">
        <is>
          <t>LU3047997575|Rachat|2026-05-27</t>
        </is>
      </c>
    </row>
    <row r="391">
      <c r="A391" t="inlineStr">
        <is>
          <t>LU3047997575</t>
        </is>
      </c>
      <c r="B391" t="inlineStr"/>
      <c r="C391" t="inlineStr">
        <is>
          <t>Rachat</t>
        </is>
      </c>
      <c r="D391" s="311" t="n">
        <v>46262</v>
      </c>
      <c r="E391" s="311" t="n">
        <v>46295</v>
      </c>
      <c r="F391" s="311" t="n">
        <v>46295</v>
      </c>
      <c r="G391" s="311" t="n">
        <v>46329</v>
      </c>
      <c r="H391" s="311" t="n">
        <v>46336</v>
      </c>
      <c r="I391" t="inlineStr">
        <is>
          <t>LU3047997575|Rachat|2026-08-28</t>
        </is>
      </c>
    </row>
    <row r="392">
      <c r="A392" t="inlineStr">
        <is>
          <t>LU3047997575</t>
        </is>
      </c>
      <c r="B392" t="inlineStr"/>
      <c r="C392" t="inlineStr">
        <is>
          <t>Rachat</t>
        </is>
      </c>
      <c r="D392" s="311" t="n">
        <v>46354</v>
      </c>
      <c r="E392" s="311" t="n">
        <v>46387</v>
      </c>
      <c r="F392" s="311" t="n">
        <v>46387</v>
      </c>
      <c r="G392" s="311" t="n">
        <v>46422</v>
      </c>
      <c r="H392" s="311" t="n">
        <v>46429</v>
      </c>
      <c r="I392" t="inlineStr">
        <is>
          <t>LU3047997575|Rachat|2026-11-28</t>
        </is>
      </c>
    </row>
    <row r="393">
      <c r="A393" t="inlineStr">
        <is>
          <t>LU3047997658</t>
        </is>
      </c>
      <c r="B393" t="inlineStr"/>
      <c r="C393" t="inlineStr">
        <is>
          <t>Souscription</t>
        </is>
      </c>
      <c r="D393" s="311" t="n">
        <v>46010</v>
      </c>
      <c r="E393" s="311" t="n">
        <v>46022</v>
      </c>
      <c r="F393" s="311" t="n">
        <v>46023</v>
      </c>
      <c r="G393" s="311" t="n">
        <v>46057</v>
      </c>
      <c r="H393" s="311" t="n">
        <v>46015</v>
      </c>
      <c r="I393" t="inlineStr">
        <is>
          <t>LU3047997658|Souscription|2025-12-19</t>
        </is>
      </c>
    </row>
    <row r="394">
      <c r="A394" t="inlineStr">
        <is>
          <t>LU3047997658</t>
        </is>
      </c>
      <c r="B394" t="inlineStr"/>
      <c r="C394" t="inlineStr">
        <is>
          <t>Souscription</t>
        </is>
      </c>
      <c r="D394" s="311" t="n">
        <v>46045</v>
      </c>
      <c r="E394" s="311" t="n">
        <v>46053</v>
      </c>
      <c r="F394" s="311" t="n">
        <v>46054</v>
      </c>
      <c r="G394" s="311" t="n">
        <v>46086</v>
      </c>
      <c r="H394" s="311" t="n">
        <v>46050</v>
      </c>
      <c r="I394" t="inlineStr">
        <is>
          <t>LU3047997658|Souscription|2026-01-23</t>
        </is>
      </c>
    </row>
    <row r="395">
      <c r="A395" t="inlineStr">
        <is>
          <t>LU3047997658</t>
        </is>
      </c>
      <c r="B395" t="inlineStr"/>
      <c r="C395" t="inlineStr">
        <is>
          <t>Souscription</t>
        </is>
      </c>
      <c r="D395" s="311" t="n">
        <v>46073</v>
      </c>
      <c r="E395" s="311" t="n">
        <v>46081</v>
      </c>
      <c r="F395" s="311" t="n">
        <v>46082</v>
      </c>
      <c r="G395" s="311" t="n">
        <v>46113</v>
      </c>
      <c r="H395" s="311" t="n">
        <v>46078</v>
      </c>
      <c r="I395" t="inlineStr">
        <is>
          <t>LU3047997658|Souscription|2026-02-20</t>
        </is>
      </c>
    </row>
    <row r="396">
      <c r="A396" t="inlineStr">
        <is>
          <t>LU3047997658</t>
        </is>
      </c>
      <c r="B396" t="inlineStr"/>
      <c r="C396" t="inlineStr">
        <is>
          <t>Souscription</t>
        </is>
      </c>
      <c r="D396" s="311" t="n">
        <v>46104</v>
      </c>
      <c r="E396" s="311" t="n">
        <v>46112</v>
      </c>
      <c r="F396" s="311" t="n">
        <v>46113</v>
      </c>
      <c r="G396" s="311" t="n">
        <v>46148</v>
      </c>
      <c r="H396" s="311" t="n">
        <v>46107</v>
      </c>
      <c r="I396" t="inlineStr">
        <is>
          <t>LU3047997658|Souscription|2026-03-23</t>
        </is>
      </c>
    </row>
    <row r="397">
      <c r="A397" t="inlineStr">
        <is>
          <t>LU3047997658</t>
        </is>
      </c>
      <c r="B397" t="inlineStr"/>
      <c r="C397" t="inlineStr">
        <is>
          <t>Souscription</t>
        </is>
      </c>
      <c r="D397" s="311" t="n">
        <v>46134</v>
      </c>
      <c r="E397" s="311" t="n">
        <v>46142</v>
      </c>
      <c r="F397" s="311" t="n">
        <v>46143</v>
      </c>
      <c r="G397" s="311" t="n">
        <v>46181</v>
      </c>
      <c r="H397" s="311" t="n">
        <v>46139</v>
      </c>
      <c r="I397" t="inlineStr">
        <is>
          <t>LU3047997658|Souscription|2026-04-22</t>
        </is>
      </c>
    </row>
    <row r="398">
      <c r="A398" t="inlineStr">
        <is>
          <t>LU3047997658</t>
        </is>
      </c>
      <c r="B398" t="inlineStr"/>
      <c r="C398" t="inlineStr">
        <is>
          <t>Souscription</t>
        </is>
      </c>
      <c r="D398" s="311" t="n">
        <v>46163</v>
      </c>
      <c r="E398" s="311" t="n">
        <v>46173</v>
      </c>
      <c r="F398" s="311" t="n">
        <v>46174</v>
      </c>
      <c r="G398" s="311" t="n">
        <v>46209</v>
      </c>
      <c r="H398" s="311" t="n">
        <v>46169</v>
      </c>
      <c r="I398" t="inlineStr">
        <is>
          <t>LU3047997658|Souscription|2026-05-21</t>
        </is>
      </c>
    </row>
    <row r="399">
      <c r="A399" t="inlineStr">
        <is>
          <t>LU3047997658</t>
        </is>
      </c>
      <c r="B399" t="inlineStr"/>
      <c r="C399" t="inlineStr">
        <is>
          <t>Souscription</t>
        </is>
      </c>
      <c r="D399" s="311" t="n">
        <v>46191</v>
      </c>
      <c r="E399" s="311" t="n">
        <v>46203</v>
      </c>
      <c r="F399" s="311" t="n">
        <v>46204</v>
      </c>
      <c r="G399" s="311" t="n">
        <v>46234</v>
      </c>
      <c r="H399" s="311" t="n">
        <v>46198</v>
      </c>
      <c r="I399" t="inlineStr">
        <is>
          <t>LU3047997658|Souscription|2026-06-18</t>
        </is>
      </c>
    </row>
    <row r="400">
      <c r="A400" t="inlineStr">
        <is>
          <t>LU3047997658</t>
        </is>
      </c>
      <c r="B400" t="inlineStr"/>
      <c r="C400" t="inlineStr">
        <is>
          <t>Souscription</t>
        </is>
      </c>
      <c r="D400" s="311" t="n">
        <v>46226</v>
      </c>
      <c r="E400" s="311" t="n">
        <v>46234</v>
      </c>
      <c r="F400" s="311" t="n">
        <v>46235</v>
      </c>
      <c r="G400" s="311" t="n">
        <v>46268</v>
      </c>
      <c r="H400" s="311" t="n">
        <v>46231</v>
      </c>
      <c r="I400" t="inlineStr">
        <is>
          <t>LU3047997658|Souscription|2026-07-23</t>
        </is>
      </c>
    </row>
    <row r="401">
      <c r="A401" t="inlineStr">
        <is>
          <t>LU3047997658</t>
        </is>
      </c>
      <c r="B401" t="inlineStr"/>
      <c r="C401" t="inlineStr">
        <is>
          <t>Souscription</t>
        </is>
      </c>
      <c r="D401" s="311" t="n">
        <v>46255</v>
      </c>
      <c r="E401" s="311" t="n">
        <v>46265</v>
      </c>
      <c r="F401" s="311" t="n">
        <v>46266</v>
      </c>
      <c r="G401" s="311" t="n">
        <v>46296</v>
      </c>
      <c r="H401" s="311" t="n">
        <v>46260</v>
      </c>
      <c r="I401" t="inlineStr">
        <is>
          <t>LU3047997658|Souscription|2026-08-21</t>
        </is>
      </c>
    </row>
    <row r="402">
      <c r="A402" t="inlineStr">
        <is>
          <t>LU3047997658</t>
        </is>
      </c>
      <c r="B402" t="inlineStr"/>
      <c r="C402" t="inlineStr">
        <is>
          <t>Souscription</t>
        </is>
      </c>
      <c r="D402" s="311" t="n">
        <v>46287</v>
      </c>
      <c r="E402" s="311" t="n">
        <v>46295</v>
      </c>
      <c r="F402" s="311" t="n">
        <v>46296</v>
      </c>
      <c r="G402" s="311" t="n">
        <v>46329</v>
      </c>
      <c r="H402" s="311" t="n">
        <v>46290</v>
      </c>
      <c r="I402" t="inlineStr">
        <is>
          <t>LU3047997658|Souscription|2026-09-22</t>
        </is>
      </c>
    </row>
    <row r="403">
      <c r="A403" t="inlineStr">
        <is>
          <t>LU3047997658</t>
        </is>
      </c>
      <c r="B403" t="inlineStr"/>
      <c r="C403" t="inlineStr">
        <is>
          <t>Souscription</t>
        </is>
      </c>
      <c r="D403" s="311" t="n">
        <v>46317</v>
      </c>
      <c r="E403" s="311" t="n">
        <v>46326</v>
      </c>
      <c r="F403" s="311" t="n">
        <v>46327</v>
      </c>
      <c r="G403" s="311" t="n">
        <v>46359</v>
      </c>
      <c r="H403" s="311" t="n">
        <v>46323</v>
      </c>
      <c r="I403" t="inlineStr">
        <is>
          <t>LU3047997658|Souscription|2026-10-22</t>
        </is>
      </c>
    </row>
    <row r="404">
      <c r="A404" t="inlineStr">
        <is>
          <t>LU3047997658</t>
        </is>
      </c>
      <c r="B404" t="inlineStr"/>
      <c r="C404" t="inlineStr">
        <is>
          <t>Souscription</t>
        </is>
      </c>
      <c r="D404" s="311" t="n">
        <v>46345</v>
      </c>
      <c r="E404" s="311" t="n">
        <v>46356</v>
      </c>
      <c r="F404" s="311" t="n">
        <v>46357</v>
      </c>
      <c r="G404" s="311" t="n">
        <v>46391</v>
      </c>
      <c r="H404" s="311" t="n">
        <v>46350</v>
      </c>
      <c r="I404" t="inlineStr">
        <is>
          <t>LU3047997658|Souscription|2026-11-19</t>
        </is>
      </c>
    </row>
    <row r="405">
      <c r="A405" t="inlineStr">
        <is>
          <t>LU3047997658</t>
        </is>
      </c>
      <c r="B405" t="inlineStr"/>
      <c r="C405" t="inlineStr">
        <is>
          <t>Souscription</t>
        </is>
      </c>
      <c r="D405" s="311" t="n">
        <v>46377</v>
      </c>
      <c r="E405" s="311" t="n">
        <v>46387</v>
      </c>
      <c r="F405" s="311" t="n">
        <v>46388</v>
      </c>
      <c r="G405" s="311" t="n">
        <v>46422</v>
      </c>
      <c r="H405" s="311" t="n">
        <v>46380</v>
      </c>
      <c r="I405" t="inlineStr">
        <is>
          <t>LU3047997658|Souscription|2026-12-21</t>
        </is>
      </c>
    </row>
    <row r="406">
      <c r="A406" t="inlineStr">
        <is>
          <t>LU3047997658</t>
        </is>
      </c>
      <c r="B406" t="inlineStr"/>
      <c r="C406" t="inlineStr">
        <is>
          <t>Rachat</t>
        </is>
      </c>
      <c r="D406" s="311" t="n">
        <v>46080</v>
      </c>
      <c r="E406" s="311" t="n">
        <v>46112</v>
      </c>
      <c r="F406" s="311" t="n">
        <v>46112</v>
      </c>
      <c r="G406" s="311" t="n">
        <v>46148</v>
      </c>
      <c r="H406" s="311" t="n">
        <v>46155</v>
      </c>
      <c r="I406" t="inlineStr">
        <is>
          <t>LU3047997658|Rachat|2026-02-27</t>
        </is>
      </c>
    </row>
    <row r="407">
      <c r="A407" t="inlineStr">
        <is>
          <t>LU3047997658</t>
        </is>
      </c>
      <c r="B407" t="inlineStr"/>
      <c r="C407" t="inlineStr">
        <is>
          <t>Rachat</t>
        </is>
      </c>
      <c r="D407" s="311" t="n">
        <v>46169</v>
      </c>
      <c r="E407" s="311" t="n">
        <v>46203</v>
      </c>
      <c r="F407" s="311" t="n">
        <v>46203</v>
      </c>
      <c r="G407" s="311" t="n">
        <v>46234</v>
      </c>
      <c r="H407" s="311" t="n">
        <v>46244</v>
      </c>
      <c r="I407" t="inlineStr">
        <is>
          <t>LU3047997658|Rachat|2026-05-27</t>
        </is>
      </c>
    </row>
    <row r="408">
      <c r="A408" t="inlineStr">
        <is>
          <t>LU3047997658</t>
        </is>
      </c>
      <c r="B408" t="inlineStr"/>
      <c r="C408" t="inlineStr">
        <is>
          <t>Rachat</t>
        </is>
      </c>
      <c r="D408" s="311" t="n">
        <v>46262</v>
      </c>
      <c r="E408" s="311" t="n">
        <v>46295</v>
      </c>
      <c r="F408" s="311" t="n">
        <v>46295</v>
      </c>
      <c r="G408" s="311" t="n">
        <v>46329</v>
      </c>
      <c r="H408" s="311" t="n">
        <v>46336</v>
      </c>
      <c r="I408" t="inlineStr">
        <is>
          <t>LU3047997658|Rachat|2026-08-28</t>
        </is>
      </c>
    </row>
    <row r="409">
      <c r="A409" t="inlineStr">
        <is>
          <t>LU3047997658</t>
        </is>
      </c>
      <c r="B409" t="inlineStr"/>
      <c r="C409" t="inlineStr">
        <is>
          <t>Rachat</t>
        </is>
      </c>
      <c r="D409" s="311" t="n">
        <v>46354</v>
      </c>
      <c r="E409" s="311" t="n">
        <v>46387</v>
      </c>
      <c r="F409" s="311" t="n">
        <v>46387</v>
      </c>
      <c r="G409" s="311" t="n">
        <v>46422</v>
      </c>
      <c r="H409" s="311" t="n">
        <v>46429</v>
      </c>
      <c r="I409" t="inlineStr">
        <is>
          <t>LU3047997658|Rachat|2026-11-28</t>
        </is>
      </c>
    </row>
    <row r="410">
      <c r="A410" t="inlineStr">
        <is>
          <t>LU1912496582</t>
        </is>
      </c>
      <c r="B410" t="inlineStr"/>
      <c r="C410" t="inlineStr">
        <is>
          <t>Souscription</t>
        </is>
      </c>
      <c r="D410" s="311" t="n">
        <v>45681</v>
      </c>
      <c r="E410" s="311" t="n">
        <v>45688</v>
      </c>
      <c r="F410" s="311" t="n">
        <v>45688</v>
      </c>
      <c r="G410" s="311" t="n">
        <v>45713</v>
      </c>
      <c r="H410" s="311" t="n">
        <v>45716</v>
      </c>
      <c r="I410" t="inlineStr">
        <is>
          <t>LU1912496582|Souscription|2025-01-24</t>
        </is>
      </c>
    </row>
    <row r="411">
      <c r="A411" t="inlineStr">
        <is>
          <t>LU1912496582</t>
        </is>
      </c>
      <c r="B411" t="inlineStr"/>
      <c r="C411" t="inlineStr">
        <is>
          <t>Souscription</t>
        </is>
      </c>
      <c r="D411" s="311" t="n">
        <v>45709</v>
      </c>
      <c r="E411" s="311" t="n">
        <v>45716</v>
      </c>
      <c r="F411" s="311" t="n">
        <v>45716</v>
      </c>
      <c r="G411" s="311" t="n">
        <v>45741</v>
      </c>
      <c r="H411" s="311" t="n">
        <v>45744</v>
      </c>
      <c r="I411" t="inlineStr">
        <is>
          <t>LU1912496582|Souscription|2025-02-21</t>
        </is>
      </c>
    </row>
    <row r="412">
      <c r="A412" t="inlineStr">
        <is>
          <t>LU1912496582</t>
        </is>
      </c>
      <c r="B412" t="inlineStr"/>
      <c r="C412" t="inlineStr">
        <is>
          <t>Souscription</t>
        </is>
      </c>
      <c r="D412" s="311" t="n">
        <v>45740</v>
      </c>
      <c r="E412" s="311" t="n">
        <v>45747</v>
      </c>
      <c r="F412" s="311" t="n">
        <v>45747</v>
      </c>
      <c r="G412" s="311" t="n">
        <v>45772</v>
      </c>
      <c r="H412" s="311" t="n">
        <v>45777</v>
      </c>
      <c r="I412" t="inlineStr">
        <is>
          <t>LU1912496582|Souscription|2025-03-24</t>
        </is>
      </c>
    </row>
    <row r="413">
      <c r="A413" t="inlineStr">
        <is>
          <t>LU1912496582</t>
        </is>
      </c>
      <c r="B413" t="inlineStr"/>
      <c r="C413" t="inlineStr">
        <is>
          <t>Souscription</t>
        </is>
      </c>
      <c r="D413" s="311" t="n">
        <v>45770</v>
      </c>
      <c r="E413" s="311" t="n">
        <v>45777</v>
      </c>
      <c r="F413" s="311" t="n">
        <v>45777</v>
      </c>
      <c r="G413" s="311" t="n">
        <v>45804</v>
      </c>
      <c r="H413" s="311" t="n">
        <v>45810</v>
      </c>
      <c r="I413" t="inlineStr">
        <is>
          <t>LU1912496582|Souscription|2025-04-23</t>
        </is>
      </c>
    </row>
    <row r="414">
      <c r="A414" t="inlineStr">
        <is>
          <t>LU1912496582</t>
        </is>
      </c>
      <c r="B414" t="inlineStr"/>
      <c r="C414" t="inlineStr">
        <is>
          <t>Souscription</t>
        </is>
      </c>
      <c r="D414" s="311" t="n">
        <v>45799</v>
      </c>
      <c r="E414" s="311" t="n">
        <v>45807</v>
      </c>
      <c r="F414" s="311" t="n">
        <v>45807</v>
      </c>
      <c r="G414" s="311" t="n">
        <v>45834</v>
      </c>
      <c r="H414" s="311" t="n">
        <v>45839</v>
      </c>
      <c r="I414" t="inlineStr">
        <is>
          <t>LU1912496582|Souscription|2025-05-22</t>
        </is>
      </c>
    </row>
    <row r="415">
      <c r="A415" t="inlineStr">
        <is>
          <t>LU1912496582</t>
        </is>
      </c>
      <c r="B415" t="inlineStr"/>
      <c r="C415" t="inlineStr">
        <is>
          <t>Souscription</t>
        </is>
      </c>
      <c r="D415" s="311" t="n">
        <v>45828</v>
      </c>
      <c r="E415" s="311" t="n">
        <v>45838</v>
      </c>
      <c r="F415" s="311" t="n">
        <v>45838</v>
      </c>
      <c r="G415" s="311" t="n">
        <v>45861</v>
      </c>
      <c r="H415" s="311" t="n">
        <v>45866</v>
      </c>
      <c r="I415" t="inlineStr">
        <is>
          <t>LU1912496582|Souscription|2025-06-20</t>
        </is>
      </c>
    </row>
    <row r="416">
      <c r="A416" t="inlineStr">
        <is>
          <t>LU1912496582</t>
        </is>
      </c>
      <c r="B416" t="inlineStr"/>
      <c r="C416" t="inlineStr">
        <is>
          <t>Souscription</t>
        </is>
      </c>
      <c r="D416" s="311" t="n">
        <v>45862</v>
      </c>
      <c r="E416" s="311" t="n">
        <v>45869</v>
      </c>
      <c r="F416" s="311" t="n">
        <v>45869</v>
      </c>
      <c r="G416" s="311" t="n">
        <v>45895</v>
      </c>
      <c r="H416" s="311" t="n">
        <v>45898</v>
      </c>
      <c r="I416" t="inlineStr">
        <is>
          <t>LU1912496582|Souscription|2025-07-24</t>
        </is>
      </c>
    </row>
    <row r="417">
      <c r="A417" t="inlineStr">
        <is>
          <t>LU1912496582</t>
        </is>
      </c>
      <c r="B417" t="inlineStr"/>
      <c r="C417" t="inlineStr">
        <is>
          <t>Souscription</t>
        </is>
      </c>
      <c r="D417" s="311" t="n">
        <v>45891</v>
      </c>
      <c r="E417" s="311" t="n">
        <v>45898</v>
      </c>
      <c r="F417" s="311" t="n">
        <v>45898</v>
      </c>
      <c r="G417" s="311" t="n">
        <v>45923</v>
      </c>
      <c r="H417" s="311" t="n">
        <v>45926</v>
      </c>
      <c r="I417" t="inlineStr">
        <is>
          <t>LU1912496582|Souscription|2025-08-22</t>
        </is>
      </c>
    </row>
    <row r="418">
      <c r="A418" t="inlineStr">
        <is>
          <t>LU1912496582</t>
        </is>
      </c>
      <c r="B418" t="inlineStr"/>
      <c r="C418" t="inlineStr">
        <is>
          <t>Souscription</t>
        </is>
      </c>
      <c r="D418" s="311" t="n">
        <v>45923</v>
      </c>
      <c r="E418" s="311" t="n">
        <v>45930</v>
      </c>
      <c r="F418" s="311" t="n">
        <v>45930</v>
      </c>
      <c r="G418" s="311" t="n">
        <v>45953</v>
      </c>
      <c r="H418" s="311" t="n">
        <v>45958</v>
      </c>
      <c r="I418" t="inlineStr">
        <is>
          <t>LU1912496582|Souscription|2025-09-23</t>
        </is>
      </c>
    </row>
    <row r="419">
      <c r="A419" t="inlineStr">
        <is>
          <t>LU1912496582</t>
        </is>
      </c>
      <c r="B419" t="inlineStr"/>
      <c r="C419" t="inlineStr">
        <is>
          <t>Souscription</t>
        </is>
      </c>
      <c r="D419" s="311" t="n">
        <v>45954</v>
      </c>
      <c r="E419" s="311" t="n">
        <v>45961</v>
      </c>
      <c r="F419" s="311" t="n">
        <v>45961</v>
      </c>
      <c r="G419" s="311" t="n">
        <v>45986</v>
      </c>
      <c r="H419" s="311" t="n">
        <v>45989</v>
      </c>
      <c r="I419" t="inlineStr">
        <is>
          <t>LU1912496582|Souscription|2025-10-24</t>
        </is>
      </c>
    </row>
    <row r="420">
      <c r="A420" t="inlineStr">
        <is>
          <t>LU1912496582</t>
        </is>
      </c>
      <c r="B420" t="inlineStr"/>
      <c r="C420" t="inlineStr">
        <is>
          <t>Souscription</t>
        </is>
      </c>
      <c r="D420" s="311" t="n">
        <v>45982</v>
      </c>
      <c r="E420" s="311" t="n">
        <v>45989</v>
      </c>
      <c r="F420" s="311" t="n">
        <v>45989</v>
      </c>
      <c r="G420" s="311" t="n">
        <v>46014</v>
      </c>
      <c r="H420" s="311" t="n">
        <v>46022</v>
      </c>
      <c r="I420" t="inlineStr">
        <is>
          <t>LU1912496582|Souscription|2025-11-21</t>
        </is>
      </c>
    </row>
    <row r="421">
      <c r="A421" t="inlineStr">
        <is>
          <t>LU1912496582</t>
        </is>
      </c>
      <c r="B421" t="inlineStr"/>
      <c r="C421" t="inlineStr">
        <is>
          <t>Souscription</t>
        </is>
      </c>
      <c r="D421" s="311" t="n">
        <v>46010</v>
      </c>
      <c r="E421" s="311" t="n">
        <v>46022</v>
      </c>
      <c r="F421" s="311" t="n">
        <v>46022</v>
      </c>
      <c r="G421" s="311" t="n">
        <v>46048</v>
      </c>
      <c r="H421" s="311" t="n">
        <v>46051</v>
      </c>
      <c r="I421" t="inlineStr">
        <is>
          <t>LU1912496582|Souscription|2025-12-19</t>
        </is>
      </c>
    </row>
    <row r="422">
      <c r="A422" t="inlineStr">
        <is>
          <t>LU1912496582</t>
        </is>
      </c>
      <c r="B422" t="inlineStr"/>
      <c r="C422" t="inlineStr">
        <is>
          <t>Souscription</t>
        </is>
      </c>
      <c r="D422" s="311" t="n">
        <v>46045</v>
      </c>
      <c r="E422" s="311" t="n">
        <v>46052</v>
      </c>
      <c r="F422" s="311" t="n">
        <v>46052</v>
      </c>
      <c r="G422" s="311" t="n">
        <v>46077</v>
      </c>
      <c r="H422" s="311" t="n">
        <v>46080</v>
      </c>
      <c r="I422" t="inlineStr">
        <is>
          <t>LU1912496582|Souscription|2026-01-23</t>
        </is>
      </c>
    </row>
    <row r="423">
      <c r="A423" t="inlineStr">
        <is>
          <t>LU1912496582</t>
        </is>
      </c>
      <c r="B423" t="inlineStr"/>
      <c r="C423" t="inlineStr">
        <is>
          <t>Souscription</t>
        </is>
      </c>
      <c r="D423" s="311" t="n">
        <v>46073</v>
      </c>
      <c r="E423" s="311" t="n">
        <v>46080</v>
      </c>
      <c r="F423" s="311" t="n">
        <v>46080</v>
      </c>
      <c r="G423" s="311" t="n">
        <v>46105</v>
      </c>
      <c r="H423" s="311" t="n">
        <v>46108</v>
      </c>
      <c r="I423" t="inlineStr">
        <is>
          <t>LU1912496582|Souscription|2026-02-20</t>
        </is>
      </c>
    </row>
    <row r="424">
      <c r="A424" t="inlineStr">
        <is>
          <t>LU1912496582</t>
        </is>
      </c>
      <c r="B424" t="inlineStr"/>
      <c r="C424" t="inlineStr">
        <is>
          <t>Souscription</t>
        </is>
      </c>
      <c r="D424" s="311" t="n">
        <v>46105</v>
      </c>
      <c r="E424" s="311" t="n">
        <v>46112</v>
      </c>
      <c r="F424" s="311" t="n">
        <v>46112</v>
      </c>
      <c r="G424" s="311" t="n">
        <v>46139</v>
      </c>
      <c r="H424" s="311" t="n">
        <v>46142</v>
      </c>
      <c r="I424" t="inlineStr">
        <is>
          <t>LU1912496582|Souscription|2026-03-24</t>
        </is>
      </c>
    </row>
    <row r="425">
      <c r="A425" t="inlineStr">
        <is>
          <t>LU1912496582</t>
        </is>
      </c>
      <c r="B425" t="inlineStr"/>
      <c r="C425" t="inlineStr">
        <is>
          <t>Souscription</t>
        </is>
      </c>
      <c r="D425" s="311" t="n">
        <v>46135</v>
      </c>
      <c r="E425" s="311" t="n">
        <v>46142</v>
      </c>
      <c r="F425" s="311" t="n">
        <v>46142</v>
      </c>
      <c r="G425" s="311" t="n">
        <v>46170</v>
      </c>
      <c r="H425" s="311" t="n">
        <v>46175</v>
      </c>
      <c r="I425" t="inlineStr">
        <is>
          <t>LU1912496582|Souscription|2026-04-23</t>
        </is>
      </c>
    </row>
    <row r="426">
      <c r="A426" t="inlineStr">
        <is>
          <t>LU1912496582</t>
        </is>
      </c>
      <c r="B426" t="inlineStr"/>
      <c r="C426" t="inlineStr">
        <is>
          <t>Souscription</t>
        </is>
      </c>
      <c r="D426" s="311" t="n">
        <v>46163</v>
      </c>
      <c r="E426" s="311" t="n">
        <v>46171</v>
      </c>
      <c r="F426" s="311" t="n">
        <v>46171</v>
      </c>
      <c r="G426" s="311" t="n">
        <v>46197</v>
      </c>
      <c r="H426" s="311" t="n">
        <v>46202</v>
      </c>
      <c r="I426" t="inlineStr">
        <is>
          <t>LU1912496582|Souscription|2026-05-21</t>
        </is>
      </c>
    </row>
    <row r="427">
      <c r="A427" t="inlineStr">
        <is>
          <t>LU1912496582</t>
        </is>
      </c>
      <c r="B427" t="inlineStr"/>
      <c r="C427" t="inlineStr">
        <is>
          <t>Souscription</t>
        </is>
      </c>
      <c r="D427" s="311" t="n">
        <v>46195</v>
      </c>
      <c r="E427" s="311" t="n">
        <v>46203</v>
      </c>
      <c r="F427" s="311" t="n">
        <v>46203</v>
      </c>
      <c r="G427" s="311" t="n">
        <v>46226</v>
      </c>
      <c r="H427" s="311" t="n">
        <v>46231</v>
      </c>
      <c r="I427" t="inlineStr">
        <is>
          <t>LU1912496582|Souscription|2026-06-22</t>
        </is>
      </c>
    </row>
    <row r="428">
      <c r="A428" t="inlineStr">
        <is>
          <t>LU1912496582</t>
        </is>
      </c>
      <c r="B428" t="inlineStr"/>
      <c r="C428" t="inlineStr">
        <is>
          <t>Souscription</t>
        </is>
      </c>
      <c r="D428" s="311" t="n">
        <v>46227</v>
      </c>
      <c r="E428" s="311" t="n">
        <v>46234</v>
      </c>
      <c r="F428" s="311" t="n">
        <v>46234</v>
      </c>
      <c r="G428" s="311" t="n">
        <v>46259</v>
      </c>
      <c r="H428" s="311" t="n">
        <v>46262</v>
      </c>
      <c r="I428" t="inlineStr">
        <is>
          <t>LU1912496582|Souscription|2026-07-24</t>
        </is>
      </c>
    </row>
    <row r="429">
      <c r="A429" t="inlineStr">
        <is>
          <t>LU1912496582</t>
        </is>
      </c>
      <c r="B429" t="inlineStr"/>
      <c r="C429" t="inlineStr">
        <is>
          <t>Souscription</t>
        </is>
      </c>
      <c r="D429" s="311" t="n">
        <v>46258</v>
      </c>
      <c r="E429" s="311" t="n">
        <v>46265</v>
      </c>
      <c r="F429" s="311" t="n">
        <v>46265</v>
      </c>
      <c r="G429" s="311" t="n">
        <v>46288</v>
      </c>
      <c r="H429" s="311" t="n">
        <v>46293</v>
      </c>
      <c r="I429" t="inlineStr">
        <is>
          <t>LU1912496582|Souscription|2026-08-24</t>
        </is>
      </c>
    </row>
    <row r="430">
      <c r="A430" t="inlineStr">
        <is>
          <t>LU1912496582</t>
        </is>
      </c>
      <c r="B430" t="inlineStr"/>
      <c r="C430" t="inlineStr">
        <is>
          <t>Souscription</t>
        </is>
      </c>
      <c r="D430" s="311" t="n">
        <v>46288</v>
      </c>
      <c r="E430" s="311" t="n">
        <v>46295</v>
      </c>
      <c r="F430" s="311" t="n">
        <v>46295</v>
      </c>
      <c r="G430" s="311" t="n">
        <v>46318</v>
      </c>
      <c r="H430" s="311" t="n">
        <v>46323</v>
      </c>
      <c r="I430" t="inlineStr">
        <is>
          <t>LU1912496582|Souscription|2026-09-23</t>
        </is>
      </c>
    </row>
    <row r="431">
      <c r="A431" t="inlineStr">
        <is>
          <t>LU1912496582</t>
        </is>
      </c>
      <c r="B431" t="inlineStr"/>
      <c r="C431" t="inlineStr">
        <is>
          <t>Souscription</t>
        </is>
      </c>
      <c r="D431" s="311" t="n">
        <v>46318</v>
      </c>
      <c r="E431" s="311" t="n">
        <v>46325</v>
      </c>
      <c r="F431" s="311" t="n">
        <v>46325</v>
      </c>
      <c r="G431" s="311" t="n">
        <v>46350</v>
      </c>
      <c r="H431" s="311" t="n">
        <v>46353</v>
      </c>
      <c r="I431" t="inlineStr">
        <is>
          <t>LU1912496582|Souscription|2026-10-23</t>
        </is>
      </c>
    </row>
    <row r="432">
      <c r="A432" t="inlineStr">
        <is>
          <t>LU1912496582</t>
        </is>
      </c>
      <c r="B432" t="inlineStr"/>
      <c r="C432" t="inlineStr">
        <is>
          <t>Souscription</t>
        </is>
      </c>
      <c r="D432" s="311" t="n">
        <v>46349</v>
      </c>
      <c r="E432" s="311" t="n">
        <v>46356</v>
      </c>
      <c r="F432" s="311" t="n">
        <v>46356</v>
      </c>
      <c r="G432" s="311" t="n">
        <v>46379</v>
      </c>
      <c r="H432" s="311" t="n">
        <v>46385</v>
      </c>
      <c r="I432" t="inlineStr">
        <is>
          <t>LU1912496582|Souscription|2026-11-23</t>
        </is>
      </c>
    </row>
    <row r="433">
      <c r="A433" t="inlineStr">
        <is>
          <t>LU1912496582</t>
        </is>
      </c>
      <c r="B433" t="inlineStr"/>
      <c r="C433" t="inlineStr">
        <is>
          <t>Souscription</t>
        </is>
      </c>
      <c r="D433" s="311" t="n">
        <v>46379</v>
      </c>
      <c r="E433" s="311" t="n">
        <v>46387</v>
      </c>
      <c r="F433" s="311" t="n">
        <v>46387</v>
      </c>
      <c r="G433" s="311" t="n">
        <v>46413</v>
      </c>
      <c r="H433" s="311" t="n">
        <v>46416</v>
      </c>
      <c r="I433" t="inlineStr">
        <is>
          <t>LU1912496582|Souscription|2026-12-23</t>
        </is>
      </c>
    </row>
    <row r="434">
      <c r="A434" t="inlineStr">
        <is>
          <t>LU1912496582</t>
        </is>
      </c>
      <c r="B434" t="inlineStr"/>
      <c r="C434" t="inlineStr">
        <is>
          <t>Rachat</t>
        </is>
      </c>
      <c r="D434" s="311" t="n">
        <v>45688</v>
      </c>
      <c r="E434" s="311" t="n">
        <v>45777</v>
      </c>
      <c r="F434" s="311" t="n">
        <v>45777</v>
      </c>
      <c r="G434" s="311" t="n">
        <v>45804</v>
      </c>
      <c r="H434" s="311" t="n">
        <v>45812</v>
      </c>
      <c r="I434" t="inlineStr">
        <is>
          <t>LU1912496582|Rachat|2025-01-31</t>
        </is>
      </c>
    </row>
    <row r="435">
      <c r="A435" t="inlineStr">
        <is>
          <t>LU1912496582</t>
        </is>
      </c>
      <c r="B435" t="inlineStr"/>
      <c r="C435" t="inlineStr">
        <is>
          <t>Rachat</t>
        </is>
      </c>
      <c r="D435" s="311" t="n">
        <v>45716</v>
      </c>
      <c r="E435" s="311" t="n">
        <v>45807</v>
      </c>
      <c r="F435" s="311" t="n">
        <v>45807</v>
      </c>
      <c r="G435" s="311" t="n">
        <v>45834</v>
      </c>
      <c r="H435" s="311" t="n">
        <v>45841</v>
      </c>
      <c r="I435" t="inlineStr">
        <is>
          <t>LU1912496582|Rachat|2025-02-28</t>
        </is>
      </c>
    </row>
    <row r="436">
      <c r="A436" t="inlineStr">
        <is>
          <t>LU1912496582</t>
        </is>
      </c>
      <c r="B436" t="inlineStr"/>
      <c r="C436" t="inlineStr">
        <is>
          <t>Rachat</t>
        </is>
      </c>
      <c r="D436" s="311" t="n">
        <v>45747</v>
      </c>
      <c r="E436" s="311" t="n">
        <v>45838</v>
      </c>
      <c r="F436" s="311" t="n">
        <v>45838</v>
      </c>
      <c r="G436" s="311" t="n">
        <v>45861</v>
      </c>
      <c r="H436" s="311" t="n">
        <v>45868</v>
      </c>
      <c r="I436" t="inlineStr">
        <is>
          <t>LU1912496582|Rachat|2025-03-31</t>
        </is>
      </c>
    </row>
    <row r="437">
      <c r="A437" t="inlineStr">
        <is>
          <t>LU1912496582</t>
        </is>
      </c>
      <c r="B437" t="inlineStr"/>
      <c r="C437" t="inlineStr">
        <is>
          <t>Rachat</t>
        </is>
      </c>
      <c r="D437" s="311" t="n">
        <v>45777</v>
      </c>
      <c r="E437" s="311" t="n">
        <v>45869</v>
      </c>
      <c r="F437" s="311" t="n">
        <v>45869</v>
      </c>
      <c r="G437" s="311" t="n">
        <v>45895</v>
      </c>
      <c r="H437" s="311" t="n">
        <v>45902</v>
      </c>
      <c r="I437" t="inlineStr">
        <is>
          <t>LU1912496582|Rachat|2025-04-30</t>
        </is>
      </c>
    </row>
    <row r="438">
      <c r="A438" t="inlineStr">
        <is>
          <t>LU1912496582</t>
        </is>
      </c>
      <c r="B438" t="inlineStr"/>
      <c r="C438" t="inlineStr">
        <is>
          <t>Rachat</t>
        </is>
      </c>
      <c r="D438" s="311" t="n">
        <v>45807</v>
      </c>
      <c r="E438" s="311" t="n">
        <v>45898</v>
      </c>
      <c r="F438" s="311" t="n">
        <v>45898</v>
      </c>
      <c r="G438" s="311" t="n">
        <v>45923</v>
      </c>
      <c r="H438" s="311" t="n">
        <v>45930</v>
      </c>
      <c r="I438" t="inlineStr">
        <is>
          <t>LU1912496582|Rachat|2025-05-30</t>
        </is>
      </c>
    </row>
    <row r="439">
      <c r="A439" t="inlineStr">
        <is>
          <t>LU1912496582</t>
        </is>
      </c>
      <c r="B439" t="inlineStr"/>
      <c r="C439" t="inlineStr">
        <is>
          <t>Rachat</t>
        </is>
      </c>
      <c r="D439" s="311" t="n">
        <v>45838</v>
      </c>
      <c r="E439" s="311" t="n">
        <v>45930</v>
      </c>
      <c r="F439" s="311" t="n">
        <v>45930</v>
      </c>
      <c r="G439" s="311" t="n">
        <v>45953</v>
      </c>
      <c r="H439" s="311" t="n">
        <v>45960</v>
      </c>
      <c r="I439" t="inlineStr">
        <is>
          <t>LU1912496582|Rachat|2025-06-30</t>
        </is>
      </c>
    </row>
    <row r="440">
      <c r="A440" t="inlineStr">
        <is>
          <t>LU1912496582</t>
        </is>
      </c>
      <c r="B440" t="inlineStr"/>
      <c r="C440" t="inlineStr">
        <is>
          <t>Rachat</t>
        </is>
      </c>
      <c r="D440" s="311" t="n">
        <v>45869</v>
      </c>
      <c r="E440" s="311" t="n">
        <v>45961</v>
      </c>
      <c r="F440" s="311" t="n">
        <v>45961</v>
      </c>
      <c r="G440" s="311" t="n">
        <v>45986</v>
      </c>
      <c r="H440" s="311" t="n">
        <v>45993</v>
      </c>
      <c r="I440" t="inlineStr">
        <is>
          <t>LU1912496582|Rachat|2025-07-31</t>
        </is>
      </c>
    </row>
    <row r="441">
      <c r="A441" t="inlineStr">
        <is>
          <t>LU1912496582</t>
        </is>
      </c>
      <c r="B441" t="inlineStr"/>
      <c r="C441" t="inlineStr">
        <is>
          <t>Rachat</t>
        </is>
      </c>
      <c r="D441" s="311" t="n">
        <v>45898</v>
      </c>
      <c r="E441" s="311" t="n">
        <v>45989</v>
      </c>
      <c r="F441" s="311" t="n">
        <v>45989</v>
      </c>
      <c r="G441" s="311" t="n">
        <v>46014</v>
      </c>
      <c r="H441" s="311" t="n">
        <v>46027</v>
      </c>
      <c r="I441" t="inlineStr">
        <is>
          <t>LU1912496582|Rachat|2025-08-29</t>
        </is>
      </c>
    </row>
    <row r="442">
      <c r="A442" t="inlineStr">
        <is>
          <t>LU1912496582</t>
        </is>
      </c>
      <c r="B442" t="inlineStr"/>
      <c r="C442" t="inlineStr">
        <is>
          <t>Rachat</t>
        </is>
      </c>
      <c r="D442" s="311" t="n">
        <v>45930</v>
      </c>
      <c r="E442" s="311" t="n">
        <v>46022</v>
      </c>
      <c r="F442" s="311" t="n">
        <v>46022</v>
      </c>
      <c r="G442" s="311" t="n">
        <v>46048</v>
      </c>
      <c r="H442" s="311" t="n">
        <v>46055</v>
      </c>
      <c r="I442" t="inlineStr">
        <is>
          <t>LU1912496582|Rachat|2025-09-30</t>
        </is>
      </c>
    </row>
    <row r="443">
      <c r="A443" t="inlineStr">
        <is>
          <t>LU1912496582</t>
        </is>
      </c>
      <c r="B443" t="inlineStr"/>
      <c r="C443" t="inlineStr">
        <is>
          <t>Rachat</t>
        </is>
      </c>
      <c r="D443" s="311" t="n">
        <v>45961</v>
      </c>
      <c r="E443" s="311" t="n">
        <v>46052</v>
      </c>
      <c r="F443" s="311" t="n">
        <v>46052</v>
      </c>
      <c r="G443" s="311" t="n">
        <v>46077</v>
      </c>
      <c r="H443" s="311" t="n">
        <v>46084</v>
      </c>
      <c r="I443" t="inlineStr">
        <is>
          <t>LU1912496582|Rachat|2025-10-31</t>
        </is>
      </c>
    </row>
    <row r="444">
      <c r="A444" t="inlineStr">
        <is>
          <t>LU1912496582</t>
        </is>
      </c>
      <c r="B444" t="inlineStr"/>
      <c r="C444" t="inlineStr">
        <is>
          <t>Rachat</t>
        </is>
      </c>
      <c r="D444" s="311" t="n">
        <v>45989</v>
      </c>
      <c r="E444" s="311" t="n">
        <v>46080</v>
      </c>
      <c r="F444" s="311" t="n">
        <v>46080</v>
      </c>
      <c r="G444" s="311" t="n">
        <v>46105</v>
      </c>
      <c r="H444" s="311" t="n">
        <v>46112</v>
      </c>
      <c r="I444" t="inlineStr">
        <is>
          <t>LU1912496582|Rachat|2025-11-28</t>
        </is>
      </c>
    </row>
    <row r="445">
      <c r="A445" t="inlineStr">
        <is>
          <t>LU1912496582</t>
        </is>
      </c>
      <c r="B445" t="inlineStr"/>
      <c r="C445" t="inlineStr">
        <is>
          <t>Rachat</t>
        </is>
      </c>
      <c r="D445" s="311" t="n">
        <v>46022</v>
      </c>
      <c r="E445" s="311" t="n">
        <v>46112</v>
      </c>
      <c r="F445" s="311" t="n">
        <v>46112</v>
      </c>
      <c r="G445" s="311" t="n">
        <v>46139</v>
      </c>
      <c r="H445" s="311" t="n">
        <v>46147</v>
      </c>
      <c r="I445" t="inlineStr">
        <is>
          <t>LU1912496582|Rachat|2025-12-31</t>
        </is>
      </c>
    </row>
    <row r="446">
      <c r="A446" t="inlineStr">
        <is>
          <t>LU1912496582</t>
        </is>
      </c>
      <c r="B446" t="inlineStr"/>
      <c r="C446" t="inlineStr">
        <is>
          <t>Rachat</t>
        </is>
      </c>
      <c r="D446" s="311" t="n">
        <v>46052</v>
      </c>
      <c r="E446" s="311" t="n">
        <v>46142</v>
      </c>
      <c r="F446" s="311" t="n">
        <v>46142</v>
      </c>
      <c r="G446" s="311" t="n">
        <v>46170</v>
      </c>
      <c r="H446" s="311" t="n">
        <v>46177</v>
      </c>
      <c r="I446" t="inlineStr">
        <is>
          <t>LU1912496582|Rachat|2026-01-30</t>
        </is>
      </c>
    </row>
    <row r="447">
      <c r="A447" t="inlineStr">
        <is>
          <t>LU1912496582</t>
        </is>
      </c>
      <c r="B447" t="inlineStr"/>
      <c r="C447" t="inlineStr">
        <is>
          <t>Rachat</t>
        </is>
      </c>
      <c r="D447" s="311" t="n">
        <v>46080</v>
      </c>
      <c r="E447" s="311" t="n">
        <v>46171</v>
      </c>
      <c r="F447" s="311" t="n">
        <v>46171</v>
      </c>
      <c r="G447" s="311" t="n">
        <v>46197</v>
      </c>
      <c r="H447" s="311" t="n">
        <v>46204</v>
      </c>
      <c r="I447" t="inlineStr">
        <is>
          <t>LU1912496582|Rachat|2026-02-27</t>
        </is>
      </c>
    </row>
    <row r="448">
      <c r="A448" t="inlineStr">
        <is>
          <t>LU1912496582</t>
        </is>
      </c>
      <c r="B448" t="inlineStr"/>
      <c r="C448" t="inlineStr">
        <is>
          <t>Rachat</t>
        </is>
      </c>
      <c r="D448" s="311" t="n">
        <v>46112</v>
      </c>
      <c r="E448" s="311" t="n">
        <v>46203</v>
      </c>
      <c r="F448" s="311" t="n">
        <v>46203</v>
      </c>
      <c r="G448" s="311" t="n">
        <v>46226</v>
      </c>
      <c r="H448" s="311" t="n">
        <v>46233</v>
      </c>
      <c r="I448" t="inlineStr">
        <is>
          <t>LU1912496582|Rachat|2026-03-31</t>
        </is>
      </c>
    </row>
    <row r="449">
      <c r="A449" t="inlineStr">
        <is>
          <t>LU1912496582</t>
        </is>
      </c>
      <c r="B449" t="inlineStr"/>
      <c r="C449" t="inlineStr">
        <is>
          <t>Rachat</t>
        </is>
      </c>
      <c r="D449" s="311" t="n">
        <v>46142</v>
      </c>
      <c r="E449" s="311" t="n">
        <v>46234</v>
      </c>
      <c r="F449" s="311" t="n">
        <v>46234</v>
      </c>
      <c r="G449" s="311" t="n">
        <v>46259</v>
      </c>
      <c r="H449" s="311" t="n">
        <v>46266</v>
      </c>
      <c r="I449" t="inlineStr">
        <is>
          <t>LU1912496582|Rachat|2026-04-30</t>
        </is>
      </c>
    </row>
    <row r="450">
      <c r="A450" t="inlineStr">
        <is>
          <t>LU1912496582</t>
        </is>
      </c>
      <c r="B450" t="inlineStr"/>
      <c r="C450" t="inlineStr">
        <is>
          <t>Rachat</t>
        </is>
      </c>
      <c r="D450" s="311" t="n">
        <v>46171</v>
      </c>
      <c r="E450" s="311" t="n">
        <v>46265</v>
      </c>
      <c r="F450" s="311" t="n">
        <v>46265</v>
      </c>
      <c r="G450" s="311" t="n">
        <v>46288</v>
      </c>
      <c r="H450" s="311" t="n">
        <v>46295</v>
      </c>
      <c r="I450" t="inlineStr">
        <is>
          <t>LU1912496582|Rachat|2026-05-29</t>
        </is>
      </c>
    </row>
    <row r="451">
      <c r="A451" t="inlineStr">
        <is>
          <t>LU1912496582</t>
        </is>
      </c>
      <c r="B451" t="inlineStr"/>
      <c r="C451" t="inlineStr">
        <is>
          <t>Rachat</t>
        </is>
      </c>
      <c r="D451" s="311" t="n">
        <v>46203</v>
      </c>
      <c r="E451" s="311" t="n">
        <v>46295</v>
      </c>
      <c r="F451" s="311" t="n">
        <v>46295</v>
      </c>
      <c r="G451" s="311" t="n">
        <v>46318</v>
      </c>
      <c r="H451" s="311" t="n">
        <v>46325</v>
      </c>
      <c r="I451" t="inlineStr">
        <is>
          <t>LU1912496582|Rachat|2026-06-30</t>
        </is>
      </c>
    </row>
    <row r="452">
      <c r="A452" t="inlineStr">
        <is>
          <t>LU1912496582</t>
        </is>
      </c>
      <c r="B452" t="inlineStr"/>
      <c r="C452" t="inlineStr">
        <is>
          <t>Rachat</t>
        </is>
      </c>
      <c r="D452" s="311" t="n">
        <v>46234</v>
      </c>
      <c r="E452" s="311" t="n">
        <v>46325</v>
      </c>
      <c r="F452" s="311" t="n">
        <v>46325</v>
      </c>
      <c r="G452" s="311" t="n">
        <v>46350</v>
      </c>
      <c r="H452" s="311" t="n">
        <v>46357</v>
      </c>
      <c r="I452" t="inlineStr">
        <is>
          <t>LU1912496582|Rachat|2026-07-31</t>
        </is>
      </c>
    </row>
    <row r="453">
      <c r="A453" t="inlineStr">
        <is>
          <t>LU1912496582</t>
        </is>
      </c>
      <c r="B453" t="inlineStr"/>
      <c r="C453" t="inlineStr">
        <is>
          <t>Rachat</t>
        </is>
      </c>
      <c r="D453" s="311" t="n">
        <v>46265</v>
      </c>
      <c r="E453" s="311" t="n">
        <v>46356</v>
      </c>
      <c r="F453" s="311" t="n">
        <v>46356</v>
      </c>
      <c r="G453" s="311" t="n">
        <v>46379</v>
      </c>
      <c r="H453" s="311" t="n">
        <v>46387</v>
      </c>
      <c r="I453" t="inlineStr">
        <is>
          <t>LU1912496582|Rachat|2026-08-31</t>
        </is>
      </c>
    </row>
    <row r="454">
      <c r="A454" t="inlineStr">
        <is>
          <t>LU1912496582</t>
        </is>
      </c>
      <c r="B454" t="inlineStr"/>
      <c r="C454" t="inlineStr">
        <is>
          <t>Rachat</t>
        </is>
      </c>
      <c r="D454" s="311" t="n">
        <v>46295</v>
      </c>
      <c r="E454" s="311" t="n">
        <v>46387</v>
      </c>
      <c r="F454" s="311" t="n">
        <v>46387</v>
      </c>
      <c r="G454" s="311" t="n">
        <v>46413</v>
      </c>
      <c r="H454" s="311" t="n">
        <v>46420</v>
      </c>
      <c r="I454" t="inlineStr">
        <is>
          <t>LU1912496582|Rachat|2026-09-30</t>
        </is>
      </c>
    </row>
    <row r="455">
      <c r="A455" t="inlineStr">
        <is>
          <t>LU1912497127</t>
        </is>
      </c>
      <c r="B455" t="inlineStr"/>
      <c r="C455" t="inlineStr">
        <is>
          <t>Souscription</t>
        </is>
      </c>
      <c r="D455" s="311" t="n">
        <v>45681</v>
      </c>
      <c r="E455" s="311" t="n">
        <v>45688</v>
      </c>
      <c r="F455" s="311" t="n">
        <v>45688</v>
      </c>
      <c r="G455" s="311" t="n">
        <v>45713</v>
      </c>
      <c r="H455" s="311" t="n">
        <v>45716</v>
      </c>
      <c r="I455" t="inlineStr">
        <is>
          <t>LU1912497127|Souscription|2025-01-24</t>
        </is>
      </c>
    </row>
    <row r="456">
      <c r="A456" t="inlineStr">
        <is>
          <t>LU1912497127</t>
        </is>
      </c>
      <c r="B456" t="inlineStr"/>
      <c r="C456" t="inlineStr">
        <is>
          <t>Souscription</t>
        </is>
      </c>
      <c r="D456" s="311" t="n">
        <v>45709</v>
      </c>
      <c r="E456" s="311" t="n">
        <v>45716</v>
      </c>
      <c r="F456" s="311" t="n">
        <v>45716</v>
      </c>
      <c r="G456" s="311" t="n">
        <v>45741</v>
      </c>
      <c r="H456" s="311" t="n">
        <v>45744</v>
      </c>
      <c r="I456" t="inlineStr">
        <is>
          <t>LU1912497127|Souscription|2025-02-21</t>
        </is>
      </c>
    </row>
    <row r="457">
      <c r="A457" t="inlineStr">
        <is>
          <t>LU1912497127</t>
        </is>
      </c>
      <c r="B457" t="inlineStr"/>
      <c r="C457" t="inlineStr">
        <is>
          <t>Souscription</t>
        </is>
      </c>
      <c r="D457" s="311" t="n">
        <v>45740</v>
      </c>
      <c r="E457" s="311" t="n">
        <v>45747</v>
      </c>
      <c r="F457" s="311" t="n">
        <v>45747</v>
      </c>
      <c r="G457" s="311" t="n">
        <v>45772</v>
      </c>
      <c r="H457" s="311" t="n">
        <v>45777</v>
      </c>
      <c r="I457" t="inlineStr">
        <is>
          <t>LU1912497127|Souscription|2025-03-24</t>
        </is>
      </c>
    </row>
    <row r="458">
      <c r="A458" t="inlineStr">
        <is>
          <t>LU1912497127</t>
        </is>
      </c>
      <c r="B458" t="inlineStr"/>
      <c r="C458" t="inlineStr">
        <is>
          <t>Souscription</t>
        </is>
      </c>
      <c r="D458" s="311" t="n">
        <v>45770</v>
      </c>
      <c r="E458" s="311" t="n">
        <v>45777</v>
      </c>
      <c r="F458" s="311" t="n">
        <v>45777</v>
      </c>
      <c r="G458" s="311" t="n">
        <v>45804</v>
      </c>
      <c r="H458" s="311" t="n">
        <v>45810</v>
      </c>
      <c r="I458" t="inlineStr">
        <is>
          <t>LU1912497127|Souscription|2025-04-23</t>
        </is>
      </c>
    </row>
    <row r="459">
      <c r="A459" t="inlineStr">
        <is>
          <t>LU1912497127</t>
        </is>
      </c>
      <c r="B459" t="inlineStr"/>
      <c r="C459" t="inlineStr">
        <is>
          <t>Souscription</t>
        </is>
      </c>
      <c r="D459" s="311" t="n">
        <v>45799</v>
      </c>
      <c r="E459" s="311" t="n">
        <v>45807</v>
      </c>
      <c r="F459" s="311" t="n">
        <v>45807</v>
      </c>
      <c r="G459" s="311" t="n">
        <v>45834</v>
      </c>
      <c r="H459" s="311" t="n">
        <v>45839</v>
      </c>
      <c r="I459" t="inlineStr">
        <is>
          <t>LU1912497127|Souscription|2025-05-22</t>
        </is>
      </c>
    </row>
    <row r="460">
      <c r="A460" t="inlineStr">
        <is>
          <t>LU1912497127</t>
        </is>
      </c>
      <c r="B460" t="inlineStr"/>
      <c r="C460" t="inlineStr">
        <is>
          <t>Souscription</t>
        </is>
      </c>
      <c r="D460" s="311" t="n">
        <v>45828</v>
      </c>
      <c r="E460" s="311" t="n">
        <v>45838</v>
      </c>
      <c r="F460" s="311" t="n">
        <v>45838</v>
      </c>
      <c r="G460" s="311" t="n">
        <v>45861</v>
      </c>
      <c r="H460" s="311" t="n">
        <v>45866</v>
      </c>
      <c r="I460" t="inlineStr">
        <is>
          <t>LU1912497127|Souscription|2025-06-20</t>
        </is>
      </c>
    </row>
    <row r="461">
      <c r="A461" t="inlineStr">
        <is>
          <t>LU1912497127</t>
        </is>
      </c>
      <c r="B461" t="inlineStr"/>
      <c r="C461" t="inlineStr">
        <is>
          <t>Souscription</t>
        </is>
      </c>
      <c r="D461" s="311" t="n">
        <v>45862</v>
      </c>
      <c r="E461" s="311" t="n">
        <v>45869</v>
      </c>
      <c r="F461" s="311" t="n">
        <v>45869</v>
      </c>
      <c r="G461" s="311" t="n">
        <v>45895</v>
      </c>
      <c r="H461" s="311" t="n">
        <v>45898</v>
      </c>
      <c r="I461" t="inlineStr">
        <is>
          <t>LU1912497127|Souscription|2025-07-24</t>
        </is>
      </c>
    </row>
    <row r="462">
      <c r="A462" t="inlineStr">
        <is>
          <t>LU1912497127</t>
        </is>
      </c>
      <c r="B462" t="inlineStr"/>
      <c r="C462" t="inlineStr">
        <is>
          <t>Souscription</t>
        </is>
      </c>
      <c r="D462" s="311" t="n">
        <v>45891</v>
      </c>
      <c r="E462" s="311" t="n">
        <v>45898</v>
      </c>
      <c r="F462" s="311" t="n">
        <v>45898</v>
      </c>
      <c r="G462" s="311" t="n">
        <v>45923</v>
      </c>
      <c r="H462" s="311" t="n">
        <v>45926</v>
      </c>
      <c r="I462" t="inlineStr">
        <is>
          <t>LU1912497127|Souscription|2025-08-22</t>
        </is>
      </c>
    </row>
    <row r="463">
      <c r="A463" t="inlineStr">
        <is>
          <t>LU1912497127</t>
        </is>
      </c>
      <c r="B463" t="inlineStr"/>
      <c r="C463" t="inlineStr">
        <is>
          <t>Souscription</t>
        </is>
      </c>
      <c r="D463" s="311" t="n">
        <v>45923</v>
      </c>
      <c r="E463" s="311" t="n">
        <v>45930</v>
      </c>
      <c r="F463" s="311" t="n">
        <v>45930</v>
      </c>
      <c r="G463" s="311" t="n">
        <v>45953</v>
      </c>
      <c r="H463" s="311" t="n">
        <v>45958</v>
      </c>
      <c r="I463" t="inlineStr">
        <is>
          <t>LU1912497127|Souscription|2025-09-23</t>
        </is>
      </c>
    </row>
    <row r="464">
      <c r="A464" t="inlineStr">
        <is>
          <t>LU1912497127</t>
        </is>
      </c>
      <c r="B464" t="inlineStr"/>
      <c r="C464" t="inlineStr">
        <is>
          <t>Souscription</t>
        </is>
      </c>
      <c r="D464" s="311" t="n">
        <v>45954</v>
      </c>
      <c r="E464" s="311" t="n">
        <v>45961</v>
      </c>
      <c r="F464" s="311" t="n">
        <v>45961</v>
      </c>
      <c r="G464" s="311" t="n">
        <v>45986</v>
      </c>
      <c r="H464" s="311" t="n">
        <v>45989</v>
      </c>
      <c r="I464" t="inlineStr">
        <is>
          <t>LU1912497127|Souscription|2025-10-24</t>
        </is>
      </c>
    </row>
    <row r="465">
      <c r="A465" t="inlineStr">
        <is>
          <t>LU1912497127</t>
        </is>
      </c>
      <c r="B465" t="inlineStr"/>
      <c r="C465" t="inlineStr">
        <is>
          <t>Souscription</t>
        </is>
      </c>
      <c r="D465" s="311" t="n">
        <v>45982</v>
      </c>
      <c r="E465" s="311" t="n">
        <v>45989</v>
      </c>
      <c r="F465" s="311" t="n">
        <v>45989</v>
      </c>
      <c r="G465" s="311" t="n">
        <v>46014</v>
      </c>
      <c r="H465" s="311" t="n">
        <v>46022</v>
      </c>
      <c r="I465" t="inlineStr">
        <is>
          <t>LU1912497127|Souscription|2025-11-21</t>
        </is>
      </c>
    </row>
    <row r="466">
      <c r="A466" t="inlineStr">
        <is>
          <t>LU1912497127</t>
        </is>
      </c>
      <c r="B466" t="inlineStr"/>
      <c r="C466" t="inlineStr">
        <is>
          <t>Souscription</t>
        </is>
      </c>
      <c r="D466" s="311" t="n">
        <v>46010</v>
      </c>
      <c r="E466" s="311" t="n">
        <v>46022</v>
      </c>
      <c r="F466" s="311" t="n">
        <v>46022</v>
      </c>
      <c r="G466" s="311" t="n">
        <v>46048</v>
      </c>
      <c r="H466" s="311" t="n">
        <v>46051</v>
      </c>
      <c r="I466" t="inlineStr">
        <is>
          <t>LU1912497127|Souscription|2025-12-19</t>
        </is>
      </c>
    </row>
    <row r="467">
      <c r="A467" t="inlineStr">
        <is>
          <t>LU1912497127</t>
        </is>
      </c>
      <c r="B467" t="inlineStr"/>
      <c r="C467" t="inlineStr">
        <is>
          <t>Souscription</t>
        </is>
      </c>
      <c r="D467" s="311" t="n">
        <v>46045</v>
      </c>
      <c r="E467" s="311" t="n">
        <v>46052</v>
      </c>
      <c r="F467" s="311" t="n">
        <v>46052</v>
      </c>
      <c r="G467" s="311" t="n">
        <v>46077</v>
      </c>
      <c r="H467" s="311" t="n">
        <v>46080</v>
      </c>
      <c r="I467" t="inlineStr">
        <is>
          <t>LU1912497127|Souscription|2026-01-23</t>
        </is>
      </c>
    </row>
    <row r="468">
      <c r="A468" t="inlineStr">
        <is>
          <t>LU1912497127</t>
        </is>
      </c>
      <c r="B468" t="inlineStr"/>
      <c r="C468" t="inlineStr">
        <is>
          <t>Souscription</t>
        </is>
      </c>
      <c r="D468" s="311" t="n">
        <v>46073</v>
      </c>
      <c r="E468" s="311" t="n">
        <v>46080</v>
      </c>
      <c r="F468" s="311" t="n">
        <v>46080</v>
      </c>
      <c r="G468" s="311" t="n">
        <v>46105</v>
      </c>
      <c r="H468" s="311" t="n">
        <v>46108</v>
      </c>
      <c r="I468" t="inlineStr">
        <is>
          <t>LU1912497127|Souscription|2026-02-20</t>
        </is>
      </c>
    </row>
    <row r="469">
      <c r="A469" t="inlineStr">
        <is>
          <t>LU1912497127</t>
        </is>
      </c>
      <c r="B469" t="inlineStr"/>
      <c r="C469" t="inlineStr">
        <is>
          <t>Souscription</t>
        </is>
      </c>
      <c r="D469" s="311" t="n">
        <v>46105</v>
      </c>
      <c r="E469" s="311" t="n">
        <v>46112</v>
      </c>
      <c r="F469" s="311" t="n">
        <v>46112</v>
      </c>
      <c r="G469" s="311" t="n">
        <v>46139</v>
      </c>
      <c r="H469" s="311" t="n">
        <v>46142</v>
      </c>
      <c r="I469" t="inlineStr">
        <is>
          <t>LU1912497127|Souscription|2026-03-24</t>
        </is>
      </c>
    </row>
    <row r="470">
      <c r="A470" t="inlineStr">
        <is>
          <t>LU1912497127</t>
        </is>
      </c>
      <c r="B470" t="inlineStr"/>
      <c r="C470" t="inlineStr">
        <is>
          <t>Souscription</t>
        </is>
      </c>
      <c r="D470" s="311" t="n">
        <v>46135</v>
      </c>
      <c r="E470" s="311" t="n">
        <v>46142</v>
      </c>
      <c r="F470" s="311" t="n">
        <v>46142</v>
      </c>
      <c r="G470" s="311" t="n">
        <v>46170</v>
      </c>
      <c r="H470" s="311" t="n">
        <v>46175</v>
      </c>
      <c r="I470" t="inlineStr">
        <is>
          <t>LU1912497127|Souscription|2026-04-23</t>
        </is>
      </c>
    </row>
    <row r="471">
      <c r="A471" t="inlineStr">
        <is>
          <t>LU1912497127</t>
        </is>
      </c>
      <c r="B471" t="inlineStr"/>
      <c r="C471" t="inlineStr">
        <is>
          <t>Souscription</t>
        </is>
      </c>
      <c r="D471" s="311" t="n">
        <v>46163</v>
      </c>
      <c r="E471" s="311" t="n">
        <v>46171</v>
      </c>
      <c r="F471" s="311" t="n">
        <v>46171</v>
      </c>
      <c r="G471" s="311" t="n">
        <v>46197</v>
      </c>
      <c r="H471" s="311" t="n">
        <v>46202</v>
      </c>
      <c r="I471" t="inlineStr">
        <is>
          <t>LU1912497127|Souscription|2026-05-21</t>
        </is>
      </c>
    </row>
    <row r="472">
      <c r="A472" t="inlineStr">
        <is>
          <t>LU1912497127</t>
        </is>
      </c>
      <c r="B472" t="inlineStr"/>
      <c r="C472" t="inlineStr">
        <is>
          <t>Souscription</t>
        </is>
      </c>
      <c r="D472" s="311" t="n">
        <v>46195</v>
      </c>
      <c r="E472" s="311" t="n">
        <v>46203</v>
      </c>
      <c r="F472" s="311" t="n">
        <v>46203</v>
      </c>
      <c r="G472" s="311" t="n">
        <v>46226</v>
      </c>
      <c r="H472" s="311" t="n">
        <v>46231</v>
      </c>
      <c r="I472" t="inlineStr">
        <is>
          <t>LU1912497127|Souscription|2026-06-22</t>
        </is>
      </c>
    </row>
    <row r="473">
      <c r="A473" t="inlineStr">
        <is>
          <t>LU1912497127</t>
        </is>
      </c>
      <c r="B473" t="inlineStr"/>
      <c r="C473" t="inlineStr">
        <is>
          <t>Souscription</t>
        </is>
      </c>
      <c r="D473" s="311" t="n">
        <v>46227</v>
      </c>
      <c r="E473" s="311" t="n">
        <v>46234</v>
      </c>
      <c r="F473" s="311" t="n">
        <v>46234</v>
      </c>
      <c r="G473" s="311" t="n">
        <v>46259</v>
      </c>
      <c r="H473" s="311" t="n">
        <v>46262</v>
      </c>
      <c r="I473" t="inlineStr">
        <is>
          <t>LU1912497127|Souscription|2026-07-24</t>
        </is>
      </c>
    </row>
    <row r="474">
      <c r="A474" t="inlineStr">
        <is>
          <t>LU1912497127</t>
        </is>
      </c>
      <c r="B474" t="inlineStr"/>
      <c r="C474" t="inlineStr">
        <is>
          <t>Souscription</t>
        </is>
      </c>
      <c r="D474" s="311" t="n">
        <v>46258</v>
      </c>
      <c r="E474" s="311" t="n">
        <v>46265</v>
      </c>
      <c r="F474" s="311" t="n">
        <v>46265</v>
      </c>
      <c r="G474" s="311" t="n">
        <v>46288</v>
      </c>
      <c r="H474" s="311" t="n">
        <v>46293</v>
      </c>
      <c r="I474" t="inlineStr">
        <is>
          <t>LU1912497127|Souscription|2026-08-24</t>
        </is>
      </c>
    </row>
    <row r="475">
      <c r="A475" t="inlineStr">
        <is>
          <t>LU1912497127</t>
        </is>
      </c>
      <c r="B475" t="inlineStr"/>
      <c r="C475" t="inlineStr">
        <is>
          <t>Souscription</t>
        </is>
      </c>
      <c r="D475" s="311" t="n">
        <v>46288</v>
      </c>
      <c r="E475" s="311" t="n">
        <v>46295</v>
      </c>
      <c r="F475" s="311" t="n">
        <v>46295</v>
      </c>
      <c r="G475" s="311" t="n">
        <v>46318</v>
      </c>
      <c r="H475" s="311" t="n">
        <v>46323</v>
      </c>
      <c r="I475" t="inlineStr">
        <is>
          <t>LU1912497127|Souscription|2026-09-23</t>
        </is>
      </c>
    </row>
    <row r="476">
      <c r="A476" t="inlineStr">
        <is>
          <t>LU1912497127</t>
        </is>
      </c>
      <c r="B476" t="inlineStr"/>
      <c r="C476" t="inlineStr">
        <is>
          <t>Souscription</t>
        </is>
      </c>
      <c r="D476" s="311" t="n">
        <v>46318</v>
      </c>
      <c r="E476" s="311" t="n">
        <v>46325</v>
      </c>
      <c r="F476" s="311" t="n">
        <v>46325</v>
      </c>
      <c r="G476" s="311" t="n">
        <v>46350</v>
      </c>
      <c r="H476" s="311" t="n">
        <v>46353</v>
      </c>
      <c r="I476" t="inlineStr">
        <is>
          <t>LU1912497127|Souscription|2026-10-23</t>
        </is>
      </c>
    </row>
    <row r="477">
      <c r="A477" t="inlineStr">
        <is>
          <t>LU1912497127</t>
        </is>
      </c>
      <c r="B477" t="inlineStr"/>
      <c r="C477" t="inlineStr">
        <is>
          <t>Souscription</t>
        </is>
      </c>
      <c r="D477" s="311" t="n">
        <v>46349</v>
      </c>
      <c r="E477" s="311" t="n">
        <v>46356</v>
      </c>
      <c r="F477" s="311" t="n">
        <v>46356</v>
      </c>
      <c r="G477" s="311" t="n">
        <v>46379</v>
      </c>
      <c r="H477" s="311" t="n">
        <v>46385</v>
      </c>
      <c r="I477" t="inlineStr">
        <is>
          <t>LU1912497127|Souscription|2026-11-23</t>
        </is>
      </c>
    </row>
    <row r="478">
      <c r="A478" t="inlineStr">
        <is>
          <t>LU1912497127</t>
        </is>
      </c>
      <c r="B478" t="inlineStr"/>
      <c r="C478" t="inlineStr">
        <is>
          <t>Souscription</t>
        </is>
      </c>
      <c r="D478" s="311" t="n">
        <v>46379</v>
      </c>
      <c r="E478" s="311" t="n">
        <v>46387</v>
      </c>
      <c r="F478" s="311" t="n">
        <v>46387</v>
      </c>
      <c r="G478" s="311" t="n">
        <v>46413</v>
      </c>
      <c r="H478" s="311" t="n">
        <v>46416</v>
      </c>
      <c r="I478" t="inlineStr">
        <is>
          <t>LU1912497127|Souscription|2026-12-23</t>
        </is>
      </c>
    </row>
    <row r="479">
      <c r="A479" t="inlineStr">
        <is>
          <t>LU1912497127</t>
        </is>
      </c>
      <c r="B479" t="inlineStr"/>
      <c r="C479" t="inlineStr">
        <is>
          <t>Rachat</t>
        </is>
      </c>
      <c r="D479" s="311" t="n">
        <v>45688</v>
      </c>
      <c r="E479" s="311" t="n">
        <v>45777</v>
      </c>
      <c r="F479" s="311" t="n">
        <v>45777</v>
      </c>
      <c r="G479" s="311" t="n">
        <v>45804</v>
      </c>
      <c r="H479" s="311" t="n">
        <v>45812</v>
      </c>
      <c r="I479" t="inlineStr">
        <is>
          <t>LU1912497127|Rachat|2025-01-31</t>
        </is>
      </c>
    </row>
    <row r="480">
      <c r="A480" t="inlineStr">
        <is>
          <t>LU1912497127</t>
        </is>
      </c>
      <c r="B480" t="inlineStr"/>
      <c r="C480" t="inlineStr">
        <is>
          <t>Rachat</t>
        </is>
      </c>
      <c r="D480" s="311" t="n">
        <v>45716</v>
      </c>
      <c r="E480" s="311" t="n">
        <v>45807</v>
      </c>
      <c r="F480" s="311" t="n">
        <v>45807</v>
      </c>
      <c r="G480" s="311" t="n">
        <v>45834</v>
      </c>
      <c r="H480" s="311" t="n">
        <v>45841</v>
      </c>
      <c r="I480" t="inlineStr">
        <is>
          <t>LU1912497127|Rachat|2025-02-28</t>
        </is>
      </c>
    </row>
    <row r="481">
      <c r="A481" t="inlineStr">
        <is>
          <t>LU1912497127</t>
        </is>
      </c>
      <c r="B481" t="inlineStr"/>
      <c r="C481" t="inlineStr">
        <is>
          <t>Rachat</t>
        </is>
      </c>
      <c r="D481" s="311" t="n">
        <v>45747</v>
      </c>
      <c r="E481" s="311" t="n">
        <v>45838</v>
      </c>
      <c r="F481" s="311" t="n">
        <v>45838</v>
      </c>
      <c r="G481" s="311" t="n">
        <v>45861</v>
      </c>
      <c r="H481" s="311" t="n">
        <v>45868</v>
      </c>
      <c r="I481" t="inlineStr">
        <is>
          <t>LU1912497127|Rachat|2025-03-31</t>
        </is>
      </c>
    </row>
    <row r="482">
      <c r="A482" t="inlineStr">
        <is>
          <t>LU1912497127</t>
        </is>
      </c>
      <c r="B482" t="inlineStr"/>
      <c r="C482" t="inlineStr">
        <is>
          <t>Rachat</t>
        </is>
      </c>
      <c r="D482" s="311" t="n">
        <v>45777</v>
      </c>
      <c r="E482" s="311" t="n">
        <v>45869</v>
      </c>
      <c r="F482" s="311" t="n">
        <v>45869</v>
      </c>
      <c r="G482" s="311" t="n">
        <v>45895</v>
      </c>
      <c r="H482" s="311" t="n">
        <v>45902</v>
      </c>
      <c r="I482" t="inlineStr">
        <is>
          <t>LU1912497127|Rachat|2025-04-30</t>
        </is>
      </c>
    </row>
    <row r="483">
      <c r="A483" t="inlineStr">
        <is>
          <t>LU1912497127</t>
        </is>
      </c>
      <c r="B483" t="inlineStr"/>
      <c r="C483" t="inlineStr">
        <is>
          <t>Rachat</t>
        </is>
      </c>
      <c r="D483" s="311" t="n">
        <v>45807</v>
      </c>
      <c r="E483" s="311" t="n">
        <v>45898</v>
      </c>
      <c r="F483" s="311" t="n">
        <v>45898</v>
      </c>
      <c r="G483" s="311" t="n">
        <v>45923</v>
      </c>
      <c r="H483" s="311" t="n">
        <v>45930</v>
      </c>
      <c r="I483" t="inlineStr">
        <is>
          <t>LU1912497127|Rachat|2025-05-30</t>
        </is>
      </c>
    </row>
    <row r="484">
      <c r="A484" t="inlineStr">
        <is>
          <t>LU1912497127</t>
        </is>
      </c>
      <c r="B484" t="inlineStr"/>
      <c r="C484" t="inlineStr">
        <is>
          <t>Rachat</t>
        </is>
      </c>
      <c r="D484" s="311" t="n">
        <v>45838</v>
      </c>
      <c r="E484" s="311" t="n">
        <v>45930</v>
      </c>
      <c r="F484" s="311" t="n">
        <v>45930</v>
      </c>
      <c r="G484" s="311" t="n">
        <v>45953</v>
      </c>
      <c r="H484" s="311" t="n">
        <v>45960</v>
      </c>
      <c r="I484" t="inlineStr">
        <is>
          <t>LU1912497127|Rachat|2025-06-30</t>
        </is>
      </c>
    </row>
    <row r="485">
      <c r="A485" t="inlineStr">
        <is>
          <t>LU1912497127</t>
        </is>
      </c>
      <c r="B485" t="inlineStr"/>
      <c r="C485" t="inlineStr">
        <is>
          <t>Rachat</t>
        </is>
      </c>
      <c r="D485" s="311" t="n">
        <v>45869</v>
      </c>
      <c r="E485" s="311" t="n">
        <v>45961</v>
      </c>
      <c r="F485" s="311" t="n">
        <v>45961</v>
      </c>
      <c r="G485" s="311" t="n">
        <v>45986</v>
      </c>
      <c r="H485" s="311" t="n">
        <v>45993</v>
      </c>
      <c r="I485" t="inlineStr">
        <is>
          <t>LU1912497127|Rachat|2025-07-31</t>
        </is>
      </c>
    </row>
    <row r="486">
      <c r="A486" t="inlineStr">
        <is>
          <t>LU1912497127</t>
        </is>
      </c>
      <c r="B486" t="inlineStr"/>
      <c r="C486" t="inlineStr">
        <is>
          <t>Rachat</t>
        </is>
      </c>
      <c r="D486" s="311" t="n">
        <v>45898</v>
      </c>
      <c r="E486" s="311" t="n">
        <v>45989</v>
      </c>
      <c r="F486" s="311" t="n">
        <v>45989</v>
      </c>
      <c r="G486" s="311" t="n">
        <v>46014</v>
      </c>
      <c r="H486" s="311" t="n">
        <v>46027</v>
      </c>
      <c r="I486" t="inlineStr">
        <is>
          <t>LU1912497127|Rachat|2025-08-29</t>
        </is>
      </c>
    </row>
    <row r="487">
      <c r="A487" t="inlineStr">
        <is>
          <t>LU1912497127</t>
        </is>
      </c>
      <c r="B487" t="inlineStr"/>
      <c r="C487" t="inlineStr">
        <is>
          <t>Rachat</t>
        </is>
      </c>
      <c r="D487" s="311" t="n">
        <v>45930</v>
      </c>
      <c r="E487" s="311" t="n">
        <v>46022</v>
      </c>
      <c r="F487" s="311" t="n">
        <v>46022</v>
      </c>
      <c r="G487" s="311" t="n">
        <v>46048</v>
      </c>
      <c r="H487" s="311" t="n">
        <v>46055</v>
      </c>
      <c r="I487" t="inlineStr">
        <is>
          <t>LU1912497127|Rachat|2025-09-30</t>
        </is>
      </c>
    </row>
    <row r="488">
      <c r="A488" t="inlineStr">
        <is>
          <t>LU1912497127</t>
        </is>
      </c>
      <c r="B488" t="inlineStr"/>
      <c r="C488" t="inlineStr">
        <is>
          <t>Rachat</t>
        </is>
      </c>
      <c r="D488" s="311" t="n">
        <v>45961</v>
      </c>
      <c r="E488" s="311" t="n">
        <v>46052</v>
      </c>
      <c r="F488" s="311" t="n">
        <v>46052</v>
      </c>
      <c r="G488" s="311" t="n">
        <v>46077</v>
      </c>
      <c r="H488" s="311" t="n">
        <v>46084</v>
      </c>
      <c r="I488" t="inlineStr">
        <is>
          <t>LU1912497127|Rachat|2025-10-31</t>
        </is>
      </c>
    </row>
    <row r="489">
      <c r="A489" t="inlineStr">
        <is>
          <t>LU1912497127</t>
        </is>
      </c>
      <c r="B489" t="inlineStr"/>
      <c r="C489" t="inlineStr">
        <is>
          <t>Rachat</t>
        </is>
      </c>
      <c r="D489" s="311" t="n">
        <v>45989</v>
      </c>
      <c r="E489" s="311" t="n">
        <v>46080</v>
      </c>
      <c r="F489" s="311" t="n">
        <v>46080</v>
      </c>
      <c r="G489" s="311" t="n">
        <v>46105</v>
      </c>
      <c r="H489" s="311" t="n">
        <v>46112</v>
      </c>
      <c r="I489" t="inlineStr">
        <is>
          <t>LU1912497127|Rachat|2025-11-28</t>
        </is>
      </c>
    </row>
    <row r="490">
      <c r="A490" t="inlineStr">
        <is>
          <t>LU1912497127</t>
        </is>
      </c>
      <c r="B490" t="inlineStr"/>
      <c r="C490" t="inlineStr">
        <is>
          <t>Rachat</t>
        </is>
      </c>
      <c r="D490" s="311" t="n">
        <v>46022</v>
      </c>
      <c r="E490" s="311" t="n">
        <v>46112</v>
      </c>
      <c r="F490" s="311" t="n">
        <v>46112</v>
      </c>
      <c r="G490" s="311" t="n">
        <v>46139</v>
      </c>
      <c r="H490" s="311" t="n">
        <v>46147</v>
      </c>
      <c r="I490" t="inlineStr">
        <is>
          <t>LU1912497127|Rachat|2025-12-31</t>
        </is>
      </c>
    </row>
    <row r="491">
      <c r="A491" t="inlineStr">
        <is>
          <t>LU1912497127</t>
        </is>
      </c>
      <c r="B491" t="inlineStr"/>
      <c r="C491" t="inlineStr">
        <is>
          <t>Rachat</t>
        </is>
      </c>
      <c r="D491" s="311" t="n">
        <v>46052</v>
      </c>
      <c r="E491" s="311" t="n">
        <v>46142</v>
      </c>
      <c r="F491" s="311" t="n">
        <v>46142</v>
      </c>
      <c r="G491" s="311" t="n">
        <v>46170</v>
      </c>
      <c r="H491" s="311" t="n">
        <v>46177</v>
      </c>
      <c r="I491" t="inlineStr">
        <is>
          <t>LU1912497127|Rachat|2026-01-30</t>
        </is>
      </c>
    </row>
    <row r="492">
      <c r="A492" t="inlineStr">
        <is>
          <t>LU1912497127</t>
        </is>
      </c>
      <c r="B492" t="inlineStr"/>
      <c r="C492" t="inlineStr">
        <is>
          <t>Rachat</t>
        </is>
      </c>
      <c r="D492" s="311" t="n">
        <v>46080</v>
      </c>
      <c r="E492" s="311" t="n">
        <v>46171</v>
      </c>
      <c r="F492" s="311" t="n">
        <v>46171</v>
      </c>
      <c r="G492" s="311" t="n">
        <v>46197</v>
      </c>
      <c r="H492" s="311" t="n">
        <v>46204</v>
      </c>
      <c r="I492" t="inlineStr">
        <is>
          <t>LU1912497127|Rachat|2026-02-27</t>
        </is>
      </c>
    </row>
    <row r="493">
      <c r="A493" t="inlineStr">
        <is>
          <t>LU1912497127</t>
        </is>
      </c>
      <c r="B493" t="inlineStr"/>
      <c r="C493" t="inlineStr">
        <is>
          <t>Rachat</t>
        </is>
      </c>
      <c r="D493" s="311" t="n">
        <v>46112</v>
      </c>
      <c r="E493" s="311" t="n">
        <v>46203</v>
      </c>
      <c r="F493" s="311" t="n">
        <v>46203</v>
      </c>
      <c r="G493" s="311" t="n">
        <v>46226</v>
      </c>
      <c r="H493" s="311" t="n">
        <v>46233</v>
      </c>
      <c r="I493" t="inlineStr">
        <is>
          <t>LU1912497127|Rachat|2026-03-31</t>
        </is>
      </c>
    </row>
    <row r="494">
      <c r="A494" t="inlineStr">
        <is>
          <t>LU1912497127</t>
        </is>
      </c>
      <c r="B494" t="inlineStr"/>
      <c r="C494" t="inlineStr">
        <is>
          <t>Rachat</t>
        </is>
      </c>
      <c r="D494" s="311" t="n">
        <v>46142</v>
      </c>
      <c r="E494" s="311" t="n">
        <v>46234</v>
      </c>
      <c r="F494" s="311" t="n">
        <v>46234</v>
      </c>
      <c r="G494" s="311" t="n">
        <v>46259</v>
      </c>
      <c r="H494" s="311" t="n">
        <v>46266</v>
      </c>
      <c r="I494" t="inlineStr">
        <is>
          <t>LU1912497127|Rachat|2026-04-30</t>
        </is>
      </c>
    </row>
    <row r="495">
      <c r="A495" t="inlineStr">
        <is>
          <t>LU1912497127</t>
        </is>
      </c>
      <c r="B495" t="inlineStr"/>
      <c r="C495" t="inlineStr">
        <is>
          <t>Rachat</t>
        </is>
      </c>
      <c r="D495" s="311" t="n">
        <v>46171</v>
      </c>
      <c r="E495" s="311" t="n">
        <v>46265</v>
      </c>
      <c r="F495" s="311" t="n">
        <v>46265</v>
      </c>
      <c r="G495" s="311" t="n">
        <v>46288</v>
      </c>
      <c r="H495" s="311" t="n">
        <v>46295</v>
      </c>
      <c r="I495" t="inlineStr">
        <is>
          <t>LU1912497127|Rachat|2026-05-29</t>
        </is>
      </c>
    </row>
    <row r="496">
      <c r="A496" t="inlineStr">
        <is>
          <t>LU1912497127</t>
        </is>
      </c>
      <c r="B496" t="inlineStr"/>
      <c r="C496" t="inlineStr">
        <is>
          <t>Rachat</t>
        </is>
      </c>
      <c r="D496" s="311" t="n">
        <v>46203</v>
      </c>
      <c r="E496" s="311" t="n">
        <v>46295</v>
      </c>
      <c r="F496" s="311" t="n">
        <v>46295</v>
      </c>
      <c r="G496" s="311" t="n">
        <v>46318</v>
      </c>
      <c r="H496" s="311" t="n">
        <v>46325</v>
      </c>
      <c r="I496" t="inlineStr">
        <is>
          <t>LU1912497127|Rachat|2026-06-30</t>
        </is>
      </c>
    </row>
    <row r="497">
      <c r="A497" t="inlineStr">
        <is>
          <t>LU1912497127</t>
        </is>
      </c>
      <c r="B497" t="inlineStr"/>
      <c r="C497" t="inlineStr">
        <is>
          <t>Rachat</t>
        </is>
      </c>
      <c r="D497" s="311" t="n">
        <v>46234</v>
      </c>
      <c r="E497" s="311" t="n">
        <v>46325</v>
      </c>
      <c r="F497" s="311" t="n">
        <v>46325</v>
      </c>
      <c r="G497" s="311" t="n">
        <v>46350</v>
      </c>
      <c r="H497" s="311" t="n">
        <v>46357</v>
      </c>
      <c r="I497" t="inlineStr">
        <is>
          <t>LU1912497127|Rachat|2026-07-31</t>
        </is>
      </c>
    </row>
    <row r="498">
      <c r="A498" t="inlineStr">
        <is>
          <t>LU1912497127</t>
        </is>
      </c>
      <c r="B498" t="inlineStr"/>
      <c r="C498" t="inlineStr">
        <is>
          <t>Rachat</t>
        </is>
      </c>
      <c r="D498" s="311" t="n">
        <v>46265</v>
      </c>
      <c r="E498" s="311" t="n">
        <v>46356</v>
      </c>
      <c r="F498" s="311" t="n">
        <v>46356</v>
      </c>
      <c r="G498" s="311" t="n">
        <v>46379</v>
      </c>
      <c r="H498" s="311" t="n">
        <v>46387</v>
      </c>
      <c r="I498" t="inlineStr">
        <is>
          <t>LU1912497127|Rachat|2026-08-31</t>
        </is>
      </c>
    </row>
    <row r="499">
      <c r="A499" t="inlineStr">
        <is>
          <t>LU1912497127</t>
        </is>
      </c>
      <c r="B499" t="inlineStr"/>
      <c r="C499" t="inlineStr">
        <is>
          <t>Rachat</t>
        </is>
      </c>
      <c r="D499" s="311" t="n">
        <v>46295</v>
      </c>
      <c r="E499" s="311" t="n">
        <v>46387</v>
      </c>
      <c r="F499" s="311" t="n">
        <v>46387</v>
      </c>
      <c r="G499" s="311" t="n">
        <v>46413</v>
      </c>
      <c r="H499" s="311" t="n">
        <v>46420</v>
      </c>
      <c r="I499" t="inlineStr">
        <is>
          <t>LU1912497127|Rachat|2026-09-30</t>
        </is>
      </c>
    </row>
    <row r="500">
      <c r="A500" t="inlineStr">
        <is>
          <t>LU1911739370</t>
        </is>
      </c>
      <c r="B500" t="inlineStr"/>
      <c r="C500" t="inlineStr">
        <is>
          <t>Rachat</t>
        </is>
      </c>
      <c r="D500" s="311" t="n">
        <v>45688</v>
      </c>
      <c r="E500" s="311" t="n">
        <v>45747</v>
      </c>
      <c r="F500" s="311" t="n">
        <v>45747</v>
      </c>
      <c r="G500" s="311" t="n">
        <v>45775</v>
      </c>
      <c r="H500" s="311" t="n">
        <v>45779</v>
      </c>
      <c r="I500" t="inlineStr">
        <is>
          <t>LU1911739370|Rachat|2025-01-31</t>
        </is>
      </c>
    </row>
    <row r="501">
      <c r="A501" t="inlineStr">
        <is>
          <t>LU1911739370</t>
        </is>
      </c>
      <c r="B501" t="inlineStr"/>
      <c r="C501" t="inlineStr">
        <is>
          <t>Rachat</t>
        </is>
      </c>
      <c r="D501" s="311" t="n">
        <v>45716</v>
      </c>
      <c r="E501" s="311" t="n">
        <v>45777</v>
      </c>
      <c r="F501" s="311" t="n">
        <v>45777</v>
      </c>
      <c r="G501" s="311" t="n">
        <v>45805</v>
      </c>
      <c r="H501" s="311" t="n">
        <v>45811</v>
      </c>
      <c r="I501" t="inlineStr">
        <is>
          <t>LU1911739370|Rachat|2025-02-28</t>
        </is>
      </c>
    </row>
    <row r="502">
      <c r="A502" t="inlineStr">
        <is>
          <t>LU1911739370</t>
        </is>
      </c>
      <c r="B502" t="inlineStr"/>
      <c r="C502" t="inlineStr">
        <is>
          <t>Rachat</t>
        </is>
      </c>
      <c r="D502" s="311" t="n">
        <v>45747</v>
      </c>
      <c r="E502" s="311" t="n">
        <v>45807</v>
      </c>
      <c r="F502" s="311" t="n">
        <v>45807</v>
      </c>
      <c r="G502" s="311" t="n">
        <v>45835</v>
      </c>
      <c r="H502" s="311" t="n">
        <v>45840</v>
      </c>
      <c r="I502" t="inlineStr">
        <is>
          <t>LU1911739370|Rachat|2025-03-31</t>
        </is>
      </c>
    </row>
    <row r="503">
      <c r="A503" t="inlineStr">
        <is>
          <t>LU1911739370</t>
        </is>
      </c>
      <c r="B503" t="inlineStr"/>
      <c r="C503" t="inlineStr">
        <is>
          <t>Rachat</t>
        </is>
      </c>
      <c r="D503" s="311" t="n">
        <v>45777</v>
      </c>
      <c r="E503" s="311" t="n">
        <v>45838</v>
      </c>
      <c r="F503" s="311" t="n">
        <v>45838</v>
      </c>
      <c r="G503" s="311" t="n">
        <v>45862</v>
      </c>
      <c r="H503" s="311" t="n">
        <v>45867</v>
      </c>
      <c r="I503" t="inlineStr">
        <is>
          <t>LU1911739370|Rachat|2025-04-30</t>
        </is>
      </c>
    </row>
    <row r="504">
      <c r="A504" t="inlineStr">
        <is>
          <t>LU1911739370</t>
        </is>
      </c>
      <c r="B504" t="inlineStr"/>
      <c r="C504" t="inlineStr">
        <is>
          <t>Rachat</t>
        </is>
      </c>
      <c r="D504" s="311" t="n">
        <v>45807</v>
      </c>
      <c r="E504" s="311" t="n">
        <v>45869</v>
      </c>
      <c r="F504" s="311" t="n">
        <v>45869</v>
      </c>
      <c r="G504" s="311" t="n">
        <v>45896</v>
      </c>
      <c r="H504" s="311" t="n">
        <v>45901</v>
      </c>
      <c r="I504" t="inlineStr">
        <is>
          <t>LU1911739370|Rachat|2025-05-30</t>
        </is>
      </c>
    </row>
    <row r="505">
      <c r="A505" t="inlineStr">
        <is>
          <t>LU1911739370</t>
        </is>
      </c>
      <c r="B505" t="inlineStr"/>
      <c r="C505" t="inlineStr">
        <is>
          <t>Rachat</t>
        </is>
      </c>
      <c r="D505" s="311" t="n">
        <v>45838</v>
      </c>
      <c r="E505" s="311" t="n">
        <v>45898</v>
      </c>
      <c r="F505" s="311" t="n">
        <v>45898</v>
      </c>
      <c r="G505" s="311" t="n">
        <v>45924</v>
      </c>
      <c r="H505" s="311" t="n">
        <v>45929</v>
      </c>
      <c r="I505" t="inlineStr">
        <is>
          <t>LU1911739370|Rachat|2025-06-30</t>
        </is>
      </c>
    </row>
    <row r="506">
      <c r="A506" t="inlineStr">
        <is>
          <t>LU1911739370</t>
        </is>
      </c>
      <c r="B506" t="inlineStr"/>
      <c r="C506" t="inlineStr">
        <is>
          <t>Rachat</t>
        </is>
      </c>
      <c r="D506" s="311" t="n">
        <v>45869</v>
      </c>
      <c r="E506" s="311" t="n">
        <v>45930</v>
      </c>
      <c r="F506" s="311" t="n">
        <v>45930</v>
      </c>
      <c r="G506" s="311" t="n">
        <v>45954</v>
      </c>
      <c r="H506" s="311" t="n">
        <v>45959</v>
      </c>
      <c r="I506" t="inlineStr">
        <is>
          <t>LU1911739370|Rachat|2025-07-31</t>
        </is>
      </c>
    </row>
    <row r="507">
      <c r="A507" t="inlineStr">
        <is>
          <t>LU1911739370</t>
        </is>
      </c>
      <c r="B507" t="inlineStr"/>
      <c r="C507" t="inlineStr">
        <is>
          <t>Rachat</t>
        </is>
      </c>
      <c r="D507" s="311" t="n">
        <v>45898</v>
      </c>
      <c r="E507" s="311" t="n">
        <v>45961</v>
      </c>
      <c r="F507" s="311" t="n">
        <v>45961</v>
      </c>
      <c r="G507" s="311" t="n">
        <v>45987</v>
      </c>
      <c r="H507" s="311" t="n">
        <v>45992</v>
      </c>
      <c r="I507" t="inlineStr">
        <is>
          <t>LU1911739370|Rachat|2025-08-29</t>
        </is>
      </c>
    </row>
    <row r="508">
      <c r="A508" t="inlineStr">
        <is>
          <t>LU1911739370</t>
        </is>
      </c>
      <c r="B508" t="inlineStr"/>
      <c r="C508" t="inlineStr">
        <is>
          <t>Rachat</t>
        </is>
      </c>
      <c r="D508" s="311" t="n">
        <v>45930</v>
      </c>
      <c r="E508" s="311" t="n">
        <v>45989</v>
      </c>
      <c r="F508" s="311" t="n">
        <v>45989</v>
      </c>
      <c r="G508" s="311" t="n">
        <v>46020</v>
      </c>
      <c r="H508" s="311" t="n">
        <v>46024</v>
      </c>
      <c r="I508" t="inlineStr">
        <is>
          <t>LU1911739370|Rachat|2025-09-30</t>
        </is>
      </c>
    </row>
    <row r="509">
      <c r="A509" t="inlineStr">
        <is>
          <t>LU1911739370</t>
        </is>
      </c>
      <c r="B509" t="inlineStr"/>
      <c r="C509" t="inlineStr">
        <is>
          <t>Rachat</t>
        </is>
      </c>
      <c r="D509" s="311" t="n">
        <v>45961</v>
      </c>
      <c r="E509" s="311" t="n">
        <v>46022</v>
      </c>
      <c r="F509" s="311" t="n">
        <v>46022</v>
      </c>
      <c r="G509" s="311" t="n">
        <v>46049</v>
      </c>
      <c r="H509" s="311" t="n">
        <v>46052</v>
      </c>
      <c r="I509" t="inlineStr">
        <is>
          <t>LU1911739370|Rachat|2025-10-31</t>
        </is>
      </c>
    </row>
    <row r="510">
      <c r="A510" t="inlineStr">
        <is>
          <t>LU1911739370</t>
        </is>
      </c>
      <c r="B510" t="inlineStr"/>
      <c r="C510" t="inlineStr">
        <is>
          <t>Rachat</t>
        </is>
      </c>
      <c r="D510" s="311" t="n">
        <v>45989</v>
      </c>
      <c r="E510" s="311" t="n">
        <v>46052</v>
      </c>
      <c r="F510" s="311" t="n">
        <v>46052</v>
      </c>
      <c r="G510" s="311" t="n">
        <v>46078</v>
      </c>
      <c r="H510" s="311" t="n">
        <v>46083</v>
      </c>
      <c r="I510" t="inlineStr">
        <is>
          <t>LU1911739370|Rachat|2025-11-28</t>
        </is>
      </c>
    </row>
    <row r="511">
      <c r="A511" t="inlineStr">
        <is>
          <t>LU1911739370</t>
        </is>
      </c>
      <c r="B511" t="inlineStr"/>
      <c r="C511" t="inlineStr">
        <is>
          <t>Rachat</t>
        </is>
      </c>
      <c r="D511" s="311" t="n">
        <v>46022</v>
      </c>
      <c r="E511" s="311" t="n">
        <v>46080</v>
      </c>
      <c r="F511" s="311" t="n">
        <v>46080</v>
      </c>
      <c r="G511" s="311" t="n">
        <v>46106</v>
      </c>
      <c r="H511" s="311" t="n">
        <v>46111</v>
      </c>
      <c r="I511" t="inlineStr">
        <is>
          <t>LU1911739370|Rachat|2025-12-31</t>
        </is>
      </c>
    </row>
    <row r="512">
      <c r="A512" t="inlineStr">
        <is>
          <t>LU1911739370</t>
        </is>
      </c>
      <c r="B512" t="inlineStr"/>
      <c r="C512" t="inlineStr">
        <is>
          <t>Rachat</t>
        </is>
      </c>
      <c r="D512" s="311" t="n">
        <v>46052</v>
      </c>
      <c r="E512" s="311" t="n">
        <v>46112</v>
      </c>
      <c r="F512" s="311" t="n">
        <v>46112</v>
      </c>
      <c r="G512" s="311" t="n">
        <v>46140</v>
      </c>
      <c r="H512" s="311" t="n">
        <v>46146</v>
      </c>
      <c r="I512" t="inlineStr">
        <is>
          <t>LU1911739370|Rachat|2026-01-30</t>
        </is>
      </c>
    </row>
    <row r="513">
      <c r="A513" t="inlineStr">
        <is>
          <t>LU1911739370</t>
        </is>
      </c>
      <c r="B513" t="inlineStr"/>
      <c r="C513" t="inlineStr">
        <is>
          <t>Rachat</t>
        </is>
      </c>
      <c r="D513" s="311" t="n">
        <v>46080</v>
      </c>
      <c r="E513" s="311" t="n">
        <v>46142</v>
      </c>
      <c r="F513" s="311" t="n">
        <v>46142</v>
      </c>
      <c r="G513" s="311" t="n">
        <v>46171</v>
      </c>
      <c r="H513" s="311" t="n">
        <v>46176</v>
      </c>
      <c r="I513" t="inlineStr">
        <is>
          <t>LU1911739370|Rachat|2026-02-27</t>
        </is>
      </c>
    </row>
    <row r="514">
      <c r="A514" t="inlineStr">
        <is>
          <t>LU1911739370</t>
        </is>
      </c>
      <c r="B514" t="inlineStr"/>
      <c r="C514" t="inlineStr">
        <is>
          <t>Rachat</t>
        </is>
      </c>
      <c r="D514" s="311" t="n">
        <v>46112</v>
      </c>
      <c r="E514" s="311" t="n">
        <v>46171</v>
      </c>
      <c r="F514" s="311" t="n">
        <v>46171</v>
      </c>
      <c r="G514" s="311" t="n">
        <v>46198</v>
      </c>
      <c r="H514" s="311" t="n">
        <v>46203</v>
      </c>
      <c r="I514" t="inlineStr">
        <is>
          <t>LU1911739370|Rachat|2026-03-31</t>
        </is>
      </c>
    </row>
    <row r="515">
      <c r="A515" t="inlineStr">
        <is>
          <t>LU1911739370</t>
        </is>
      </c>
      <c r="B515" t="inlineStr"/>
      <c r="C515" t="inlineStr">
        <is>
          <t>Rachat</t>
        </is>
      </c>
      <c r="D515" s="311" t="n">
        <v>46142</v>
      </c>
      <c r="E515" s="311" t="n">
        <v>46203</v>
      </c>
      <c r="F515" s="311" t="n">
        <v>46203</v>
      </c>
      <c r="G515" s="311" t="n">
        <v>46227</v>
      </c>
      <c r="H515" s="311" t="n">
        <v>46232</v>
      </c>
      <c r="I515" t="inlineStr">
        <is>
          <t>LU1911739370|Rachat|2026-04-30</t>
        </is>
      </c>
    </row>
    <row r="516">
      <c r="A516" t="inlineStr">
        <is>
          <t>LU1911739370</t>
        </is>
      </c>
      <c r="B516" t="inlineStr"/>
      <c r="C516" t="inlineStr">
        <is>
          <t>Rachat</t>
        </is>
      </c>
      <c r="D516" s="311" t="n">
        <v>46171</v>
      </c>
      <c r="E516" s="311" t="n">
        <v>46234</v>
      </c>
      <c r="F516" s="311" t="n">
        <v>46234</v>
      </c>
      <c r="G516" s="311" t="n">
        <v>46260</v>
      </c>
      <c r="H516" s="311" t="n">
        <v>46265</v>
      </c>
      <c r="I516" t="inlineStr">
        <is>
          <t>LU1911739370|Rachat|2026-05-29</t>
        </is>
      </c>
    </row>
    <row r="517">
      <c r="A517" t="inlineStr">
        <is>
          <t>LU1911739370</t>
        </is>
      </c>
      <c r="B517" t="inlineStr"/>
      <c r="C517" t="inlineStr">
        <is>
          <t>Rachat</t>
        </is>
      </c>
      <c r="D517" s="311" t="n">
        <v>46203</v>
      </c>
      <c r="E517" s="311" t="n">
        <v>46265</v>
      </c>
      <c r="F517" s="311" t="n">
        <v>46265</v>
      </c>
      <c r="G517" s="311" t="n">
        <v>46289</v>
      </c>
      <c r="H517" s="311" t="n">
        <v>46294</v>
      </c>
      <c r="I517" t="inlineStr">
        <is>
          <t>LU1911739370|Rachat|2026-06-30</t>
        </is>
      </c>
    </row>
    <row r="518">
      <c r="A518" t="inlineStr">
        <is>
          <t>LU1911739370</t>
        </is>
      </c>
      <c r="B518" t="inlineStr"/>
      <c r="C518" t="inlineStr">
        <is>
          <t>Rachat</t>
        </is>
      </c>
      <c r="D518" s="311" t="n">
        <v>46234</v>
      </c>
      <c r="E518" s="311" t="n">
        <v>46295</v>
      </c>
      <c r="F518" s="311" t="n">
        <v>46295</v>
      </c>
      <c r="G518" s="311" t="n">
        <v>46321</v>
      </c>
      <c r="H518" s="311" t="n">
        <v>46324</v>
      </c>
      <c r="I518" t="inlineStr">
        <is>
          <t>LU1911739370|Rachat|2026-07-31</t>
        </is>
      </c>
    </row>
    <row r="519">
      <c r="A519" t="inlineStr">
        <is>
          <t>LU1911739370</t>
        </is>
      </c>
      <c r="B519" t="inlineStr"/>
      <c r="C519" t="inlineStr">
        <is>
          <t>Rachat</t>
        </is>
      </c>
      <c r="D519" s="311" t="n">
        <v>46265</v>
      </c>
      <c r="E519" s="311" t="n">
        <v>46325</v>
      </c>
      <c r="F519" s="311" t="n">
        <v>46325</v>
      </c>
      <c r="G519" s="311" t="n">
        <v>46351</v>
      </c>
      <c r="H519" s="311" t="n">
        <v>46356</v>
      </c>
      <c r="I519" t="inlineStr">
        <is>
          <t>LU1911739370|Rachat|2026-08-31</t>
        </is>
      </c>
    </row>
    <row r="520">
      <c r="A520" t="inlineStr">
        <is>
          <t>LU1911739370</t>
        </is>
      </c>
      <c r="B520" t="inlineStr"/>
      <c r="C520" t="inlineStr">
        <is>
          <t>Rachat</t>
        </is>
      </c>
      <c r="D520" s="311" t="n">
        <v>46295</v>
      </c>
      <c r="E520" s="311" t="n">
        <v>46356</v>
      </c>
      <c r="F520" s="311" t="n">
        <v>46356</v>
      </c>
      <c r="G520" s="311" t="n">
        <v>46380</v>
      </c>
      <c r="H520" s="311" t="n">
        <v>46386</v>
      </c>
      <c r="I520" t="inlineStr">
        <is>
          <t>LU1911739370|Rachat|2026-09-30</t>
        </is>
      </c>
    </row>
    <row r="521">
      <c r="A521" t="inlineStr">
        <is>
          <t>LU1911739370</t>
        </is>
      </c>
      <c r="B521" t="inlineStr"/>
      <c r="C521" t="inlineStr">
        <is>
          <t>Rachat</t>
        </is>
      </c>
      <c r="D521" s="311" t="n">
        <v>46325</v>
      </c>
      <c r="E521" s="311" t="n">
        <v>46387</v>
      </c>
      <c r="F521" s="311" t="n">
        <v>46387</v>
      </c>
      <c r="G521" s="311" t="n">
        <v>46414</v>
      </c>
      <c r="H521" s="311" t="n">
        <v>46419</v>
      </c>
      <c r="I521" t="inlineStr">
        <is>
          <t>LU1911739370|Rachat|2026-10-30</t>
        </is>
      </c>
    </row>
    <row r="522">
      <c r="A522" t="inlineStr">
        <is>
          <t>LU1911739297</t>
        </is>
      </c>
      <c r="B522" t="inlineStr"/>
      <c r="C522" t="inlineStr">
        <is>
          <t>Rachat</t>
        </is>
      </c>
      <c r="D522" s="311" t="n">
        <v>45688</v>
      </c>
      <c r="E522" s="311" t="n">
        <v>45747</v>
      </c>
      <c r="F522" s="311" t="n">
        <v>45747</v>
      </c>
      <c r="G522" s="311" t="n">
        <v>45775</v>
      </c>
      <c r="H522" s="311" t="n">
        <v>45779</v>
      </c>
      <c r="I522" t="inlineStr">
        <is>
          <t>LU1911739297|Rachat|2025-01-31</t>
        </is>
      </c>
    </row>
    <row r="523">
      <c r="A523" t="inlineStr">
        <is>
          <t>LU1911739297</t>
        </is>
      </c>
      <c r="B523" t="inlineStr"/>
      <c r="C523" t="inlineStr">
        <is>
          <t>Rachat</t>
        </is>
      </c>
      <c r="D523" s="311" t="n">
        <v>45716</v>
      </c>
      <c r="E523" s="311" t="n">
        <v>45777</v>
      </c>
      <c r="F523" s="311" t="n">
        <v>45777</v>
      </c>
      <c r="G523" s="311" t="n">
        <v>45805</v>
      </c>
      <c r="H523" s="311" t="n">
        <v>45811</v>
      </c>
      <c r="I523" t="inlineStr">
        <is>
          <t>LU1911739297|Rachat|2025-02-28</t>
        </is>
      </c>
    </row>
    <row r="524">
      <c r="A524" t="inlineStr">
        <is>
          <t>LU1911739297</t>
        </is>
      </c>
      <c r="B524" t="inlineStr"/>
      <c r="C524" t="inlineStr">
        <is>
          <t>Rachat</t>
        </is>
      </c>
      <c r="D524" s="311" t="n">
        <v>45747</v>
      </c>
      <c r="E524" s="311" t="n">
        <v>45807</v>
      </c>
      <c r="F524" s="311" t="n">
        <v>45807</v>
      </c>
      <c r="G524" s="311" t="n">
        <v>45835</v>
      </c>
      <c r="H524" s="311" t="n">
        <v>45840</v>
      </c>
      <c r="I524" t="inlineStr">
        <is>
          <t>LU1911739297|Rachat|2025-03-31</t>
        </is>
      </c>
    </row>
    <row r="525">
      <c r="A525" t="inlineStr">
        <is>
          <t>LU1911739297</t>
        </is>
      </c>
      <c r="B525" t="inlineStr"/>
      <c r="C525" t="inlineStr">
        <is>
          <t>Rachat</t>
        </is>
      </c>
      <c r="D525" s="311" t="n">
        <v>45777</v>
      </c>
      <c r="E525" s="311" t="n">
        <v>45838</v>
      </c>
      <c r="F525" s="311" t="n">
        <v>45838</v>
      </c>
      <c r="G525" s="311" t="n">
        <v>45862</v>
      </c>
      <c r="H525" s="311" t="n">
        <v>45867</v>
      </c>
      <c r="I525" t="inlineStr">
        <is>
          <t>LU1911739297|Rachat|2025-04-30</t>
        </is>
      </c>
    </row>
    <row r="526">
      <c r="A526" t="inlineStr">
        <is>
          <t>LU1911739297</t>
        </is>
      </c>
      <c r="B526" t="inlineStr"/>
      <c r="C526" t="inlineStr">
        <is>
          <t>Rachat</t>
        </is>
      </c>
      <c r="D526" s="311" t="n">
        <v>45807</v>
      </c>
      <c r="E526" s="311" t="n">
        <v>45869</v>
      </c>
      <c r="F526" s="311" t="n">
        <v>45869</v>
      </c>
      <c r="G526" s="311" t="n">
        <v>45896</v>
      </c>
      <c r="H526" s="311" t="n">
        <v>45901</v>
      </c>
      <c r="I526" t="inlineStr">
        <is>
          <t>LU1911739297|Rachat|2025-05-30</t>
        </is>
      </c>
    </row>
    <row r="527">
      <c r="A527" t="inlineStr">
        <is>
          <t>LU1911739297</t>
        </is>
      </c>
      <c r="B527" t="inlineStr"/>
      <c r="C527" t="inlineStr">
        <is>
          <t>Rachat</t>
        </is>
      </c>
      <c r="D527" s="311" t="n">
        <v>45838</v>
      </c>
      <c r="E527" s="311" t="n">
        <v>45898</v>
      </c>
      <c r="F527" s="311" t="n">
        <v>45898</v>
      </c>
      <c r="G527" s="311" t="n">
        <v>45924</v>
      </c>
      <c r="H527" s="311" t="n">
        <v>45929</v>
      </c>
      <c r="I527" t="inlineStr">
        <is>
          <t>LU1911739297|Rachat|2025-06-30</t>
        </is>
      </c>
    </row>
    <row r="528">
      <c r="A528" t="inlineStr">
        <is>
          <t>LU1911739297</t>
        </is>
      </c>
      <c r="B528" t="inlineStr"/>
      <c r="C528" t="inlineStr">
        <is>
          <t>Rachat</t>
        </is>
      </c>
      <c r="D528" s="311" t="n">
        <v>45869</v>
      </c>
      <c r="E528" s="311" t="n">
        <v>45930</v>
      </c>
      <c r="F528" s="311" t="n">
        <v>45930</v>
      </c>
      <c r="G528" s="311" t="n">
        <v>45954</v>
      </c>
      <c r="H528" s="311" t="n">
        <v>45959</v>
      </c>
      <c r="I528" t="inlineStr">
        <is>
          <t>LU1911739297|Rachat|2025-07-31</t>
        </is>
      </c>
    </row>
    <row r="529">
      <c r="A529" t="inlineStr">
        <is>
          <t>LU1911739297</t>
        </is>
      </c>
      <c r="B529" t="inlineStr"/>
      <c r="C529" t="inlineStr">
        <is>
          <t>Rachat</t>
        </is>
      </c>
      <c r="D529" s="311" t="n">
        <v>45898</v>
      </c>
      <c r="E529" s="311" t="n">
        <v>45961</v>
      </c>
      <c r="F529" s="311" t="n">
        <v>45961</v>
      </c>
      <c r="G529" s="311" t="n">
        <v>45987</v>
      </c>
      <c r="H529" s="311" t="n">
        <v>45992</v>
      </c>
      <c r="I529" t="inlineStr">
        <is>
          <t>LU1911739297|Rachat|2025-08-29</t>
        </is>
      </c>
    </row>
    <row r="530">
      <c r="A530" t="inlineStr">
        <is>
          <t>LU1911739297</t>
        </is>
      </c>
      <c r="B530" t="inlineStr"/>
      <c r="C530" t="inlineStr">
        <is>
          <t>Rachat</t>
        </is>
      </c>
      <c r="D530" s="311" t="n">
        <v>45930</v>
      </c>
      <c r="E530" s="311" t="n">
        <v>45989</v>
      </c>
      <c r="F530" s="311" t="n">
        <v>45989</v>
      </c>
      <c r="G530" s="311" t="n">
        <v>46020</v>
      </c>
      <c r="H530" s="311" t="n">
        <v>46024</v>
      </c>
      <c r="I530" t="inlineStr">
        <is>
          <t>LU1911739297|Rachat|2025-09-30</t>
        </is>
      </c>
    </row>
    <row r="531">
      <c r="A531" t="inlineStr">
        <is>
          <t>LU1911739297</t>
        </is>
      </c>
      <c r="B531" t="inlineStr"/>
      <c r="C531" t="inlineStr">
        <is>
          <t>Rachat</t>
        </is>
      </c>
      <c r="D531" s="311" t="n">
        <v>45961</v>
      </c>
      <c r="E531" s="311" t="n">
        <v>46022</v>
      </c>
      <c r="F531" s="311" t="n">
        <v>46022</v>
      </c>
      <c r="G531" s="311" t="n">
        <v>46049</v>
      </c>
      <c r="H531" s="311" t="n">
        <v>46052</v>
      </c>
      <c r="I531" t="inlineStr">
        <is>
          <t>LU1911739297|Rachat|2025-10-31</t>
        </is>
      </c>
    </row>
    <row r="532">
      <c r="A532" t="inlineStr">
        <is>
          <t>LU1911739297</t>
        </is>
      </c>
      <c r="B532" t="inlineStr"/>
      <c r="C532" t="inlineStr">
        <is>
          <t>Rachat</t>
        </is>
      </c>
      <c r="D532" s="311" t="n">
        <v>45989</v>
      </c>
      <c r="E532" s="311" t="n">
        <v>46052</v>
      </c>
      <c r="F532" s="311" t="n">
        <v>46052</v>
      </c>
      <c r="G532" s="311" t="n">
        <v>46078</v>
      </c>
      <c r="H532" s="311" t="n">
        <v>46083</v>
      </c>
      <c r="I532" t="inlineStr">
        <is>
          <t>LU1911739297|Rachat|2025-11-28</t>
        </is>
      </c>
    </row>
    <row r="533">
      <c r="A533" t="inlineStr">
        <is>
          <t>LU1911739297</t>
        </is>
      </c>
      <c r="B533" t="inlineStr"/>
      <c r="C533" t="inlineStr">
        <is>
          <t>Rachat</t>
        </is>
      </c>
      <c r="D533" s="311" t="n">
        <v>46022</v>
      </c>
      <c r="E533" s="311" t="n">
        <v>46080</v>
      </c>
      <c r="F533" s="311" t="n">
        <v>46080</v>
      </c>
      <c r="G533" s="311" t="n">
        <v>46106</v>
      </c>
      <c r="H533" s="311" t="n">
        <v>46111</v>
      </c>
      <c r="I533" t="inlineStr">
        <is>
          <t>LU1911739297|Rachat|2025-12-31</t>
        </is>
      </c>
    </row>
    <row r="534">
      <c r="A534" t="inlineStr">
        <is>
          <t>LU1911739297</t>
        </is>
      </c>
      <c r="B534" t="inlineStr"/>
      <c r="C534" t="inlineStr">
        <is>
          <t>Rachat</t>
        </is>
      </c>
      <c r="D534" s="311" t="n">
        <v>46052</v>
      </c>
      <c r="E534" s="311" t="n">
        <v>46112</v>
      </c>
      <c r="F534" s="311" t="n">
        <v>46112</v>
      </c>
      <c r="G534" s="311" t="n">
        <v>46140</v>
      </c>
      <c r="H534" s="311" t="n">
        <v>46146</v>
      </c>
      <c r="I534" t="inlineStr">
        <is>
          <t>LU1911739297|Rachat|2026-01-30</t>
        </is>
      </c>
    </row>
    <row r="535">
      <c r="A535" t="inlineStr">
        <is>
          <t>LU1911739297</t>
        </is>
      </c>
      <c r="B535" t="inlineStr"/>
      <c r="C535" t="inlineStr">
        <is>
          <t>Rachat</t>
        </is>
      </c>
      <c r="D535" s="311" t="n">
        <v>46080</v>
      </c>
      <c r="E535" s="311" t="n">
        <v>46142</v>
      </c>
      <c r="F535" s="311" t="n">
        <v>46142</v>
      </c>
      <c r="G535" s="311" t="n">
        <v>46171</v>
      </c>
      <c r="H535" s="311" t="n">
        <v>46176</v>
      </c>
      <c r="I535" t="inlineStr">
        <is>
          <t>LU1911739297|Rachat|2026-02-27</t>
        </is>
      </c>
    </row>
    <row r="536">
      <c r="A536" t="inlineStr">
        <is>
          <t>LU1911739297</t>
        </is>
      </c>
      <c r="B536" t="inlineStr"/>
      <c r="C536" t="inlineStr">
        <is>
          <t>Rachat</t>
        </is>
      </c>
      <c r="D536" s="311" t="n">
        <v>46112</v>
      </c>
      <c r="E536" s="311" t="n">
        <v>46171</v>
      </c>
      <c r="F536" s="311" t="n">
        <v>46171</v>
      </c>
      <c r="G536" s="311" t="n">
        <v>46198</v>
      </c>
      <c r="H536" s="311" t="n">
        <v>46203</v>
      </c>
      <c r="I536" t="inlineStr">
        <is>
          <t>LU1911739297|Rachat|2026-03-31</t>
        </is>
      </c>
    </row>
    <row r="537">
      <c r="A537" t="inlineStr">
        <is>
          <t>LU1911739297</t>
        </is>
      </c>
      <c r="B537" t="inlineStr"/>
      <c r="C537" t="inlineStr">
        <is>
          <t>Rachat</t>
        </is>
      </c>
      <c r="D537" s="311" t="n">
        <v>46142</v>
      </c>
      <c r="E537" s="311" t="n">
        <v>46203</v>
      </c>
      <c r="F537" s="311" t="n">
        <v>46203</v>
      </c>
      <c r="G537" s="311" t="n">
        <v>46227</v>
      </c>
      <c r="H537" s="311" t="n">
        <v>46232</v>
      </c>
      <c r="I537" t="inlineStr">
        <is>
          <t>LU1911739297|Rachat|2026-04-30</t>
        </is>
      </c>
    </row>
    <row r="538">
      <c r="A538" t="inlineStr">
        <is>
          <t>LU1911739297</t>
        </is>
      </c>
      <c r="B538" t="inlineStr"/>
      <c r="C538" t="inlineStr">
        <is>
          <t>Rachat</t>
        </is>
      </c>
      <c r="D538" s="311" t="n">
        <v>46171</v>
      </c>
      <c r="E538" s="311" t="n">
        <v>46234</v>
      </c>
      <c r="F538" s="311" t="n">
        <v>46234</v>
      </c>
      <c r="G538" s="311" t="n">
        <v>46260</v>
      </c>
      <c r="H538" s="311" t="n">
        <v>46265</v>
      </c>
      <c r="I538" t="inlineStr">
        <is>
          <t>LU1911739297|Rachat|2026-05-29</t>
        </is>
      </c>
    </row>
    <row r="539">
      <c r="A539" t="inlineStr">
        <is>
          <t>LU1911739297</t>
        </is>
      </c>
      <c r="B539" t="inlineStr"/>
      <c r="C539" t="inlineStr">
        <is>
          <t>Rachat</t>
        </is>
      </c>
      <c r="D539" s="311" t="n">
        <v>46203</v>
      </c>
      <c r="E539" s="311" t="n">
        <v>46265</v>
      </c>
      <c r="F539" s="311" t="n">
        <v>46265</v>
      </c>
      <c r="G539" s="311" t="n">
        <v>46289</v>
      </c>
      <c r="H539" s="311" t="n">
        <v>46294</v>
      </c>
      <c r="I539" t="inlineStr">
        <is>
          <t>LU1911739297|Rachat|2026-06-30</t>
        </is>
      </c>
    </row>
    <row r="540">
      <c r="A540" t="inlineStr">
        <is>
          <t>LU1911739297</t>
        </is>
      </c>
      <c r="B540" t="inlineStr"/>
      <c r="C540" t="inlineStr">
        <is>
          <t>Rachat</t>
        </is>
      </c>
      <c r="D540" s="311" t="n">
        <v>46234</v>
      </c>
      <c r="E540" s="311" t="n">
        <v>46295</v>
      </c>
      <c r="F540" s="311" t="n">
        <v>46295</v>
      </c>
      <c r="G540" s="311" t="n">
        <v>46321</v>
      </c>
      <c r="H540" s="311" t="n">
        <v>46324</v>
      </c>
      <c r="I540" t="inlineStr">
        <is>
          <t>LU1911739297|Rachat|2026-07-31</t>
        </is>
      </c>
    </row>
    <row r="541">
      <c r="A541" t="inlineStr">
        <is>
          <t>LU1911739297</t>
        </is>
      </c>
      <c r="B541" t="inlineStr"/>
      <c r="C541" t="inlineStr">
        <is>
          <t>Rachat</t>
        </is>
      </c>
      <c r="D541" s="311" t="n">
        <v>46265</v>
      </c>
      <c r="E541" s="311" t="n">
        <v>46325</v>
      </c>
      <c r="F541" s="311" t="n">
        <v>46325</v>
      </c>
      <c r="G541" s="311" t="n">
        <v>46351</v>
      </c>
      <c r="H541" s="311" t="n">
        <v>46356</v>
      </c>
      <c r="I541" t="inlineStr">
        <is>
          <t>LU1911739297|Rachat|2026-08-31</t>
        </is>
      </c>
    </row>
    <row r="542">
      <c r="A542" t="inlineStr">
        <is>
          <t>LU1911739297</t>
        </is>
      </c>
      <c r="B542" t="inlineStr"/>
      <c r="C542" t="inlineStr">
        <is>
          <t>Rachat</t>
        </is>
      </c>
      <c r="D542" s="311" t="n">
        <v>46295</v>
      </c>
      <c r="E542" s="311" t="n">
        <v>46356</v>
      </c>
      <c r="F542" s="311" t="n">
        <v>46356</v>
      </c>
      <c r="G542" s="311" t="n">
        <v>46380</v>
      </c>
      <c r="H542" s="311" t="n">
        <v>46386</v>
      </c>
      <c r="I542" t="inlineStr">
        <is>
          <t>LU1911739297|Rachat|2026-09-30</t>
        </is>
      </c>
    </row>
    <row r="543">
      <c r="A543" t="inlineStr">
        <is>
          <t>LU1911739297</t>
        </is>
      </c>
      <c r="B543" t="inlineStr"/>
      <c r="C543" t="inlineStr">
        <is>
          <t>Rachat</t>
        </is>
      </c>
      <c r="D543" s="311" t="n">
        <v>46325</v>
      </c>
      <c r="E543" s="311" t="n">
        <v>46387</v>
      </c>
      <c r="F543" s="311" t="n">
        <v>46387</v>
      </c>
      <c r="G543" s="311" t="n">
        <v>46414</v>
      </c>
      <c r="H543" s="311" t="n">
        <v>46419</v>
      </c>
      <c r="I543" t="inlineStr">
        <is>
          <t>LU1911739297|Rachat|2026-10-30</t>
        </is>
      </c>
    </row>
    <row r="544">
      <c r="A544" t="inlineStr">
        <is>
          <t>LU2710930046</t>
        </is>
      </c>
      <c r="B544" t="inlineStr"/>
      <c r="C544" t="inlineStr">
        <is>
          <t>Souscription</t>
        </is>
      </c>
      <c r="D544" s="311" t="n">
        <v>45950</v>
      </c>
      <c r="F544" s="311" t="n">
        <v>45964</v>
      </c>
      <c r="G544" s="311" t="n">
        <v>45993</v>
      </c>
      <c r="H544" s="311" t="n">
        <v>45999</v>
      </c>
      <c r="I544" t="inlineStr">
        <is>
          <t>LU2710930046|Souscription|2025-10-20</t>
        </is>
      </c>
    </row>
    <row r="545">
      <c r="A545" t="inlineStr">
        <is>
          <t>LU2710930046</t>
        </is>
      </c>
      <c r="B545" t="inlineStr"/>
      <c r="C545" t="inlineStr">
        <is>
          <t>Souscription</t>
        </is>
      </c>
      <c r="D545" s="311" t="n">
        <v>45978</v>
      </c>
      <c r="F545" s="311" t="n">
        <v>45992</v>
      </c>
      <c r="G545" s="311" t="n">
        <v>46027</v>
      </c>
      <c r="H545" s="311" t="n">
        <v>46031</v>
      </c>
      <c r="I545" t="inlineStr">
        <is>
          <t>LU2710930046|Souscription|2025-11-17</t>
        </is>
      </c>
    </row>
    <row r="546">
      <c r="A546" t="inlineStr">
        <is>
          <t>LU2710930046</t>
        </is>
      </c>
      <c r="B546" t="inlineStr"/>
      <c r="C546" t="inlineStr">
        <is>
          <t>Souscription</t>
        </is>
      </c>
      <c r="D546" s="311" t="n">
        <v>46006</v>
      </c>
      <c r="F546" s="311" t="n">
        <v>46024</v>
      </c>
      <c r="G546" s="311" t="n">
        <v>46055</v>
      </c>
      <c r="H546" s="311" t="n">
        <v>46059</v>
      </c>
      <c r="I546" t="inlineStr">
        <is>
          <t>LU2710930046|Souscription|2025-12-15</t>
        </is>
      </c>
    </row>
    <row r="547">
      <c r="A547" t="inlineStr">
        <is>
          <t>LU2710930046</t>
        </is>
      </c>
      <c r="B547" t="inlineStr"/>
      <c r="C547" t="inlineStr">
        <is>
          <t>Souscription</t>
        </is>
      </c>
      <c r="D547" s="311" t="n">
        <v>46041</v>
      </c>
      <c r="F547" s="311" t="n">
        <v>46055</v>
      </c>
      <c r="G547" s="311" t="n">
        <v>46084</v>
      </c>
      <c r="H547" s="311" t="n">
        <v>46090</v>
      </c>
      <c r="I547" t="inlineStr">
        <is>
          <t>LU2710930046|Souscription|2026-01-19</t>
        </is>
      </c>
    </row>
    <row r="548">
      <c r="A548" t="inlineStr">
        <is>
          <t>LU2710930046</t>
        </is>
      </c>
      <c r="B548" t="inlineStr"/>
      <c r="C548" t="inlineStr">
        <is>
          <t>Souscription</t>
        </is>
      </c>
      <c r="D548" s="311" t="n">
        <v>46069</v>
      </c>
      <c r="F548" s="311" t="n">
        <v>46083</v>
      </c>
      <c r="G548" s="311" t="n">
        <v>46112</v>
      </c>
      <c r="H548" s="311" t="n">
        <v>46120</v>
      </c>
      <c r="I548" t="inlineStr">
        <is>
          <t>LU2710930046|Souscription|2026-02-16</t>
        </is>
      </c>
    </row>
    <row r="549">
      <c r="A549" t="inlineStr">
        <is>
          <t>LU2710930046</t>
        </is>
      </c>
      <c r="B549" t="inlineStr"/>
      <c r="C549" t="inlineStr">
        <is>
          <t>Souscription</t>
        </is>
      </c>
      <c r="D549" s="311" t="n">
        <v>46099</v>
      </c>
      <c r="F549" s="311" t="n">
        <v>46113</v>
      </c>
      <c r="G549" s="311" t="n">
        <v>46147</v>
      </c>
      <c r="H549" s="311" t="n">
        <v>46153</v>
      </c>
      <c r="I549" t="inlineStr">
        <is>
          <t>LU2710930046|Souscription|2026-03-18</t>
        </is>
      </c>
    </row>
    <row r="550">
      <c r="A550" t="inlineStr">
        <is>
          <t>LU2710930046</t>
        </is>
      </c>
      <c r="B550" t="inlineStr"/>
      <c r="C550" t="inlineStr">
        <is>
          <t>Souscription</t>
        </is>
      </c>
      <c r="D550" s="311" t="n">
        <v>46129</v>
      </c>
      <c r="F550" s="311" t="n">
        <v>46146</v>
      </c>
      <c r="G550" s="311" t="n">
        <v>46177</v>
      </c>
      <c r="H550" s="311" t="n">
        <v>46183</v>
      </c>
      <c r="I550" t="inlineStr">
        <is>
          <t>LU2710930046|Souscription|2026-04-17</t>
        </is>
      </c>
    </row>
    <row r="551">
      <c r="A551" t="inlineStr">
        <is>
          <t>LU2710930046</t>
        </is>
      </c>
      <c r="B551" t="inlineStr"/>
      <c r="C551" t="inlineStr">
        <is>
          <t>Souscription</t>
        </is>
      </c>
      <c r="D551" s="311" t="n">
        <v>46157</v>
      </c>
      <c r="F551" s="311" t="n">
        <v>46174</v>
      </c>
      <c r="G551" s="311" t="n">
        <v>46204</v>
      </c>
      <c r="H551" s="311" t="n">
        <v>46210</v>
      </c>
      <c r="I551" t="inlineStr">
        <is>
          <t>LU2710930046|Souscription|2026-05-15</t>
        </is>
      </c>
    </row>
    <row r="552">
      <c r="A552" t="inlineStr">
        <is>
          <t>LU2710930046</t>
        </is>
      </c>
      <c r="B552" t="inlineStr"/>
      <c r="C552" t="inlineStr">
        <is>
          <t>Souscription</t>
        </is>
      </c>
      <c r="D552" s="311" t="n">
        <v>46189</v>
      </c>
      <c r="F552" s="311" t="n">
        <v>46204</v>
      </c>
      <c r="G552" s="311" t="n">
        <v>46233</v>
      </c>
      <c r="H552" s="311" t="n">
        <v>46239</v>
      </c>
      <c r="I552" t="inlineStr">
        <is>
          <t>LU2710930046|Souscription|2026-06-16</t>
        </is>
      </c>
    </row>
    <row r="553">
      <c r="A553" t="inlineStr">
        <is>
          <t>LU2710930046</t>
        </is>
      </c>
      <c r="B553" t="inlineStr"/>
      <c r="C553" t="inlineStr">
        <is>
          <t>Souscription</t>
        </is>
      </c>
      <c r="D553" s="311" t="n">
        <v>46223</v>
      </c>
      <c r="F553" s="311" t="n">
        <v>46237</v>
      </c>
      <c r="G553" s="311" t="n">
        <v>46266</v>
      </c>
      <c r="H553" s="311" t="n">
        <v>46272</v>
      </c>
      <c r="I553" t="inlineStr">
        <is>
          <t>LU2710930046|Souscription|2026-07-20</t>
        </is>
      </c>
    </row>
    <row r="554">
      <c r="A554" t="inlineStr">
        <is>
          <t>LU2710930046</t>
        </is>
      </c>
      <c r="B554" t="inlineStr"/>
      <c r="C554" t="inlineStr">
        <is>
          <t>Souscription</t>
        </is>
      </c>
      <c r="D554" s="311" t="n">
        <v>46252</v>
      </c>
      <c r="F554" s="311" t="n">
        <v>46266</v>
      </c>
      <c r="G554" s="311" t="n">
        <v>46295</v>
      </c>
      <c r="H554" s="311" t="n">
        <v>46301</v>
      </c>
      <c r="I554" t="inlineStr">
        <is>
          <t>LU2710930046|Souscription|2026-08-18</t>
        </is>
      </c>
    </row>
    <row r="555">
      <c r="A555" t="inlineStr">
        <is>
          <t>LU2710930046</t>
        </is>
      </c>
      <c r="B555" t="inlineStr"/>
      <c r="C555" t="inlineStr">
        <is>
          <t>Souscription</t>
        </is>
      </c>
      <c r="D555" s="311" t="n">
        <v>46282</v>
      </c>
      <c r="F555" s="311" t="n">
        <v>46296</v>
      </c>
      <c r="G555" s="311" t="n">
        <v>46325</v>
      </c>
      <c r="H555" s="311" t="n">
        <v>46331</v>
      </c>
      <c r="I555" t="inlineStr">
        <is>
          <t>LU2710930046|Souscription|2026-09-17</t>
        </is>
      </c>
    </row>
    <row r="556">
      <c r="A556" t="inlineStr">
        <is>
          <t>LU2710930046</t>
        </is>
      </c>
      <c r="B556" t="inlineStr"/>
      <c r="C556" t="inlineStr">
        <is>
          <t>Souscription</t>
        </is>
      </c>
      <c r="D556" s="311" t="n">
        <v>46314</v>
      </c>
      <c r="F556" s="311" t="n">
        <v>46328</v>
      </c>
      <c r="G556" s="311" t="n">
        <v>46357</v>
      </c>
      <c r="H556" s="311" t="n">
        <v>46363</v>
      </c>
      <c r="I556" t="inlineStr">
        <is>
          <t>LU2710930046|Souscription|2026-10-19</t>
        </is>
      </c>
    </row>
    <row r="557">
      <c r="A557" t="inlineStr">
        <is>
          <t>LU2710930046</t>
        </is>
      </c>
      <c r="B557" t="inlineStr"/>
      <c r="C557" t="inlineStr">
        <is>
          <t>Souscription</t>
        </is>
      </c>
      <c r="D557" s="311" t="n">
        <v>46343</v>
      </c>
      <c r="F557" s="311" t="n">
        <v>46357</v>
      </c>
      <c r="G557" s="311" t="n">
        <v>46388</v>
      </c>
      <c r="H557" s="311" t="n">
        <v>46394</v>
      </c>
      <c r="I557" t="inlineStr">
        <is>
          <t>LU2710930046|Souscription|2026-11-17</t>
        </is>
      </c>
    </row>
    <row r="558">
      <c r="A558" t="inlineStr">
        <is>
          <t>LU2710930046</t>
        </is>
      </c>
      <c r="B558" t="inlineStr"/>
      <c r="C558" t="inlineStr">
        <is>
          <t>Souscription</t>
        </is>
      </c>
      <c r="D558" s="311" t="n">
        <v>46372</v>
      </c>
      <c r="F558" s="311" t="n">
        <v>46388</v>
      </c>
      <c r="G558" s="311" t="n">
        <v>46419</v>
      </c>
      <c r="H558" s="311" t="n">
        <v>46423</v>
      </c>
      <c r="I558" t="inlineStr">
        <is>
          <t>LU2710930046|Souscription|2026-12-16</t>
        </is>
      </c>
    </row>
    <row r="559">
      <c r="A559" t="inlineStr">
        <is>
          <t>LU2710930046</t>
        </is>
      </c>
      <c r="B559" t="inlineStr"/>
      <c r="C559" t="inlineStr">
        <is>
          <t>Rachat</t>
        </is>
      </c>
      <c r="D559" s="311" t="n">
        <v>45835</v>
      </c>
      <c r="F559" s="311" t="n">
        <v>45901</v>
      </c>
      <c r="G559" s="311" t="n">
        <v>45930</v>
      </c>
      <c r="H559" s="311" t="n">
        <v>45936</v>
      </c>
      <c r="I559" t="inlineStr">
        <is>
          <t>LU2710930046|Rachat|2025-06-27</t>
        </is>
      </c>
    </row>
    <row r="560">
      <c r="A560" t="inlineStr">
        <is>
          <t>LU2710930046</t>
        </is>
      </c>
      <c r="B560" t="inlineStr"/>
      <c r="C560" t="inlineStr">
        <is>
          <t>Rachat</t>
        </is>
      </c>
      <c r="D560" s="311" t="n">
        <v>45867</v>
      </c>
      <c r="F560" s="311" t="n">
        <v>45931</v>
      </c>
      <c r="G560" s="311" t="n">
        <v>45960</v>
      </c>
      <c r="H560" s="311" t="n">
        <v>45966</v>
      </c>
      <c r="I560" t="inlineStr">
        <is>
          <t>LU2710930046|Rachat|2025-07-29</t>
        </is>
      </c>
    </row>
    <row r="561">
      <c r="A561" t="inlineStr">
        <is>
          <t>LU2710930046</t>
        </is>
      </c>
      <c r="B561" t="inlineStr"/>
      <c r="C561" t="inlineStr">
        <is>
          <t>Rachat</t>
        </is>
      </c>
      <c r="D561" s="311" t="n">
        <v>45901</v>
      </c>
      <c r="F561" s="311" t="n">
        <v>45964</v>
      </c>
      <c r="G561" s="311" t="n">
        <v>45993</v>
      </c>
      <c r="H561" s="311" t="n">
        <v>45999</v>
      </c>
      <c r="I561" t="inlineStr">
        <is>
          <t>LU2710930046|Rachat|2025-09-01</t>
        </is>
      </c>
    </row>
    <row r="562">
      <c r="A562" t="inlineStr">
        <is>
          <t>LU2710930046</t>
        </is>
      </c>
      <c r="B562" t="inlineStr"/>
      <c r="C562" t="inlineStr">
        <is>
          <t>Rachat</t>
        </is>
      </c>
      <c r="D562" s="311" t="n">
        <v>45929</v>
      </c>
      <c r="F562" s="311" t="n">
        <v>45992</v>
      </c>
      <c r="G562" s="311" t="n">
        <v>46027</v>
      </c>
      <c r="H562" s="311" t="n">
        <v>46031</v>
      </c>
      <c r="I562" t="inlineStr">
        <is>
          <t>LU2710930046|Rachat|2025-09-29</t>
        </is>
      </c>
    </row>
    <row r="563">
      <c r="A563" t="inlineStr">
        <is>
          <t>LU2710930046</t>
        </is>
      </c>
      <c r="B563" t="inlineStr"/>
      <c r="C563" t="inlineStr">
        <is>
          <t>Rachat</t>
        </is>
      </c>
      <c r="D563" s="311" t="n">
        <v>45957</v>
      </c>
      <c r="F563" s="311" t="n">
        <v>46024</v>
      </c>
      <c r="G563" s="311" t="n">
        <v>46055</v>
      </c>
      <c r="H563" s="311" t="n">
        <v>46059</v>
      </c>
      <c r="I563" t="inlineStr">
        <is>
          <t>LU2710930046|Rachat|2025-10-27</t>
        </is>
      </c>
    </row>
    <row r="564">
      <c r="A564" t="inlineStr">
        <is>
          <t>LU2710930046</t>
        </is>
      </c>
      <c r="B564" t="inlineStr"/>
      <c r="C564" t="inlineStr">
        <is>
          <t>Rachat</t>
        </is>
      </c>
      <c r="D564" s="311" t="n">
        <v>45986</v>
      </c>
      <c r="F564" s="311" t="n">
        <v>46055</v>
      </c>
      <c r="G564" s="311" t="n">
        <v>46084</v>
      </c>
      <c r="H564" s="311" t="n">
        <v>46090</v>
      </c>
      <c r="I564" t="inlineStr">
        <is>
          <t>LU2710930046|Rachat|2025-11-25</t>
        </is>
      </c>
    </row>
    <row r="565">
      <c r="A565" t="inlineStr">
        <is>
          <t>LU2710930046</t>
        </is>
      </c>
      <c r="B565" t="inlineStr"/>
      <c r="C565" t="inlineStr">
        <is>
          <t>Rachat</t>
        </is>
      </c>
      <c r="D565" s="311" t="n">
        <v>46014</v>
      </c>
      <c r="F565" s="311" t="n">
        <v>46083</v>
      </c>
      <c r="G565" s="311" t="n">
        <v>46112</v>
      </c>
      <c r="H565" s="311" t="n">
        <v>46120</v>
      </c>
      <c r="I565" t="inlineStr">
        <is>
          <t>LU2710930046|Rachat|2025-12-23</t>
        </is>
      </c>
    </row>
    <row r="566">
      <c r="A566" t="inlineStr">
        <is>
          <t>LU2710930046</t>
        </is>
      </c>
      <c r="B566" t="inlineStr"/>
      <c r="C566" t="inlineStr">
        <is>
          <t>Rachat</t>
        </is>
      </c>
      <c r="D566" s="311" t="n">
        <v>46050</v>
      </c>
      <c r="F566" s="311" t="n">
        <v>46113</v>
      </c>
      <c r="G566" s="311" t="n">
        <v>46147</v>
      </c>
      <c r="H566" s="311" t="n">
        <v>46153</v>
      </c>
      <c r="I566" t="inlineStr">
        <is>
          <t>LU2710930046|Rachat|2026-01-28</t>
        </is>
      </c>
    </row>
    <row r="567">
      <c r="A567" t="inlineStr">
        <is>
          <t>LU2710930046</t>
        </is>
      </c>
      <c r="B567" t="inlineStr"/>
      <c r="C567" t="inlineStr">
        <is>
          <t>Rachat</t>
        </is>
      </c>
      <c r="D567" s="311" t="n">
        <v>46078</v>
      </c>
      <c r="F567" s="311" t="n">
        <v>46146</v>
      </c>
      <c r="G567" s="311" t="n">
        <v>46177</v>
      </c>
      <c r="H567" s="311" t="n">
        <v>46183</v>
      </c>
      <c r="I567" t="inlineStr">
        <is>
          <t>LU2710930046|Rachat|2026-02-25</t>
        </is>
      </c>
    </row>
    <row r="568">
      <c r="A568" t="inlineStr">
        <is>
          <t>LU2710930046</t>
        </is>
      </c>
      <c r="B568" t="inlineStr"/>
      <c r="C568" t="inlineStr">
        <is>
          <t>Rachat</t>
        </is>
      </c>
      <c r="D568" s="311" t="n">
        <v>46104</v>
      </c>
      <c r="F568" s="311" t="n">
        <v>46174</v>
      </c>
      <c r="G568" s="311" t="n">
        <v>46204</v>
      </c>
      <c r="H568" s="311" t="n">
        <v>46210</v>
      </c>
      <c r="I568" t="inlineStr">
        <is>
          <t>LU2710930046|Rachat|2026-03-23</t>
        </is>
      </c>
    </row>
    <row r="569">
      <c r="A569" t="inlineStr">
        <is>
          <t>LU2710930046</t>
        </is>
      </c>
      <c r="B569" t="inlineStr"/>
      <c r="C569" t="inlineStr">
        <is>
          <t>Rachat</t>
        </is>
      </c>
      <c r="D569" s="311" t="n">
        <v>46135</v>
      </c>
      <c r="F569" s="311" t="n">
        <v>46204</v>
      </c>
      <c r="G569" s="311" t="n">
        <v>46233</v>
      </c>
      <c r="H569" s="311" t="n">
        <v>46239</v>
      </c>
      <c r="I569" t="inlineStr">
        <is>
          <t>LU2710930046|Rachat|2026-04-23</t>
        </is>
      </c>
    </row>
    <row r="570">
      <c r="A570" t="inlineStr">
        <is>
          <t>LU2710930046</t>
        </is>
      </c>
      <c r="B570" t="inlineStr"/>
      <c r="C570" t="inlineStr">
        <is>
          <t>Rachat</t>
        </is>
      </c>
      <c r="D570" s="311" t="n">
        <v>46171</v>
      </c>
      <c r="F570" s="311" t="n">
        <v>46237</v>
      </c>
      <c r="G570" s="311" t="n">
        <v>46266</v>
      </c>
      <c r="H570" s="311" t="n">
        <v>46272</v>
      </c>
      <c r="I570" t="inlineStr">
        <is>
          <t>LU2710930046|Rachat|2026-05-29</t>
        </is>
      </c>
    </row>
    <row r="571">
      <c r="A571" t="inlineStr">
        <is>
          <t>LU2710930046</t>
        </is>
      </c>
      <c r="B571" t="inlineStr"/>
      <c r="C571" t="inlineStr">
        <is>
          <t>Rachat</t>
        </is>
      </c>
      <c r="D571" s="311" t="n">
        <v>46203</v>
      </c>
      <c r="F571" s="311" t="n">
        <v>46266</v>
      </c>
      <c r="G571" s="311" t="n">
        <v>46295</v>
      </c>
      <c r="H571" s="311" t="n">
        <v>46301</v>
      </c>
      <c r="I571" t="inlineStr">
        <is>
          <t>LU2710930046|Rachat|2026-06-30</t>
        </is>
      </c>
    </row>
    <row r="572">
      <c r="A572" t="inlineStr">
        <is>
          <t>LU2710930046</t>
        </is>
      </c>
      <c r="B572" t="inlineStr"/>
      <c r="C572" t="inlineStr">
        <is>
          <t>Rachat</t>
        </is>
      </c>
      <c r="D572" s="311" t="n">
        <v>46233</v>
      </c>
      <c r="F572" s="311" t="n">
        <v>46296</v>
      </c>
      <c r="G572" s="311" t="n">
        <v>46325</v>
      </c>
      <c r="H572" s="311" t="n">
        <v>46331</v>
      </c>
      <c r="I572" t="inlineStr">
        <is>
          <t>LU2710930046|Rachat|2026-07-30</t>
        </is>
      </c>
    </row>
    <row r="573">
      <c r="A573" t="inlineStr">
        <is>
          <t>LU2710930046</t>
        </is>
      </c>
      <c r="B573" t="inlineStr"/>
      <c r="C573" t="inlineStr">
        <is>
          <t>Rachat</t>
        </is>
      </c>
      <c r="D573" s="311" t="n">
        <v>46265</v>
      </c>
      <c r="F573" s="311" t="n">
        <v>46328</v>
      </c>
      <c r="G573" s="311" t="n">
        <v>46357</v>
      </c>
      <c r="H573" s="311" t="n">
        <v>46363</v>
      </c>
      <c r="I573" t="inlineStr">
        <is>
          <t>LU2710930046|Rachat|2026-08-31</t>
        </is>
      </c>
    </row>
    <row r="574">
      <c r="A574" t="inlineStr">
        <is>
          <t>LU2710930046</t>
        </is>
      </c>
      <c r="B574" t="inlineStr"/>
      <c r="C574" t="inlineStr">
        <is>
          <t>Rachat</t>
        </is>
      </c>
      <c r="D574" s="311" t="n">
        <v>46294</v>
      </c>
      <c r="F574" s="311" t="n">
        <v>46357</v>
      </c>
      <c r="G574" s="311" t="n">
        <v>46388</v>
      </c>
      <c r="H574" s="311" t="n">
        <v>46394</v>
      </c>
      <c r="I574" t="inlineStr">
        <is>
          <t>LU2710930046|Rachat|2026-09-29</t>
        </is>
      </c>
    </row>
    <row r="575">
      <c r="A575" t="inlineStr">
        <is>
          <t>LU2710930046</t>
        </is>
      </c>
      <c r="B575" t="inlineStr"/>
      <c r="C575" t="inlineStr">
        <is>
          <t>Rachat</t>
        </is>
      </c>
      <c r="D575" s="311" t="n">
        <v>46323</v>
      </c>
      <c r="F575" s="311" t="n">
        <v>46388</v>
      </c>
      <c r="G575" s="311" t="n">
        <v>46419</v>
      </c>
      <c r="H575" s="311" t="n">
        <v>46423</v>
      </c>
      <c r="I575" t="inlineStr">
        <is>
          <t>LU2710930046|Rachat|2026-10-28</t>
        </is>
      </c>
    </row>
    <row r="576">
      <c r="A576" t="inlineStr">
        <is>
          <t>LU2710930046</t>
        </is>
      </c>
      <c r="B576" t="inlineStr"/>
      <c r="C576" t="inlineStr">
        <is>
          <t>Rachat</t>
        </is>
      </c>
      <c r="D576" s="311" t="n">
        <v>46352</v>
      </c>
      <c r="F576" s="311" t="n">
        <v>46419</v>
      </c>
      <c r="G576" s="311" t="n">
        <v>46448</v>
      </c>
      <c r="H576" s="311" t="n">
        <v>46454</v>
      </c>
      <c r="I576" t="inlineStr">
        <is>
          <t>LU2710930046|Rachat|2026-11-26</t>
        </is>
      </c>
    </row>
    <row r="577">
      <c r="A577" t="inlineStr">
        <is>
          <t>LU2710930046</t>
        </is>
      </c>
      <c r="B577" t="inlineStr"/>
      <c r="C577" t="inlineStr">
        <is>
          <t>Rachat</t>
        </is>
      </c>
      <c r="D577" s="311" t="n">
        <v>46384</v>
      </c>
      <c r="F577" s="311" t="n">
        <v>46447</v>
      </c>
      <c r="G577" s="311" t="n">
        <v>46476</v>
      </c>
      <c r="H577" s="311" t="n">
        <v>46482</v>
      </c>
      <c r="I577" t="inlineStr">
        <is>
          <t>LU2710930046|Rachat|2026-12-28</t>
        </is>
      </c>
    </row>
    <row r="578">
      <c r="A578" t="inlineStr">
        <is>
          <t>LU2441620379</t>
        </is>
      </c>
      <c r="B578" t="inlineStr"/>
      <c r="C578" t="inlineStr">
        <is>
          <t>Souscription</t>
        </is>
      </c>
      <c r="D578" s="311" t="n">
        <v>46189</v>
      </c>
      <c r="E578" s="311" t="n">
        <v>46203</v>
      </c>
      <c r="F578" s="311" t="n">
        <v>46203</v>
      </c>
      <c r="H578" s="311" t="n">
        <v>46199</v>
      </c>
      <c r="I578" t="inlineStr">
        <is>
          <t>LU2441620379|Souscription|2026-06-16</t>
        </is>
      </c>
    </row>
    <row r="579">
      <c r="A579" t="inlineStr">
        <is>
          <t>LU2441620379</t>
        </is>
      </c>
      <c r="B579" t="inlineStr"/>
      <c r="C579" t="inlineStr">
        <is>
          <t>Souscription</t>
        </is>
      </c>
      <c r="D579" s="311" t="n">
        <v>46281</v>
      </c>
      <c r="E579" s="311" t="n">
        <v>46295</v>
      </c>
      <c r="F579" s="311" t="n">
        <v>46295</v>
      </c>
      <c r="H579" s="311" t="n">
        <v>46291</v>
      </c>
      <c r="I579" t="inlineStr">
        <is>
          <t>LU2441620379|Souscription|2026-09-16</t>
        </is>
      </c>
    </row>
    <row r="580">
      <c r="A580" t="inlineStr">
        <is>
          <t>LU2441620379</t>
        </is>
      </c>
      <c r="B580" t="inlineStr"/>
      <c r="C580" t="inlineStr">
        <is>
          <t>Souscription</t>
        </is>
      </c>
      <c r="D580" s="311" t="n">
        <v>46368</v>
      </c>
      <c r="E580" s="311" t="n">
        <v>46387</v>
      </c>
      <c r="F580" s="311" t="n">
        <v>46387</v>
      </c>
      <c r="H580" s="311" t="n">
        <v>46385</v>
      </c>
      <c r="I580" t="inlineStr">
        <is>
          <t>LU2441620379|Souscription|2026-12-12</t>
        </is>
      </c>
    </row>
    <row r="581">
      <c r="A581" t="inlineStr">
        <is>
          <t>LU2842989936</t>
        </is>
      </c>
      <c r="B581" t="inlineStr"/>
      <c r="C581" t="inlineStr">
        <is>
          <t>Souscription</t>
        </is>
      </c>
      <c r="D581" s="311" t="n">
        <v>46189</v>
      </c>
      <c r="E581" s="311" t="n">
        <v>46203</v>
      </c>
      <c r="F581" s="311" t="n">
        <v>46203</v>
      </c>
      <c r="H581" s="311" t="n">
        <v>46199</v>
      </c>
      <c r="I581" t="inlineStr">
        <is>
          <t>LU2842989936|Souscription|2026-06-16</t>
        </is>
      </c>
    </row>
    <row r="582">
      <c r="A582" t="inlineStr">
        <is>
          <t>LU2842989936</t>
        </is>
      </c>
      <c r="B582" t="inlineStr"/>
      <c r="C582" t="inlineStr">
        <is>
          <t>Souscription</t>
        </is>
      </c>
      <c r="D582" s="311" t="n">
        <v>46281</v>
      </c>
      <c r="E582" s="311" t="n">
        <v>46295</v>
      </c>
      <c r="F582" s="311" t="n">
        <v>46295</v>
      </c>
      <c r="H582" s="311" t="n">
        <v>46291</v>
      </c>
      <c r="I582" t="inlineStr">
        <is>
          <t>LU2842989936|Souscription|2026-09-16</t>
        </is>
      </c>
    </row>
    <row r="583">
      <c r="A583" t="inlineStr">
        <is>
          <t>LU2842989936</t>
        </is>
      </c>
      <c r="B583" t="inlineStr"/>
      <c r="C583" t="inlineStr">
        <is>
          <t>Souscription</t>
        </is>
      </c>
      <c r="D583" s="311" t="n">
        <v>46368</v>
      </c>
      <c r="E583" s="311" t="n">
        <v>46387</v>
      </c>
      <c r="F583" s="311" t="n">
        <v>46387</v>
      </c>
      <c r="H583" s="311" t="n">
        <v>46385</v>
      </c>
      <c r="I583" t="inlineStr">
        <is>
          <t>LU2842989936|Souscription|2026-12-12</t>
        </is>
      </c>
    </row>
    <row r="584">
      <c r="A584" t="inlineStr">
        <is>
          <t>LU2563800726</t>
        </is>
      </c>
      <c r="B584" t="inlineStr"/>
      <c r="C584" t="inlineStr">
        <is>
          <t>Souscription</t>
        </is>
      </c>
      <c r="D584" s="311" t="n">
        <v>46189</v>
      </c>
      <c r="E584" s="311" t="n">
        <v>46203</v>
      </c>
      <c r="F584" s="311" t="n">
        <v>46203</v>
      </c>
      <c r="H584" s="311" t="n">
        <v>46199</v>
      </c>
      <c r="I584" t="inlineStr">
        <is>
          <t>LU2563800726|Souscription|2026-06-16</t>
        </is>
      </c>
    </row>
    <row r="585">
      <c r="A585" t="inlineStr">
        <is>
          <t>LU2563800726</t>
        </is>
      </c>
      <c r="B585" t="inlineStr"/>
      <c r="C585" t="inlineStr">
        <is>
          <t>Souscription</t>
        </is>
      </c>
      <c r="D585" s="311" t="n">
        <v>46281</v>
      </c>
      <c r="E585" s="311" t="n">
        <v>46295</v>
      </c>
      <c r="F585" s="311" t="n">
        <v>46295</v>
      </c>
      <c r="H585" s="311" t="n">
        <v>46291</v>
      </c>
      <c r="I585" t="inlineStr">
        <is>
          <t>LU2563800726|Souscription|2026-09-16</t>
        </is>
      </c>
    </row>
    <row r="586">
      <c r="A586" t="inlineStr">
        <is>
          <t>LU2563800726</t>
        </is>
      </c>
      <c r="B586" t="inlineStr"/>
      <c r="C586" t="inlineStr">
        <is>
          <t>Souscription</t>
        </is>
      </c>
      <c r="D586" s="311" t="n">
        <v>46368</v>
      </c>
      <c r="E586" s="311" t="n">
        <v>46387</v>
      </c>
      <c r="F586" s="311" t="n">
        <v>46387</v>
      </c>
      <c r="H586" s="311" t="n">
        <v>46385</v>
      </c>
      <c r="I586" t="inlineStr">
        <is>
          <t>LU2563800726|Souscription|2026-12-12</t>
        </is>
      </c>
    </row>
    <row r="587">
      <c r="A587" t="inlineStr">
        <is>
          <t>LU1346205443</t>
        </is>
      </c>
      <c r="B587" t="inlineStr"/>
      <c r="C587" t="inlineStr">
        <is>
          <t>Rachat</t>
        </is>
      </c>
      <c r="D587" s="311" t="n">
        <v>45709</v>
      </c>
      <c r="E587" s="311" t="n">
        <v>45747</v>
      </c>
      <c r="F587" s="311" t="n">
        <v>45747</v>
      </c>
      <c r="G587" s="311" t="n">
        <v>45770</v>
      </c>
      <c r="H587" s="311" t="n">
        <v>45775</v>
      </c>
      <c r="I587" t="inlineStr">
        <is>
          <t>LU1346205443|Rachat|2025-02-21</t>
        </is>
      </c>
    </row>
    <row r="588">
      <c r="A588" t="inlineStr">
        <is>
          <t>LU1346205443</t>
        </is>
      </c>
      <c r="B588" t="inlineStr"/>
      <c r="C588" t="inlineStr">
        <is>
          <t>Rachat</t>
        </is>
      </c>
      <c r="D588" s="311" t="n">
        <v>45737</v>
      </c>
      <c r="E588" s="311" t="n">
        <v>45777</v>
      </c>
      <c r="F588" s="311" t="n">
        <v>45777</v>
      </c>
      <c r="G588" s="311" t="n">
        <v>45800</v>
      </c>
      <c r="H588" s="311" t="n">
        <v>45805</v>
      </c>
      <c r="I588" t="inlineStr">
        <is>
          <t>LU1346205443|Rachat|2025-03-21</t>
        </is>
      </c>
    </row>
    <row r="589">
      <c r="A589" t="inlineStr">
        <is>
          <t>LU1346205443</t>
        </is>
      </c>
      <c r="B589" t="inlineStr"/>
      <c r="C589" t="inlineStr">
        <is>
          <t>Rachat</t>
        </is>
      </c>
      <c r="D589" s="311" t="n">
        <v>45769</v>
      </c>
      <c r="E589" s="311" t="n">
        <v>45807</v>
      </c>
      <c r="F589" s="311" t="n">
        <v>45807</v>
      </c>
      <c r="G589" s="311" t="n">
        <v>45832</v>
      </c>
      <c r="H589" s="311" t="n">
        <v>45835</v>
      </c>
      <c r="I589" t="inlineStr">
        <is>
          <t>LU1346205443|Rachat|2025-04-22</t>
        </is>
      </c>
    </row>
    <row r="590">
      <c r="A590" t="inlineStr">
        <is>
          <t>LU1346205443</t>
        </is>
      </c>
      <c r="B590" t="inlineStr"/>
      <c r="C590" t="inlineStr">
        <is>
          <t>Rachat</t>
        </is>
      </c>
      <c r="D590" s="311" t="n">
        <v>45798</v>
      </c>
      <c r="E590" s="311" t="n">
        <v>45838</v>
      </c>
      <c r="F590" s="311" t="n">
        <v>45838</v>
      </c>
      <c r="G590" s="311" t="n">
        <v>45859</v>
      </c>
      <c r="H590" s="311" t="n">
        <v>45862</v>
      </c>
      <c r="I590" t="inlineStr">
        <is>
          <t>LU1346205443|Rachat|2025-05-21</t>
        </is>
      </c>
    </row>
    <row r="591">
      <c r="A591" t="inlineStr">
        <is>
          <t>LU1346205443</t>
        </is>
      </c>
      <c r="B591" t="inlineStr"/>
      <c r="C591" t="inlineStr">
        <is>
          <t>Rachat</t>
        </is>
      </c>
      <c r="D591" s="311" t="n">
        <v>45832</v>
      </c>
      <c r="E591" s="311" t="n">
        <v>45869</v>
      </c>
      <c r="F591" s="311" t="n">
        <v>45869</v>
      </c>
      <c r="G591" s="311" t="n">
        <v>45891</v>
      </c>
      <c r="H591" s="311" t="n">
        <v>45896</v>
      </c>
      <c r="I591" t="inlineStr">
        <is>
          <t>LU1346205443|Rachat|2025-06-24</t>
        </is>
      </c>
    </row>
    <row r="592">
      <c r="A592" t="inlineStr">
        <is>
          <t>LU1346205443</t>
        </is>
      </c>
      <c r="B592" t="inlineStr"/>
      <c r="C592" t="inlineStr">
        <is>
          <t>Rachat</t>
        </is>
      </c>
      <c r="D592" s="311" t="n">
        <v>45859</v>
      </c>
      <c r="E592" s="311" t="n">
        <v>45898</v>
      </c>
      <c r="F592" s="311" t="n">
        <v>45898</v>
      </c>
      <c r="G592" s="311" t="n">
        <v>45919</v>
      </c>
      <c r="H592" s="311" t="n">
        <v>45924</v>
      </c>
      <c r="I592" t="inlineStr">
        <is>
          <t>LU1346205443|Rachat|2025-07-21</t>
        </is>
      </c>
    </row>
    <row r="593">
      <c r="A593" t="inlineStr">
        <is>
          <t>LU1346205443</t>
        </is>
      </c>
      <c r="B593" t="inlineStr"/>
      <c r="C593" t="inlineStr">
        <is>
          <t>Rachat</t>
        </is>
      </c>
      <c r="D593" s="311" t="n">
        <v>45890</v>
      </c>
      <c r="E593" s="311" t="n">
        <v>45930</v>
      </c>
      <c r="F593" s="311" t="n">
        <v>45930</v>
      </c>
      <c r="G593" s="311" t="n">
        <v>45951</v>
      </c>
      <c r="H593" s="311" t="n">
        <v>45954</v>
      </c>
      <c r="I593" t="inlineStr">
        <is>
          <t>LU1346205443|Rachat|2025-08-21</t>
        </is>
      </c>
    </row>
    <row r="594">
      <c r="A594" t="inlineStr">
        <is>
          <t>LU1346205443</t>
        </is>
      </c>
      <c r="B594" t="inlineStr"/>
      <c r="C594" t="inlineStr">
        <is>
          <t>Rachat</t>
        </is>
      </c>
      <c r="D594" s="311" t="n">
        <v>45922</v>
      </c>
      <c r="E594" s="311" t="n">
        <v>45961</v>
      </c>
      <c r="F594" s="311" t="n">
        <v>45961</v>
      </c>
      <c r="G594" s="311" t="n">
        <v>45982</v>
      </c>
      <c r="H594" s="311" t="n">
        <v>45987</v>
      </c>
      <c r="I594" t="inlineStr">
        <is>
          <t>LU1346205443|Rachat|2025-09-22</t>
        </is>
      </c>
    </row>
    <row r="595">
      <c r="A595" t="inlineStr">
        <is>
          <t>LU1346205443</t>
        </is>
      </c>
      <c r="B595" t="inlineStr"/>
      <c r="C595" t="inlineStr">
        <is>
          <t>Rachat</t>
        </is>
      </c>
      <c r="D595" s="311" t="n">
        <v>45951</v>
      </c>
      <c r="E595" s="311" t="n">
        <v>45989</v>
      </c>
      <c r="F595" s="311" t="n">
        <v>45989</v>
      </c>
      <c r="G595" s="311" t="n">
        <v>46010</v>
      </c>
      <c r="H595" s="311" t="n">
        <v>46020</v>
      </c>
      <c r="I595" t="inlineStr">
        <is>
          <t>LU1346205443|Rachat|2025-10-21</t>
        </is>
      </c>
    </row>
    <row r="596">
      <c r="A596" t="inlineStr">
        <is>
          <t>LU1346205443</t>
        </is>
      </c>
      <c r="B596" t="inlineStr"/>
      <c r="C596" t="inlineStr">
        <is>
          <t>Rachat</t>
        </is>
      </c>
      <c r="D596" s="311" t="n">
        <v>45982</v>
      </c>
      <c r="E596" s="311" t="n">
        <v>46022</v>
      </c>
      <c r="F596" s="311" t="n">
        <v>46022</v>
      </c>
      <c r="G596" s="311" t="n">
        <v>46044</v>
      </c>
      <c r="H596" s="311" t="n">
        <v>46049</v>
      </c>
      <c r="I596" t="inlineStr">
        <is>
          <t>LU1346205443|Rachat|2025-11-21</t>
        </is>
      </c>
    </row>
    <row r="597">
      <c r="A597" t="inlineStr">
        <is>
          <t>LU1346205443</t>
        </is>
      </c>
      <c r="B597" t="inlineStr"/>
      <c r="C597" t="inlineStr">
        <is>
          <t>Rachat</t>
        </is>
      </c>
      <c r="D597" s="311" t="n">
        <v>46013</v>
      </c>
      <c r="E597" s="311" t="n">
        <v>46052</v>
      </c>
      <c r="F597" s="311" t="n">
        <v>46052</v>
      </c>
      <c r="G597" s="311" t="n">
        <v>46073</v>
      </c>
      <c r="H597" s="311" t="n">
        <v>46078</v>
      </c>
      <c r="I597" t="inlineStr">
        <is>
          <t>LU1346205443|Rachat|2025-12-22</t>
        </is>
      </c>
    </row>
    <row r="598">
      <c r="A598" t="inlineStr">
        <is>
          <t>LU1346205443</t>
        </is>
      </c>
      <c r="B598" t="inlineStr"/>
      <c r="C598" t="inlineStr">
        <is>
          <t>Rachat</t>
        </is>
      </c>
      <c r="D598" s="311" t="n">
        <v>46043</v>
      </c>
      <c r="E598" s="311" t="n">
        <v>46080</v>
      </c>
      <c r="F598" s="311" t="n">
        <v>46080</v>
      </c>
      <c r="G598" s="311" t="n">
        <v>46101</v>
      </c>
      <c r="H598" s="311" t="n">
        <v>46106</v>
      </c>
      <c r="I598" t="inlineStr">
        <is>
          <t>LU1346205443|Rachat|2026-01-21</t>
        </is>
      </c>
    </row>
    <row r="599">
      <c r="A599" t="inlineStr">
        <is>
          <t>LU1346205443</t>
        </is>
      </c>
      <c r="B599" t="inlineStr"/>
      <c r="C599" t="inlineStr">
        <is>
          <t>Rachat</t>
        </is>
      </c>
      <c r="D599" s="311" t="n">
        <v>46076</v>
      </c>
      <c r="E599" s="311" t="n">
        <v>46112</v>
      </c>
      <c r="F599" s="311" t="n">
        <v>46112</v>
      </c>
      <c r="G599" s="311" t="n">
        <v>46134</v>
      </c>
      <c r="H599" s="311" t="n">
        <v>46139</v>
      </c>
      <c r="I599" t="inlineStr">
        <is>
          <t>LU1346205443|Rachat|2026-02-23</t>
        </is>
      </c>
    </row>
    <row r="600">
      <c r="A600" t="inlineStr">
        <is>
          <t>LU1346205443</t>
        </is>
      </c>
      <c r="B600" t="inlineStr"/>
      <c r="C600" t="inlineStr">
        <is>
          <t>Rachat</t>
        </is>
      </c>
      <c r="D600" s="311" t="n">
        <v>46104</v>
      </c>
      <c r="E600" s="311" t="n">
        <v>46142</v>
      </c>
      <c r="F600" s="311" t="n">
        <v>46142</v>
      </c>
      <c r="G600" s="311" t="n">
        <v>46168</v>
      </c>
      <c r="H600" s="311" t="n">
        <v>46171</v>
      </c>
      <c r="I600" t="inlineStr">
        <is>
          <t>LU1346205443|Rachat|2026-03-23</t>
        </is>
      </c>
    </row>
    <row r="601">
      <c r="A601" t="inlineStr">
        <is>
          <t>LU1346205443</t>
        </is>
      </c>
      <c r="B601" t="inlineStr"/>
      <c r="C601" t="inlineStr">
        <is>
          <t>Rachat</t>
        </is>
      </c>
      <c r="D601" s="311" t="n">
        <v>46133</v>
      </c>
      <c r="E601" s="311" t="n">
        <v>46171</v>
      </c>
      <c r="F601" s="311" t="n">
        <v>46171</v>
      </c>
      <c r="G601" s="311" t="n">
        <v>46192</v>
      </c>
      <c r="H601" s="311" t="n">
        <v>46198</v>
      </c>
      <c r="I601" t="inlineStr">
        <is>
          <t>LU1346205443|Rachat|2026-04-21</t>
        </is>
      </c>
    </row>
    <row r="602">
      <c r="A602" t="inlineStr">
        <is>
          <t>LU1346205443</t>
        </is>
      </c>
      <c r="B602" t="inlineStr"/>
      <c r="C602" t="inlineStr">
        <is>
          <t>Rachat</t>
        </is>
      </c>
      <c r="D602" s="311" t="n">
        <v>46163</v>
      </c>
      <c r="E602" s="311" t="n">
        <v>46203</v>
      </c>
      <c r="F602" s="311" t="n">
        <v>46203</v>
      </c>
      <c r="G602" s="311" t="n">
        <v>46224</v>
      </c>
      <c r="H602" s="311" t="n">
        <v>46227</v>
      </c>
      <c r="I602" t="inlineStr">
        <is>
          <t>LU1346205443|Rachat|2026-05-21</t>
        </is>
      </c>
    </row>
    <row r="603">
      <c r="A603" t="inlineStr">
        <is>
          <t>LU1346205443</t>
        </is>
      </c>
      <c r="B603" t="inlineStr"/>
      <c r="C603" t="inlineStr">
        <is>
          <t>Rachat</t>
        </is>
      </c>
      <c r="D603" s="311" t="n">
        <v>46195</v>
      </c>
      <c r="E603" s="311" t="n">
        <v>46234</v>
      </c>
      <c r="F603" s="311" t="n">
        <v>46234</v>
      </c>
      <c r="G603" s="311" t="n">
        <v>46255</v>
      </c>
      <c r="H603" s="311" t="n">
        <v>46260</v>
      </c>
      <c r="I603" t="inlineStr">
        <is>
          <t>LU1346205443|Rachat|2026-06-22</t>
        </is>
      </c>
    </row>
    <row r="604">
      <c r="A604" t="inlineStr">
        <is>
          <t>LU1346205443</t>
        </is>
      </c>
      <c r="B604" t="inlineStr"/>
      <c r="C604" t="inlineStr">
        <is>
          <t>Rachat</t>
        </is>
      </c>
      <c r="D604" s="311" t="n">
        <v>46224</v>
      </c>
      <c r="E604" s="311" t="n">
        <v>46265</v>
      </c>
      <c r="F604" s="311" t="n">
        <v>46265</v>
      </c>
      <c r="G604" s="311" t="n">
        <v>46286</v>
      </c>
      <c r="H604" s="311" t="n">
        <v>46289</v>
      </c>
      <c r="I604" t="inlineStr">
        <is>
          <t>LU1346205443|Rachat|2026-07-21</t>
        </is>
      </c>
    </row>
    <row r="605">
      <c r="A605" t="inlineStr">
        <is>
          <t>LU1346205443</t>
        </is>
      </c>
      <c r="B605" t="inlineStr"/>
      <c r="C605" t="inlineStr">
        <is>
          <t>Rachat</t>
        </is>
      </c>
      <c r="D605" s="311" t="n">
        <v>46255</v>
      </c>
      <c r="E605" s="311" t="n">
        <v>46295</v>
      </c>
      <c r="F605" s="311" t="n">
        <v>46295</v>
      </c>
      <c r="G605" s="311" t="n">
        <v>46316</v>
      </c>
      <c r="H605" s="311" t="n">
        <v>46321</v>
      </c>
      <c r="I605" t="inlineStr">
        <is>
          <t>LU1346205443|Rachat|2026-08-21</t>
        </is>
      </c>
    </row>
    <row r="606">
      <c r="A606" t="inlineStr">
        <is>
          <t>LU1346205443</t>
        </is>
      </c>
      <c r="B606" t="inlineStr"/>
      <c r="C606" t="inlineStr">
        <is>
          <t>Rachat</t>
        </is>
      </c>
      <c r="D606" s="311" t="n">
        <v>46286</v>
      </c>
      <c r="E606" s="311" t="n">
        <v>46325</v>
      </c>
      <c r="F606" s="311" t="n">
        <v>46325</v>
      </c>
      <c r="G606" s="311" t="n">
        <v>46346</v>
      </c>
      <c r="H606" s="311" t="n">
        <v>46351</v>
      </c>
      <c r="I606" t="inlineStr">
        <is>
          <t>LU1346205443|Rachat|2026-09-21</t>
        </is>
      </c>
    </row>
    <row r="607">
      <c r="A607" t="inlineStr">
        <is>
          <t>LU1346205443</t>
        </is>
      </c>
      <c r="B607" t="inlineStr"/>
      <c r="C607" t="inlineStr">
        <is>
          <t>Rachat</t>
        </is>
      </c>
      <c r="D607" s="311" t="n">
        <v>46316</v>
      </c>
      <c r="E607" s="311" t="n">
        <v>46356</v>
      </c>
      <c r="F607" s="311" t="n">
        <v>46356</v>
      </c>
      <c r="G607" s="311" t="n">
        <v>46377</v>
      </c>
      <c r="H607" s="311" t="n">
        <v>46380</v>
      </c>
      <c r="I607" t="inlineStr">
        <is>
          <t>LU1346205443|Rachat|2026-10-21</t>
        </is>
      </c>
    </row>
    <row r="608">
      <c r="A608" t="inlineStr">
        <is>
          <t>LU1346205443</t>
        </is>
      </c>
      <c r="B608" t="inlineStr"/>
      <c r="C608" t="inlineStr">
        <is>
          <t>Rachat</t>
        </is>
      </c>
      <c r="D608" s="311" t="n">
        <v>46349</v>
      </c>
      <c r="E608" s="311" t="n">
        <v>46387</v>
      </c>
      <c r="F608" s="311" t="n">
        <v>46387</v>
      </c>
      <c r="G608" s="311" t="n">
        <v>46408</v>
      </c>
      <c r="H608" s="311" t="n">
        <v>46413</v>
      </c>
      <c r="I608" t="inlineStr">
        <is>
          <t>LU1346205443|Rachat|2026-11-23</t>
        </is>
      </c>
    </row>
    <row r="609">
      <c r="A609" t="inlineStr">
        <is>
          <t>LU2485281419</t>
        </is>
      </c>
      <c r="B609" t="inlineStr"/>
      <c r="C609" t="inlineStr">
        <is>
          <t>Rachat</t>
        </is>
      </c>
      <c r="D609" s="311" t="n">
        <v>46078</v>
      </c>
      <c r="E609" s="311" t="n">
        <v>46106</v>
      </c>
      <c r="F609" s="311" t="n">
        <v>46106</v>
      </c>
      <c r="H609" s="311" t="n">
        <v>46113</v>
      </c>
      <c r="I609" t="inlineStr">
        <is>
          <t>LU2485281419|Rachat|2026-02-25</t>
        </is>
      </c>
    </row>
    <row r="610">
      <c r="A610" t="inlineStr">
        <is>
          <t>LU2485281419</t>
        </is>
      </c>
      <c r="B610" t="inlineStr"/>
      <c r="C610" t="inlineStr">
        <is>
          <t>Rachat</t>
        </is>
      </c>
      <c r="D610" s="311" t="n">
        <v>46169</v>
      </c>
      <c r="E610" s="311" t="n">
        <v>46197</v>
      </c>
      <c r="F610" s="311" t="n">
        <v>46197</v>
      </c>
      <c r="H610" s="311" t="n">
        <v>46204</v>
      </c>
      <c r="I610" t="inlineStr">
        <is>
          <t>LU2485281419|Rachat|2026-05-27</t>
        </is>
      </c>
    </row>
    <row r="611">
      <c r="A611" t="inlineStr">
        <is>
          <t>LU2485281419</t>
        </is>
      </c>
      <c r="B611" t="inlineStr"/>
      <c r="C611" t="inlineStr">
        <is>
          <t>Rachat</t>
        </is>
      </c>
      <c r="D611" s="311" t="n">
        <v>46267</v>
      </c>
      <c r="E611" s="311" t="n">
        <v>46295</v>
      </c>
      <c r="F611" s="311" t="n">
        <v>46295</v>
      </c>
      <c r="H611" s="311" t="n">
        <v>46302</v>
      </c>
      <c r="I611" t="inlineStr">
        <is>
          <t>LU2485281419|Rachat|2026-09-02</t>
        </is>
      </c>
    </row>
    <row r="612">
      <c r="A612" t="inlineStr">
        <is>
          <t>LU2485281419</t>
        </is>
      </c>
      <c r="B612" t="inlineStr"/>
      <c r="C612" t="inlineStr">
        <is>
          <t>Rachat</t>
        </is>
      </c>
      <c r="D612" s="311" t="n">
        <v>46358</v>
      </c>
      <c r="E612" s="311" t="n">
        <v>46386</v>
      </c>
      <c r="F612" s="311" t="n">
        <v>46386</v>
      </c>
      <c r="H612" s="311" t="n">
        <v>46394</v>
      </c>
      <c r="I612" t="inlineStr">
        <is>
          <t>LU2485281419|Rachat|2026-12-02</t>
        </is>
      </c>
    </row>
    <row r="613">
      <c r="A613" t="inlineStr">
        <is>
          <t>LU2677665254</t>
        </is>
      </c>
      <c r="B613" t="inlineStr"/>
      <c r="C613" t="inlineStr">
        <is>
          <t>Rachat</t>
        </is>
      </c>
      <c r="D613" s="311" t="n">
        <v>46078</v>
      </c>
      <c r="E613" s="311" t="n">
        <v>46106</v>
      </c>
      <c r="F613" s="311" t="n">
        <v>46106</v>
      </c>
      <c r="H613" s="311" t="n">
        <v>46113</v>
      </c>
      <c r="I613" t="inlineStr">
        <is>
          <t>LU2677665254|Rachat|2026-02-25</t>
        </is>
      </c>
    </row>
    <row r="614">
      <c r="A614" t="inlineStr">
        <is>
          <t>LU2677665254</t>
        </is>
      </c>
      <c r="B614" t="inlineStr"/>
      <c r="C614" t="inlineStr">
        <is>
          <t>Rachat</t>
        </is>
      </c>
      <c r="D614" s="311" t="n">
        <v>46169</v>
      </c>
      <c r="E614" s="311" t="n">
        <v>46197</v>
      </c>
      <c r="F614" s="311" t="n">
        <v>46197</v>
      </c>
      <c r="H614" s="311" t="n">
        <v>46204</v>
      </c>
      <c r="I614" t="inlineStr">
        <is>
          <t>LU2677665254|Rachat|2026-05-27</t>
        </is>
      </c>
    </row>
    <row r="615">
      <c r="A615" t="inlineStr">
        <is>
          <t>LU2677665254</t>
        </is>
      </c>
      <c r="B615" t="inlineStr"/>
      <c r="C615" t="inlineStr">
        <is>
          <t>Rachat</t>
        </is>
      </c>
      <c r="D615" s="311" t="n">
        <v>46267</v>
      </c>
      <c r="E615" s="311" t="n">
        <v>46295</v>
      </c>
      <c r="F615" s="311" t="n">
        <v>46295</v>
      </c>
      <c r="H615" s="311" t="n">
        <v>46302</v>
      </c>
      <c r="I615" t="inlineStr">
        <is>
          <t>LU2677665254|Rachat|2026-09-02</t>
        </is>
      </c>
    </row>
    <row r="616">
      <c r="A616" t="inlineStr">
        <is>
          <t>LU2677665254</t>
        </is>
      </c>
      <c r="B616" t="inlineStr"/>
      <c r="C616" t="inlineStr">
        <is>
          <t>Rachat</t>
        </is>
      </c>
      <c r="D616" s="311" t="n">
        <v>46358</v>
      </c>
      <c r="E616" s="311" t="n">
        <v>46386</v>
      </c>
      <c r="F616" s="311" t="n">
        <v>46386</v>
      </c>
      <c r="H616" s="311" t="n">
        <v>46394</v>
      </c>
      <c r="I616" t="inlineStr">
        <is>
          <t>LU2677665254|Rachat|2026-12-02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0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1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60" customWidth="1" min="13" max="13"/>
  </cols>
  <sheetData>
    <row r="1">
      <c r="A1" s="310" t="inlineStr">
        <is>
          <t>ISIN</t>
        </is>
      </c>
      <c r="B1" s="310" t="inlineStr">
        <is>
          <t>Nom</t>
        </is>
      </c>
      <c r="C1" s="310" t="inlineStr">
        <is>
          <t>Kind</t>
        </is>
      </c>
      <c r="D1" s="310" t="inlineStr">
        <is>
          <t>Max1</t>
        </is>
      </c>
      <c r="E1" s="310" t="inlineStr">
        <is>
          <t>Rate1</t>
        </is>
      </c>
      <c r="F1" s="310" t="inlineStr">
        <is>
          <t>Max2</t>
        </is>
      </c>
      <c r="G1" s="310" t="inlineStr">
        <is>
          <t>Rate2</t>
        </is>
      </c>
      <c r="H1" s="310" t="inlineStr">
        <is>
          <t>Max3</t>
        </is>
      </c>
      <c r="I1" s="310" t="inlineStr">
        <is>
          <t>Rate3</t>
        </is>
      </c>
      <c r="J1" s="310" t="inlineStr">
        <is>
          <t>Max4</t>
        </is>
      </c>
      <c r="K1" s="310" t="inlineStr">
        <is>
          <t>Rate4</t>
        </is>
      </c>
      <c r="L1" s="310" t="inlineStr">
        <is>
          <t>Rate5</t>
        </is>
      </c>
      <c r="M1" s="310" t="inlineStr">
        <is>
          <t>RawText</t>
        </is>
      </c>
    </row>
    <row r="2">
      <c r="A2" t="inlineStr">
        <is>
          <t>FR001400XGO9</t>
        </is>
      </c>
      <c r="B2" t="inlineStr">
        <is>
          <t>Althos Private Credit part A  - Capitalisante</t>
        </is>
      </c>
      <c r="C2" t="inlineStr">
        <is>
          <t>seuil</t>
        </is>
      </c>
      <c r="D2" t="n">
        <v>12</v>
      </c>
      <c r="E2" t="n">
        <v>5</v>
      </c>
      <c r="F2" t="n">
        <v>12</v>
      </c>
      <c r="G2" t="n">
        <v>0</v>
      </c>
      <c r="H2" t="n">
        <v>12</v>
      </c>
      <c r="I2" t="n">
        <v>0</v>
      </c>
      <c r="J2" t="n">
        <v>12</v>
      </c>
      <c r="K2" t="n">
        <v>0</v>
      </c>
      <c r="L2" t="n">
        <v>0</v>
      </c>
      <c r="M2" t="inlineStr">
        <is>
          <t>Pénalité de 5% sur la VL en cas de sortie avant 1 an de détention.</t>
        </is>
      </c>
    </row>
    <row r="3">
      <c r="A3" t="inlineStr">
        <is>
          <t>FR001400XGM3</t>
        </is>
      </c>
      <c r="B3" t="inlineStr">
        <is>
          <t>Althos Private Credit part A  - Distribuant</t>
        </is>
      </c>
      <c r="C3" t="inlineStr">
        <is>
          <t>seuil</t>
        </is>
      </c>
      <c r="D3" t="n">
        <v>12</v>
      </c>
      <c r="E3" t="n">
        <v>5</v>
      </c>
      <c r="F3" t="n">
        <v>12</v>
      </c>
      <c r="G3" t="n">
        <v>0</v>
      </c>
      <c r="H3" t="n">
        <v>12</v>
      </c>
      <c r="I3" t="n">
        <v>0</v>
      </c>
      <c r="J3" t="n">
        <v>12</v>
      </c>
      <c r="K3" t="n">
        <v>0</v>
      </c>
      <c r="L3" t="n">
        <v>0</v>
      </c>
      <c r="M3" t="inlineStr">
        <is>
          <t>Pénalité de 5% sur la VL en cas de sortie avant 1 an de détention.</t>
        </is>
      </c>
    </row>
    <row r="4">
      <c r="A4" t="inlineStr">
        <is>
          <t>FR001400XGV4</t>
        </is>
      </c>
      <c r="B4" t="inlineStr">
        <is>
          <t>Althos Private Credit part F  - Capitalisante</t>
        </is>
      </c>
      <c r="C4" t="inlineStr">
        <is>
          <t>seuil</t>
        </is>
      </c>
      <c r="D4" t="n">
        <v>12</v>
      </c>
      <c r="E4" t="n">
        <v>5</v>
      </c>
      <c r="F4" t="n">
        <v>12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0</v>
      </c>
      <c r="M4" t="inlineStr">
        <is>
          <t>Pénalité de 5% sur la VL en cas de sortie avant 1 an de détention.</t>
        </is>
      </c>
    </row>
    <row r="5">
      <c r="A5" t="inlineStr">
        <is>
          <t>FR001400XGQ4</t>
        </is>
      </c>
      <c r="B5" t="inlineStr">
        <is>
          <t>Althos Private Credit part F  - Distribuant</t>
        </is>
      </c>
      <c r="C5" t="inlineStr">
        <is>
          <t>seuil</t>
        </is>
      </c>
      <c r="D5" t="n">
        <v>12</v>
      </c>
      <c r="E5" t="n">
        <v>5</v>
      </c>
      <c r="F5" t="n">
        <v>12</v>
      </c>
      <c r="G5" t="n">
        <v>0</v>
      </c>
      <c r="H5" t="n">
        <v>12</v>
      </c>
      <c r="I5" t="n">
        <v>0</v>
      </c>
      <c r="J5" t="n">
        <v>12</v>
      </c>
      <c r="K5" t="n">
        <v>0</v>
      </c>
      <c r="L5" t="n">
        <v>0</v>
      </c>
      <c r="M5" t="inlineStr">
        <is>
          <t>Pénalité de 5% sur la VL en cas de sortie avant 1 an de détention.</t>
        </is>
      </c>
    </row>
    <row r="6">
      <c r="A6" t="inlineStr">
        <is>
          <t>LU2702161618</t>
        </is>
      </c>
      <c r="B6" t="inlineStr">
        <is>
          <t>Ares European Credit Solutions A</t>
        </is>
      </c>
      <c r="C6" t="inlineStr">
        <is>
          <t>seuil</t>
        </is>
      </c>
      <c r="D6" t="n">
        <v>18</v>
      </c>
      <c r="E6" t="n">
        <v>5</v>
      </c>
      <c r="F6" t="n">
        <v>18</v>
      </c>
      <c r="G6" t="n">
        <v>0</v>
      </c>
      <c r="H6" t="n">
        <v>18</v>
      </c>
      <c r="I6" t="n">
        <v>0</v>
      </c>
      <c r="J6" t="n">
        <v>18</v>
      </c>
      <c r="K6" t="n">
        <v>0</v>
      </c>
      <c r="L6" t="n">
        <v>0</v>
      </c>
      <c r="M6" t="inlineStr">
        <is>
          <t>Pénalité de 5% en cas de sortie dans les 18 premiers mois.</t>
        </is>
      </c>
    </row>
    <row r="7">
      <c r="A7" t="inlineStr">
        <is>
          <t>LU2702162343</t>
        </is>
      </c>
      <c r="B7" t="inlineStr">
        <is>
          <t>ARES Strategic Income Fund</t>
        </is>
      </c>
      <c r="C7" t="inlineStr">
        <is>
          <t>inconnue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</row>
    <row r="8">
      <c r="A8" t="inlineStr">
        <is>
          <t>LU3005168235</t>
        </is>
      </c>
      <c r="B8" t="inlineStr">
        <is>
          <t>AXA IM Private Credit Income Fund S1A EUR</t>
        </is>
      </c>
      <c r="C8" t="inlineStr">
        <is>
          <t>inconnue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/>
    </row>
    <row r="9">
      <c r="A9" t="inlineStr">
        <is>
          <t>FR001400L0X2</t>
        </is>
      </c>
      <c r="B9" t="inlineStr">
        <is>
          <t>Blackstone Crédit Privé Europe SC</t>
        </is>
      </c>
      <c r="C9" t="inlineStr">
        <is>
          <t>seuil</t>
        </is>
      </c>
      <c r="D9" t="n">
        <v>12</v>
      </c>
      <c r="E9" t="n">
        <v>2</v>
      </c>
      <c r="F9" t="n">
        <v>12</v>
      </c>
      <c r="G9" t="n">
        <v>0</v>
      </c>
      <c r="H9" t="n">
        <v>12</v>
      </c>
      <c r="I9" t="n">
        <v>0</v>
      </c>
      <c r="J9" t="n">
        <v>12</v>
      </c>
      <c r="K9" t="n">
        <v>0</v>
      </c>
      <c r="L9" t="n">
        <v>0</v>
      </c>
      <c r="M9" t="inlineStr">
        <is>
          <t>Pénalité de 2% sur la VL en cas de sortie avant 1 an de détention.</t>
        </is>
      </c>
    </row>
    <row r="10">
      <c r="A10" t="inlineStr">
        <is>
          <t>LU2480032510</t>
        </is>
      </c>
      <c r="B10" t="inlineStr">
        <is>
          <t>Blackstone Ecred</t>
        </is>
      </c>
      <c r="C10" t="inlineStr">
        <is>
          <t>inconnue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</row>
    <row r="11">
      <c r="A11" t="inlineStr">
        <is>
          <t>FR0013301546</t>
        </is>
      </c>
      <c r="B11" t="inlineStr">
        <is>
          <t>FCPR Eurazeo Private Value Europe 3 - part A</t>
        </is>
      </c>
      <c r="C11" t="inlineStr">
        <is>
          <t>aucune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Aucune pénalité actuellement.</t>
        </is>
      </c>
    </row>
    <row r="12">
      <c r="A12" t="inlineStr">
        <is>
          <t>FR0013301553</t>
        </is>
      </c>
      <c r="B12" t="inlineStr">
        <is>
          <t>FCPR Eurazeo Private Value Europe 3 - part C</t>
        </is>
      </c>
      <c r="C12" t="inlineStr">
        <is>
          <t>aucune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Aucune pénalité actuellement.</t>
        </is>
      </c>
    </row>
    <row r="13">
      <c r="A13" t="inlineStr">
        <is>
          <t>FR0013301561</t>
        </is>
      </c>
      <c r="B13" t="inlineStr">
        <is>
          <t>FCPR Eurazeo Private Value Europe 3 - part D</t>
        </is>
      </c>
      <c r="C13" t="inlineStr">
        <is>
          <t>aucune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Aucune pénalité actuellement.</t>
        </is>
      </c>
    </row>
    <row r="14">
      <c r="A14" t="inlineStr">
        <is>
          <t>FR001400AZ60</t>
        </is>
      </c>
      <c r="B14" t="inlineStr">
        <is>
          <t>FCPR SG Tikehau Dette Privée</t>
        </is>
      </c>
      <c r="C14" t="inlineStr">
        <is>
          <t>inconnue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</row>
    <row r="15">
      <c r="A15" t="inlineStr">
        <is>
          <t>FR001400IEE6</t>
        </is>
      </c>
      <c r="B15" t="inlineStr">
        <is>
          <t>FPS UNI III - Parts A2</t>
        </is>
      </c>
      <c r="C15" t="inlineStr">
        <is>
          <t>inconnue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</row>
    <row r="16">
      <c r="A16" t="inlineStr">
        <is>
          <t>FR0014001LJ0</t>
        </is>
      </c>
      <c r="B16" t="inlineStr">
        <is>
          <t>FPS UNIPHARMA II – Parts A</t>
        </is>
      </c>
      <c r="C16" t="inlineStr">
        <is>
          <t>inconnue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</row>
    <row r="17">
      <c r="A17" t="inlineStr">
        <is>
          <t>FR001400NQN1</t>
        </is>
      </c>
      <c r="B17" t="inlineStr">
        <is>
          <t>GF Lumyna Private Debt Fund</t>
        </is>
      </c>
      <c r="C17" t="inlineStr">
        <is>
          <t>inconnue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</row>
    <row r="18">
      <c r="A18" t="inlineStr">
        <is>
          <t>LU2605912075</t>
        </is>
      </c>
      <c r="B18" t="inlineStr">
        <is>
          <t>Goldman Sachs European Credit</t>
        </is>
      </c>
      <c r="C18" t="inlineStr">
        <is>
          <t>seuil</t>
        </is>
      </c>
      <c r="D18" t="n">
        <v>12</v>
      </c>
      <c r="E18" t="n">
        <v>2</v>
      </c>
      <c r="F18" t="n">
        <v>12</v>
      </c>
      <c r="G18" t="n">
        <v>0</v>
      </c>
      <c r="H18" t="n">
        <v>12</v>
      </c>
      <c r="I18" t="n">
        <v>0</v>
      </c>
      <c r="J18" t="n">
        <v>12</v>
      </c>
      <c r="K18" t="n">
        <v>0</v>
      </c>
      <c r="L18" t="n">
        <v>0</v>
      </c>
      <c r="M18" t="inlineStr">
        <is>
          <t>Pénalité de 2% acquise au fonds en cas de sortie avant 1 an de détention.</t>
        </is>
      </c>
    </row>
    <row r="19">
      <c r="A19" t="inlineStr">
        <is>
          <t>LU2547277330</t>
        </is>
      </c>
      <c r="B19" t="inlineStr">
        <is>
          <t>Hamilton Lane SCOPE</t>
        </is>
      </c>
      <c r="C19" t="inlineStr">
        <is>
          <t>seuil</t>
        </is>
      </c>
      <c r="D19" t="n">
        <v>12</v>
      </c>
      <c r="E19" t="n">
        <v>5</v>
      </c>
      <c r="F19" t="n">
        <v>12</v>
      </c>
      <c r="G19" t="n">
        <v>0</v>
      </c>
      <c r="H19" t="n">
        <v>12</v>
      </c>
      <c r="I19" t="n">
        <v>0</v>
      </c>
      <c r="J19" t="n">
        <v>12</v>
      </c>
      <c r="K19" t="n">
        <v>0</v>
      </c>
      <c r="L19" t="n">
        <v>0</v>
      </c>
      <c r="M19" t="inlineStr">
        <is>
          <t>Pénalité de 5% de la NAV en cas de rachat dans les 12 premiers mois.</t>
        </is>
      </c>
    </row>
    <row r="20">
      <c r="A20" t="inlineStr">
        <is>
          <t>FR001400ZI88</t>
        </is>
      </c>
      <c r="B20" t="inlineStr">
        <is>
          <t>Morgan Stanley Dette Privée Europe SLP part IA</t>
        </is>
      </c>
      <c r="C20" t="inlineStr">
        <is>
          <t>inconnue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/>
    </row>
    <row r="21">
      <c r="A21" t="inlineStr">
        <is>
          <t>LU2860459879</t>
        </is>
      </c>
      <c r="B21" t="inlineStr">
        <is>
          <t>Morgan Stanley EPIF</t>
        </is>
      </c>
      <c r="C21" t="inlineStr">
        <is>
          <t>inconnue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</row>
    <row r="22">
      <c r="A22" t="inlineStr">
        <is>
          <t>LU3047997575</t>
        </is>
      </c>
      <c r="B22" t="inlineStr">
        <is>
          <t>Pantheon GCS S Acc</t>
        </is>
      </c>
      <c r="C22" t="inlineStr">
        <is>
          <t>inconnue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</row>
    <row r="23">
      <c r="A23" t="inlineStr">
        <is>
          <t>LU3047997658</t>
        </is>
      </c>
      <c r="B23" t="inlineStr">
        <is>
          <t>Pantheon GCS S Dis</t>
        </is>
      </c>
      <c r="C23" t="inlineStr">
        <is>
          <t>inconnue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</row>
    <row r="24">
      <c r="A24" t="inlineStr">
        <is>
          <t>LU0672299830</t>
        </is>
      </c>
      <c r="B24" t="inlineStr">
        <is>
          <t>Cypanga Diversified Portfolio A</t>
        </is>
      </c>
      <c r="C24" t="inlineStr">
        <is>
          <t>inconnue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</row>
    <row r="25">
      <c r="A25" t="inlineStr">
        <is>
          <t>FR0010929794</t>
        </is>
      </c>
      <c r="B25" t="inlineStr">
        <is>
          <t>H2O Adagio I</t>
        </is>
      </c>
      <c r="C25" t="inlineStr">
        <is>
          <t>inconnue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</row>
    <row r="26">
      <c r="A26" t="inlineStr">
        <is>
          <t>FR0013186772</t>
        </is>
      </c>
      <c r="B26" t="inlineStr">
        <is>
          <t>H2O Adagio NC</t>
        </is>
      </c>
      <c r="C26" t="inlineStr">
        <is>
          <t>inconnue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</row>
    <row r="27">
      <c r="A27" t="inlineStr">
        <is>
          <t>FR0010923359</t>
        </is>
      </c>
      <c r="B27" t="inlineStr">
        <is>
          <t>H2O Adagio RC</t>
        </is>
      </c>
      <c r="C27" t="inlineStr">
        <is>
          <t>inconnue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</row>
    <row r="28">
      <c r="A28" t="inlineStr">
        <is>
          <t>FR0013393188</t>
        </is>
      </c>
      <c r="B28" t="inlineStr">
        <is>
          <t>H2O Adagio SR</t>
        </is>
      </c>
      <c r="C28" t="inlineStr">
        <is>
          <t>inconnue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</row>
    <row r="29">
      <c r="A29" t="inlineStr">
        <is>
          <t>FR0013185196</t>
        </is>
      </c>
      <c r="B29" t="inlineStr">
        <is>
          <t>H2O Moderato N</t>
        </is>
      </c>
      <c r="C29" t="inlineStr">
        <is>
          <t>inconnue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</row>
    <row r="30">
      <c r="A30" t="inlineStr">
        <is>
          <t>FR0010923367</t>
        </is>
      </c>
      <c r="B30" t="inlineStr">
        <is>
          <t>H2O Moderato R</t>
        </is>
      </c>
      <c r="C30" t="inlineStr">
        <is>
          <t>inconnue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</row>
    <row r="31">
      <c r="A31" t="inlineStr">
        <is>
          <t>FR0013535242</t>
        </is>
      </c>
      <c r="B31" t="inlineStr">
        <is>
          <t>H2O Moderato SP N ©</t>
        </is>
      </c>
      <c r="C31" t="inlineStr">
        <is>
          <t>inconnue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</row>
    <row r="32">
      <c r="A32" t="inlineStr">
        <is>
          <t>FR0013393295</t>
        </is>
      </c>
      <c r="B32" t="inlineStr">
        <is>
          <t>H2O Moderato SR</t>
        </is>
      </c>
      <c r="C32" t="inlineStr">
        <is>
          <t>inconnue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</row>
    <row r="33">
      <c r="A33" t="inlineStr">
        <is>
          <t>FR0013186749</t>
        </is>
      </c>
      <c r="B33" t="inlineStr">
        <is>
          <t>H2O Multistrategies N C</t>
        </is>
      </c>
      <c r="C33" t="inlineStr">
        <is>
          <t>inconnue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</row>
    <row r="34">
      <c r="A34" t="inlineStr">
        <is>
          <t>FR0010923383</t>
        </is>
      </c>
      <c r="B34" t="inlineStr">
        <is>
          <t>H2O Multistrategies R C</t>
        </is>
      </c>
      <c r="C34" t="inlineStr">
        <is>
          <t>inconnue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</row>
    <row r="35">
      <c r="A35" t="inlineStr">
        <is>
          <t>FR0013535408</t>
        </is>
      </c>
      <c r="B35" t="inlineStr">
        <is>
          <t>H2O Multistrategies SP R ©</t>
        </is>
      </c>
      <c r="C35" t="inlineStr">
        <is>
          <t>inconnue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</row>
    <row r="36">
      <c r="A36" t="inlineStr">
        <is>
          <t>LU0912261624</t>
        </is>
      </c>
      <c r="B36" t="inlineStr">
        <is>
          <t>Helium Fund B EUR</t>
        </is>
      </c>
      <c r="C36" t="inlineStr">
        <is>
          <t>inconnue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</row>
    <row r="37">
      <c r="A37" t="inlineStr">
        <is>
          <t>IE000F31HWX5</t>
        </is>
      </c>
      <c r="B37" t="inlineStr">
        <is>
          <t>Helium Global S EUR</t>
        </is>
      </c>
      <c r="C37" t="inlineStr">
        <is>
          <t>inconnue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</row>
    <row r="38">
      <c r="A38" t="inlineStr">
        <is>
          <t>LU0912261970</t>
        </is>
      </c>
      <c r="B38" t="inlineStr">
        <is>
          <t>Helium Performance A EUR</t>
        </is>
      </c>
      <c r="C38" t="inlineStr">
        <is>
          <t>inconnue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</row>
    <row r="39">
      <c r="A39" t="inlineStr">
        <is>
          <t>LU0912262275</t>
        </is>
      </c>
      <c r="B39" t="inlineStr">
        <is>
          <t>Helium Performance B EUR</t>
        </is>
      </c>
      <c r="C39" t="inlineStr">
        <is>
          <t>inconnue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/>
    </row>
    <row r="40">
      <c r="A40" t="inlineStr">
        <is>
          <t>LU1112771503</t>
        </is>
      </c>
      <c r="B40" t="inlineStr">
        <is>
          <t>Helium Selection B-EUR</t>
        </is>
      </c>
      <c r="C40" t="inlineStr">
        <is>
          <t>inconnue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</row>
    <row r="41">
      <c r="A41" t="inlineStr">
        <is>
          <t>LU1112771255</t>
        </is>
      </c>
      <c r="B41" t="inlineStr">
        <is>
          <t>Helium Sélection A EUR</t>
        </is>
      </c>
      <c r="C41" t="inlineStr">
        <is>
          <t>inconnue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/>
    </row>
    <row r="42">
      <c r="A42" t="inlineStr">
        <is>
          <t>LU1734046979</t>
        </is>
      </c>
      <c r="B42" t="inlineStr">
        <is>
          <t>Helium Sélection B clean EUR</t>
        </is>
      </c>
      <c r="C42" t="inlineStr">
        <is>
          <t>inconnue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</row>
    <row r="43">
      <c r="A43" t="inlineStr">
        <is>
          <t>LU1001747408</t>
        </is>
      </c>
      <c r="B43" t="inlineStr">
        <is>
          <t>JPMorgan Funds Europe Equity Absolute Alpha fund A</t>
        </is>
      </c>
      <c r="C43" t="inlineStr">
        <is>
          <t>inconnue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</row>
    <row r="44">
      <c r="A44" t="inlineStr">
        <is>
          <t>LU2147879543</t>
        </is>
      </c>
      <c r="B44" t="inlineStr">
        <is>
          <t>Tikehau International Cross Assets R Acc EUR</t>
        </is>
      </c>
      <c r="C44" t="inlineStr">
        <is>
          <t>inconnue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/>
    </row>
    <row r="45">
      <c r="A45" t="inlineStr">
        <is>
          <t>FR0013144094</t>
        </is>
      </c>
      <c r="B45" t="inlineStr">
        <is>
          <t>BK OPCI A</t>
        </is>
      </c>
      <c r="C45" t="inlineStr">
        <is>
          <t>inconnue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</row>
    <row r="46">
      <c r="A46" t="inlineStr">
        <is>
          <t>FR0013182664</t>
        </is>
      </c>
      <c r="B46" t="inlineStr">
        <is>
          <t>BK OPCI B</t>
        </is>
      </c>
      <c r="C46" t="inlineStr">
        <is>
          <t>inconnue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</row>
    <row r="47">
      <c r="A47" t="inlineStr">
        <is>
          <t>FR001400C5U8</t>
        </is>
      </c>
      <c r="B47" t="inlineStr">
        <is>
          <t>FCPR PPG Valeur Immo - Part A - EUR</t>
        </is>
      </c>
      <c r="C47" t="inlineStr">
        <is>
          <t>inconnue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</row>
    <row r="48">
      <c r="A48" t="inlineStr">
        <is>
          <t>FR001400C5V6</t>
        </is>
      </c>
      <c r="B48" t="inlineStr">
        <is>
          <t>FCPR PPG Valeur Immo - Part B</t>
        </is>
      </c>
      <c r="C48" t="inlineStr">
        <is>
          <t>inconnue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</row>
    <row r="49">
      <c r="A49" t="inlineStr">
        <is>
          <t>ALZ013324662</t>
        </is>
      </c>
      <c r="B49" t="inlineStr">
        <is>
          <t>FIC PPG Retail</t>
        </is>
      </c>
      <c r="C49" t="inlineStr">
        <is>
          <t>inconnue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/>
    </row>
    <row r="50">
      <c r="A50" t="inlineStr">
        <is>
          <t>FR0013324662</t>
        </is>
      </c>
      <c r="B50" t="inlineStr">
        <is>
          <t>OPPCI PPG Retail A</t>
        </is>
      </c>
      <c r="C50" t="inlineStr">
        <is>
          <t>inconnue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</row>
    <row r="51">
      <c r="A51" t="inlineStr">
        <is>
          <t>FR0013324670</t>
        </is>
      </c>
      <c r="B51" t="inlineStr">
        <is>
          <t>OPPCI PPG Retail B</t>
        </is>
      </c>
      <c r="C51" t="inlineStr">
        <is>
          <t>inconnue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</row>
    <row r="52">
      <c r="A52" t="inlineStr">
        <is>
          <t>LU1346205443</t>
        </is>
      </c>
      <c r="B52" t="inlineStr">
        <is>
          <t>Partners Group Global Real Estate FCP I</t>
        </is>
      </c>
      <c r="C52" t="inlineStr">
        <is>
          <t>manuel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Pénalité de 4% en cours (au 25/09/2024).</t>
        </is>
      </c>
    </row>
    <row r="53">
      <c r="A53" t="inlineStr">
        <is>
          <t>FR0013265683</t>
        </is>
      </c>
      <c r="B53" t="inlineStr">
        <is>
          <t>PPG Croissance A</t>
        </is>
      </c>
      <c r="C53" t="inlineStr">
        <is>
          <t>inconnue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/>
    </row>
    <row r="54">
      <c r="A54" t="inlineStr">
        <is>
          <t>FR001400LW94</t>
        </is>
      </c>
      <c r="B54" t="inlineStr">
        <is>
          <t>PPG Croissance B</t>
        </is>
      </c>
      <c r="C54" t="inlineStr">
        <is>
          <t>inconnue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</row>
    <row r="55">
      <c r="A55" t="inlineStr">
        <is>
          <t>FR001400C5W4</t>
        </is>
      </c>
      <c r="B55" t="inlineStr">
        <is>
          <t>PPG Valeur Immo I</t>
        </is>
      </c>
      <c r="C55" t="inlineStr">
        <is>
          <t>inconnue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</row>
    <row r="56">
      <c r="A56" t="inlineStr">
        <is>
          <t>SCPI00004799</t>
        </is>
      </c>
      <c r="B56" t="inlineStr">
        <is>
          <t>Remake Live</t>
        </is>
      </c>
      <c r="C56" t="inlineStr">
        <is>
          <t>seuil</t>
        </is>
      </c>
      <c r="D56" t="n">
        <v>60</v>
      </c>
      <c r="E56" t="n">
        <v>5</v>
      </c>
      <c r="F56" t="n">
        <v>60</v>
      </c>
      <c r="G56" t="n">
        <v>0</v>
      </c>
      <c r="H56" t="n">
        <v>60</v>
      </c>
      <c r="I56" t="n">
        <v>0</v>
      </c>
      <c r="J56" t="n">
        <v>60</v>
      </c>
      <c r="K56" t="n">
        <v>0</v>
      </c>
      <c r="L56" t="n">
        <v>0</v>
      </c>
      <c r="M56" t="inlineStr">
        <is>
          <t>Pénalité de 5% TTC pour toute sortie anticipée avant 5 ans de détention.</t>
        </is>
      </c>
    </row>
    <row r="57">
      <c r="A57" t="inlineStr">
        <is>
          <t>LU2658265710</t>
        </is>
      </c>
      <c r="B57" t="inlineStr">
        <is>
          <t>Schroder Global Real Estate Total Return</t>
        </is>
      </c>
      <c r="C57" t="inlineStr">
        <is>
          <t>inconnue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/>
    </row>
    <row r="58">
      <c r="A58" t="inlineStr">
        <is>
          <t>FR001400E052</t>
        </is>
      </c>
      <c r="B58" t="inlineStr">
        <is>
          <t>SCPI Remake Live - Part D</t>
        </is>
      </c>
      <c r="C58" t="inlineStr">
        <is>
          <t>seuil</t>
        </is>
      </c>
      <c r="D58" t="n">
        <v>60</v>
      </c>
      <c r="E58" t="n">
        <v>5</v>
      </c>
      <c r="F58" t="n">
        <v>60</v>
      </c>
      <c r="G58" t="n">
        <v>0</v>
      </c>
      <c r="H58" t="n">
        <v>60</v>
      </c>
      <c r="I58" t="n">
        <v>0</v>
      </c>
      <c r="J58" t="n">
        <v>60</v>
      </c>
      <c r="K58" t="n">
        <v>0</v>
      </c>
      <c r="L58" t="n">
        <v>0</v>
      </c>
      <c r="M58" t="inlineStr">
        <is>
          <t>Pénalité de 5% TTC pour toute sortie anticipée avant 5 ans de détention.</t>
        </is>
      </c>
    </row>
    <row r="59">
      <c r="A59" t="inlineStr">
        <is>
          <t>FR00140001C5</t>
        </is>
      </c>
      <c r="B59" t="inlineStr">
        <is>
          <t>SLP June Opportunity</t>
        </is>
      </c>
      <c r="C59" t="inlineStr">
        <is>
          <t>inconnue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</row>
    <row r="60">
      <c r="A60" t="inlineStr">
        <is>
          <t>FR00140047N5</t>
        </is>
      </c>
      <c r="B60" t="inlineStr">
        <is>
          <t>Vadora</t>
        </is>
      </c>
      <c r="C60" t="inlineStr">
        <is>
          <t>inconnue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</row>
    <row r="61">
      <c r="A61" t="inlineStr">
        <is>
          <t>FR0013324993</t>
        </is>
      </c>
      <c r="B61" t="inlineStr">
        <is>
          <t>White Stone Value</t>
        </is>
      </c>
      <c r="C61" t="inlineStr">
        <is>
          <t>inconnue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</row>
    <row r="62">
      <c r="A62" t="inlineStr">
        <is>
          <t>FR001400ZLZ0</t>
        </is>
      </c>
      <c r="B62" t="inlineStr">
        <is>
          <t>Antheor Private Infrastructure part A</t>
        </is>
      </c>
      <c r="C62" t="inlineStr">
        <is>
          <t>seuil</t>
        </is>
      </c>
      <c r="D62" t="n">
        <v>12</v>
      </c>
      <c r="E62" t="n">
        <v>5</v>
      </c>
      <c r="F62" t="n">
        <v>12</v>
      </c>
      <c r="G62" t="n">
        <v>0</v>
      </c>
      <c r="H62" t="n">
        <v>12</v>
      </c>
      <c r="I62" t="n">
        <v>0</v>
      </c>
      <c r="J62" t="n">
        <v>12</v>
      </c>
      <c r="K62" t="n">
        <v>0</v>
      </c>
      <c r="L62" t="n">
        <v>0</v>
      </c>
      <c r="M62" t="inlineStr">
        <is>
          <t>Pénalité de 5% sur la VL en cas de sortie avant 1 an de détention.</t>
        </is>
      </c>
    </row>
    <row r="63">
      <c r="A63" t="inlineStr">
        <is>
          <t>FR001400ZM58</t>
        </is>
      </c>
      <c r="B63" t="inlineStr">
        <is>
          <t>Antheor Private Infrastructure part B</t>
        </is>
      </c>
      <c r="C63" t="inlineStr">
        <is>
          <t>seuil</t>
        </is>
      </c>
      <c r="D63" t="n">
        <v>12</v>
      </c>
      <c r="E63" t="n">
        <v>5</v>
      </c>
      <c r="F63" t="n">
        <v>12</v>
      </c>
      <c r="G63" t="n">
        <v>0</v>
      </c>
      <c r="H63" t="n">
        <v>12</v>
      </c>
      <c r="I63" t="n">
        <v>0</v>
      </c>
      <c r="J63" t="n">
        <v>12</v>
      </c>
      <c r="K63" t="n">
        <v>0</v>
      </c>
      <c r="L63" t="n">
        <v>0</v>
      </c>
      <c r="M63" t="inlineStr">
        <is>
          <t>Pénalité de 5% sur la VL en cas de sortie avant 1 an de détention.</t>
        </is>
      </c>
    </row>
    <row r="64">
      <c r="A64" t="inlineStr">
        <is>
          <t>FR001400ZM09</t>
        </is>
      </c>
      <c r="B64" t="inlineStr">
        <is>
          <t>Antheor Private Infrastructure part F</t>
        </is>
      </c>
      <c r="C64" t="inlineStr">
        <is>
          <t>seuil</t>
        </is>
      </c>
      <c r="D64" t="n">
        <v>12</v>
      </c>
      <c r="E64" t="n">
        <v>5</v>
      </c>
      <c r="F64" t="n">
        <v>12</v>
      </c>
      <c r="G64" t="n">
        <v>0</v>
      </c>
      <c r="H64" t="n">
        <v>12</v>
      </c>
      <c r="I64" t="n">
        <v>0</v>
      </c>
      <c r="J64" t="n">
        <v>12</v>
      </c>
      <c r="K64" t="n">
        <v>0</v>
      </c>
      <c r="L64" t="n">
        <v>0</v>
      </c>
      <c r="M64" t="inlineStr">
        <is>
          <t>Pénalité de 5% sur la VL en cas de sortie avant 1 an de détention.</t>
        </is>
      </c>
    </row>
    <row r="65">
      <c r="A65" t="inlineStr">
        <is>
          <t>LU2571548820</t>
        </is>
      </c>
      <c r="B65" t="inlineStr">
        <is>
          <t>Brookfield Infrastructure Income</t>
        </is>
      </c>
      <c r="C65" t="inlineStr">
        <is>
          <t>seuil</t>
        </is>
      </c>
      <c r="D65" t="n">
        <v>12</v>
      </c>
      <c r="E65" t="n">
        <v>2</v>
      </c>
      <c r="F65" t="n">
        <v>12</v>
      </c>
      <c r="G65" t="n">
        <v>0</v>
      </c>
      <c r="H65" t="n">
        <v>12</v>
      </c>
      <c r="I65" t="n">
        <v>0</v>
      </c>
      <c r="J65" t="n">
        <v>12</v>
      </c>
      <c r="K65" t="n">
        <v>0</v>
      </c>
      <c r="L65" t="n">
        <v>0</v>
      </c>
      <c r="M65" t="inlineStr">
        <is>
          <t>Pénalité de 2% sur la VL en cas de sortie avant 1 an de détention.</t>
        </is>
      </c>
    </row>
    <row r="66">
      <c r="A66" t="inlineStr">
        <is>
          <t>LU2984100870</t>
        </is>
      </c>
      <c r="B66" t="inlineStr">
        <is>
          <t>EQT Nexus Infrastructure</t>
        </is>
      </c>
      <c r="C66" t="inlineStr">
        <is>
          <t>seuil</t>
        </is>
      </c>
      <c r="D66" t="n">
        <v>18</v>
      </c>
      <c r="E66" t="n">
        <v>5</v>
      </c>
      <c r="F66" t="n">
        <v>18</v>
      </c>
      <c r="G66" t="n">
        <v>0</v>
      </c>
      <c r="H66" t="n">
        <v>18</v>
      </c>
      <c r="I66" t="n">
        <v>0</v>
      </c>
      <c r="J66" t="n">
        <v>18</v>
      </c>
      <c r="K66" t="n">
        <v>0</v>
      </c>
      <c r="L66" t="n">
        <v>0</v>
      </c>
      <c r="M66" t="inlineStr">
        <is>
          <t>Pénalité de 5% de la NAV en cas de rachat dans les 18 premiers mois de l'émission.</t>
        </is>
      </c>
    </row>
    <row r="67">
      <c r="A67" t="inlineStr">
        <is>
          <t>FR001400BZG1</t>
        </is>
      </c>
      <c r="B67" t="inlineStr">
        <is>
          <t>FCPR AXA Avenir Infrastructures Parts T</t>
        </is>
      </c>
      <c r="C67" t="inlineStr">
        <is>
          <t>inconnue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</row>
    <row r="68">
      <c r="A68" t="inlineStr">
        <is>
          <t>FR001400BCG0</t>
        </is>
      </c>
      <c r="B68" t="inlineStr">
        <is>
          <t>FCPR Eiffel Infrastructures Vertes C</t>
        </is>
      </c>
      <c r="C68" t="inlineStr">
        <is>
          <t>inconnue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</row>
    <row r="69">
      <c r="A69" t="inlineStr">
        <is>
          <t>FR0013473667</t>
        </is>
      </c>
      <c r="B69" t="inlineStr">
        <is>
          <t>GF Infrastructures Durables</t>
        </is>
      </c>
      <c r="C69" t="inlineStr">
        <is>
          <t>inconnue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</row>
    <row r="70">
      <c r="A70" t="inlineStr">
        <is>
          <t>LU2710930046</t>
        </is>
      </c>
      <c r="B70" t="inlineStr">
        <is>
          <t>Partners Group Next Generation Infrastructure</t>
        </is>
      </c>
      <c r="C70" t="inlineStr">
        <is>
          <t>inconnue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/>
    </row>
    <row r="71">
      <c r="A71" t="inlineStr">
        <is>
          <t>LU2441620379</t>
        </is>
      </c>
      <c r="B71" t="inlineStr">
        <is>
          <t>Rive Tangible Assets Income Fund</t>
        </is>
      </c>
      <c r="C71" t="inlineStr">
        <is>
          <t>degressif</t>
        </is>
      </c>
      <c r="D71" t="n">
        <v>18</v>
      </c>
      <c r="E71" t="n">
        <v>7.5</v>
      </c>
      <c r="F71" t="n">
        <v>36</v>
      </c>
      <c r="G71" t="n">
        <v>5</v>
      </c>
      <c r="H71" t="n">
        <v>48</v>
      </c>
      <c r="I71" t="n">
        <v>3</v>
      </c>
      <c r="J71" t="n">
        <v>60</v>
      </c>
      <c r="K71" t="n">
        <v>2</v>
      </c>
      <c r="L71" t="n">
        <v>0</v>
      </c>
      <c r="M71" t="inlineStr">
        <is>
          <t>Pénalité dégressive : 0-18 mois 7,5% · 18-36 mois 5% · 36-48 mois 3% · 48-60 mois 2% · au-delà de 5 ans 0%.</t>
        </is>
      </c>
    </row>
    <row r="72">
      <c r="A72" t="inlineStr">
        <is>
          <t>LU2842989936</t>
        </is>
      </c>
      <c r="B72" t="inlineStr">
        <is>
          <t>Rive Tangible Assets Income Fund</t>
        </is>
      </c>
      <c r="C72" t="inlineStr">
        <is>
          <t>degressif</t>
        </is>
      </c>
      <c r="D72" t="n">
        <v>18</v>
      </c>
      <c r="E72" t="n">
        <v>7.5</v>
      </c>
      <c r="F72" t="n">
        <v>36</v>
      </c>
      <c r="G72" t="n">
        <v>5</v>
      </c>
      <c r="H72" t="n">
        <v>48</v>
      </c>
      <c r="I72" t="n">
        <v>3</v>
      </c>
      <c r="J72" t="n">
        <v>60</v>
      </c>
      <c r="K72" t="n">
        <v>2</v>
      </c>
      <c r="L72" t="n">
        <v>0</v>
      </c>
      <c r="M72" t="inlineStr">
        <is>
          <t>Pénalité dégressive : 0-18 mois 7,5% · 18-36 mois 5% · 36-48 mois 3% · 48-60 mois 2% · au-delà de 5 ans 0%.</t>
        </is>
      </c>
    </row>
    <row r="73">
      <c r="A73" t="inlineStr">
        <is>
          <t>LU2563800726</t>
        </is>
      </c>
      <c r="B73" t="inlineStr">
        <is>
          <t>Rive Tangible Assets Income Fund AS3</t>
        </is>
      </c>
      <c r="C73" t="inlineStr">
        <is>
          <t>degressif</t>
        </is>
      </c>
      <c r="D73" t="n">
        <v>18</v>
      </c>
      <c r="E73" t="n">
        <v>7.5</v>
      </c>
      <c r="F73" t="n">
        <v>36</v>
      </c>
      <c r="G73" t="n">
        <v>5</v>
      </c>
      <c r="H73" t="n">
        <v>48</v>
      </c>
      <c r="I73" t="n">
        <v>3</v>
      </c>
      <c r="J73" t="n">
        <v>60</v>
      </c>
      <c r="K73" t="n">
        <v>2</v>
      </c>
      <c r="L73" t="n">
        <v>0</v>
      </c>
      <c r="M73" t="inlineStr">
        <is>
          <t>Pénalité dégressive : 0-18 mois 7,5% · 18-36 mois 5% · 36-48 mois 3% · 48-60 mois 2% · au-delà de 5 ans 0%.</t>
        </is>
      </c>
    </row>
    <row r="74">
      <c r="A74" t="inlineStr">
        <is>
          <t>LU2677665254</t>
        </is>
      </c>
      <c r="B74" t="inlineStr">
        <is>
          <t>Stepstone Priv Infra A</t>
        </is>
      </c>
      <c r="C74" t="inlineStr">
        <is>
          <t>inconnue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</row>
    <row r="75">
      <c r="A75" t="inlineStr">
        <is>
          <t>LU3084311938</t>
        </is>
      </c>
      <c r="B75" t="inlineStr">
        <is>
          <t>StepStone Structure</t>
        </is>
      </c>
      <c r="C75" t="inlineStr">
        <is>
          <t>soft</t>
        </is>
      </c>
      <c r="D75" t="n">
        <v>12</v>
      </c>
      <c r="E75" t="n">
        <v>2</v>
      </c>
      <c r="F75" t="n">
        <v>12</v>
      </c>
      <c r="G75" t="n">
        <v>0</v>
      </c>
      <c r="H75" t="n">
        <v>12</v>
      </c>
      <c r="I75" t="n">
        <v>0</v>
      </c>
      <c r="J75" t="n">
        <v>12</v>
      </c>
      <c r="K75" t="n">
        <v>0</v>
      </c>
      <c r="L75" t="n">
        <v>0</v>
      </c>
      <c r="M75" t="inlineStr">
        <is>
          <t>Pas de hard lock-up ; soft lock-up de 2% si rachat dans les 12 mois de la souscription.</t>
        </is>
      </c>
    </row>
    <row r="76">
      <c r="A76" t="inlineStr">
        <is>
          <t>FR001400QZD6</t>
        </is>
      </c>
      <c r="B76" t="inlineStr">
        <is>
          <t>Althos Private Equity F</t>
        </is>
      </c>
      <c r="C76" t="inlineStr">
        <is>
          <t>seuil</t>
        </is>
      </c>
      <c r="D76" t="n">
        <v>12</v>
      </c>
      <c r="E76" t="n">
        <v>5</v>
      </c>
      <c r="F76" t="n">
        <v>12</v>
      </c>
      <c r="G76" t="n">
        <v>0</v>
      </c>
      <c r="H76" t="n">
        <v>12</v>
      </c>
      <c r="I76" t="n">
        <v>0</v>
      </c>
      <c r="J76" t="n">
        <v>12</v>
      </c>
      <c r="K76" t="n">
        <v>0</v>
      </c>
      <c r="L76" t="n">
        <v>0</v>
      </c>
      <c r="M76" t="inlineStr">
        <is>
          <t>Pénalité de 5% sur la VL en cas de sortie avant 1 an de détention.</t>
        </is>
      </c>
    </row>
    <row r="77">
      <c r="A77" t="inlineStr">
        <is>
          <t>FR001400QZ70</t>
        </is>
      </c>
      <c r="B77" t="inlineStr">
        <is>
          <t>Althos Private Equity part A</t>
        </is>
      </c>
      <c r="C77" t="inlineStr">
        <is>
          <t>seuil</t>
        </is>
      </c>
      <c r="D77" t="n">
        <v>12</v>
      </c>
      <c r="E77" t="n">
        <v>5</v>
      </c>
      <c r="F77" t="n">
        <v>12</v>
      </c>
      <c r="G77" t="n">
        <v>0</v>
      </c>
      <c r="H77" t="n">
        <v>12</v>
      </c>
      <c r="I77" t="n">
        <v>0</v>
      </c>
      <c r="J77" t="n">
        <v>12</v>
      </c>
      <c r="K77" t="n">
        <v>0</v>
      </c>
      <c r="L77" t="n">
        <v>0</v>
      </c>
      <c r="M77" t="inlineStr">
        <is>
          <t>Pénalité de 5% sur la VL en cas de sortie avant 1 an de détention.</t>
        </is>
      </c>
    </row>
    <row r="78">
      <c r="A78" t="inlineStr">
        <is>
          <t>FR001400QZB0</t>
        </is>
      </c>
      <c r="B78" t="inlineStr">
        <is>
          <t>Althos Private Equity part B</t>
        </is>
      </c>
      <c r="C78" t="inlineStr">
        <is>
          <t>seuil</t>
        </is>
      </c>
      <c r="D78" t="n">
        <v>12</v>
      </c>
      <c r="E78" t="n">
        <v>5</v>
      </c>
      <c r="F78" t="n">
        <v>12</v>
      </c>
      <c r="G78" t="n">
        <v>0</v>
      </c>
      <c r="H78" t="n">
        <v>12</v>
      </c>
      <c r="I78" t="n">
        <v>0</v>
      </c>
      <c r="J78" t="n">
        <v>12</v>
      </c>
      <c r="K78" t="n">
        <v>0</v>
      </c>
      <c r="L78" t="n">
        <v>0</v>
      </c>
      <c r="M78" t="inlineStr">
        <is>
          <t>Pénalité de 5% sur la VL en cas de sortie avant 1 an de détention.</t>
        </is>
      </c>
    </row>
    <row r="79">
      <c r="A79" t="inlineStr">
        <is>
          <t>FR001400QZ88</t>
        </is>
      </c>
      <c r="B79" t="inlineStr">
        <is>
          <t>Althos Private Equity part C</t>
        </is>
      </c>
      <c r="C79" t="inlineStr">
        <is>
          <t>seuil</t>
        </is>
      </c>
      <c r="D79" t="n">
        <v>12</v>
      </c>
      <c r="E79" t="n">
        <v>5</v>
      </c>
      <c r="F79" t="n">
        <v>12</v>
      </c>
      <c r="G79" t="n">
        <v>0</v>
      </c>
      <c r="H79" t="n">
        <v>12</v>
      </c>
      <c r="I79" t="n">
        <v>0</v>
      </c>
      <c r="J79" t="n">
        <v>12</v>
      </c>
      <c r="K79" t="n">
        <v>0</v>
      </c>
      <c r="L79" t="n">
        <v>0</v>
      </c>
      <c r="M79" t="inlineStr">
        <is>
          <t>Pénalité de 5% sur la VL en cas de sortie avant 1 an de détention.</t>
        </is>
      </c>
    </row>
    <row r="80">
      <c r="A80" t="inlineStr">
        <is>
          <t>FR001400QZA2</t>
        </is>
      </c>
      <c r="B80" t="inlineStr">
        <is>
          <t>Althos Private Equity part D</t>
        </is>
      </c>
      <c r="C80" t="inlineStr">
        <is>
          <t>seuil</t>
        </is>
      </c>
      <c r="D80" t="n">
        <v>12</v>
      </c>
      <c r="E80" t="n">
        <v>5</v>
      </c>
      <c r="F80" t="n">
        <v>12</v>
      </c>
      <c r="G80" t="n">
        <v>0</v>
      </c>
      <c r="H80" t="n">
        <v>12</v>
      </c>
      <c r="I80" t="n">
        <v>0</v>
      </c>
      <c r="J80" t="n">
        <v>12</v>
      </c>
      <c r="K80" t="n">
        <v>0</v>
      </c>
      <c r="L80" t="n">
        <v>0</v>
      </c>
      <c r="M80" t="inlineStr">
        <is>
          <t>Pénalité de 5% sur la VL en cas de sortie avant 1 an de détention.</t>
        </is>
      </c>
    </row>
    <row r="81">
      <c r="A81" t="inlineStr">
        <is>
          <t>FR001400QZC8</t>
        </is>
      </c>
      <c r="B81" t="inlineStr">
        <is>
          <t>Althos Private Equity part E</t>
        </is>
      </c>
      <c r="C81" t="inlineStr">
        <is>
          <t>seuil</t>
        </is>
      </c>
      <c r="D81" t="n">
        <v>12</v>
      </c>
      <c r="E81" t="n">
        <v>5</v>
      </c>
      <c r="F81" t="n">
        <v>12</v>
      </c>
      <c r="G81" t="n">
        <v>0</v>
      </c>
      <c r="H81" t="n">
        <v>12</v>
      </c>
      <c r="I81" t="n">
        <v>0</v>
      </c>
      <c r="J81" t="n">
        <v>12</v>
      </c>
      <c r="K81" t="n">
        <v>0</v>
      </c>
      <c r="L81" t="n">
        <v>0</v>
      </c>
      <c r="M81" t="inlineStr">
        <is>
          <t>Pénalité de 5% sur la VL en cas de sortie avant 1 an de détention.</t>
        </is>
      </c>
    </row>
    <row r="82">
      <c r="A82" t="inlineStr">
        <is>
          <t>FR0014007HA4</t>
        </is>
      </c>
      <c r="B82" t="inlineStr">
        <is>
          <t>Andera Co-Invest I</t>
        </is>
      </c>
      <c r="C82" t="inlineStr">
        <is>
          <t>inconnue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</row>
    <row r="83">
      <c r="A83" t="inlineStr">
        <is>
          <t>FR0013533619</t>
        </is>
      </c>
      <c r="B83" t="inlineStr">
        <is>
          <t>Apax Private Equity Opportunities</t>
        </is>
      </c>
      <c r="C83" t="inlineStr">
        <is>
          <t>inconnue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</row>
    <row r="84">
      <c r="A84" t="inlineStr">
        <is>
          <t>FR001400K4L0</t>
        </is>
      </c>
      <c r="B84" t="inlineStr">
        <is>
          <t>Archimed Med Access</t>
        </is>
      </c>
      <c r="C84" t="inlineStr">
        <is>
          <t>inconnue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</row>
    <row r="85">
      <c r="A85" t="inlineStr">
        <is>
          <t>FR001400AUA7</t>
        </is>
      </c>
      <c r="B85" t="inlineStr">
        <is>
          <t>Ardian Access Solution</t>
        </is>
      </c>
      <c r="C85" t="inlineStr">
        <is>
          <t>inconnue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</row>
    <row r="86">
      <c r="A86" t="inlineStr">
        <is>
          <t>LU3192960857</t>
        </is>
      </c>
      <c r="B86" t="inlineStr">
        <is>
          <t>BridgePoint Generations</t>
        </is>
      </c>
      <c r="C86" t="inlineStr">
        <is>
          <t>inconnue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</row>
    <row r="87">
      <c r="A87" t="inlineStr">
        <is>
          <t>LU3036659277</t>
        </is>
      </c>
      <c r="B87" t="inlineStr">
        <is>
          <t>Bridgepoint Generations</t>
        </is>
      </c>
      <c r="C87" t="inlineStr">
        <is>
          <t>inconnue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</row>
    <row r="88">
      <c r="A88" t="inlineStr">
        <is>
          <t>LU3212532884</t>
        </is>
      </c>
      <c r="B88" t="inlineStr">
        <is>
          <t>Carlyle CPEP</t>
        </is>
      </c>
      <c r="C88" t="inlineStr">
        <is>
          <t>inconnue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</row>
    <row r="89">
      <c r="A89" t="inlineStr">
        <is>
          <t>CLOSAQUI2017</t>
        </is>
      </c>
      <c r="B89" t="inlineStr">
        <is>
          <t>Clos Aquitaine 2017</t>
        </is>
      </c>
      <c r="C89" t="inlineStr">
        <is>
          <t>inconnue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</row>
    <row r="90">
      <c r="A90" t="inlineStr">
        <is>
          <t>LU2884017059</t>
        </is>
      </c>
      <c r="B90" t="inlineStr">
        <is>
          <t>CollerEquity</t>
        </is>
      </c>
      <c r="C90" t="inlineStr">
        <is>
          <t>seuil</t>
        </is>
      </c>
      <c r="D90" t="n">
        <v>12</v>
      </c>
      <c r="E90" t="n">
        <v>2</v>
      </c>
      <c r="F90" t="n">
        <v>12</v>
      </c>
      <c r="G90" t="n">
        <v>0</v>
      </c>
      <c r="H90" t="n">
        <v>12</v>
      </c>
      <c r="I90" t="n">
        <v>0</v>
      </c>
      <c r="J90" t="n">
        <v>12</v>
      </c>
      <c r="K90" t="n">
        <v>0</v>
      </c>
      <c r="L90" t="n">
        <v>0</v>
      </c>
      <c r="M90" t="inlineStr">
        <is>
          <t>Pénalité de 2% sur la VL en cas de sortie avant 1 an de détention.</t>
        </is>
      </c>
    </row>
    <row r="91">
      <c r="A91" t="inlineStr">
        <is>
          <t>FR00140089C0</t>
        </is>
      </c>
      <c r="B91" t="inlineStr">
        <is>
          <t>Committed Adv Sec V</t>
        </is>
      </c>
      <c r="C91" t="inlineStr">
        <is>
          <t>inconnue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</row>
    <row r="92">
      <c r="A92" t="inlineStr">
        <is>
          <t>LU2926063467</t>
        </is>
      </c>
      <c r="B92" t="inlineStr">
        <is>
          <t>CVC PE Global Private Equity</t>
        </is>
      </c>
      <c r="C92" t="inlineStr">
        <is>
          <t>inconnue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</row>
    <row r="93">
      <c r="A93" t="inlineStr">
        <is>
          <t>LU2617117614</t>
        </is>
      </c>
      <c r="B93" t="inlineStr">
        <is>
          <t>EQT Nexus Fund SICAV I</t>
        </is>
      </c>
      <c r="C93" t="inlineStr">
        <is>
          <t>seuil</t>
        </is>
      </c>
      <c r="D93" t="n">
        <v>18</v>
      </c>
      <c r="E93" t="n">
        <v>5</v>
      </c>
      <c r="F93" t="n">
        <v>18</v>
      </c>
      <c r="G93" t="n">
        <v>0</v>
      </c>
      <c r="H93" t="n">
        <v>18</v>
      </c>
      <c r="I93" t="n">
        <v>0</v>
      </c>
      <c r="J93" t="n">
        <v>18</v>
      </c>
      <c r="K93" t="n">
        <v>0</v>
      </c>
      <c r="L93" t="n">
        <v>0</v>
      </c>
      <c r="M93" t="inlineStr">
        <is>
          <t>Pénalité de 5% de la NAV en cas de rachat dans les 18 premiers mois de l'émission.</t>
        </is>
      </c>
    </row>
    <row r="94">
      <c r="A94" t="inlineStr">
        <is>
          <t>FR00140086L7</t>
        </is>
      </c>
      <c r="B94" t="inlineStr">
        <is>
          <t>Eurazeo Principal Investments</t>
        </is>
      </c>
      <c r="C94" t="inlineStr">
        <is>
          <t>inconnue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/>
    </row>
    <row r="95">
      <c r="A95" t="inlineStr">
        <is>
          <t>FR0013224375</t>
        </is>
      </c>
      <c r="B95" t="inlineStr">
        <is>
          <t>FCPI Idinvest Patrimoine N°7</t>
        </is>
      </c>
      <c r="C95" t="inlineStr">
        <is>
          <t>inconnue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</row>
    <row r="96">
      <c r="A96" t="inlineStr">
        <is>
          <t>FR001400K9O3</t>
        </is>
      </c>
      <c r="B96" t="inlineStr">
        <is>
          <t>FCPR Entrepreneurs &amp; Rendement N°8 Part E</t>
        </is>
      </c>
      <c r="C96" t="inlineStr">
        <is>
          <t>inconnue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</row>
    <row r="97">
      <c r="A97" t="inlineStr">
        <is>
          <t>FR001400HHK8</t>
        </is>
      </c>
      <c r="B97" t="inlineStr">
        <is>
          <t>FCPR Entrepreneurs Sélection Secondaire</t>
        </is>
      </c>
      <c r="C97" t="inlineStr">
        <is>
          <t>inconnue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</row>
    <row r="98">
      <c r="A98" t="inlineStr">
        <is>
          <t>FR0013415056</t>
        </is>
      </c>
      <c r="B98" t="inlineStr">
        <is>
          <t>FCPR Idinvest Entrepreneur Club - Parts A</t>
        </is>
      </c>
      <c r="C98" t="inlineStr">
        <is>
          <t>inconnue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</row>
    <row r="99">
      <c r="A99" t="inlineStr">
        <is>
          <t>FR0013411451</t>
        </is>
      </c>
      <c r="B99" t="inlineStr">
        <is>
          <t>FCPR Idinvest Strategic Opportunities 2 A</t>
        </is>
      </c>
      <c r="C99" t="inlineStr">
        <is>
          <t>inconnue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</row>
    <row r="100">
      <c r="A100" t="inlineStr">
        <is>
          <t>FR0013144128</t>
        </is>
      </c>
      <c r="B100" t="inlineStr">
        <is>
          <t>FCPR Idinvest Strategic Opportunities Part A</t>
        </is>
      </c>
      <c r="C100" t="inlineStr">
        <is>
          <t>inconnue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</row>
    <row r="101">
      <c r="A101" t="inlineStr">
        <is>
          <t>FR001400IL92</t>
        </is>
      </c>
      <c r="B101" t="inlineStr">
        <is>
          <t>Feeder RAISE Investissement S.L.P. A1</t>
        </is>
      </c>
      <c r="C101" t="inlineStr">
        <is>
          <t>inconnue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/>
    </row>
    <row r="102">
      <c r="A102" t="inlineStr">
        <is>
          <t>FR001400IL19</t>
        </is>
      </c>
      <c r="B102" t="inlineStr">
        <is>
          <t>Feeder RAISE Investissement S.L.P. A2</t>
        </is>
      </c>
      <c r="C102" t="inlineStr">
        <is>
          <t>inconnue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</row>
    <row r="103">
      <c r="A103" t="inlineStr">
        <is>
          <t>FR0013236320</t>
        </is>
      </c>
      <c r="B103" t="inlineStr">
        <is>
          <t>FIP 123Horizon PME 2017</t>
        </is>
      </c>
      <c r="C103" t="inlineStr">
        <is>
          <t>inconnue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</row>
    <row r="104">
      <c r="A104" t="inlineStr">
        <is>
          <t>FR0011347277</t>
        </is>
      </c>
      <c r="B104" t="inlineStr">
        <is>
          <t>FPCI Cairn Capital I A1</t>
        </is>
      </c>
      <c r="C104" t="inlineStr">
        <is>
          <t>inconnue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</row>
    <row r="105">
      <c r="A105" t="inlineStr">
        <is>
          <t>FR0013372687</t>
        </is>
      </c>
      <c r="B105" t="inlineStr">
        <is>
          <t>FPCI Cairn Capital II A1</t>
        </is>
      </c>
      <c r="C105" t="inlineStr">
        <is>
          <t>inconnue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/>
    </row>
    <row r="106">
      <c r="A106" t="inlineStr">
        <is>
          <t>FR0013504479</t>
        </is>
      </c>
      <c r="B106" t="inlineStr">
        <is>
          <t>GF Lumyna Private Equity World</t>
        </is>
      </c>
      <c r="C106" t="inlineStr">
        <is>
          <t>inconnue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</row>
    <row r="107">
      <c r="A107" t="inlineStr">
        <is>
          <t>LU2097348770</t>
        </is>
      </c>
      <c r="B107" t="inlineStr">
        <is>
          <t>Hamilton Lane Global Private Assets Fund - I EUR</t>
        </is>
      </c>
      <c r="C107" t="inlineStr">
        <is>
          <t>seuil</t>
        </is>
      </c>
      <c r="D107" t="n">
        <v>12</v>
      </c>
      <c r="E107" t="n">
        <v>5</v>
      </c>
      <c r="F107" t="n">
        <v>12</v>
      </c>
      <c r="G107" t="n">
        <v>0</v>
      </c>
      <c r="H107" t="n">
        <v>12</v>
      </c>
      <c r="I107" t="n">
        <v>0</v>
      </c>
      <c r="J107" t="n">
        <v>12</v>
      </c>
      <c r="K107" t="n">
        <v>0</v>
      </c>
      <c r="L107" t="n">
        <v>0</v>
      </c>
      <c r="M107" t="inlineStr">
        <is>
          <t>Pénalité de 5% de la NAV en cas de rachat dans les 12 premiers mois.</t>
        </is>
      </c>
    </row>
    <row r="108">
      <c r="A108" t="inlineStr">
        <is>
          <t>LU2862929846</t>
        </is>
      </c>
      <c r="B108" t="inlineStr">
        <is>
          <t>Hg Fusion</t>
        </is>
      </c>
      <c r="C108" t="inlineStr">
        <is>
          <t>manuel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Pénalité de 5% pendant les 12 premiers mois (part F2) ; 2% pendant 12 mois pour l'ancienne part.</t>
        </is>
      </c>
    </row>
    <row r="109">
      <c r="A109" t="inlineStr">
        <is>
          <t>FR0013080140</t>
        </is>
      </c>
      <c r="B109" t="inlineStr">
        <is>
          <t>Idinvest Secondary Fund III</t>
        </is>
      </c>
      <c r="C109" t="inlineStr">
        <is>
          <t>inconnue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</row>
    <row r="110">
      <c r="A110" t="inlineStr">
        <is>
          <t>IE00BK5BHW86</t>
        </is>
      </c>
      <c r="B110" t="inlineStr">
        <is>
          <t>LGT Multi-Alternatives Sub-Fund Class F (EUR)</t>
        </is>
      </c>
      <c r="C110" t="inlineStr">
        <is>
          <t>inconnue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</row>
    <row r="111">
      <c r="A111" t="inlineStr">
        <is>
          <t>FR001400LUW8</t>
        </is>
      </c>
      <c r="B111" t="inlineStr">
        <is>
          <t>Motion Equity Partners IV SC parts A2</t>
        </is>
      </c>
      <c r="C111" t="inlineStr">
        <is>
          <t>inconnue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</row>
    <row r="112">
      <c r="A112" t="inlineStr">
        <is>
          <t>LU2496022059</t>
        </is>
      </c>
      <c r="B112" t="inlineStr">
        <is>
          <t>NB Global Private Equity Access Fund I</t>
        </is>
      </c>
      <c r="C112" t="inlineStr">
        <is>
          <t>aucune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Pas de lock-up.</t>
        </is>
      </c>
    </row>
    <row r="113">
      <c r="A113" t="inlineStr">
        <is>
          <t>FR0013202108</t>
        </is>
      </c>
      <c r="B113" t="inlineStr">
        <is>
          <t>Nexstage Croissance</t>
        </is>
      </c>
      <c r="C113" t="inlineStr">
        <is>
          <t>inconnue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</row>
    <row r="114">
      <c r="A114" t="inlineStr">
        <is>
          <t>LU2996228198</t>
        </is>
      </c>
      <c r="B114" t="inlineStr">
        <is>
          <t>Pantheon Global Private Equity B EUR</t>
        </is>
      </c>
      <c r="C114" t="inlineStr">
        <is>
          <t>seuil</t>
        </is>
      </c>
      <c r="D114" t="n">
        <v>12</v>
      </c>
      <c r="E114" t="n">
        <v>2</v>
      </c>
      <c r="F114" t="n">
        <v>12</v>
      </c>
      <c r="G114" t="n">
        <v>0</v>
      </c>
      <c r="H114" t="n">
        <v>12</v>
      </c>
      <c r="I114" t="n">
        <v>0</v>
      </c>
      <c r="J114" t="n">
        <v>12</v>
      </c>
      <c r="K114" t="n">
        <v>0</v>
      </c>
      <c r="L114" t="n">
        <v>0</v>
      </c>
      <c r="M114" t="inlineStr">
        <is>
          <t>Pénalité de 2% sur la VL en cas de sortie avant 1 an de détention.</t>
        </is>
      </c>
    </row>
    <row r="115">
      <c r="A115" t="inlineStr">
        <is>
          <t>LU2756307729</t>
        </is>
      </c>
      <c r="B115" t="inlineStr">
        <is>
          <t>Pantheon Global Private Equity S EUR</t>
        </is>
      </c>
      <c r="C115" t="inlineStr">
        <is>
          <t>seuil</t>
        </is>
      </c>
      <c r="D115" t="n">
        <v>12</v>
      </c>
      <c r="E115" t="n">
        <v>2</v>
      </c>
      <c r="F115" t="n">
        <v>12</v>
      </c>
      <c r="G115" t="n">
        <v>0</v>
      </c>
      <c r="H115" t="n">
        <v>12</v>
      </c>
      <c r="I115" t="n">
        <v>0</v>
      </c>
      <c r="J115" t="n">
        <v>12</v>
      </c>
      <c r="K115" t="n">
        <v>0</v>
      </c>
      <c r="L115" t="n">
        <v>0</v>
      </c>
      <c r="M115" t="inlineStr">
        <is>
          <t>Pénalité de 2% sur la VL en cas de sortie avant 1 an de détention.</t>
        </is>
      </c>
    </row>
    <row r="116">
      <c r="A116" t="inlineStr">
        <is>
          <t>LU1912496582</t>
        </is>
      </c>
      <c r="B116" t="inlineStr">
        <is>
          <t>Partners Fund SICAV Class I-N</t>
        </is>
      </c>
      <c r="C116" t="inlineStr">
        <is>
          <t>aucune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Aucune pénalité actuellement.</t>
        </is>
      </c>
    </row>
    <row r="117">
      <c r="A117" t="inlineStr">
        <is>
          <t>LU1912497127</t>
        </is>
      </c>
      <c r="B117" t="inlineStr">
        <is>
          <t>Partners Fund SICAV Class R-N</t>
        </is>
      </c>
      <c r="C117" t="inlineStr">
        <is>
          <t>aucune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Aucune pénalité actuellement.</t>
        </is>
      </c>
    </row>
    <row r="118">
      <c r="A118" t="inlineStr">
        <is>
          <t>LU1911739370</t>
        </is>
      </c>
      <c r="B118" t="inlineStr">
        <is>
          <t>Partners Group Global Value SICAV Class R-N</t>
        </is>
      </c>
      <c r="C118" t="inlineStr">
        <is>
          <t>aucune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Aucune pénalité actuellement.</t>
        </is>
      </c>
    </row>
    <row r="119">
      <c r="A119" t="inlineStr">
        <is>
          <t>LU1911739297</t>
        </is>
      </c>
      <c r="B119" t="inlineStr">
        <is>
          <t>Partners Group Global Value SICAV E-N</t>
        </is>
      </c>
      <c r="C119" t="inlineStr">
        <is>
          <t>aucune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Aucune pénalité actuellement.</t>
        </is>
      </c>
    </row>
    <row r="120">
      <c r="A120" t="inlineStr">
        <is>
          <t>FR0014009FU2</t>
        </is>
      </c>
      <c r="B120" t="inlineStr">
        <is>
          <t>Private Corner Secondary Fund 2022 A1</t>
        </is>
      </c>
      <c r="C120" t="inlineStr">
        <is>
          <t>inconnue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</row>
    <row r="121">
      <c r="A121" t="inlineStr">
        <is>
          <t>FR0014009FV0</t>
        </is>
      </c>
      <c r="B121" t="inlineStr">
        <is>
          <t>Private Corner Secondary Fund 2022 A2</t>
        </is>
      </c>
      <c r="C121" t="inlineStr">
        <is>
          <t>inconnue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/>
    </row>
    <row r="122">
      <c r="A122" t="inlineStr">
        <is>
          <t>FR0014005Z14</t>
        </is>
      </c>
      <c r="B122" t="inlineStr">
        <is>
          <t>Private Corner Wealth Co-Investment A1</t>
        </is>
      </c>
      <c r="C122" t="inlineStr">
        <is>
          <t>inconnue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</row>
    <row r="123">
      <c r="A123" t="inlineStr">
        <is>
          <t>FR0014005Z22</t>
        </is>
      </c>
      <c r="B123" t="inlineStr">
        <is>
          <t>Private Corner Wealth Co-Investment A2</t>
        </is>
      </c>
      <c r="C123" t="inlineStr">
        <is>
          <t>inconnue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</row>
    <row r="124">
      <c r="A124" t="inlineStr">
        <is>
          <t>LU2824051721</t>
        </is>
      </c>
      <c r="B124" t="inlineStr">
        <is>
          <t>S64 VI PM Altoflex F00724</t>
        </is>
      </c>
      <c r="C124" t="inlineStr">
        <is>
          <t>inconnue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</row>
    <row r="125">
      <c r="A125" t="inlineStr">
        <is>
          <t>LU2871047580</t>
        </is>
      </c>
      <c r="B125" t="inlineStr">
        <is>
          <t>S64 VI PM Altoflex FPC F2</t>
        </is>
      </c>
      <c r="C125" t="inlineStr">
        <is>
          <t>inconnue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/>
    </row>
    <row r="126">
      <c r="A126" t="inlineStr">
        <is>
          <t>LU2098888824</t>
        </is>
      </c>
      <c r="B126" t="inlineStr">
        <is>
          <t>Schroder Semi Liquid GPE</t>
        </is>
      </c>
      <c r="C126" t="inlineStr">
        <is>
          <t>inconnue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</row>
    <row r="127">
      <c r="A127" t="inlineStr">
        <is>
          <t>FR0013351947</t>
        </is>
      </c>
      <c r="B127" t="inlineStr">
        <is>
          <t>Siparex Equivie</t>
        </is>
      </c>
      <c r="C127" t="inlineStr">
        <is>
          <t>inconnue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</row>
    <row r="128">
      <c r="A128" t="inlineStr">
        <is>
          <t>FR001400MDE0</t>
        </is>
      </c>
      <c r="B128" t="inlineStr">
        <is>
          <t>SIPAREX Investir en France</t>
        </is>
      </c>
      <c r="C128" t="inlineStr">
        <is>
          <t>inconnue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</row>
    <row r="129">
      <c r="A129" t="inlineStr">
        <is>
          <t>LU2485281419</t>
        </is>
      </c>
      <c r="B129" t="inlineStr">
        <is>
          <t>StepStone SPRIM - Private Market</t>
        </is>
      </c>
      <c r="C129" t="inlineStr">
        <is>
          <t>soft</t>
        </is>
      </c>
      <c r="D129" t="n">
        <v>12</v>
      </c>
      <c r="E129" t="n">
        <v>2</v>
      </c>
      <c r="F129" t="n">
        <v>12</v>
      </c>
      <c r="G129" t="n">
        <v>0</v>
      </c>
      <c r="H129" t="n">
        <v>12</v>
      </c>
      <c r="I129" t="n">
        <v>0</v>
      </c>
      <c r="J129" t="n">
        <v>12</v>
      </c>
      <c r="K129" t="n">
        <v>0</v>
      </c>
      <c r="L129" t="n">
        <v>0</v>
      </c>
      <c r="M129" t="inlineStr">
        <is>
          <t>Pas de hard lock-up ; soft lock-up de 2% si rachat dans les 12 mois de la souscription.</t>
        </is>
      </c>
    </row>
    <row r="130">
      <c r="A130" t="inlineStr">
        <is>
          <t>LU2528864353</t>
        </is>
      </c>
      <c r="B130" t="inlineStr">
        <is>
          <t>StepStone SPRING</t>
        </is>
      </c>
      <c r="C130" t="inlineStr">
        <is>
          <t>inconnue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Tom BIGNON</dc:creator>
  <dc:language>en-US</dc:language>
  <dcterms:created xsi:type="dcterms:W3CDTF">2026-03-13T08:26:49Z</dcterms:created>
  <dcterms:modified xsi:type="dcterms:W3CDTF">2026-08-17T13:58:54Z</dcterms:modified>
  <cp:lastModifiedBy>Tom BIGNON</cp:lastModifiedBy>
  <cp:revision>0</cp:revision>
  <cp:lastPrinted>2026-03-23T10:06:19Z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0x01010060788DBEE0ABBC4DBAD8BCBF9C89FD31</vt:lpwstr>
  </property>
  <property name="MediaServiceImageTags" fmtid="{D5CDD505-2E9C-101B-9397-08002B2CF9AE}" pid="3">
    <vt:lpwstr/>
  </property>
</Properties>
</file>