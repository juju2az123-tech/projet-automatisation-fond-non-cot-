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lthospatrimoine2020.sharepoint.com/sites/Althos-consultants/Documents partages/Commun/Althos Patrimoine/Althos APP/Bibliothèque de fonds/Calendriers de fonds/"/>
    </mc:Choice>
  </mc:AlternateContent>
  <xr:revisionPtr revIDLastSave="0" documentId="8_{A603C09C-F3B4-475D-B078-14FC858B0AF5}" xr6:coauthVersionLast="47" xr6:coauthVersionMax="47" xr10:uidLastSave="{00000000-0000-0000-0000-000000000000}"/>
  <bookViews>
    <workbookView xWindow="-120" yWindow="-16320" windowWidth="29040" windowHeight="15720" xr2:uid="{00000000-000D-0000-FFFF-FFFF00000000}"/>
  </bookViews>
  <sheets>
    <sheet name="Calendriers par fonds" sheetId="1" r:id="rId1"/>
    <sheet name="Calendriers" sheetId="2" r:id="rId2"/>
    <sheet name="Suivi" sheetId="3" r:id="rId3"/>
    <sheet name="Contrôles" sheetId="4" r:id="rId4"/>
    <sheet name="Lisez-moi"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3" i="1" l="1"/>
  <c r="L113" i="1"/>
  <c r="J99" i="1"/>
  <c r="J358" i="1"/>
  <c r="K71" i="1"/>
  <c r="K37" i="1"/>
  <c r="L37" i="1"/>
  <c r="R603" i="2"/>
  <c r="R602" i="2"/>
  <c r="R601" i="2"/>
  <c r="R600" i="2"/>
  <c r="R599" i="2"/>
  <c r="R598" i="2"/>
  <c r="R597" i="2"/>
  <c r="R596" i="2"/>
  <c r="R595" i="2"/>
  <c r="R594" i="2"/>
  <c r="R593" i="2"/>
  <c r="R592" i="2"/>
  <c r="R591" i="2"/>
  <c r="R590" i="2"/>
  <c r="R589" i="2"/>
  <c r="R588" i="2"/>
  <c r="R587" i="2"/>
  <c r="R586" i="2"/>
  <c r="R585" i="2"/>
  <c r="R584" i="2"/>
  <c r="R583" i="2"/>
  <c r="R582" i="2"/>
  <c r="R581" i="2"/>
  <c r="R580" i="2"/>
  <c r="R579" i="2"/>
  <c r="R578" i="2"/>
  <c r="R577" i="2"/>
  <c r="R576" i="2"/>
  <c r="R575" i="2"/>
  <c r="R574" i="2"/>
  <c r="R573" i="2"/>
  <c r="R572" i="2"/>
  <c r="R571" i="2"/>
  <c r="R570" i="2"/>
  <c r="R569" i="2"/>
  <c r="R568" i="2"/>
  <c r="R567" i="2"/>
  <c r="R566" i="2"/>
  <c r="R565" i="2"/>
  <c r="R564" i="2"/>
  <c r="R563" i="2"/>
  <c r="R562" i="2"/>
  <c r="R561" i="2"/>
  <c r="R560" i="2"/>
  <c r="R559" i="2"/>
  <c r="R558" i="2"/>
  <c r="R557" i="2"/>
  <c r="R556" i="2"/>
  <c r="R555" i="2"/>
  <c r="R554" i="2"/>
  <c r="R553" i="2"/>
  <c r="R552" i="2"/>
  <c r="R551" i="2"/>
  <c r="R550" i="2"/>
  <c r="R549" i="2"/>
  <c r="R548" i="2"/>
  <c r="R547" i="2"/>
  <c r="R546" i="2"/>
  <c r="R545" i="2"/>
  <c r="R544" i="2"/>
  <c r="R543" i="2"/>
  <c r="R542" i="2"/>
  <c r="R541" i="2"/>
  <c r="R540" i="2"/>
  <c r="R539" i="2"/>
  <c r="R538" i="2"/>
  <c r="R537" i="2"/>
  <c r="R536" i="2"/>
  <c r="R535" i="2"/>
  <c r="R534" i="2"/>
  <c r="R533" i="2"/>
  <c r="R532" i="2"/>
  <c r="R531" i="2"/>
  <c r="R530" i="2"/>
  <c r="R529" i="2"/>
  <c r="R528" i="2"/>
  <c r="R527" i="2"/>
  <c r="R526" i="2"/>
  <c r="R525" i="2"/>
  <c r="R524" i="2"/>
  <c r="R523" i="2"/>
  <c r="R522" i="2"/>
  <c r="R521" i="2"/>
  <c r="R520" i="2"/>
  <c r="R519" i="2"/>
  <c r="R518" i="2"/>
  <c r="R517" i="2"/>
  <c r="R516" i="2"/>
  <c r="R515" i="2"/>
  <c r="R514" i="2"/>
  <c r="R513" i="2"/>
  <c r="R512" i="2"/>
  <c r="R511" i="2"/>
  <c r="R510" i="2"/>
  <c r="R509" i="2"/>
  <c r="R508" i="2"/>
  <c r="R507" i="2"/>
  <c r="R506" i="2"/>
  <c r="R505" i="2"/>
  <c r="R504" i="2"/>
  <c r="R503" i="2"/>
  <c r="R502" i="2"/>
  <c r="R501" i="2"/>
  <c r="R500" i="2"/>
  <c r="R499" i="2"/>
  <c r="R498" i="2"/>
  <c r="R497" i="2"/>
  <c r="R496" i="2"/>
  <c r="R495" i="2"/>
  <c r="R494" i="2"/>
  <c r="R493" i="2"/>
  <c r="R492" i="2"/>
  <c r="R491" i="2"/>
  <c r="R490" i="2"/>
  <c r="R489" i="2"/>
  <c r="R488" i="2"/>
  <c r="R487" i="2"/>
  <c r="R486" i="2"/>
  <c r="R485" i="2"/>
  <c r="R484" i="2"/>
  <c r="R483" i="2"/>
  <c r="R482" i="2"/>
  <c r="R481" i="2"/>
  <c r="R480" i="2"/>
  <c r="R479" i="2"/>
  <c r="R478" i="2"/>
  <c r="R477" i="2"/>
  <c r="R476" i="2"/>
  <c r="R475" i="2"/>
  <c r="R474" i="2"/>
  <c r="R473" i="2"/>
  <c r="R472" i="2"/>
  <c r="R471" i="2"/>
  <c r="R470" i="2"/>
  <c r="R469" i="2"/>
  <c r="R468" i="2"/>
  <c r="R467" i="2"/>
  <c r="R466" i="2"/>
  <c r="R465" i="2"/>
  <c r="R464" i="2"/>
  <c r="R463" i="2"/>
  <c r="R462" i="2"/>
  <c r="R461" i="2"/>
  <c r="R460" i="2"/>
  <c r="R459" i="2"/>
  <c r="R458" i="2"/>
  <c r="R457" i="2"/>
  <c r="R456" i="2"/>
  <c r="R455" i="2"/>
  <c r="R454" i="2"/>
  <c r="R453" i="2"/>
  <c r="R452" i="2"/>
  <c r="R451" i="2"/>
  <c r="R450" i="2"/>
  <c r="R449" i="2"/>
  <c r="R448" i="2"/>
  <c r="R447" i="2"/>
  <c r="R446" i="2"/>
  <c r="R445" i="2"/>
  <c r="R444" i="2"/>
  <c r="R443" i="2"/>
  <c r="R442" i="2"/>
  <c r="R441" i="2"/>
  <c r="R440" i="2"/>
  <c r="R439" i="2"/>
  <c r="R438" i="2"/>
  <c r="R437" i="2"/>
  <c r="R436" i="2"/>
  <c r="R435" i="2"/>
  <c r="R434" i="2"/>
  <c r="R433" i="2"/>
  <c r="R432" i="2"/>
  <c r="R431" i="2"/>
  <c r="R430" i="2"/>
  <c r="R429" i="2"/>
  <c r="R428" i="2"/>
  <c r="R427" i="2"/>
  <c r="R426" i="2"/>
  <c r="R425" i="2"/>
  <c r="R424" i="2"/>
  <c r="R423" i="2"/>
  <c r="R422" i="2"/>
  <c r="R421" i="2"/>
  <c r="R420" i="2"/>
  <c r="R419" i="2"/>
  <c r="R418" i="2"/>
  <c r="R417" i="2"/>
  <c r="R416" i="2"/>
  <c r="R415" i="2"/>
  <c r="R414" i="2"/>
  <c r="R413" i="2"/>
  <c r="R412" i="2"/>
  <c r="R411" i="2"/>
  <c r="R410" i="2"/>
  <c r="R409" i="2"/>
  <c r="R408" i="2"/>
  <c r="R407" i="2"/>
  <c r="R406" i="2"/>
  <c r="R405" i="2"/>
  <c r="R404" i="2"/>
  <c r="R403" i="2"/>
  <c r="R402" i="2"/>
  <c r="R401" i="2"/>
  <c r="R400" i="2"/>
  <c r="R399" i="2"/>
  <c r="R398" i="2"/>
  <c r="R397" i="2"/>
  <c r="R396" i="2"/>
  <c r="R395" i="2"/>
  <c r="R394" i="2"/>
  <c r="R393" i="2"/>
  <c r="R392" i="2"/>
  <c r="R391" i="2"/>
  <c r="R390" i="2"/>
  <c r="R389" i="2"/>
  <c r="R388" i="2"/>
  <c r="R387" i="2"/>
  <c r="R386" i="2"/>
  <c r="R385" i="2"/>
  <c r="R384" i="2"/>
  <c r="R383" i="2"/>
  <c r="R382" i="2"/>
  <c r="R381" i="2"/>
  <c r="R380" i="2"/>
  <c r="R379" i="2"/>
  <c r="R378" i="2"/>
  <c r="R377" i="2"/>
  <c r="R376" i="2"/>
  <c r="R375" i="2"/>
  <c r="R374" i="2"/>
  <c r="R373" i="2"/>
  <c r="R372" i="2"/>
  <c r="R371" i="2"/>
  <c r="R370" i="2"/>
  <c r="R369" i="2"/>
  <c r="R368" i="2"/>
  <c r="R367" i="2"/>
  <c r="R366" i="2"/>
  <c r="R365" i="2"/>
  <c r="R364" i="2"/>
  <c r="R363" i="2"/>
  <c r="R362" i="2"/>
  <c r="R361" i="2"/>
  <c r="R360" i="2"/>
  <c r="R359" i="2"/>
  <c r="R358" i="2"/>
  <c r="R357" i="2"/>
  <c r="R356" i="2"/>
  <c r="R355" i="2"/>
  <c r="R354" i="2"/>
  <c r="R353" i="2"/>
  <c r="R352" i="2"/>
  <c r="R351" i="2"/>
  <c r="R350" i="2"/>
  <c r="R349" i="2"/>
  <c r="R348" i="2"/>
  <c r="R347" i="2"/>
  <c r="R346" i="2"/>
  <c r="R345" i="2"/>
  <c r="R344" i="2"/>
  <c r="R343" i="2"/>
  <c r="R342" i="2"/>
  <c r="R341" i="2"/>
  <c r="R340" i="2"/>
  <c r="R339" i="2"/>
  <c r="R338" i="2"/>
  <c r="R337" i="2"/>
  <c r="R336" i="2"/>
  <c r="R335" i="2"/>
  <c r="R334" i="2"/>
  <c r="R333" i="2"/>
  <c r="R332" i="2"/>
  <c r="R331" i="2"/>
  <c r="R330" i="2"/>
  <c r="R329" i="2"/>
  <c r="R328" i="2"/>
  <c r="R327" i="2"/>
  <c r="R326" i="2"/>
  <c r="R325" i="2"/>
  <c r="R324" i="2"/>
  <c r="R323" i="2"/>
  <c r="R322" i="2"/>
  <c r="R321" i="2"/>
  <c r="R320" i="2"/>
  <c r="R319" i="2"/>
  <c r="R318" i="2"/>
  <c r="R317" i="2"/>
  <c r="R316" i="2"/>
  <c r="R315" i="2"/>
  <c r="R314" i="2"/>
  <c r="R313" i="2"/>
  <c r="R312" i="2"/>
  <c r="R311" i="2"/>
  <c r="R310" i="2"/>
  <c r="R309" i="2"/>
  <c r="R308" i="2"/>
  <c r="R307" i="2"/>
  <c r="R306" i="2"/>
  <c r="R305" i="2"/>
  <c r="R304" i="2"/>
  <c r="R303" i="2"/>
  <c r="R302" i="2"/>
  <c r="R301" i="2"/>
  <c r="R300" i="2"/>
  <c r="R299" i="2"/>
  <c r="R298" i="2"/>
  <c r="R297" i="2"/>
  <c r="R296" i="2"/>
  <c r="R295" i="2"/>
  <c r="R294" i="2"/>
  <c r="R293" i="2"/>
  <c r="R292" i="2"/>
  <c r="R291" i="2"/>
  <c r="R290" i="2"/>
  <c r="R289" i="2"/>
  <c r="R288" i="2"/>
  <c r="R287" i="2"/>
  <c r="R286" i="2"/>
  <c r="R285" i="2"/>
  <c r="R284" i="2"/>
  <c r="R283" i="2"/>
  <c r="R282" i="2"/>
  <c r="R281" i="2"/>
  <c r="R280" i="2"/>
  <c r="R279" i="2"/>
  <c r="R278" i="2"/>
  <c r="R277" i="2"/>
  <c r="R276" i="2"/>
  <c r="R275" i="2"/>
  <c r="R274" i="2"/>
  <c r="R273" i="2"/>
  <c r="R272" i="2"/>
  <c r="R271" i="2"/>
  <c r="R270" i="2"/>
  <c r="R269" i="2"/>
  <c r="R268" i="2"/>
  <c r="R267" i="2"/>
  <c r="R266" i="2"/>
  <c r="R265" i="2"/>
  <c r="R264" i="2"/>
  <c r="R263" i="2"/>
  <c r="R262" i="2"/>
  <c r="R261" i="2"/>
  <c r="R260" i="2"/>
  <c r="R259" i="2"/>
  <c r="R258" i="2"/>
  <c r="R257" i="2"/>
  <c r="R256" i="2"/>
  <c r="R255" i="2"/>
  <c r="R254" i="2"/>
  <c r="R253" i="2"/>
  <c r="R252" i="2"/>
  <c r="R251" i="2"/>
  <c r="R250" i="2"/>
  <c r="R249" i="2"/>
  <c r="R248" i="2"/>
  <c r="R247" i="2"/>
  <c r="R246" i="2"/>
  <c r="R245" i="2"/>
  <c r="R244" i="2"/>
  <c r="R243" i="2"/>
  <c r="R242" i="2"/>
  <c r="R241" i="2"/>
  <c r="R240" i="2"/>
  <c r="R239" i="2"/>
  <c r="R238" i="2"/>
  <c r="R237" i="2"/>
  <c r="R236" i="2"/>
  <c r="R235" i="2"/>
  <c r="R234" i="2"/>
  <c r="R233" i="2"/>
  <c r="R232" i="2"/>
  <c r="R231" i="2"/>
  <c r="R230" i="2"/>
  <c r="R229" i="2"/>
  <c r="R228" i="2"/>
  <c r="R227" i="2"/>
  <c r="R226" i="2"/>
  <c r="R225" i="2"/>
  <c r="R224" i="2"/>
  <c r="R223" i="2"/>
  <c r="R222" i="2"/>
  <c r="R221" i="2"/>
  <c r="R220" i="2"/>
  <c r="R219" i="2"/>
  <c r="R218" i="2"/>
  <c r="R217" i="2"/>
  <c r="R216" i="2"/>
  <c r="R215" i="2"/>
  <c r="R214" i="2"/>
  <c r="R213" i="2"/>
  <c r="R212" i="2"/>
  <c r="R211" i="2"/>
  <c r="R210" i="2"/>
  <c r="R209" i="2"/>
  <c r="R208" i="2"/>
  <c r="R207" i="2"/>
  <c r="R206" i="2"/>
  <c r="R205" i="2"/>
  <c r="R204" i="2"/>
  <c r="R203" i="2"/>
  <c r="R202" i="2"/>
  <c r="R201" i="2"/>
  <c r="R200" i="2"/>
  <c r="R199" i="2"/>
  <c r="R198" i="2"/>
  <c r="R197" i="2"/>
  <c r="R196" i="2"/>
  <c r="R195" i="2"/>
  <c r="R194" i="2"/>
  <c r="R193" i="2"/>
  <c r="R192" i="2"/>
  <c r="R191" i="2"/>
  <c r="R190" i="2"/>
  <c r="R189" i="2"/>
  <c r="R188" i="2"/>
  <c r="R187" i="2"/>
  <c r="R186" i="2"/>
  <c r="R185" i="2"/>
  <c r="R184" i="2"/>
  <c r="R183" i="2"/>
  <c r="R182" i="2"/>
  <c r="R181" i="2"/>
  <c r="R180" i="2"/>
  <c r="R179" i="2"/>
  <c r="R178" i="2"/>
  <c r="R177" i="2"/>
  <c r="R176" i="2"/>
  <c r="R175" i="2"/>
  <c r="R174" i="2"/>
  <c r="R173" i="2"/>
  <c r="R172" i="2"/>
  <c r="R171" i="2"/>
  <c r="R170" i="2"/>
  <c r="R169" i="2"/>
  <c r="R168" i="2"/>
  <c r="R167" i="2"/>
  <c r="R166" i="2"/>
  <c r="R165" i="2"/>
  <c r="R164" i="2"/>
  <c r="R163" i="2"/>
  <c r="R162" i="2"/>
  <c r="R161" i="2"/>
  <c r="R160" i="2"/>
  <c r="R159" i="2"/>
  <c r="R158" i="2"/>
  <c r="R157" i="2"/>
  <c r="R156" i="2"/>
  <c r="R155" i="2"/>
  <c r="R154" i="2"/>
  <c r="R153" i="2"/>
  <c r="R152" i="2"/>
  <c r="R151" i="2"/>
  <c r="R150" i="2"/>
  <c r="R149" i="2"/>
  <c r="R148" i="2"/>
  <c r="R147" i="2"/>
  <c r="R146" i="2"/>
  <c r="R145" i="2"/>
  <c r="R144" i="2"/>
  <c r="R143" i="2"/>
  <c r="R142" i="2"/>
  <c r="R141" i="2"/>
  <c r="R140" i="2"/>
  <c r="R139" i="2"/>
  <c r="R138" i="2"/>
  <c r="R137" i="2"/>
  <c r="R136" i="2"/>
  <c r="R135" i="2"/>
  <c r="R134" i="2"/>
  <c r="R133" i="2"/>
  <c r="R132" i="2"/>
  <c r="R131" i="2"/>
  <c r="R130" i="2"/>
  <c r="R129" i="2"/>
  <c r="R128" i="2"/>
  <c r="R127" i="2"/>
  <c r="R126" i="2"/>
  <c r="R125" i="2"/>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R2" i="2"/>
  <c r="M741" i="1"/>
  <c r="L741" i="1"/>
  <c r="K741" i="1"/>
  <c r="M709" i="1"/>
  <c r="L709" i="1"/>
  <c r="K709" i="1"/>
  <c r="J709" i="1"/>
  <c r="M691" i="1"/>
  <c r="L691" i="1"/>
  <c r="K691" i="1"/>
  <c r="J691" i="1"/>
  <c r="M665" i="1"/>
  <c r="L665" i="1"/>
  <c r="K665" i="1"/>
  <c r="J665" i="1"/>
  <c r="M612" i="1"/>
  <c r="L612" i="1"/>
  <c r="K612" i="1"/>
  <c r="J612" i="1"/>
  <c r="M588" i="1"/>
  <c r="L588" i="1"/>
  <c r="K588" i="1"/>
  <c r="J588" i="1"/>
  <c r="M564" i="1"/>
  <c r="L564" i="1"/>
  <c r="K564" i="1"/>
  <c r="J564" i="1"/>
  <c r="M542" i="1"/>
  <c r="L542" i="1"/>
  <c r="K542" i="1"/>
  <c r="J542" i="1"/>
  <c r="M507" i="1"/>
  <c r="L507" i="1"/>
  <c r="K507" i="1"/>
  <c r="J507" i="1"/>
  <c r="M501" i="1"/>
  <c r="L501" i="1"/>
  <c r="K501" i="1"/>
  <c r="J501" i="1"/>
  <c r="M476" i="1"/>
  <c r="L476" i="1"/>
  <c r="K476" i="1"/>
  <c r="J476" i="1"/>
  <c r="M462" i="1"/>
  <c r="L462" i="1"/>
  <c r="K462" i="1"/>
  <c r="J462" i="1"/>
  <c r="M448" i="1"/>
  <c r="L448" i="1"/>
  <c r="K448" i="1"/>
  <c r="J448" i="1"/>
  <c r="M434" i="1"/>
  <c r="L434" i="1"/>
  <c r="K434" i="1"/>
  <c r="J434" i="1"/>
  <c r="M420" i="1"/>
  <c r="L420" i="1"/>
  <c r="K420" i="1"/>
  <c r="J420" i="1"/>
  <c r="M406" i="1"/>
  <c r="L406" i="1"/>
  <c r="K406" i="1"/>
  <c r="J406" i="1"/>
  <c r="M392" i="1"/>
  <c r="L392" i="1"/>
  <c r="K392" i="1"/>
  <c r="J392" i="1"/>
  <c r="M373" i="1"/>
  <c r="L373" i="1"/>
  <c r="K373" i="1"/>
  <c r="J373" i="1"/>
  <c r="M358" i="1"/>
  <c r="L358" i="1"/>
  <c r="K358" i="1"/>
  <c r="M344" i="1"/>
  <c r="L344" i="1"/>
  <c r="K344" i="1"/>
  <c r="J344" i="1"/>
  <c r="M269" i="1"/>
  <c r="L269" i="1"/>
  <c r="K269" i="1"/>
  <c r="J269" i="1"/>
  <c r="M250" i="1"/>
  <c r="L250" i="1"/>
  <c r="K250" i="1"/>
  <c r="M236" i="1"/>
  <c r="L236" i="1"/>
  <c r="K236" i="1"/>
  <c r="J236" i="1"/>
  <c r="M222" i="1"/>
  <c r="L222" i="1"/>
  <c r="K222" i="1"/>
  <c r="J222" i="1"/>
  <c r="M208" i="1"/>
  <c r="L208" i="1"/>
  <c r="K208" i="1"/>
  <c r="J208" i="1"/>
  <c r="M194" i="1"/>
  <c r="L194" i="1"/>
  <c r="K194" i="1"/>
  <c r="J194" i="1"/>
  <c r="M180" i="1"/>
  <c r="L180" i="1"/>
  <c r="K180" i="1"/>
  <c r="J180" i="1"/>
  <c r="M175" i="1"/>
  <c r="L175" i="1"/>
  <c r="K175" i="1"/>
  <c r="J175" i="1"/>
  <c r="M170" i="1"/>
  <c r="L170" i="1"/>
  <c r="K170" i="1"/>
  <c r="J170" i="1"/>
  <c r="M163" i="1"/>
  <c r="L163" i="1"/>
  <c r="K163" i="1"/>
  <c r="J163" i="1"/>
  <c r="M156" i="1"/>
  <c r="L156" i="1"/>
  <c r="K156" i="1"/>
  <c r="J156" i="1"/>
  <c r="M134" i="1"/>
  <c r="L134" i="1"/>
  <c r="K134" i="1"/>
  <c r="J134" i="1"/>
  <c r="M119" i="1"/>
  <c r="L119" i="1"/>
  <c r="K119" i="1"/>
  <c r="J119" i="1"/>
  <c r="M99" i="1"/>
  <c r="L99" i="1"/>
  <c r="K99" i="1"/>
  <c r="M85" i="1"/>
  <c r="L85" i="1"/>
  <c r="K85" i="1"/>
  <c r="J85" i="1"/>
  <c r="M71" i="1"/>
  <c r="L71" i="1"/>
  <c r="J71" i="1"/>
  <c r="M37" i="1"/>
  <c r="J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tc={ABD264B8-A129-4B33-83BD-C9DF46800301}</author>
    <author>tc={F135024C-26C5-4FD2-9495-34649087D8AD}</author>
    <author>tc={17788A53-90C3-4DB0-861A-5229981A4BEC}</author>
    <author>tc={1A4910FA-84D5-46B6-A47F-A1B9A108447C}</author>
    <author>tc={65774562-5CDC-4FDD-BA26-8DB54C67F4C5}</author>
    <author>tc={42CCDFD3-C673-4377-AA90-4E2BD9BDA94F}</author>
    <author>tc={73764265-6983-4452-8910-26FE5ACA08B2}</author>
    <author>tc={F199895F-9615-44CB-B28D-44F6C9280C6C}</author>
    <author>tc={3E81B450-C156-4C7A-826D-DD05D658A8EB}</author>
    <author>tc={67D48571-9304-4632-81CE-C0AD722AEEF7}</author>
    <author>tc={51B21D2A-C7FD-44E0-8E8E-A8A38741E0A4}</author>
    <author>tc={5F9DD38E-B83A-4B58-A039-79BC03441E32}</author>
    <author>tc={962521EA-34FD-45FE-B5E7-74B75C710EDE}</author>
    <author>tc={87F79EC2-FD78-47D6-BC5D-1B800CA2FB65}</author>
    <author>tc={9FC9CB70-F879-4456-8395-C92F4CB9370D}</author>
    <author>tc={F3F243FC-C8B6-4E66-97D4-EB0435C9BA5A}</author>
    <author>tc={14737A65-A8F9-42D7-8226-FED2D8C77CA0}</author>
    <author>tc={7265982D-D71C-4FCA-8B49-505452EC8280}</author>
    <author>tc={145B2AFF-641E-49A5-8526-4A288FB78730}</author>
    <author>tc={9A3B4E3C-F5BC-4DDD-97B1-119520036870}</author>
    <author>tc={10ADA634-948F-4802-AD1E-93E776B6979D}</author>
    <author>tc={D08BD243-27A4-4D30-A3F4-6863566087A6}</author>
    <author>tc={96CE8EF9-E046-482B-BD14-89D00B523DEE}</author>
    <author>tc={6714AC1D-B800-4218-B2CD-5C58B9ADFA97}</author>
    <author>tc={C62AC3F1-06C3-4617-806D-F32092472A36}</author>
    <author>tc={34E15704-0D2B-473C-9167-ACD29A1AA138}</author>
    <author>tc={ECF2E546-EDF4-49EA-B9CA-19D993B76A32}</author>
    <author>tc={5A3B8329-C1B3-4858-AFAA-D630EFA59A4F}</author>
    <author>tc={E6560826-28A3-4F6F-9B59-D89053E7F7D4}</author>
    <author>tc={C3E608EE-0766-46F7-B7A1-CB3B57500739}</author>
    <author>tc={8C0C75F0-1EE6-4D82-9901-48E515FFE61B}</author>
    <author>tc={C576D4B2-0372-4220-BCC4-AC9E8EA56A0B}</author>
    <author>tc={025613BD-0602-41F0-A165-5523A73BF203}</author>
    <author>tc={A4D5BC6D-2F2D-4EC3-B41B-A49E64F2C2E3}</author>
    <author>tc={216A2E6B-B1E9-4B7B-9516-FBCBCC521AC8}</author>
    <author>tc={56F780C8-B55C-4AB8-8A27-AADA6959D9BA}</author>
    <author>tc={FF710D61-4132-422C-BC54-59196AE17BF4}</author>
  </authors>
  <commentList>
    <comment ref="J61" authorId="0" shapeId="0" xr:uid="{ABD264B8-A129-4B33-83BD-C9DF46800301}">
      <text>
        <t>[Threaded comment]
Your version of Excel allows you to read this threaded comment; however, any edits to it will get removed if the file is opened in a newer version of Excel. Learn more: https://go.microsoft.com/fwlink/?linkid=870924
Comment:
    rachats trimestriels, avec préavis de 90 jours avant la date de rachat ; limite de 5 % de l'actif net par trimestre, excédent traité au prorata</t>
      </text>
    </comment>
    <comment ref="J62" authorId="1" shapeId="0" xr:uid="{F135024C-26C5-4FD2-9495-34649087D8AD}">
      <text>
        <t>[Threaded comment]
Your version of Excel allows you to read this threaded comment; however, any edits to it will get removed if the file is opened in a newer version of Excel. Learn more: https://go.microsoft.com/fwlink/?linkid=870924
Comment:
    Délai de sortie : VL trimestrielle, règlement sous 45 jours max ; possibilité de report jusqu'à 1 an ; suspension des rachats jusqu'à 2 ans dans certains cas. [June Oppor...15 04 2024 | PDF], [June Oppor...29 12 2023 | PDF]</t>
      </text>
    </comment>
    <comment ref="J64" authorId="2" shapeId="0" xr:uid="{17788A53-90C3-4DB0-861A-5229981A4BEC}">
      <text>
        <t xml:space="preserve">[Threaded comment]
Your version of Excel allows you to read this threaded comment; however, any edits to it will get removed if the file is opened in a newer version of Excel. Learn more: https://go.microsoft.com/fwlink/?linkid=870924
Comment:
    Pénalités de sortie
Les frais de rachat anticipé sont égaux à 20% du prix de rachat, quels que soient la date de retrait ou l'Associé exerçant le Droit de Retrait. Le prix de remboursement correspond à la première valeur liquidative établie postérieurement à la date de retrait, multiplié par le nombre d'Actions, diminué de ces frais.
À noter : dans la section « Composition des coûts », un coût de sortie de 0,37% est mentionné, mais il correspond à l'incidence des coûts encourus lorsque vous sortez à l'échéance (fin de vie du produit) — à distinguer des 20% de frais de rachat anticipé.
Délais / modalités de sortie
Lock-up : aucune demande de retrait ne peut être effectuée avant la clôture du 5ème exercice de la Société.
Fenêtre de retrait : les Associés peuvent demander leur retrait une fois par an, entre le 1er mai et le 30 juin, à compter de la clôture du 5ème exercice et jusqu'à la fin de la durée de vie de la Société.
Plafond des retraits : les demandes peuvent être refusées par le Président si le montant des retraits déjà effectués sur la période dépasse 5% du Capital Souscrit (plafonnement égalitaire entre Associés le cas échéant).
Motifs de refus : demande non conforme aux Statuts, ou dépassement du plafond de 5%.
Suspension possible : le Président peut suspendre les retraits pour une durée maximale de 12 mois (circonstances exceptionnelles de marché ou intérêt des Associés).
Versement du remboursement : il intervient entre le 1er et le 31 octobre de l'exercice au cours duquel la Demande de Retrait est formulée.
Durée de vie / placement recommandée : 6 ans à compter de la date de constitution (prorogeable par la collectivité des Associés pour 2 périodes successives d'1 an).
</t>
      </text>
    </comment>
    <comment ref="J69" authorId="3" shapeId="0" xr:uid="{1A4910FA-84D5-46B6-A47F-A1B9A108447C}">
      <text>
        <t>[Threaded comment]
Your version of Excel allows you to read this threaded comment; however, any edits to it will get removed if the file is opened in a newer version of Excel. Learn more: https://go.microsoft.com/fwlink/?linkid=870924
Comment:
    Un désinvestissement avant l’échéance est possible mais n’est pas garanti par l’initiateur du produit. Le rachat a lieu a cours inconnu et ne donne pas lieu à la perception de frais ou d’honoraires par PRIMONIAL CAPIMMO ni par Praemia REIM France</t>
      </text>
    </comment>
    <comment ref="J70" authorId="4" shapeId="0" xr:uid="{65774562-5CDC-4FDD-BA26-8DB54C67F4C5}">
      <text>
        <t>[Threaded comment]
Your version of Excel allows you to read this threaded comment; however, any edits to it will get removed if the file is opened in a newer version of Excel. Learn more: https://go.microsoft.com/fwlink/?linkid=870924
Comment:
    Délai habituel de règlement : 10 jours ouvrés maximum. [Notive d'i...2022 05 31 | PDF]
Délai pouvant aller jusqu'à 6 mois en cas de contraintes de liquidité. [Notive d'i...2022 05 31 | PDF]
Retrait possible à tout moment, sous réserve des modalités prévues</t>
      </text>
    </comment>
    <comment ref="B119" authorId="5" shapeId="0" xr:uid="{42CCDFD3-C673-4377-AA90-4E2BD9BDA94F}">
      <text>
        <t>[Threaded comment]
Your version of Excel allows you to read this threaded comment; however, any edits to it will get removed if the file is opened in a newer version of Excel. Learn more: https://go.microsoft.com/fwlink/?linkid=870924
Comment:
    Fond APE</t>
      </text>
    </comment>
    <comment ref="B265" authorId="6" shapeId="0" xr:uid="{73764265-6983-4452-8910-26FE5ACA08B2}">
      <text>
        <t>[Threaded comment]
Your version of Excel allows you to read this threaded comment; however, any edits to it will get removed if the file is opened in a newer version of Excel. Learn more: https://go.microsoft.com/fwlink/?linkid=870924
Comment:
    Fond APC</t>
      </text>
    </comment>
    <comment ref="J265" authorId="7" shapeId="0" xr:uid="{F199895F-9615-44CB-B28D-44F6C9280C6C}">
      <text>
        <t>[Threaded comment]
Your version of Excel allows you to read this threaded comment; however, any edits to it will get removed if the file is opened in a newer version of Excel. Learn more: https://go.microsoft.com/fwlink/?linkid=870924
Comment:
    Demande de rachat à déposer avant 17h00 (heure d'Europe centrale) le premier jour ouvrable du mois concerné. 
Règlement des rachats généralement dans les 60 jours civils suivant la date de rachat</t>
      </text>
    </comment>
    <comment ref="V265" authorId="8" shapeId="0" xr:uid="{3E81B450-C156-4C7A-826D-DD05D658A8EB}">
      <text>
        <t xml:space="preserve">[Threaded comment]
Your version of Excel allows you to read this threaded comment; however, any edits to it will get removed if the file is opened in a newer version of Excel. Learn more: https://go.microsoft.com/fwlink/?linkid=870924
Comment:
    Le règlement intervient généralement dans les 60 jours calendaires suivant la date de rachat
Reply:
    Les demandes de rachat doivent être déposées au plus tard à 17 heures, heure d'Europe centrale, le premier jour ouvrable du mois où une Date de Rachat a été fixée. Les règlements des
rachats de parts devraient generalement s'effectuer dans les 60 jours civils a compter de la Date de Rachat. </t>
      </text>
    </comment>
    <comment ref="B266" authorId="9" shapeId="0" xr:uid="{67D48571-9304-4632-81CE-C0AD722AEEF7}">
      <text>
        <t>[Threaded comment]
Your version of Excel allows you to read this threaded comment; however, any edits to it will get removed if the file is opened in a newer version of Excel. Learn more: https://go.microsoft.com/fwlink/?linkid=870924
Comment:
    Fond APC</t>
      </text>
    </comment>
    <comment ref="V267" authorId="10" shapeId="0" xr:uid="{51B21D2A-C7FD-44E0-8E8E-A8A38741E0A4}">
      <text>
        <t>[Threaded comment]
Your version of Excel allows you to read this threaded comment; however, any edits to it will get removed if the file is opened in a newer version of Excel. Learn more: https://go.microsoft.com/fwlink/?linkid=870924
Comment:
    Délai de préavis : 30 jours
Liquidité : trimestrielle
Règlement : jusqu'à 45 jours après la date de rachat
Limite de rachat : 5 % de la VL du fonds par trimestre
Pénalité de sortie : 2 % seulement la 1ère année, puis 0 %</t>
      </text>
    </comment>
    <comment ref="B268" authorId="11" shapeId="0" xr:uid="{5F9DD38E-B83A-4B58-A039-79BC03441E32}">
      <text>
        <t>[Threaded comment]
Your version of Excel allows you to read this threaded comment; however, any edits to it will get removed if the file is opened in a newer version of Excel. Learn more: https://go.microsoft.com/fwlink/?linkid=870924
Comment:
    APC</t>
      </text>
    </comment>
    <comment ref="B269" authorId="12" shapeId="0" xr:uid="{962521EA-34FD-45FE-B5E7-74B75C710EDE}">
      <text>
        <t>[Threaded comment]
Your version of Excel allows you to read this threaded comment; however, any edits to it will get removed if the file is opened in a newer version of Excel. Learn more: https://go.microsoft.com/fwlink/?linkid=870924
Comment:
    fond APC</t>
      </text>
    </comment>
    <comment ref="B299" authorId="13" shapeId="0" xr:uid="{87F79EC2-FD78-47D6-BC5D-1B800CA2FB65}">
      <text>
        <t xml:space="preserve">[Threaded comment]
Your version of Excel allows you to read this threaded comment; however, any edits to it will get removed if the file is opened in a newer version of Excel. Learn more: https://go.microsoft.com/fwlink/?linkid=870924
Comment:
    Fond APE </t>
      </text>
    </comment>
    <comment ref="B314" authorId="14" shapeId="0" xr:uid="{9FC9CB70-F879-4456-8395-C92F4CB9370D}">
      <text>
        <t xml:space="preserve">[Threaded comment]
Your version of Excel allows you to read this threaded comment; however, any edits to it will get removed if the file is opened in a newer version of Excel. Learn more: https://go.microsoft.com/fwlink/?linkid=870924
Comment:
    Fond APE </t>
      </text>
    </comment>
    <comment ref="B329" authorId="15" shapeId="0" xr:uid="{F3F243FC-C8B6-4E66-97D4-EB0435C9BA5A}">
      <text>
        <t xml:space="preserve">[Threaded comment]
Your version of Excel allows you to read this threaded comment; however, any edits to it will get removed if the file is opened in a newer version of Excel. Learn more: https://go.microsoft.com/fwlink/?linkid=870924
Comment:
    Fond APE </t>
      </text>
    </comment>
    <comment ref="B358" authorId="16" shapeId="0" xr:uid="{14737A65-A8F9-42D7-8226-FED2D8C77CA0}">
      <text>
        <t>[Threaded comment]
Your version of Excel allows you to read this threaded comment; however, any edits to it will get removed if the file is opened in a newer version of Excel. Learn more: https://go.microsoft.com/fwlink/?linkid=870924
Comment:
    Fond APC</t>
      </text>
    </comment>
    <comment ref="B476" authorId="17" shapeId="0" xr:uid="{7265982D-D71C-4FCA-8B49-505452EC8280}">
      <text>
        <t>[Threaded comment]
Your version of Excel allows you to read this threaded comment; however, any edits to it will get removed if the file is opened in a newer version of Excel. Learn more: https://go.microsoft.com/fwlink/?linkid=870924
Comment:
    Fond APE</t>
      </text>
    </comment>
    <comment ref="B491" authorId="18" shapeId="0" xr:uid="{145B2AFF-641E-49A5-8526-4A288FB78730}">
      <text>
        <t>[Threaded comment]
Your version of Excel allows you to read this threaded comment; however, any edits to it will get removed if the file is opened in a newer version of Excel. Learn more: https://go.microsoft.com/fwlink/?linkid=870924
Comment:
    Fond APE</t>
      </text>
    </comment>
    <comment ref="B501" authorId="19" shapeId="0" xr:uid="{9A3B4E3C-F5BC-4DDD-97B1-119520036870}">
      <text>
        <t>[Threaded comment]
Your version of Excel allows you to read this threaded comment; however, any edits to it will get removed if the file is opened in a newer version of Excel. Learn more: https://go.microsoft.com/fwlink/?linkid=870924
Comment:
    Fond APE</t>
      </text>
    </comment>
    <comment ref="B507" authorId="20" shapeId="0" xr:uid="{10ADA634-948F-4802-AD1E-93E776B6979D}">
      <text>
        <t>[Threaded comment]
Your version of Excel allows you to read this threaded comment; however, any edits to it will get removed if the file is opened in a newer version of Excel. Learn more: https://go.microsoft.com/fwlink/?linkid=870924
Comment:
    Fond APE</t>
      </text>
    </comment>
    <comment ref="B512" authorId="21" shapeId="0" xr:uid="{D08BD243-27A4-4D30-A3F4-6863566087A6}">
      <text>
        <t>[Threaded comment]
Your version of Excel allows you to read this threaded comment; however, any edits to it will get removed if the file is opened in a newer version of Excel. Learn more: https://go.microsoft.com/fwlink/?linkid=870924
Comment:
    Fond APE</t>
      </text>
    </comment>
    <comment ref="B523" authorId="22" shapeId="0" xr:uid="{96CE8EF9-E046-482B-BD14-89D00B523DEE}">
      <text>
        <t>[Threaded comment]
Your version of Excel allows you to read this threaded comment; however, any edits to it will get removed if the file is opened in a newer version of Excel. Learn more: https://go.microsoft.com/fwlink/?linkid=870924
Comment:
    calendrier de sortie 2025 pas 2026
Reply:
    Fond APE</t>
      </text>
    </comment>
    <comment ref="B524" authorId="23" shapeId="0" xr:uid="{6714AC1D-B800-4218-B2CD-5C58B9ADFA97}">
      <text>
        <t>[Threaded comment]
Your version of Excel allows you to read this threaded comment; however, any edits to it will get removed if the file is opened in a newer version of Excel. Learn more: https://go.microsoft.com/fwlink/?linkid=870924
Comment:
    Fond APE
Reply:
    pas de DICI avec le bon code isin dans société de gestion</t>
      </text>
    </comment>
    <comment ref="J524" authorId="24" shapeId="0" xr:uid="{C62AC3F1-06C3-4617-806D-F32092472A36}">
      <text>
        <t>[Threaded comment]
Your version of Excel allows you to read this threaded comment; however, any edits to it will get removed if the file is opened in a newer version of Excel. Learn more: https://go.microsoft.com/fwlink/?linkid=870924
Comment:
    pas de DICI avec le bon code isin dans société de gestion</t>
      </text>
    </comment>
    <comment ref="B557" authorId="25" shapeId="0" xr:uid="{34E15704-0D2B-473C-9167-ACD29A1AA138}">
      <text>
        <t>[Threaded comment]
Your version of Excel allows you to read this threaded comment; however, any edits to it will get removed if the file is opened in a newer version of Excel. Learn more: https://go.microsoft.com/fwlink/?linkid=870924
Comment:
    Fond APE</t>
      </text>
    </comment>
    <comment ref="J557" authorId="26" shapeId="0" xr:uid="{ECF2E546-EDF4-49EA-B9CA-19D993B76A32}">
      <text>
        <t>[Threaded comment]
Your version of Excel allows you to read this threaded comment; however, any edits to it will get removed if the file is opened in a newer version of Excel. Learn more: https://go.microsoft.com/fwlink/?linkid=870924
Comment:
    Liquidité : trimestrielle. [2026 05 AR...aux Termes | PDF]
Demande de rachat : dernier jour ouvré du mois précédant la VL. [2026 05 AR...aux Termes | PDF]
Paiement : 2 jours ouvrés après publication de la VL. [2026 05 AR...aux Termes | PDF]
Plafonnement des rachats : 27,3 % de la poche liquide du fonds</t>
      </text>
    </comment>
    <comment ref="B558" authorId="27" shapeId="0" xr:uid="{5A3B8329-C1B3-4858-AFAA-D630EFA59A4F}">
      <text>
        <t xml:space="preserve">[Threaded comment]
Your version of Excel allows you to read this threaded comment; however, any edits to it will get removed if the file is opened in a newer version of Excel. Learn more: https://go.microsoft.com/fwlink/?linkid=870924
Comment:
    Fond APE </t>
      </text>
    </comment>
    <comment ref="B559" authorId="28" shapeId="0" xr:uid="{E6560826-28A3-4F6F-9B59-D89053E7F7D4}">
      <text>
        <t>[Threaded comment]
Your version of Excel allows you to read this threaded comment; however, any edits to it will get removed if the file is opened in a newer version of Excel. Learn more: https://go.microsoft.com/fwlink/?linkid=870924
Comment:
    Fond APE</t>
      </text>
    </comment>
    <comment ref="B560" authorId="29" shapeId="0" xr:uid="{C3E608EE-0766-46F7-B7A1-CB3B57500739}">
      <text>
        <t>[Threaded comment]
Your version of Excel allows you to read this threaded comment; however, any edits to it will get removed if the file is opened in a newer version of Excel. Learn more: https://go.microsoft.com/fwlink/?linkid=870924
Comment:
    Fond APE</t>
      </text>
    </comment>
    <comment ref="B561" authorId="30" shapeId="0" xr:uid="{8C0C75F0-1EE6-4D82-9901-48E515FFE61B}">
      <text>
        <t>[Threaded comment]
Your version of Excel allows you to read this threaded comment; however, any edits to it will get removed if the file is opened in a newer version of Excel. Learn more: https://go.microsoft.com/fwlink/?linkid=870924
Comment:
    Fond APE</t>
      </text>
    </comment>
    <comment ref="B562" authorId="31" shapeId="0" xr:uid="{C576D4B2-0372-4220-BCC4-AC9E8EA56A0B}">
      <text>
        <t>[Threaded comment]
Your version of Excel allows you to read this threaded comment; however, any edits to it will get removed if the file is opened in a newer version of Excel. Learn more: https://go.microsoft.com/fwlink/?linkid=870924
Comment:
    Fond APE</t>
      </text>
    </comment>
    <comment ref="B563" authorId="32" shapeId="0" xr:uid="{025613BD-0602-41F0-A165-5523A73BF203}">
      <text>
        <t>[Threaded comment]
Your version of Excel allows you to read this threaded comment; however, any edits to it will get removed if the file is opened in a newer version of Excel. Learn more: https://go.microsoft.com/fwlink/?linkid=870924
Comment:
    Fond APE</t>
      </text>
    </comment>
    <comment ref="V627" authorId="33" shapeId="0" xr:uid="{A4D5BC6D-2F2D-4EC3-B41B-A49E64F2C2E3}">
      <text>
        <t>[Threaded comment]
Your version of Excel allows you to read this threaded comment; however, any edits to it will get removed if the file is opened in a newer version of Excel. Learn more: https://go.microsoft.com/fwlink/?linkid=870924
Comment:
    je me base sur le calendrier de HG fusion ?</t>
      </text>
    </comment>
    <comment ref="V628" authorId="34" shapeId="0" xr:uid="{216A2E6B-B1E9-4B7B-9516-FBCBCC521AC8}">
      <text>
        <t>[Threaded comment]
Your version of Excel allows you to read this threaded comment; however, any edits to it will get removed if the file is opened in a newer version of Excel. Learn more: https://go.microsoft.com/fwlink/?linkid=870924
Comment:
    je me base sur le calendrier de HG fusion ?</t>
      </text>
    </comment>
    <comment ref="B767" authorId="35" shapeId="0" xr:uid="{56F780C8-B55C-4AB8-8A27-AADA6959D9BA}">
      <text>
        <t>[Threaded comment]
Your version of Excel allows you to read this threaded comment; however, any edits to it will get removed if the file is opened in a newer version of Excel. Learn more: https://go.microsoft.com/fwlink/?linkid=870924
Comment:
    Fond APE</t>
      </text>
    </comment>
    <comment ref="B769" authorId="36" shapeId="0" xr:uid="{FF710D61-4132-422C-BC54-59196AE17BF4}">
      <text>
        <t>[Threaded comment]
Your version of Excel allows you to read this threaded comment; however, any edits to it will get removed if the file is opened in a newer version of Excel. Learn more: https://go.microsoft.com/fwlink/?linkid=870924
Comment:
    Fond APE</t>
      </text>
    </comment>
  </commentList>
</comments>
</file>

<file path=xl/sharedStrings.xml><?xml version="1.0" encoding="utf-8"?>
<sst xmlns="http://schemas.openxmlformats.org/spreadsheetml/2006/main" count="10199" uniqueCount="1396">
  <si>
    <t>ISIN</t>
  </si>
  <si>
    <t>Nom du fonds</t>
  </si>
  <si>
    <t>Catégorie</t>
  </si>
  <si>
    <t>Sous-catégorie</t>
  </si>
  <si>
    <t>Devise du fonds</t>
  </si>
  <si>
    <t>SRI</t>
  </si>
  <si>
    <t>Temporalité de cotation</t>
  </si>
  <si>
    <t>Liquidité</t>
  </si>
  <si>
    <t>Statut</t>
  </si>
  <si>
    <t>Statut calendrier</t>
  </si>
  <si>
    <t>Prochain ordre — entrée</t>
  </si>
  <si>
    <t>Prochain ordre — sortie</t>
  </si>
  <si>
    <t>Prochaine réception cash</t>
  </si>
  <si>
    <t>Vérifié</t>
  </si>
  <si>
    <t>PDF officiel</t>
  </si>
  <si>
    <t>Lock-up / pénalité de sortie</t>
  </si>
  <si>
    <t>Durée d'investissement obligatoire dans le fond</t>
  </si>
  <si>
    <t xml:space="preserve">Durée du fond </t>
  </si>
  <si>
    <t>prorogation du fond</t>
  </si>
  <si>
    <t>durée maximum</t>
  </si>
  <si>
    <t xml:space="preserve">fréquence de valorisation </t>
  </si>
  <si>
    <t>Informations DICI — délais et conditions de sortie</t>
  </si>
  <si>
    <t>LU0912261970</t>
  </si>
  <si>
    <t>Helium Performance A EURA</t>
  </si>
  <si>
    <t>Hedge Fund</t>
  </si>
  <si>
    <t>À compléter</t>
  </si>
  <si>
    <t>Les souscriptions et rachats sont traités sur la VL du jour ouvré suivant, ce qui indique une valorisation quotidienne</t>
  </si>
  <si>
    <t>aucune pénalité de sortie</t>
  </si>
  <si>
    <t>LU1112771255</t>
  </si>
  <si>
    <t>Helium Sélection A EUR</t>
  </si>
  <si>
    <t xml:space="preserve">Fréquence de valorisation : quotidienne. Les ordres sont centralisés chaque jour ouvrable avant 17h et exécutés sur la valeur nette d'inventaire du jour ouvrable suivant. </t>
  </si>
  <si>
    <t>LU1734046979</t>
  </si>
  <si>
    <t>Helium Sélection B clean EUR</t>
  </si>
  <si>
    <t>Fréquence de valorisation : hebdomadaire. Les ordres de souscription/rachat sont centralisés chaque jeudi avant 17h (heure de Luxembourg) et exécutés sur la valorisation hebdomadaire du vendredi</t>
  </si>
  <si>
    <t>LU0912261624</t>
  </si>
  <si>
    <t>Helium Fund B EUR</t>
  </si>
  <si>
    <t>hebdomadaire. Les demandes de souscription et de rachat sont centralisées chaque jeudi avant 17h et exécutées sur la valorisation hebdomadaire du vendredi</t>
  </si>
  <si>
    <t>IE000F31HWX5</t>
  </si>
  <si>
    <t>Helium Global S EUR</t>
  </si>
  <si>
    <t>Les demandes de souscription et de rachat doivent parvenir (...) au plus tard à 17h00 le Jour ouvrable précédant le Jour d'évaluation concerné</t>
  </si>
  <si>
    <t xml:space="preserve">aucune pénalité de sortie </t>
  </si>
  <si>
    <t>LU1112771503</t>
  </si>
  <si>
    <t>Helium Selection B-EUR</t>
  </si>
  <si>
    <t xml:space="preserve">Fréquence de valorisation : hebdomadaire. Les ordres sont centralisés chaque jeudi avant 17h (heure du Luxembourg) et exécutés sur la VL du vendredi (« Friday's weekly Net Asset Value »)​‌
</t>
  </si>
  <si>
    <t>LU0912262275</t>
  </si>
  <si>
    <t>Helium Performance B EUR</t>
  </si>
  <si>
    <t>Les demandes de souscription et de rachat sont centralisées tous les jours ouvrables avant 17 heures (...) et exécutées sur la valorisation du prochain jour ouvrable.</t>
  </si>
  <si>
    <t>LU0672299830</t>
  </si>
  <si>
    <t>Cypanga Diversified Portfolio A</t>
  </si>
  <si>
    <t>Les demandes de rachat doivent être reçues au plus tard 20 jours calendaires avant la fin du mois</t>
  </si>
  <si>
    <t>LU2147879543</t>
  </si>
  <si>
    <t>Tikehau International Cross Assets R Acc EUR</t>
  </si>
  <si>
    <t>pas de DICI dans dossier avec le bon code isin</t>
  </si>
  <si>
    <t>FR0010929794</t>
  </si>
  <si>
    <t>H2O Adagio I</t>
  </si>
  <si>
    <t>pas de DICI dans le dossier</t>
  </si>
  <si>
    <t>FR0013186772</t>
  </si>
  <si>
    <t>H2O Adagio NC</t>
  </si>
  <si>
    <t>Les demandes de rachat sont reçues tous les jours avant 12h30 et exécutées quotidiennement.</t>
  </si>
  <si>
    <t>FR0010923359</t>
  </si>
  <si>
    <t>H2O Adagio RC</t>
  </si>
  <si>
    <t>FR0013393188</t>
  </si>
  <si>
    <t>H2O Adagio SR</t>
  </si>
  <si>
    <t xml:space="preserve">Les demandes de rachat de parts sont reçues tous les jours au plus tard à 12h30 et exécutées quotidiennement
</t>
  </si>
  <si>
    <t>FR0013185196</t>
  </si>
  <si>
    <t>H2O Moderato N</t>
  </si>
  <si>
    <t>FR0010923367</t>
  </si>
  <si>
    <t>H2O Moderato R</t>
  </si>
  <si>
    <t>FR0013393295</t>
  </si>
  <si>
    <t>H2O Moderato SR</t>
  </si>
  <si>
    <t>Les demandes de rachat de parts sont reçues tous les jours au plus tard à 12h30 et exécutées quotidiennement.</t>
  </si>
  <si>
    <t>FR0013186749</t>
  </si>
  <si>
    <t>H2O Multistrategies N C</t>
  </si>
  <si>
    <t>Les demandes de rachat sont reçues tous les jours au plus tard à 12h30 et exécutées quotidiennement</t>
  </si>
  <si>
    <t>FR0010923383</t>
  </si>
  <si>
    <t>H2O Multistrategies R C</t>
  </si>
  <si>
    <t>FR0013535242</t>
  </si>
  <si>
    <t>H2O Moderato SP N ©</t>
  </si>
  <si>
    <t>FR0013535408</t>
  </si>
  <si>
    <t>H2O Multistrategies SP R ©</t>
  </si>
  <si>
    <t>LU1001747408</t>
  </si>
  <si>
    <t>JPMorgan Funds Europe Equity Absolute Alpha fund A</t>
  </si>
  <si>
    <t>pas de DICI, aucune information sur le donc le dossier</t>
  </si>
  <si>
    <t>FR0013144094</t>
  </si>
  <si>
    <t>BK OPCI A</t>
  </si>
  <si>
    <t>Immobilier</t>
  </si>
  <si>
    <t>La Valeur Liquidative des Parts est déterminée par la Société de Gestion quatre (4) fois par an, le 31 mars, le 30 juin, le 30 septembre et le 31 décembre de
chaque année. / Vous pouvez solliciter le rachat de vos actions en adressant à la Société de Gestion une demande de rachat moyennant un préavis de deux (2) mois précédant
la Date d’Etablissement de la Valeur Liquidatives</t>
  </si>
  <si>
    <t xml:space="preserve">pas de pénalité de sortie </t>
  </si>
  <si>
    <t>FR0013182664</t>
  </si>
  <si>
    <t>BK OPCI B</t>
  </si>
  <si>
    <t>La Valeur Liquidative des Parts est déterminée par la Société de Gestion quatre (4) fois par an, le 31 mars, le 30 juin, le 30 septembre et le 31 décembre de
chaque année.
Les demandes de rachat devront être adressées à la Société de Gestion moyennant un préavis de deux (2) mois précédant la Date d’établissement de la Valeur
Liquidative (la "Date Limite de Pré-centralisation des Rachats"). Dans ce cadre, elles seront centralisées par le Dépositaire et exécutées sur la base de la
première Valeur Liquidative établie après la Date Limite de Centralisation des Rachats. Veuillez consulter le prospectus pour plus de détails</t>
  </si>
  <si>
    <t>pas de pénalité de sortie</t>
  </si>
  <si>
    <t>ALZ013324662</t>
  </si>
  <si>
    <t>FIC PPG Retail part A</t>
  </si>
  <si>
    <t>pas le bon code ISIN</t>
  </si>
  <si>
    <t>FR0013324662</t>
  </si>
  <si>
    <t>OPPCI PPG Retail A</t>
  </si>
  <si>
    <t>La Valeur Liquidative des Parts est déterminée par la Société de Gestion quatre (4) fois par an, le 31 mars, le 30 juin, le 30 septembre et le 31 décembre de
chaque année. Vous pouvez solliciter le rachat de vos actions en adressant à la Société de Gestion une demande de rachat moyennant un préavis de deux (2) mois précédant
la Date d’Etablissement de la Valeur Liquidatives</t>
  </si>
  <si>
    <t>FR0013324670</t>
  </si>
  <si>
    <t>OPPCI PPG Retail B</t>
  </si>
  <si>
    <t>FR0013265683</t>
  </si>
  <si>
    <t>PPG Croissance A</t>
  </si>
  <si>
    <t>La Valeur Liquidative des Parts est déterminée par la Société de Gestion quatre (4) fois par an, le 31 mars, le 30 juin, le 30 septembre et le 31 décembre de
chaque année. Les demandes de rachat devront être adressées à la Société de Gestion moyennant un préavis de deux (2) mois précédant la Date d’établissement de la Valeur
Liquidative (la "Date Limite de Pré-centralisation des Rachats"). Dans ce cadre, elles seront centralisées par le Dépositaire et exécutées sur la base de la
première Valeur Liquidative établie après la Date Limite de Centralisation des Rachats</t>
  </si>
  <si>
    <t>FR001400LW94</t>
  </si>
  <si>
    <t>PPG Croissance B</t>
  </si>
  <si>
    <t>La Valeur Liquidative des Parts est déterminée par la Société de Gestion quatre (4) fois par an, le 31 mars, le 30 juin, le 30 septembre et le 31 décembre de
chaque année. / Les demandes de rachat devront être adressées à la Société de Gestion moyennant un préavis de deux (2) mois précédant la Date d’établissement de la Valeur
Liquidative (la "Date Limite de Pré-centralisation des Rachats"). Dans ce cadre, elles seront centralisées par le Dépositaire et exécutées sur la base de la
première Valeur Liquidative établie après la Date Limite de Centralisation des Rachats</t>
  </si>
  <si>
    <t>FR001400C5U8</t>
  </si>
  <si>
    <t>FCPR PPG Valeur Immo - Part A - EUR</t>
  </si>
  <si>
    <t>/</t>
  </si>
  <si>
    <t>fond fermé</t>
  </si>
  <si>
    <t>ISIN : FR001400C5U8 
Conservation obligatoire : Oui. Aucun rachat n'est possible pendant la durée de vie du fonds (6 ans prorogeables jusqu'à 8 ans), sauf cas exceptionnels prévus au règlement. 
Rachat à l'initiative de l'investisseur : Uniquement dans les cas exceptionnels prévus au règlement (notamment décès ou invalidité de 2e ou 3e catégorie). 
Pénalité de sortie : Aucune pénalité de sortie mentionnée. Le document indique que le rachat est bloqué, sauf cas exceptionnels. 
Durée de vie du fonds : 6 ans jusqu'au 27/11/2028, prorogeable 2 fois 1 an (soit 8 ans maximum). 
Fréquence de valorisation : Semestrielle. Valeur liquidative calculée 2 fois par an : le 30 juin et le 31 décembre.</t>
  </si>
  <si>
    <t>FR001400C5V6</t>
  </si>
  <si>
    <t>FCPR PPG Valeur Immo - Part B</t>
  </si>
  <si>
    <t>ISIN : FR001400C5V6 
Conservation obligatoire : Période de détention recommandée de 8 ans (y compris prorogations éventuelles). Pendant la durée de vie du fonds, les avoirs des investisseurs sont bloqués, sauf cas de rachat exceptionnels prévus au règlement. 
Rachat à l'initiative de l'investisseur : Aucun rachat possible pendant la durée de vie du fonds, sauf cas exceptionnels prévus au règlement. Les cas explicitement mentionnés dans le DIC sont le décès ou l'invalidité de 2e ou 3e catégorie du porteur. 
Pénalité de sortie : Aucune pénalité de sortie trouvée. Le document indique :« Nous ne facturons pas de coût de sortie pour ce produit ».
Durée de vie du fonds : 6 ans (expiration prévue le 27/11/2028), prorogeable 2 fois 1 an, soit jusqu'à 8 ans maximum. 
Fréquence de valorisation : Semestrielle, avec une valeur liquidative calculée deux fois par an : le 30 juin et le 31 décembre.</t>
  </si>
  <si>
    <t>FR001400C5W4</t>
  </si>
  <si>
    <t>PPG Valeur Immo I</t>
  </si>
  <si>
    <t>ISIN : FR001400C5W4 
Conservation obligatoire : Période de détention recommandée de 8 ans (y compris prorogations éventuelles). Pendant la durée de vie du fonds, les avoirs des investisseurs sont bloqués, sauf cas de rachat exceptionnels prévus au règlement. 
Rachat à l'initiative de l'investisseur : Aucun rachat possible pendant la durée de vie du fonds, sauf cas exceptionnels. Les cas explicitement mentionnés dans le DIC sont le décès ou l'invalidité de 2e ou 3e catégorie du porteur. Les ordres de rachat sont alors traités sur une base semestrielle (juin et décembre). 
Pénalité de sortie : Aucune pénalité de sortie trouvée. Le document indique :« Nous ne facturons pas de coût de sortie pour ce produit ».
Durée de vie du fonds : 6 ans (expiration prévue le 27/11/2028), prorogeable 2 fois 1 an, soit jusqu'à 8 ans maximum. 
Fréquence de valorisation : Semestrielle, avec une valeur liquidative calculée deux fois par an : le 30 juin et le 31 décembre.</t>
  </si>
  <si>
    <t>Iroko Zen</t>
  </si>
  <si>
    <t>pénalité de sortie cas retrait avant 6 ans à partir du 1er septembre 2026 / pénalité de 3 ans pour les souscription avant (6% TT de pénalité)</t>
  </si>
  <si>
    <t>Iroko Atlas</t>
  </si>
  <si>
    <t xml:space="preserve">pénalité de sortie cas retrait avant 6 ans à partir du 1er septembre 2026 / pénalité de 5 ans pour Iroko atlas </t>
  </si>
  <si>
    <t>SCPI00004799</t>
  </si>
  <si>
    <t>Remake Live</t>
  </si>
  <si>
    <t>Pénalité de 5% TTC pour toute sortie anticipée avant 5 ans de détention.</t>
  </si>
  <si>
    <t>FR001400E052</t>
  </si>
  <si>
    <t>SCPI Remake Live - Part D</t>
  </si>
  <si>
    <t>LU1346205443</t>
  </si>
  <si>
    <t>Partners Group Global Real Estate FCP I</t>
  </si>
  <si>
    <t>ok</t>
  </si>
  <si>
    <t>Ouvrir</t>
  </si>
  <si>
    <t>Pénalité de 4% TTC pour toute sortie anciticpée avant 1 ans de détention</t>
  </si>
  <si>
    <t>Mois</t>
  </si>
  <si>
    <t>Souscr. ordre avant</t>
  </si>
  <si>
    <t>Souscr. VL</t>
  </si>
  <si>
    <t>Souscr. exéc.</t>
  </si>
  <si>
    <t>Souscr. publ.</t>
  </si>
  <si>
    <t>Souscr. cash</t>
  </si>
  <si>
    <t>Rachat ordre avant</t>
  </si>
  <si>
    <t>Rachat VL</t>
  </si>
  <si>
    <t>Rachat exéc.</t>
  </si>
  <si>
    <t>Rachat publ.</t>
  </si>
  <si>
    <t>Rachat cash reçu</t>
  </si>
  <si>
    <t>Mars 2025</t>
  </si>
  <si>
    <t>Avril 2025</t>
  </si>
  <si>
    <t>Mai 2025</t>
  </si>
  <si>
    <t>Juin 2025</t>
  </si>
  <si>
    <t>Juillet 2025</t>
  </si>
  <si>
    <t>Août 2025</t>
  </si>
  <si>
    <t>Septembre 2025</t>
  </si>
  <si>
    <t>Octobre 2025</t>
  </si>
  <si>
    <t>Novembre 2025</t>
  </si>
  <si>
    <t>Décembre 2025</t>
  </si>
  <si>
    <t>Janvier 2026</t>
  </si>
  <si>
    <t>Février 2026</t>
  </si>
  <si>
    <t>Mars 2026</t>
  </si>
  <si>
    <t>Avril 2026</t>
  </si>
  <si>
    <t>Mai 2026</t>
  </si>
  <si>
    <t>Juin 2026</t>
  </si>
  <si>
    <t>Juillet 2026</t>
  </si>
  <si>
    <t>Août 2026</t>
  </si>
  <si>
    <t>Septembre 2026</t>
  </si>
  <si>
    <t>Octobre 2026</t>
  </si>
  <si>
    <t>Novembre 2026</t>
  </si>
  <si>
    <t>Décembre 2026</t>
  </si>
  <si>
    <t>LU2658265710</t>
  </si>
  <si>
    <t>Schroder Global Real Estate Total Return</t>
  </si>
  <si>
    <t>pas de calendrier de sortie société de gestion</t>
  </si>
  <si>
    <t>Pénalité de sortie : jusqu'à 5 % dans certains cas, à la discrétion des Administrateurs</t>
  </si>
  <si>
    <t>FR00140001C5</t>
  </si>
  <si>
    <t>SLP June Opportunity</t>
  </si>
  <si>
    <t xml:space="preserve">aucun penalité de sortie </t>
  </si>
  <si>
    <t>FR0013324993</t>
  </si>
  <si>
    <t>White Stone Value</t>
  </si>
  <si>
    <t>pas de calendrier de sortie société de gestion/ fond fermé</t>
  </si>
  <si>
    <t>pas de pénalité de sortie / fond fermé</t>
  </si>
  <si>
    <t>FR00140047N5</t>
  </si>
  <si>
    <t>Vadora</t>
  </si>
  <si>
    <t>Pénalités de sortie
En cas de retrait, le remboursement est diminué de frais de rachat anticipé de 20 % du prix de rachat.
Le document précise que ces frais sont de 20 % du prix de rachat, quelle que soit la date de retrait (y compris en cas de prorogation de la durée de vie de la société).
Durée de vie du fonds
Durée de vie statutaire : 6 ans à compter de l'immatriculation de la société.
Cette durée peut être prorogée par les associés.
Le document précise également que la société peut être prolongée de deux périodes successives d'un an chacune</t>
  </si>
  <si>
    <t>Club OSAE Real Estate 2 A</t>
  </si>
  <si>
    <t>pas de DICI, aucune information dans le dossier de présentation du fond sur les pénalités de sorties, durée de conservation etc</t>
  </si>
  <si>
    <t>SAS Palladium</t>
  </si>
  <si>
    <t>0 frais de sortie /12 mois de concervation minimum</t>
  </si>
  <si>
    <t>SCPI Allianz Pierre</t>
  </si>
  <si>
    <t>SCPI Neo</t>
  </si>
  <si>
    <t>6% TTC du montant remboursé en cas de retrati de parts détenues depuis moins de 5 ans.</t>
  </si>
  <si>
    <t>SCI Primonial Capimmo</t>
  </si>
  <si>
    <t>pas de pénalité de sortie.</t>
  </si>
  <si>
    <t>SCI Convictions Immobilières</t>
  </si>
  <si>
    <t xml:space="preserve">aucune pénalité de sortie. </t>
  </si>
  <si>
    <t>FR001400ZM09</t>
  </si>
  <si>
    <t>Antheor Private Infrastructure part F</t>
  </si>
  <si>
    <t>Infrastructures non cotées</t>
  </si>
  <si>
    <t>Pénalité de 5% sur la VL en cas de sortie avant 1 an de détention.</t>
  </si>
  <si>
    <t>FR001400ZLZ0</t>
  </si>
  <si>
    <t>Antheor Private Infrastructure part A</t>
  </si>
  <si>
    <t>FR001400ZM58</t>
  </si>
  <si>
    <t>Antheor Private Infrastructure part B</t>
  </si>
  <si>
    <t>LU3084311938</t>
  </si>
  <si>
    <t>StepStone Structure</t>
  </si>
  <si>
    <t>A jour</t>
  </si>
  <si>
    <t>stepstone structure = stepstone Priv infra pour le calendrier ?</t>
  </si>
  <si>
    <t>LU2984100870</t>
  </si>
  <si>
    <t>EQT Nexus Infrastructure</t>
  </si>
  <si>
    <t>Pénalité de 5% de la NAV en cas de rachat dans les 18 premiers mois de l'émission.</t>
  </si>
  <si>
    <t>Janvier 2027</t>
  </si>
  <si>
    <t>LU2710930046</t>
  </si>
  <si>
    <t>Partners Group Next Generation Infrastructure</t>
  </si>
  <si>
    <t>Février 2027</t>
  </si>
  <si>
    <t>Mars 2027</t>
  </si>
  <si>
    <t>LU2571548820</t>
  </si>
  <si>
    <t>Brookfield Infrastructure Income</t>
  </si>
  <si>
    <t>(pas de calendrier desortie société de gestion)</t>
  </si>
  <si>
    <t>Pénalité de 2% sur la VL en cas de sortie avant 1 an de détention.</t>
  </si>
  <si>
    <t>LU2677665254</t>
  </si>
  <si>
    <t>Stepstone Priv Infra A</t>
  </si>
  <si>
    <t>pas de DICI avec le bon code isin dans société de gestion</t>
  </si>
  <si>
    <t>FR001400BCG0</t>
  </si>
  <si>
    <t>FCPR Eiffel Infrastructures Vertes C</t>
  </si>
  <si>
    <t>(pas de calendrier de sortie société de gestion)</t>
  </si>
  <si>
    <t>Aucune pénalité de sortie</t>
  </si>
  <si>
    <t>LU2441620379</t>
  </si>
  <si>
    <t>Rive Tangible Assets Income Fund</t>
  </si>
  <si>
    <t>Pénalité dégressive : 0-18 mois 7,5% · 18-36 mois 5% · 36-48 mois 3% · 48-60 mois 2% · au-delà de 5 ans 0%.</t>
  </si>
  <si>
    <t>FR001400BZG1</t>
  </si>
  <si>
    <t>FCPR AXA Avenir Infrastructures Parts T</t>
  </si>
  <si>
    <t>FR0013473667</t>
  </si>
  <si>
    <t>GF Infrastructures Durables</t>
  </si>
  <si>
    <t>(pas de calendrier de sortie dans société de gestion)</t>
  </si>
  <si>
    <t>pas de pénalié de sortie</t>
  </si>
  <si>
    <t>LU2842989936</t>
  </si>
  <si>
    <t>LU2563800726</t>
  </si>
  <si>
    <t>Rive Tangible Assets Income Fund AS3</t>
  </si>
  <si>
    <t>FR001400XGV4</t>
  </si>
  <si>
    <t>Althos Private Credit part F  - Capitalisante</t>
  </si>
  <si>
    <t>Dette privée</t>
  </si>
  <si>
    <t>FR001400XGQ4</t>
  </si>
  <si>
    <t>Althos Private Credit part F  - Distribuant</t>
  </si>
  <si>
    <t>FR001400XGO9</t>
  </si>
  <si>
    <t>Althos Private Credit part A  - Capitalisante</t>
  </si>
  <si>
    <t>FR001400XGM3</t>
  </si>
  <si>
    <t>Althos Private Credit part A  - Distribuant</t>
  </si>
  <si>
    <t>LU2860459879</t>
  </si>
  <si>
    <t>Morgan Stanley EPIF</t>
  </si>
  <si>
    <t>Frais de sortie : 2 % pendant les 12 premiers mois</t>
  </si>
  <si>
    <t>LU3047997575</t>
  </si>
  <si>
    <t>Pantheon GCS S Acc</t>
  </si>
  <si>
    <t>revoir le calendrier de sortie car dossier pas ouvrable "fichier endommagé"</t>
  </si>
  <si>
    <t>2 % si le rachat intervient dans les 12 premiers mois suivant la souscription</t>
  </si>
  <si>
    <t>FR001400L0X2</t>
  </si>
  <si>
    <t>Blackstone Crédit Privé Europe SC</t>
  </si>
  <si>
    <t>LU2702162343</t>
  </si>
  <si>
    <t>ARES Strategic Income Fund</t>
  </si>
  <si>
    <t>(calendrier de 2025)</t>
  </si>
  <si>
    <t>5 % de pénalité de rachat anticipé si les parts sont revendues dans les 18 premiers mois suivant la souscription</t>
  </si>
  <si>
    <t>LU3005168235</t>
  </si>
  <si>
    <t>AXA IM Private Credit Income Fund S1A EUR</t>
  </si>
  <si>
    <t>(pas de calendrier de sortie)</t>
  </si>
  <si>
    <t>FR001400ZI88</t>
  </si>
  <si>
    <t>Morgan Stanley Dette Privée Europe SLP part IA</t>
  </si>
  <si>
    <t>Pénalité de 2% de frais si retrait avant 1 an</t>
  </si>
  <si>
    <t>LU3047997658</t>
  </si>
  <si>
    <t>Pantheon GCS S Dis</t>
  </si>
  <si>
    <t>Pénalité de sortie de 2 % pendant les 12 premiers mois suivant la souscription</t>
  </si>
  <si>
    <t>LU2480032510</t>
  </si>
  <si>
    <t>Blackstone Ecred</t>
  </si>
  <si>
    <t>À jour</t>
  </si>
  <si>
    <t>À vérifier</t>
  </si>
  <si>
    <t>Pénalité de 2% sur la valeur liquidative en cas de sortie avant 1 an de détention</t>
  </si>
  <si>
    <t>FR0013301561</t>
  </si>
  <si>
    <t>FCPR Eurazeo Private Value Europe 3 - part D</t>
  </si>
  <si>
    <t>Aucune pénalité actuellement.</t>
  </si>
  <si>
    <t>Règles : Rachat centralisé mensuellement le dernier jour ouvré de chaque mois calendaire (Date de Centralisation des Rachats), à compter du 1er février 2026. Sont prises en compte les demandes reçues entre le premier jour ouvré du mois précédent et le dernier jour ouvré du mois à 17h (Période de Centralisation). Prix de rachat = prochaine Valeur Liquidative mensuelle suivant la Date de Centralisation. Règlement dans un délai maximum d'un mois suivant la date d'arrêté de la VL. Plafond de rachat = 5 % de l'actif net du Fonds par date de centralisation (exécution partielle au prorata au-delà, report possible sur demande). Rachats exclusivement en numéraire.</t>
  </si>
  <si>
    <t>Ouverture fenêtre rachat</t>
  </si>
  <si>
    <t>Fermeture / centralisation</t>
  </si>
  <si>
    <t>VL retenue</t>
  </si>
  <si>
    <t>Liquidité servie</t>
  </si>
  <si>
    <t>FR0013301553</t>
  </si>
  <si>
    <t>FCPR Eurazeo Private Value Europe 3 - part C</t>
  </si>
  <si>
    <t>FR0013301546</t>
  </si>
  <si>
    <t>FCPR Eurazeo Private Value Europe 3 - part A</t>
  </si>
  <si>
    <t>LU2605912075</t>
  </si>
  <si>
    <t>Goldman Sachs European Credit</t>
  </si>
  <si>
    <t>Pénalité de 2% acquise au fonds en cas de sortie avant 1 an de détention.</t>
  </si>
  <si>
    <t>LU2702161618</t>
  </si>
  <si>
    <t>Ares European Credit Solutions A</t>
  </si>
  <si>
    <t>Pénalité de 5% en cas de sortie dans les 18 premiers mois.</t>
  </si>
  <si>
    <t>Janvier 2025</t>
  </si>
  <si>
    <t>Février 2025</t>
  </si>
  <si>
    <t>LU2547277330</t>
  </si>
  <si>
    <t>Hamilton Lane SCOPE</t>
  </si>
  <si>
    <t>Pénalité de 5% de la NAV en cas de rachat dans les 12 premiers mois.</t>
  </si>
  <si>
    <t>FR001400NQN1</t>
  </si>
  <si>
    <t>GF Lumyna Private Debt Fund</t>
  </si>
  <si>
    <t xml:space="preserve">pas de pénalié de sortie </t>
  </si>
  <si>
    <t>ISIN : FR001400NQN1. 
Conservation obligatoire : Le document ne prévoit pas de durée de conservation obligatoire explicite, mais indique une période de détention recommandée de 5 ans. 
Rachat à l'initiative de l'investisseur : Aucun droit de rachat pendant la vie du fonds. Le fonds est un véhicule fermé et les investisseurs ne peuvent être remboursés qu'à compter de la fin de vie du fonds, sauf dissolution anticipée ou prolongation. 
Pénalité de sortie : Aucune pénalité de sortie mentionnée. Le document indique : « Nous ne prélevons pas de frais de sortie pour ce Produit ».
Durée de vie du fonds : 35 ans à compter de sa création, avec possibilité de deux prolongations successives d'un an. 
Fréquence de valorisation : Aucune fréquence de valorisation n'est explicitement indiquée dans ce DIC</t>
  </si>
  <si>
    <t>FR0014001LJ0</t>
  </si>
  <si>
    <t>FPS UNIPHARMA II – Parts A</t>
  </si>
  <si>
    <t>(pas de calendrier de sortie fond fermé)</t>
  </si>
  <si>
    <t>ISIN : FR0014001LJ0 
Conservation obligatoire : Les porteurs ne peuvent pas exiger le rachat de leurs parts pendant toute la durée du fonds. Durée recommandée de placement : 7 ans.
Rachat à l'initiative de l'investisseur : Non. Le document indique que les porteurs ne pourront pas demander le rachat de leurs parts par le fonds pendant la durée du fonds et jusqu'à la clôture des opérations de liquidation. 
Pénalité de sortie : Aucune pénalité de sortie trouvée dans le DICI. 
Durée de vie du fonds : 4 ans à compter du premier closing, prorogeable de 3 périodes successives d'un an, soit jusqu'à 7 ans maximum.
Fréquence de valorisation : Semestrielle. La société de gestion procède à l'évaluation de l'actif net du fonds tous les 6 mois.</t>
  </si>
  <si>
    <t>FR001400IEE6</t>
  </si>
  <si>
    <t>FPS UNI III - Parts A2</t>
  </si>
  <si>
    <t>ISIN : FR001400IEE6 
Conservation obligatoire : Le document indique une période de détention recommandée de 7 ans. Il précise également que les porteurs peuvent être amenés à supporter le risque économique de leur investissement jusqu'à la liquidation du fonds.]
Rachat à l'initiative de l'investisseur : Rachat total possible uniquement en cas d'Évènement Exceptionnel. Rachat partiel possible dans la limite de 2 % du nombre total de parts A2 détenues par an, à compter de la fin de la période de souscription et avant la liquidation du fonds. Aucune garantie d'exécution du rachat n'est donnée. 
Pénalité de sortie : Commission de rachat de 5 % lors du rachat des parts. Cette commission est à la charge du porteur demandant le rachat. 
Durée de vie du fonds : 4 ans à compter du premier closing, avec possibilité de prorogation de 3 fois 1 an, soit jusqu'à 7 ans maximum.
Fréquence de valorisation : Non trouvée dans le DICI.</t>
  </si>
  <si>
    <t>FR001400AZ60</t>
  </si>
  <si>
    <t>FCPR SG Tikehau Dette Privée</t>
  </si>
  <si>
    <t>FR001400QZD6</t>
  </si>
  <si>
    <t>Althos Private Equity F</t>
  </si>
  <si>
    <t>Private Equity</t>
  </si>
  <si>
    <t>FR001400QZ70</t>
  </si>
  <si>
    <t>Althos Private Equity part A</t>
  </si>
  <si>
    <t>FR001400QZB0</t>
  </si>
  <si>
    <t>Althos Private Equity part B</t>
  </si>
  <si>
    <t>FR001400QZ88</t>
  </si>
  <si>
    <t>Althos Private Equity part C</t>
  </si>
  <si>
    <t>FR001400QZA2</t>
  </si>
  <si>
    <t>Althos Private Equity part D</t>
  </si>
  <si>
    <t>FR001400QZC8</t>
  </si>
  <si>
    <t>Althos Private Equity part E</t>
  </si>
  <si>
    <t>LU2756307729</t>
  </si>
  <si>
    <t>Pantheon Global Private Equity S EUR</t>
  </si>
  <si>
    <t>ISIN : LU2756307729 
Conservation obligatoire : Aucune durée de conservation obligatoire réglementaire indiquée. En revanche, il existe une période de blocage souple ("soft lock-up") de 12 mois et une durée de détention recommandée de 5 ans. 
Rachat à l'initiative de l'investisseur :
Rachats proposés trimestriellement sur la base de la VL du dernier jour calendaire du trimestre concerné.
Demande à transmettre au moins 30 jours calendaires avant la date de rachat.
Rachats généralement limités à 5 % de la VL du fonds par trimestre.
Règlement généralement dans les 5 jours ouvrés suivant la publication de la VL. 
Pénalité de sortie :
2 % de pénalité de rachat anticipé pendant les 12 premiers mois suivant la souscription.
Aucune pénalité de sortie après 12 mois. 
Durée de vie du fonds : Illimitée. Le fonds est établi pour une durée indéterminée et ne comporte pas de date d'échéance. 
Fréquence de valorisation : Trimestrielle (les rachats sont effectués sur la VL calculée au dernier jour calendaire de chaque trimestre)</t>
  </si>
  <si>
    <t>LU2862929846</t>
  </si>
  <si>
    <t>Hg Fusion</t>
  </si>
  <si>
    <t>Frais de sortie : 5,0 % de la VL pour une durée de détention de 2 ans</t>
  </si>
  <si>
    <t>ISIN : LU2862929846 
Conservation obligatoire : Aucune période de blocage obligatoire explicitement mentionnée. Période de détention recommandée : 5 ans. 
Rachat à l'initiative de l'investisseur : Oui, trimestriellement, sous réserve des restrictions prévues dans le supplément du fonds. 
Pénalité de sortie : 5 % de la valeur nette des actifs du produit en cas de demande de rachat dans les 24 premiers mois suivant la souscription.
Durée de vie du fonds : Illimitée (durée indéterminée). 
Fréquence de valorisation : Trimestrielle (les rachats sont proposés chaque trimestre à la valeur nette d’inventaire par action).</t>
  </si>
  <si>
    <t>Période</t>
  </si>
  <si>
    <t>T1 2025</t>
  </si>
  <si>
    <t>T2 2025</t>
  </si>
  <si>
    <t>T3 2025</t>
  </si>
  <si>
    <t>T4 2025</t>
  </si>
  <si>
    <t>T1 2026</t>
  </si>
  <si>
    <t>T2 2026</t>
  </si>
  <si>
    <t>T3 2026</t>
  </si>
  <si>
    <t>T4 2026</t>
  </si>
  <si>
    <t>LU2485281419</t>
  </si>
  <si>
    <t>StepStone SPRIM - Private Market</t>
  </si>
  <si>
    <t>Pas de hard lock-up ; soft lock-up de 2% si rachat dans les 12 mois de la souscription.</t>
  </si>
  <si>
    <t>ISIN : LU2485281419 
Conservation obligatoire : Aucune conservation obligatoire indiquée. Le document mentionne une durée de détention recommandée de 5 ans. 
Rachat à l'initiative de l'investisseur : Possible sur une base trimestrielle, sous réserve que les rachats du trimestre ne dépassent pas 5 % des actifs du compartiment. 
Pénalité de sortie : 2 % de la valeur liquidative en cas de rachat dans les 12 premiers mois suivant l'investissement. Au-delà, aucune pénalité de sortie n'est mentionnée. 
Durée de vie du fonds : Illimitée (unlimited). 
Fréquence de valorisation : Trimestrielle (programme de rachat trimestriel ; la VL est déterminée à chaque date de valorisation de fin de trimestre et publiée dans le mois suivant).</t>
  </si>
  <si>
    <t>LU2884017059</t>
  </si>
  <si>
    <t>CollerEquity</t>
  </si>
  <si>
    <t>ISIN : LU2884017059 
Conservation obligatoire : Aucune période de blocage obligatoire indiquée. Période de détention recommandée : 5 ans. 
Rachat à l'initiative de l'investisseur : Oui, le dernier jour ouvrable de chaque trimestre civil, avec une demande à transmettre au moins 20 jours ouvrables avant la date de valorisation.
Pénalité de sortie : Les actions rachetées dans les 12 premiers mois suivant leur souscription peuvent subir une déduction pour rachat anticipé pouvant aller jusqu'à 2 % de la valeur liquidative des actions rachetées. 
Durée de vie du fonds : Durée indéterminée.
Fréquence de valorisation : Trimestrielle, la valeur liquidative étant calculée à chaque date de rachat (dernier jour ouvrable de chaque trimestre civil)</t>
  </si>
  <si>
    <t>LU2528864353</t>
  </si>
  <si>
    <t>StepStone SPRING</t>
  </si>
  <si>
    <t>2 % si le rachat intervient dans les 12 premiers mois suivant l'investissement.</t>
  </si>
  <si>
    <t>ISIN : LU2528864353
Conservation obligatoire : Aucune durée de blocage obligatoire explicitement mentionnée. Période de détention recommandée : 5 ans. 
Rachat à l'initiative de l'investisseur : Oui, via un programme de rachat trimestriel. Les rachats sont limités à 2,5 % des parts en circulation par trimestre et peuvent être suspendus ou reportés. La valeur retenue est la VL de la date de valorisation trimestrielle. 
Pénalité de sortie : 2 % du montant racheté en cas de sortie dans les 12 premiers mois suivant l'investissement. Aucune pénalité mentionnée au-delà de cette période. 
Durée de vie du fonds : Illimitée. 
Fréquence de valorisation : Trimestrielle. Le document indique que les rachats sont exécutés sur la base de la VL déterminée à chaque date de valorisation trimestrielle et que la VL est publiée dans le mois suivant cette date.</t>
  </si>
  <si>
    <t>LU2926063467</t>
  </si>
  <si>
    <t>CVC PE Global Private Equity</t>
  </si>
  <si>
    <t>(Calendrier de 2025)</t>
  </si>
  <si>
    <t>5 % de la VL des parts en cas de rachat dans les 18 mois suivant l'investissement</t>
  </si>
  <si>
    <t>ISIN : LU2926063467
Conservation obligatoire : Aucune durée de blocage obligatoire explicitement mentionnée. Période de détention recommandée : 8 ans. 
Rachat à l'initiative de l'investisseur : Oui, sur demande au dernier jour ouvré de chaque trimestre, avec un préavis écrit d'au moins 30 jours. Les rachats sont généralement plafonnés à 5 % de la VL du compartiment par trimestre et peuvent être acceptés, rejetés ou reportés par le conseil du fonds. 
Pénalité de sortie : 5 % de la VL des parts en cas de rachat dans les 18 mois suivant l'investissement. Aucune pénalité mentionnée au-delà de cette période. 
Durée de vie du fonds : Illimitée (durée non limitée, pas de date d'échéance). 
Fréquence de valorisation : Trimestrielle (rachats possibles à la clôture du dernier jour ouvré de chaque trimestre sur la base de la VL).</t>
  </si>
  <si>
    <t>LU3192960857</t>
  </si>
  <si>
    <t>BridgePoint Generations</t>
  </si>
  <si>
    <t>(ajouter dans la BDD)</t>
  </si>
  <si>
    <t>LU2617117614</t>
  </si>
  <si>
    <t>EQT Nexus Fund SICAV I</t>
  </si>
  <si>
    <t>ISIN : LU2617117614 
Conservation obligatoire : Aucune conservation obligatoire indiquée. Le document recommande une durée de détention d'au moins 5 ans. 
Rachat à l'initiative de l'investisseur : Possible sur une base trimestrielle, avec une VL au dernier jour du trimestre. Les rachats nets sont généralement limités à 5 % de l'actif net du fonds par trimestre. 
Pénalité de sortie : 5 % de décote sur la VL en cas de rachat dans les 18 mois suivant l'émission des parts. Au-delà de 18 mois, aucune pénalité de sortie n'est mentionnée.
Durée de vie du fonds : Durée indéterminée (indefinite period). 
Fréquence de valorisation : Trimestrielle (VL utilisée pour les rachats au dernier jour de chaque trimestre)</t>
  </si>
  <si>
    <t>FR001400K4L0</t>
  </si>
  <si>
    <t>Archimed Med Access</t>
  </si>
  <si>
    <t xml:space="preserve">Fond fermé </t>
  </si>
  <si>
    <t>ISIN : FR001400K4L0 
Conservation obligatoire : Période de blocage de 6 ans à compter de la souscription. Pour les investissements complémentaires réalisés plus de 3 ans après le dernier investissement, la période de blocage est réduite à 3 ans sous certaines conditions. 
Rachat à l'initiative de l'investisseur : Possible à l'issue de la période de blocage, via des fenêtres de liquidité deux fois par an (avant le 31 mai ou le 30 novembre). Les rachats sont plafonnés à 10 % de la dernière valeur liquidative publiée par fenêtre. 
Pénalité de sortie : Aucune pénalité de sortie mentionnée. Le DIC indique 0 % de frais de sortie. 
Durée de vie du fonds : 99 ans à compter de la constitution, sauf dissolution anticipée. 
Fréquence de valorisation : Non trouvée dans ce DIC.</t>
  </si>
  <si>
    <t>Eurazeo ISF III</t>
  </si>
  <si>
    <t>ISIN : Non trouvé dans les documents fournis.
Conservation obligatoire : Aucune durée minimale de conservation obligatoire explicitement mentionnée. Le fonds est présenté comme un véhicule de private equity à horizon long terme et illiquide. 
Rachat à l'initiative de l'investisseur : Aucune possibilité de rachat périodique mentionnée. Le document précise que le fonds n'a pas l'obligation de racheter ou rembourser les parts avant l'échéance du fonds. 
Pénalité de sortie : Aucune information trouvée dans les documents fournis.
Durée de vie du fonds : 8 ans à compter du premier closing, avec possibilité de deux prorogations successives d'un an chacune. Le premier closing a eu lieu le 12 septembre 2016 et l'échéance est fixée au 12 septembre 2026. 
Fréquence de valorisation : Non trouvée dans les documents fournis.</t>
  </si>
  <si>
    <t>LU3212532884</t>
  </si>
  <si>
    <t>Carlyle CPEP</t>
  </si>
  <si>
    <t>Pénalité de sortie : 5 % de la valeur liquidative des parts rachetées avant le 2ᵉ anniversaire de leur émission</t>
  </si>
  <si>
    <t>ISIN : LU3212532884 
Conservation obligatoire : Aucune durée de conservation obligatoire indiquée. Le document mentionne une durée de détention recommandée de 8 ans. 
Rachat à l'initiative de l'investisseur : Rachats proposés sur une base trimestrielle. Les demandes de rachat sont soumises à un plafond global de 3 % de l'actif net du fonds par date de rachat. Préavis d'environ 30 jours calendaires avant la fin du trimestre concerné. 
Pénalité de sortie : 5 % de la valeur liquidative des parts rachetées avant le deuxième anniversaire de leur émission. 
Durée de vie du fonds : Durée indéterminée (indefinite period). 
Fréquence de valorisation : Trimestrielle (les rachats sont effectués sur la base de la VL du dernier jour ouvré de chaque trimestre).</t>
  </si>
  <si>
    <t>FR001400IL92</t>
  </si>
  <si>
    <t>Feeder RAISE Investissement S.L.P. A1</t>
  </si>
  <si>
    <t>ISIN : Non trouvé dans ce DIC (ISIN indiqué : « N/A »).
Conservation obligatoire : Durée minimale de conservation de 5 ans avant de pouvoir mettre en œuvre les clauses de liquidité. La période de détention recommandée est de 9 ans minimum.
Rachat à l'initiative de l'investisseur : Droit de retrait possible à l'expiration d'une période de 5 ans suivant la libération intégrale des actions souscrites, selon les conditions prévues dans les statuts. 
Pénalité de sortie : Aucune information claire sur une pénalité de sortie. Le document précise qu'aucun droit de sortie n'existe pour ce produit. 
Durée de vie du fonds : 99 ans.  
Fréquence de valorisation : Non trouvée dans ce DIC.</t>
  </si>
  <si>
    <t>Co-Investissement Arlane - Santé</t>
  </si>
  <si>
    <t>fond APE</t>
  </si>
  <si>
    <t>Adams Street</t>
  </si>
  <si>
    <t>KeenSight</t>
  </si>
  <si>
    <t>(Fond dans APE)</t>
  </si>
  <si>
    <t>LU1911739370</t>
  </si>
  <si>
    <t>Partners Group Global Value SICAV Class R-N</t>
  </si>
  <si>
    <t>LU1911739297</t>
  </si>
  <si>
    <t>Partners Group Global Value SICAV E-N</t>
  </si>
  <si>
    <t>ISIN : LU1911739297
Conservation obligatoire : Aucune durée de conservation obligatoire n'est indiquée. Le document mentionne uniquement une durée de détention recommandée de 5 ans. 
Rachat à l'initiative de l'investisseur : Possible selon une procédure de négociation mensuelle ("Monthly Dealing Procedure"). Le fonds offre une liquidité mensuelle. Les rachats nets sont toutefois limités à 5 % de l'actif net par trimestre (avec possibilité de réduction temporaire de cette limite par les administrateurs). 
Pénalité de sortie : Aucun frais de sortie actuellement facturé. Toutefois, le document précise que le fonds peut appliquer des frais de rachat pouvant aller jusqu'à 5 % de la VL à la discrétion des administrateurs. 
Durée de vie du fonds : Aucune échéance prédéfinie (structure evergreen). Le fonds n'a pas de date de maturité fixe. 
Fréquence de valorisation : Mensuelle (la liquidité et les opérations de rachat/souscription sont organisées selon une procédure mensuelle)</t>
  </si>
  <si>
    <t>LU2996228198</t>
  </si>
  <si>
    <t>Pantheon Global Private Equity B EUR</t>
  </si>
  <si>
    <t>ISIN : LU2996228198 
Conservation obligatoire : Pas de conservation obligatoire formelle, mais soft lock-up de 12 mois avec pénalité de sortie anticipée. Période de détention recommandée : 5 ans. 
Rachat à l'initiative de l'investisseur : Oui, trimestriellement à la valeur liquidative de fin de trimestre, après les 12 premiers mois. Préavis de 30 jours calendaires. Les rachats sont généralement limités à 5 % de la VL du fonds par trimestre. 
Pénalité de sortie : 2 % en cas de rachat pendant les 12 premiers mois suivant la souscription. Aucune pénalité après cette période selon le DICI.
Durée de vie du fonds : Illimitée / durée indéterminée (« established for an indefinite period of time »). 
Fréquence de valorisation : Trimestrielle, les rachats étant effectués sur la base de la VL calculée au dernier jour calendaire de chaque trimestre.</t>
  </si>
  <si>
    <t>LU2824051721</t>
  </si>
  <si>
    <t>S64 VI PM Altoflex F00724</t>
  </si>
  <si>
    <t>?</t>
  </si>
  <si>
    <t>LU2871047580</t>
  </si>
  <si>
    <t>S64 VI PM Altoflex FPC F2</t>
  </si>
  <si>
    <t xml:space="preserve">? </t>
  </si>
  <si>
    <t>Clos Aquitaine 2017</t>
  </si>
  <si>
    <t>aucun dossier dans société de gestion</t>
  </si>
  <si>
    <t>FR0013224375</t>
  </si>
  <si>
    <t>FCPI Idinvest Patrimoine N°7</t>
  </si>
  <si>
    <t>ISIN : Non indiqué dans les documents transmis (la plaquette présente plusieurs codes ISIN selon les catégories de parts dans un autre document, mais aucun ISIN unique du fonds n'est mentionné dans la plaquette). 
Conservation obligatoire : Blocage de 6 ans jusqu'au 30/06/2028, sauf cas de déblocage anticipé prévus au règlement (invalidité, décès, licenciement). 
Rachat à l'initiative de l'investisseur : Non possible pendant la période de blocage de 6 ans, sauf cas légaux de déblocage anticipé mentionnés dans le document. 
Pénalité de sortie : Aucune pénalité de sortie explicitement mentionnée dans les documents. 
Durée de vie du fonds : 6 ans, prorogeable 2 fois 1 an, soit une durée maximale de 8 ans (jusqu'au 30/06/2030).
Fréquence de valorisation : Bimensuelle.</t>
  </si>
  <si>
    <t>FR0013415056</t>
  </si>
  <si>
    <t>FCPR Idinvest Entrepreneur Club - Parts A</t>
  </si>
  <si>
    <t>ISIN : FR0013415056
Conservation obligatoire : 5 ans minimum pour conserver le bénéfice de certains régimes fiscaux. Le document précise qu'une demande de rachat durant cette période est susceptible de faire perdre ces avantages. 
Rachat à l'initiative de l'investisseur : Possible uniquement du 01/01/2025 au 31/10/2027. Demandes centralisées trimestriellement (31 mars, 30 juin, 30 septembre, 31 décembre) avec un préavis de 2 mois. Les rachats sont exécutés sur la base de la prochaine valeur liquidative trimestrielle.
Pénalité de sortie : Aucune pénalité de sortie explicitement mentionnée dans le DICI. 
Durée de vie du fonds : 10 ans, prorogeable 2 fois 1 an, soit 12 ans maximum. 
Fréquence de valorisation : Trimestrielle. La valeur liquidative est établie tous les trimestres (et mensuellement pendant la période de souscription)</t>
  </si>
  <si>
    <t>FR0013411451</t>
  </si>
  <si>
    <t>FCPR Idinvest Strategic Opportunities 2 A</t>
  </si>
  <si>
    <t xml:space="preserve">fond fermé </t>
  </si>
  <si>
    <t>ISIN : FR0013411451 
Conservation obligatoire : 5 ans pour bénéficier de l'exonération fiscale liée aux parts A. Le document précise également que les distributions doivent être réinvesties jusqu'à l'expiration du délai de conservation fiscale de 5 ans suivant le dernier jour de souscription.
Rachat à l'initiative de l'investisseur : Non. Les demandes de rachat sont bloquées, sauf exceptions prévues dans le règlement du fonds.
Pénalité de sortie : Aucune pénalité de sortie mentionnée. Le document indique explicitement :« Il n'y a pas de droits de sortie ». 
Durée de vie du fonds : Jusqu'au 31 décembre 2027, avec possibilité de prorogation de 2 fois 1 an, soit jusqu'au 31 décembre 2029. 
Fréquence de valorisation : Bimensuelle. Valeur liquidative établie au 15 de chaque mois (ou jour ouvré précédent) et au dernier jour de chaque mois</t>
  </si>
  <si>
    <t>FR0013144128</t>
  </si>
  <si>
    <t>FCPR Idinvest Strategic Opportunities Part A</t>
  </si>
  <si>
    <t xml:space="preserve">aucune pénalité de sortie. / fond fermé </t>
  </si>
  <si>
    <t>pas de DICI dans le dossier société de gestion</t>
  </si>
  <si>
    <t>LU2098888824</t>
  </si>
  <si>
    <t>Schroder Semi Liquid GPE</t>
  </si>
  <si>
    <t>à vérifier</t>
  </si>
  <si>
    <t>aucune pénalité de sortie.</t>
  </si>
  <si>
    <t>ISIN : LU2098888824 
Conservation obligatoire : Aucune conservation obligatoire explicite. Période de détention recommandée : 5 ans. 
Rachat à l'initiative de l'investisseur : Oui. Rachats possibles trimestriellement les derniers jours ouvrés de mars, juin, septembre et décembre, avec un préavis de 90 jours. Les rachats nets sont plafonnés à 5 % de l'actif net par date de rachat ; au-delà, les demandes sont traitées au prorata. 
Pénalité de sortie : Frais de rachat pouvant aller jusqu'à 5 %, applicables à la discrétion des administrateurs lorsque le fonds doit céder des actifs sur le marché secondaire pour satisfaire les demandes de rachat.
Durée de vie du fonds : Illimitée (unlimited period). 
Fréquence de valorisation : Mensuelle, le document indique que les souscriptions peuvent être réalisées le dernier jour ouvré de chaque mois ("Dealing Frequency").</t>
  </si>
  <si>
    <t>FR0013504479</t>
  </si>
  <si>
    <t>GF Lumyna Private Equity World</t>
  </si>
  <si>
    <t>ISIN : FR0013504479 
Conservation obligatoire : Aucune conservation obligatoire indiquée. Le document mentionne uniquement une période de détention minimale recommandée de 3 ans. 
Rachat à l'initiative de l'investisseur : Possible à tout moment sans pénalité. Les rachats sont possibles deux fois par mois. 
Pénalité de sortie : Aucune. Le document indique : « Nous ne prélevons pas de frais de sortie pour ce Produit » et « Les investisseurs peuvent racheter sans pénalité à tout moment ». 
Durée de vie du fonds : 99 ans.
Fréquence de valorisation : Non indiquée dans le document. Le document mentionne seulement que les rachats sont possibles deux fois par mois ; aucune fréquence de calcul de la valeur liquidative n'est explicitement indiquée.</t>
  </si>
  <si>
    <t>LU2496022059</t>
  </si>
  <si>
    <t>NB Global Private Equity Access Fund I</t>
  </si>
  <si>
    <t>FR0013080140</t>
  </si>
  <si>
    <t>Idinvest Secondary Fund III</t>
  </si>
  <si>
    <t>LU1912496582</t>
  </si>
  <si>
    <t>Partners Fund SICAV Class I-N</t>
  </si>
  <si>
    <t>LU2097348770</t>
  </si>
  <si>
    <t>Hamilton Lane Global Private Assets Fund - I EUR</t>
  </si>
  <si>
    <t xml:space="preserve">Pénalité de sortie anticipée de 3 % pour tout rachat dans les 12 mois suivant la souscription.
</t>
  </si>
  <si>
    <t xml:space="preserve">ISIN : LU2097348770
Conservation obligatoire : Aucune durée de blocage réglementaire imposée, mais la période d'investissement recommandée est de 10 ans (horizon type de l'investisseur : au moins 10 ans).
Rachat à l'initiative de l'investisseur : Possible sur base mensuelle, sous conditions. Demande à recevoir avant la date limite de négociation, soit 7 jours calendaires avant la date de valorisation applicable. Gate : rachats totaux plafonnés à 5 % de la VNI par trimestre calendaire. Paiement sous 3 jours ouvrés après la date de calcul de la VNI.
Pénalité de sortie :
Pénalité de sortie anticipée (short-term redemption fee) de 3 % pour tout rachat dans les 12 mois suivant la souscription.
En sus, un droit de sortie standard (indløsningsgebyr) pouvant aller jusqu'à 5 % de la valeur de rachat, à la discrétion du conseil d'administration.
Durée de vie du fonds : Illimitée (pas de date d'échéance). Le fonds peut être dissous conformément aux statuts et à la loi luxembourgeoise.
Fréquence de valorisation : Mensuelle (VNI calculée mensuellement ; rachats offerts sur base mensuelle avec date limite 7 jours calendaires avant la date de valorisation).​‌
</t>
  </si>
  <si>
    <t>IE00BK5BHW86</t>
  </si>
  <si>
    <t>LGT Multi-Alternatives Sub-Fund Class F (EUR)</t>
  </si>
  <si>
    <t>(Calendrier de sortie de 2022)</t>
  </si>
  <si>
    <t>FR0014007HA4</t>
  </si>
  <si>
    <t>Andera Co-Invest I</t>
  </si>
  <si>
    <t>ISIN : FR0014007HA4 
Conservation obligatoire : Période de détention recommandée de 6 à 8 ans. L'investisseur ne peut pas demander le rachat de ses parts avant l'expiration du terme du fonds. 
Rachat à l'initiative de l'investisseur : Non. Le document indique que vous n'êtes pas en mesure de demander le rachat de vos parts avant le terme du fonds. En revanche, une cession des parts est possible dans les conditions prévues par les statuts. 
Pénalité de sortie : Aucune pénalité de sortie mentionnée. Le document précise que « bien qu'aucune pénalité ne découlera d'une cession de vos parts », les frais liés à la cession restent à la charge du porteur. 
Durée de vie du fonds : 6 ans, prorogeable de 2 périodes successives d'un an, soit 8 ans maximum après accord du comité des investisseurs. 
Fréquence de valorisation : Non trouvée dans ce DICI.</t>
  </si>
  <si>
    <t>FR0013533619</t>
  </si>
  <si>
    <t>Apax Private Equity Opportunities</t>
  </si>
  <si>
    <t xml:space="preserve">ISIN : FR0013533619 
Conservation obligatoire : Le document indique une période de détention recommandée de 5 ans et précise que l'investisseur doit être prêt à conserver le produit pendant au moins 5 ans. --&gt; aucune sortie possible avant 5 ans
Rachat à l'initiative de l'investisseur : Possible sous réserve des règles de rachat du fonds ; demandes de rachat centralisées trimestriellement avec préavis de 30 jours calendaires avant la date de centralisation. Les rachats sont en principe limités à 6 % de l'actif net du fonds par trimestre.
Pénalité de sortie : Aucune pénalité de sortie explicitement mentionnée dans ce DIC. Le tableau des coûts indique 0 € de coûts de sortie. 
Durée de vie du fonds : 99 ans, échéance au plus tard le 4 novembre 2119, sauf dissolution ou réduction anticipée prévue au règlement. 
Fréquence de valorisation : Non trouvée dans ce DIC. Le document mentionne uniquement une centralisation des rachats trimestrielle. </t>
  </si>
  <si>
    <t>LU1912497127</t>
  </si>
  <si>
    <t>Partners Fund SICAV Class R-N</t>
  </si>
  <si>
    <t>FR0014009FU2</t>
  </si>
  <si>
    <t>Private Corner Secondary Fund 2022 A1</t>
  </si>
  <si>
    <t>ISIN : FR0014009FU2.
Conservation obligatoire : 
Rachat à l'initiative de l'investisseur : impossible. 
Pénalité de sortie : aucune, coûts de sortie = néant. 
Durée de vie du fonds : 10 ans minimum, prorogeable.
Fréquence de valorisation : non trouvée dans le document.</t>
  </si>
  <si>
    <t>FR0014009FV0</t>
  </si>
  <si>
    <t>Private Corner Secondary Fund 2022 A2</t>
  </si>
  <si>
    <t>ISIN : FR0014009FV0. 
Conservation obligatoire : jusqu'à la liquidation finale du fonds.
Rachat à l'initiative de l'investisseur : impossible. 
Pénalité de sortie : aucune, coûts de sortie = néant. 
Durée de vie du fonds : 10 ans minimum, prorogeable. 
Fréquence de valorisation : non trouvée dans le document</t>
  </si>
  <si>
    <t>FR0014005Z14</t>
  </si>
  <si>
    <t>Private Corner Wealth Co-Investment A1</t>
  </si>
  <si>
    <t>ISIN : FR0014005Z14. 
Blocage / conservation : jusqu'à la liquidation finale du fonds. 
Rachat à l'initiative de l'investisseur : impossible
Pénalités de sortie : aucune, coûts de sortie = néant. [
Durée de vie du fonds : 10 ans minimum, prorogeable. 
Fréquence de valorisation : non trouvée dans le document</t>
  </si>
  <si>
    <t>FR0014005Z22</t>
  </si>
  <si>
    <t>Private Corner Wealth Co-Investment A2</t>
  </si>
  <si>
    <t>Fond fermé</t>
  </si>
  <si>
    <t>Blocage / conservation : jusqu'à la liquidation finale du fonds. 
Rachat à l'initiative de l'investisseur : impossible.
Pénalité de sortie : aucune, coûts de sortie = néant. 
Durée de vie du fonds : 10 ans minimum, prorogeable. 
Fréquence de valorisation : non trouvée dans le document</t>
  </si>
  <si>
    <t>FR00140086L7</t>
  </si>
  <si>
    <t>Eurazeo Principal Investments - part D</t>
  </si>
  <si>
    <t>Durée de vie : 10 ans. 
Blocage / conservation : aucune sortie possible avant la fin du fonds (sauf cas exceptionnels prévus au règlement). 
Pénalité de sortie : aucune pénalité explicitement trouvée dans le DICI. 
Valorisation : tous les 15 jours. 
Liquidité : fonds fermé avec rachats bloqués pendant toute sa durée de vie.</t>
  </si>
  <si>
    <t>FR0013351947</t>
  </si>
  <si>
    <t>Siparex Equivie</t>
  </si>
  <si>
    <t>FR001400AUA7</t>
  </si>
  <si>
    <t>Ardian Access Solution</t>
  </si>
  <si>
    <t>Les rachats sont bloqués pendant 5 ans à compter de la date de constitution du fonds
Les rachats sont autorisés à compter de la 6ème année suivant la date de constitution / La Valeur Liquidative est établie sur une base trimestrielle.
Les demandes de rachat sont également centralisées sur une base trimestrielle / Préavis de rachat : 30 jours calendaires avant la date de centralisation des rachats</t>
  </si>
  <si>
    <t>FR001400HHK8</t>
  </si>
  <si>
    <t>FCPR Entrepreneurs Sélection Secondaire  Parts L</t>
  </si>
  <si>
    <t xml:space="preserve">Durée initiale : 7 ans à compter de la date de constitution. 
Cette durée peut être prorogée de 3 périodes successives d'un an sur décision de la société de gestion. </t>
  </si>
  <si>
    <t>FR001400K9O3</t>
  </si>
  <si>
    <t>FCPR Entrepreneurs &amp; Rendement N°8 Part E</t>
  </si>
  <si>
    <t>Durée initiale : 6 ans à compter de la constitution du fonds. 
Prorogation possible : 2 × 1 an à la discrétion de la société de gestion</t>
  </si>
  <si>
    <t>FR0011347277</t>
  </si>
  <si>
    <t>FPCI Cairn Capital I A1</t>
  </si>
  <si>
    <t>revoir si t'as le DICI</t>
  </si>
  <si>
    <t>FR0013372687</t>
  </si>
  <si>
    <t>FPCI Cairn Capital II A1</t>
  </si>
  <si>
    <t>Terme du fonds : 13 ans. 
Le fonds peut être prorogé de deux périodes supplémentaires d'un an chacune</t>
  </si>
  <si>
    <t>FR0013236320</t>
  </si>
  <si>
    <t>FIP 123Horizon PME 2017</t>
  </si>
  <si>
    <t>aucune doucment avec le code isin identique</t>
  </si>
  <si>
    <t>FR0013202108</t>
  </si>
  <si>
    <t>Nexstage Croissance</t>
  </si>
  <si>
    <t>ISIN : FR0013202108. 
Conservation obligatoire : Aucune durée minimale de conservation obligatoire n'est indiquée dans le document. 
Rachat à l'initiative de l'investisseur : Les associés peuvent demander le rachat de leurs actions. Les demandes sont centralisées au moins 3 jours ouvrés avant l’établissement de la valeur liquidative, calculée une fois par mois, et sont en principe honorées au plus tard dans les 60 jours suivant cette valeur liquidative. Les rachats peuvent toutefois être refusés ou honorés partiellement faute de liquidité. 
Pénalité de sortie : Aucune. Le document indique : « Frais prélevés à la sortie : Néant ».
Durée de vie du fonds : 99 ans, sauf prorogation ou dissolution anticipée. 
Fréquence de valorisation : Mensuelle. La valeur liquidative est disponible au plus tard le 15 de chaque mois.</t>
  </si>
  <si>
    <t>LU3036659277</t>
  </si>
  <si>
    <t>Bridgepoint Generations</t>
  </si>
  <si>
    <t>Pénalité de sortie : jusqu'à 5 % pendant les 2 premières années</t>
  </si>
  <si>
    <t>ISIN : LU3036659277 
Conservation obligatoire : Aucune conservation obligatoire n'est mentionnée. En revanche, la durée de détention recommandée est de 5 ans. 
Rachat à l'initiative de l'investisseur : Les investisseurs peuvent demander le rachat de leurs parts sur une base trimestrielle, sous réserve des limitations prévues dans le prospectus. 
Pénalité de sortie : Une pénalité de rachat anticipé pouvant aller jusqu'à 5 % de la VL des parts rachetées s'applique lorsque la date effective du rachat intervient dans les 2 ans suivant la souscription.
Durée de vie du fonds : Illimitée. Le compartiment est prévu pour continuer pour une durée indéterminée jusqu'à sa liquidation dans les cas prévus au prospectus. 
Fréquence de valorisation : Le document ne mentionne pas explicitement la fréquence de valorisation. En revanche, les rachats sont proposés chaque trimestre sur la base de la valeur liquidative.</t>
  </si>
  <si>
    <t>FR001400MDE0</t>
  </si>
  <si>
    <t>SIPAREX Investir en France</t>
  </si>
  <si>
    <t xml:space="preserve">ISIN : FR001400MDE0 (Part A1) 
Conservation obligatoire : Aucune durée de conservation obligatoire n'est mentionnée. En revanche, la période de détention recommandée est de 8 ans.
Rachat à l'initiative de l'investisseur :
Les demandes de rachat sont centralisées sur une base trimestrielle et exécutées sur la prochaine valeur liquidative selon les modalités du règlement. La société de gestion se réserve le droit de mettre en place un plafonnement des rachats de 2 % par mois de l'actif net du fonds à l'issue de la période de blocage ainsi qu'une suspension des rachats dans certains cas prévus par la réglementation.
Pénalité de sortie : Aucune pénalité de sortie trouvée. Le document précise :« Nous ne facturons pas de coût de sortie pour ce produit ». 
Durée de vie du fonds : 99 ans à compter de la constitution du fonds, avec une échéance au plus tard le 23 septembre 2123 (sauf dissolution anticipée). 
Fréquence de valorisation : Trimestrielle. Les rachats sont centralisés sur une base trimestrielle et exécutés sur la valeur liquidative correspondante. </t>
  </si>
  <si>
    <t>FR001400IL19</t>
  </si>
  <si>
    <t>Feeder RAISE Investissement S.L.P. A2</t>
  </si>
  <si>
    <t>Chaque investisseur peut demander le rachat de ses parts à l'expiration d'une période de 5 ans suivant la souscription ou l'acquisition des parts</t>
  </si>
  <si>
    <t>Ring Altitude Growth II - entrepreneurs</t>
  </si>
  <si>
    <t>Durée de vie (maturité) : 10 ans + 2 extensions possibles d'un an</t>
  </si>
  <si>
    <t>Fond APE</t>
  </si>
  <si>
    <t>FR00140089C0</t>
  </si>
  <si>
    <t>Committed Adv Sec V</t>
  </si>
  <si>
    <t>Durée initiale : 10 ans à compter de la date de démarrage du fonds.
Prorogation possible :
une première extension d'un an ;
une seconde extension d'un an avec approbation des investisseurs.
 Durée maximale : 12 ans / Fréquence de valorisation : trimestrielle (31/03, 30/06, 30/09, 31/12).</t>
  </si>
  <si>
    <t>FR001400LUW8</t>
  </si>
  <si>
    <t>Motion Equity Partners IV SC parts A2</t>
  </si>
  <si>
    <t>10 ans à compter du 01/07/2021 + prorogeable deux fois un an // Durée initiale : jusqu'au 01/07/2031 / Durée maximale avec prorogations : jusqu'au 01/07/2033</t>
  </si>
  <si>
    <t>Motion Equity Partners V</t>
  </si>
  <si>
    <t>aucune information dans les documents.</t>
  </si>
  <si>
    <t>Cle</t>
  </si>
  <si>
    <t>Société</t>
  </si>
  <si>
    <t>Année</t>
  </si>
  <si>
    <t>Type</t>
  </si>
  <si>
    <t>Cut-off ordre</t>
  </si>
  <si>
    <t>Date de valorisation (VL)</t>
  </si>
  <si>
    <t>Date d'exécution</t>
  </si>
  <si>
    <t>Publication VL</t>
  </si>
  <si>
    <t>Règlement / réception cash</t>
  </si>
  <si>
    <t>Note</t>
  </si>
  <si>
    <t>Source</t>
  </si>
  <si>
    <t>Fichier</t>
  </si>
  <si>
    <t>Horodatage</t>
  </si>
  <si>
    <t>Passée / À venir</t>
  </si>
  <si>
    <t>LU2702161618|Souscription|Janvier 2025</t>
  </si>
  <si>
    <t>Ares</t>
  </si>
  <si>
    <t>Souscription</t>
  </si>
  <si>
    <t>PDF société de gestion (2025 Schedule)</t>
  </si>
  <si>
    <t>Validé</t>
  </si>
  <si>
    <t>2025 Tableau de sortie.pdf</t>
  </si>
  <si>
    <t>2026-07-22 18:08</t>
  </si>
  <si>
    <t>LU2702161618|Souscription|Février 2025</t>
  </si>
  <si>
    <t>LU2702161618|Souscription|Mars 2025</t>
  </si>
  <si>
    <t>LU2702161618|Souscription|Avril 2025</t>
  </si>
  <si>
    <t>LU2702161618|Souscription|Mai 2025</t>
  </si>
  <si>
    <t>LU2702161618|Souscription|Juin 2025</t>
  </si>
  <si>
    <t>LU2702161618|Souscription|Juillet 2025</t>
  </si>
  <si>
    <t>LU2702161618|Souscription|Août 2025</t>
  </si>
  <si>
    <t>LU2702161618|Souscription|Septembre 2025</t>
  </si>
  <si>
    <t>LU2702161618|Souscription|Octobre 2025</t>
  </si>
  <si>
    <t>LU2702161618|Souscription|Novembre 2025</t>
  </si>
  <si>
    <t>LU2702161618|Souscription|Décembre 2025</t>
  </si>
  <si>
    <t>LU2702161618|Souscription|Janvier 2026</t>
  </si>
  <si>
    <t>LU2702161618|Rachat|Janvier 2025</t>
  </si>
  <si>
    <t>Rachat</t>
  </si>
  <si>
    <t>LU2702161618|Rachat|Février 2025</t>
  </si>
  <si>
    <t>LU2702161618|Rachat|Mars 2025</t>
  </si>
  <si>
    <t>LU2702161618|Rachat|Avril 2025</t>
  </si>
  <si>
    <t>LU2702161618|Rachat|Mai 2025</t>
  </si>
  <si>
    <t>LU2702161618|Rachat|Juin 2025</t>
  </si>
  <si>
    <t>LU2702161618|Rachat|Juillet 2025</t>
  </si>
  <si>
    <t>LU2702161618|Rachat|Août 2025</t>
  </si>
  <si>
    <t>LU2702161618|Rachat|Septembre 2025</t>
  </si>
  <si>
    <t>LU2702161618|Rachat|Octobre 2025</t>
  </si>
  <si>
    <t>LU2702161618|Rachat|Novembre 2025</t>
  </si>
  <si>
    <t>LU2702161618|Rachat|Décembre 2025</t>
  </si>
  <si>
    <t>LU2605912075|Souscription|Janvier 2026</t>
  </si>
  <si>
    <t>Goldman Sachs</t>
  </si>
  <si>
    <t>PDF société de gestion</t>
  </si>
  <si>
    <t>2026 Calendrier d'entrée et de sortie.pdf</t>
  </si>
  <si>
    <t>2026-07-22 23:22</t>
  </si>
  <si>
    <t>LU2605912075|Souscription|Février 2026</t>
  </si>
  <si>
    <t>LU2605912075|Souscription|Mars 2026</t>
  </si>
  <si>
    <t>LU2605912075|Souscription|Avril 2026</t>
  </si>
  <si>
    <t>LU2605912075|Souscription|Mai 2026</t>
  </si>
  <si>
    <t>LU2605912075|Souscription|Juin 2026</t>
  </si>
  <si>
    <t>LU2605912075|Souscription|Juillet 2026</t>
  </si>
  <si>
    <t>LU2605912075|Souscription|Août 2026</t>
  </si>
  <si>
    <t>LU2605912075|Souscription|Septembre 2026</t>
  </si>
  <si>
    <t>LU2605912075|Souscription|Octobre 2026</t>
  </si>
  <si>
    <t>LU2605912075|Souscription|Novembre 2026</t>
  </si>
  <si>
    <t>LU2605912075|Souscription|Décembre 2026</t>
  </si>
  <si>
    <t>LU2605912075|Rachat|Janvier 2026</t>
  </si>
  <si>
    <t>LU2605912075|Rachat|Février 2026</t>
  </si>
  <si>
    <t>LU2605912075|Rachat|Mars 2026</t>
  </si>
  <si>
    <t>LU2605912075|Rachat|Avril 2026</t>
  </si>
  <si>
    <t>LU2605912075|Rachat|Mai 2026</t>
  </si>
  <si>
    <t>LU2605912075|Rachat|Juin 2026</t>
  </si>
  <si>
    <t>LU2605912075|Rachat|Juillet 2026</t>
  </si>
  <si>
    <t>LU2605912075|Rachat|Août 2026</t>
  </si>
  <si>
    <t>LU2605912075|Rachat|Septembre 2026</t>
  </si>
  <si>
    <t>LU2605912075|Rachat|Octobre 2026</t>
  </si>
  <si>
    <t>LU2605912075|Rachat|Novembre 2026</t>
  </si>
  <si>
    <t>LU2605912075|Rachat|Décembre 2026</t>
  </si>
  <si>
    <t>LU2860459879|Souscription|Janvier 2026</t>
  </si>
  <si>
    <t>Morgan Stanley Investment Management</t>
  </si>
  <si>
    <t>Dealing Calendar 2026.pdf</t>
  </si>
  <si>
    <t>LU2860459879|Souscription|Février 2026</t>
  </si>
  <si>
    <t>LU2860459879|Souscription|Mars 2026</t>
  </si>
  <si>
    <t>LU2860459879|Souscription|Avril 2026</t>
  </si>
  <si>
    <t>LU2860459879|Souscription|Mai 2026</t>
  </si>
  <si>
    <t>LU2860459879|Souscription|Juin 2026</t>
  </si>
  <si>
    <t>LU2860459879|Souscription|Juillet 2026</t>
  </si>
  <si>
    <t>LU2860459879|Souscription|Août 2026</t>
  </si>
  <si>
    <t>LU2860459879|Souscription|Septembre 2026</t>
  </si>
  <si>
    <t>LU2860459879|Souscription|Octobre 2026</t>
  </si>
  <si>
    <t>année corrigée (coquille source)</t>
  </si>
  <si>
    <t>LU2860459879|Souscription|Novembre 2026</t>
  </si>
  <si>
    <t>LU2860459879|Souscription|Décembre 2026</t>
  </si>
  <si>
    <t>LU2860459879|Rachat|Mars 2026</t>
  </si>
  <si>
    <t>rachat trimestriel</t>
  </si>
  <si>
    <t>LU2860459879|Rachat|Juin 2026</t>
  </si>
  <si>
    <t>LU2860459879|Rachat|Septembre 2026</t>
  </si>
  <si>
    <t>LU2860459879|Rachat|Décembre 2026</t>
  </si>
  <si>
    <t>FR001400AUA7|Souscription|Janvier 2026</t>
  </si>
  <si>
    <t>Ardian</t>
  </si>
  <si>
    <t>cut-off souscription 8 jours ouvrés ; règlement = money cut-off (cash dû, 5 JO avant)</t>
  </si>
  <si>
    <t>Calendrier 2026.pdf</t>
  </si>
  <si>
    <t>FR001400AUA7|Souscription|Février 2026</t>
  </si>
  <si>
    <t>FR001400AUA7|Souscription|Mars 2026</t>
  </si>
  <si>
    <t>FR001400AUA7|Souscription|Avril 2026</t>
  </si>
  <si>
    <t>FR001400AUA7|Souscription|Mai 2026</t>
  </si>
  <si>
    <t>FR001400AUA7|Souscription|Juin 2026</t>
  </si>
  <si>
    <t>FR001400AUA7|Souscription|Juillet 2026</t>
  </si>
  <si>
    <t>FR001400AUA7|Souscription|Août 2026</t>
  </si>
  <si>
    <t>FR001400AUA7|Souscription|Septembre 2026</t>
  </si>
  <si>
    <t>FR001400AUA7|Souscription|Octobre 2026</t>
  </si>
  <si>
    <t>FR001400AUA7|Souscription|Novembre 2026</t>
  </si>
  <si>
    <t>FR001400AUA7|Souscription|Décembre 2026</t>
  </si>
  <si>
    <t>FR001400AUA7|Rachat|Mars 2026</t>
  </si>
  <si>
    <t>rachat trimestriel ; cut-off 30 jours calendaires avant</t>
  </si>
  <si>
    <t>FR001400AUA7|Rachat|Juin 2026</t>
  </si>
  <si>
    <t>FR001400AUA7|Rachat|Septembre 2026</t>
  </si>
  <si>
    <t>FR001400AUA7|Rachat|Décembre 2026</t>
  </si>
  <si>
    <t>LU2097348770|Souscription et rachat|Décembre 2025</t>
  </si>
  <si>
    <t>Hamilton Lane</t>
  </si>
  <si>
    <t>Souscription et rachat</t>
  </si>
  <si>
    <t>Paiement souscription/rachat confirmé par l'administrateur (pre-advice)</t>
  </si>
  <si>
    <t>2026 GPA Dealing Cycle Reporting Calendar - Lux.pdf</t>
  </si>
  <si>
    <t>LU2097348770|Souscription et rachat|Janvier 2026</t>
  </si>
  <si>
    <t>LU2097348770|Souscription et rachat|Février 2026</t>
  </si>
  <si>
    <t>LU2097348770|Souscription et rachat|Mars 2026</t>
  </si>
  <si>
    <t>LU2097348770|Souscription et rachat|Avril 2026</t>
  </si>
  <si>
    <t>LU2097348770|Souscription et rachat|Mai 2026</t>
  </si>
  <si>
    <t>LU2097348770|Souscription et rachat|Juin 2026</t>
  </si>
  <si>
    <t>LU2097348770|Souscription et rachat|Juillet 2026</t>
  </si>
  <si>
    <t>LU2097348770|Souscription et rachat|Août 2026</t>
  </si>
  <si>
    <t>LU2097348770|Souscription et rachat|Septembre 2026</t>
  </si>
  <si>
    <t>LU2097348770|Souscription et rachat|Octobre 2026</t>
  </si>
  <si>
    <t>LU2097348770|Souscription et rachat|Novembre 2026</t>
  </si>
  <si>
    <t>LU2097348770|Souscription et rachat|Décembre 2026</t>
  </si>
  <si>
    <t>LU2547277330|Souscription|Décembre 2025</t>
  </si>
  <si>
    <t>2026 SCOPE Dealing Cycle Reporting Calendar - Lux Final.pdf</t>
  </si>
  <si>
    <t>LU2547277330|Souscription|Janvier 2026</t>
  </si>
  <si>
    <t>LU2547277330|Souscription|Février 2026</t>
  </si>
  <si>
    <t>LU2547277330|Souscription|Mars 2026</t>
  </si>
  <si>
    <t>LU2547277330|Souscription|Avril 2026</t>
  </si>
  <si>
    <t>LU2547277330|Souscription|Mai 2026</t>
  </si>
  <si>
    <t>LU2547277330|Souscription|Juin 2026</t>
  </si>
  <si>
    <t>LU2547277330|Souscription|Juillet 2026</t>
  </si>
  <si>
    <t>LU2547277330|Souscription|Août 2026</t>
  </si>
  <si>
    <t>LU2547277330|Souscription|Septembre 2026</t>
  </si>
  <si>
    <t>LU2547277330|Souscription|Octobre 2026</t>
  </si>
  <si>
    <t>LU2547277330|Souscription|Novembre 2026</t>
  </si>
  <si>
    <t>LU2547277330|Souscription|Décembre 2026</t>
  </si>
  <si>
    <t>LU2547277330|Rachat|Décembre 2025</t>
  </si>
  <si>
    <t>Rachat payé en cash dès que possible après la date de calcul de la VL ; année corrigée (coquille source)</t>
  </si>
  <si>
    <t>LU2547277330|Rachat|Janvier 2026</t>
  </si>
  <si>
    <t>Rachat payé en cash dès que possible après la date de calcul de la VL</t>
  </si>
  <si>
    <t>LU2547277330|Rachat|Février 2026</t>
  </si>
  <si>
    <t>LU2547277330|Rachat|Mars 2026</t>
  </si>
  <si>
    <t>LU2547277330|Rachat|Avril 2026</t>
  </si>
  <si>
    <t>LU2547277330|Rachat|Mai 2026</t>
  </si>
  <si>
    <t>LU2547277330|Rachat|Juin 2026</t>
  </si>
  <si>
    <t>LU2547277330|Rachat|Juillet 2026</t>
  </si>
  <si>
    <t>LU2547277330|Rachat|Août 2026</t>
  </si>
  <si>
    <t>LU2547277330|Rachat|Septembre 2026</t>
  </si>
  <si>
    <t>LU2547277330|Rachat|Octobre 2026</t>
  </si>
  <si>
    <t>LU2547277330|Rachat|Novembre 2026</t>
  </si>
  <si>
    <t>LU2547277330|Rachat|Décembre 2026</t>
  </si>
  <si>
    <t>FR001400XGO9|Rachat|Janvier 2026</t>
  </si>
  <si>
    <t>Tygrow</t>
  </si>
  <si>
    <t>Calendrier_Sorties_Althos_Private_Credit_2026 vDEF 1704.pdf</t>
  </si>
  <si>
    <t>FR001400XGO9|Rachat|Février 2026</t>
  </si>
  <si>
    <t>FR001400XGO9|Rachat|Mars 2026</t>
  </si>
  <si>
    <t>FR001400XGO9|Rachat|Avril 2026</t>
  </si>
  <si>
    <t>FR001400XGO9|Rachat|Mai 2026</t>
  </si>
  <si>
    <t>FR001400XGO9|Rachat|Juin 2026</t>
  </si>
  <si>
    <t>FR001400XGO9|Rachat|Juillet 2026</t>
  </si>
  <si>
    <t>FR001400XGO9|Rachat|Août 2026</t>
  </si>
  <si>
    <t>FR001400XGO9|Rachat|Septembre 2026</t>
  </si>
  <si>
    <t>FR001400XGO9|Rachat|Octobre 2026</t>
  </si>
  <si>
    <t>FR001400XGO9|Rachat|Novembre 2026</t>
  </si>
  <si>
    <t>FR001400XGO9|Rachat|Décembre 2026</t>
  </si>
  <si>
    <t>FR001400XGM3|Rachat|Janvier 2026</t>
  </si>
  <si>
    <t>FR001400XGM3|Rachat|Février 2026</t>
  </si>
  <si>
    <t>FR001400XGM3|Rachat|Mars 2026</t>
  </si>
  <si>
    <t>FR001400XGM3|Rachat|Avril 2026</t>
  </si>
  <si>
    <t>FR001400XGM3|Rachat|Mai 2026</t>
  </si>
  <si>
    <t>FR001400XGM3|Rachat|Juin 2026</t>
  </si>
  <si>
    <t>FR001400XGM3|Rachat|Juillet 2026</t>
  </si>
  <si>
    <t>FR001400XGM3|Rachat|Août 2026</t>
  </si>
  <si>
    <t>FR001400XGM3|Rachat|Septembre 2026</t>
  </si>
  <si>
    <t>FR001400XGM3|Rachat|Octobre 2026</t>
  </si>
  <si>
    <t>FR001400XGM3|Rachat|Novembre 2026</t>
  </si>
  <si>
    <t>FR001400XGM3|Rachat|Décembre 2026</t>
  </si>
  <si>
    <t>FR001400XGV4|Rachat|Janvier 2026</t>
  </si>
  <si>
    <t>FR001400XGV4|Rachat|Février 2026</t>
  </si>
  <si>
    <t>FR001400XGV4|Rachat|Mars 2026</t>
  </si>
  <si>
    <t>FR001400XGV4|Rachat|Avril 2026</t>
  </si>
  <si>
    <t>FR001400XGV4|Rachat|Mai 2026</t>
  </si>
  <si>
    <t>FR001400XGV4|Rachat|Juin 2026</t>
  </si>
  <si>
    <t>FR001400XGV4|Rachat|Juillet 2026</t>
  </si>
  <si>
    <t>FR001400XGV4|Rachat|Août 2026</t>
  </si>
  <si>
    <t>FR001400XGV4|Rachat|Septembre 2026</t>
  </si>
  <si>
    <t>FR001400XGV4|Rachat|Octobre 2026</t>
  </si>
  <si>
    <t>FR001400XGV4|Rachat|Novembre 2026</t>
  </si>
  <si>
    <t>FR001400XGV4|Rachat|Décembre 2026</t>
  </si>
  <si>
    <t>FR001400XGQ4|Rachat|Janvier 2026</t>
  </si>
  <si>
    <t>FR001400XGQ4|Rachat|Février 2026</t>
  </si>
  <si>
    <t>FR001400XGQ4|Rachat|Mars 2026</t>
  </si>
  <si>
    <t>FR001400XGQ4|Rachat|Avril 2026</t>
  </si>
  <si>
    <t>FR001400XGQ4|Rachat|Mai 2026</t>
  </si>
  <si>
    <t>FR001400XGQ4|Rachat|Juin 2026</t>
  </si>
  <si>
    <t>FR001400XGQ4|Rachat|Juillet 2026</t>
  </si>
  <si>
    <t>FR001400XGQ4|Rachat|Août 2026</t>
  </si>
  <si>
    <t>FR001400XGQ4|Rachat|Septembre 2026</t>
  </si>
  <si>
    <t>FR001400XGQ4|Rachat|Octobre 2026</t>
  </si>
  <si>
    <t>FR001400XGQ4|Rachat|Novembre 2026</t>
  </si>
  <si>
    <t>FR001400XGQ4|Rachat|Décembre 2026</t>
  </si>
  <si>
    <t>FR001400QZ70|Rachat|Janvier 2026</t>
  </si>
  <si>
    <t>Calendrier_Sorties_Althos_Private_Equity_2026 vDEF1704.pdf</t>
  </si>
  <si>
    <t>FR001400QZ70|Rachat|Février 2026</t>
  </si>
  <si>
    <t>FR001400QZ70|Rachat|Mars 2026</t>
  </si>
  <si>
    <t>FR001400QZ70|Rachat|Avril 2026</t>
  </si>
  <si>
    <t>FR001400QZ70|Rachat|Mai 2026</t>
  </si>
  <si>
    <t>FR001400QZ70|Rachat|Juin 2026</t>
  </si>
  <si>
    <t>FR001400QZ70|Rachat|Juillet 2026</t>
  </si>
  <si>
    <t>FR001400QZ70|Rachat|Août 2026</t>
  </si>
  <si>
    <t>FR001400QZ70|Rachat|Septembre 2026</t>
  </si>
  <si>
    <t>FR001400QZ70|Rachat|Octobre 2026</t>
  </si>
  <si>
    <t>FR001400QZ70|Rachat|Novembre 2026</t>
  </si>
  <si>
    <t>FR001400QZ70|Rachat|Décembre 2026</t>
  </si>
  <si>
    <t>FR001400QZB0|Rachat|Janvier 2026</t>
  </si>
  <si>
    <t>FR001400QZB0|Rachat|Février 2026</t>
  </si>
  <si>
    <t>FR001400QZB0|Rachat|Mars 2026</t>
  </si>
  <si>
    <t>FR001400QZB0|Rachat|Avril 2026</t>
  </si>
  <si>
    <t>FR001400QZB0|Rachat|Mai 2026</t>
  </si>
  <si>
    <t>FR001400QZB0|Rachat|Juin 2026</t>
  </si>
  <si>
    <t>FR001400QZB0|Rachat|Juillet 2026</t>
  </si>
  <si>
    <t>FR001400QZB0|Rachat|Août 2026</t>
  </si>
  <si>
    <t>FR001400QZB0|Rachat|Septembre 2026</t>
  </si>
  <si>
    <t>FR001400QZB0|Rachat|Octobre 2026</t>
  </si>
  <si>
    <t>FR001400QZB0|Rachat|Novembre 2026</t>
  </si>
  <si>
    <t>FR001400QZB0|Rachat|Décembre 2026</t>
  </si>
  <si>
    <t>FR001400QZ88|Rachat|Janvier 2026</t>
  </si>
  <si>
    <t>FR001400QZ88|Rachat|Février 2026</t>
  </si>
  <si>
    <t>FR001400QZ88|Rachat|Mars 2026</t>
  </si>
  <si>
    <t>FR001400QZ88|Rachat|Avril 2026</t>
  </si>
  <si>
    <t>FR001400QZ88|Rachat|Mai 2026</t>
  </si>
  <si>
    <t>FR001400QZ88|Rachat|Juin 2026</t>
  </si>
  <si>
    <t>FR001400QZ88|Rachat|Juillet 2026</t>
  </si>
  <si>
    <t>FR001400QZ88|Rachat|Août 2026</t>
  </si>
  <si>
    <t>FR001400QZ88|Rachat|Septembre 2026</t>
  </si>
  <si>
    <t>FR001400QZ88|Rachat|Octobre 2026</t>
  </si>
  <si>
    <t>FR001400QZ88|Rachat|Novembre 2026</t>
  </si>
  <si>
    <t>FR001400QZ88|Rachat|Décembre 2026</t>
  </si>
  <si>
    <t>FR001400QZA2|Rachat|Janvier 2026</t>
  </si>
  <si>
    <t>FR001400QZA2|Rachat|Février 2026</t>
  </si>
  <si>
    <t>FR001400QZA2|Rachat|Mars 2026</t>
  </si>
  <si>
    <t>FR001400QZA2|Rachat|Avril 2026</t>
  </si>
  <si>
    <t>FR001400QZA2|Rachat|Mai 2026</t>
  </si>
  <si>
    <t>FR001400QZA2|Rachat|Juin 2026</t>
  </si>
  <si>
    <t>FR001400QZA2|Rachat|Juillet 2026</t>
  </si>
  <si>
    <t>FR001400QZA2|Rachat|Août 2026</t>
  </si>
  <si>
    <t>FR001400QZA2|Rachat|Septembre 2026</t>
  </si>
  <si>
    <t>FR001400QZA2|Rachat|Octobre 2026</t>
  </si>
  <si>
    <t>FR001400QZA2|Rachat|Novembre 2026</t>
  </si>
  <si>
    <t>FR001400QZA2|Rachat|Décembre 2026</t>
  </si>
  <si>
    <t>FR001400QZC8|Rachat|Janvier 2026</t>
  </si>
  <si>
    <t>FR001400QZC8|Rachat|Février 2026</t>
  </si>
  <si>
    <t>FR001400QZC8|Rachat|Mars 2026</t>
  </si>
  <si>
    <t>FR001400QZC8|Rachat|Avril 2026</t>
  </si>
  <si>
    <t>FR001400QZC8|Rachat|Mai 2026</t>
  </si>
  <si>
    <t>FR001400QZC8|Rachat|Juin 2026</t>
  </si>
  <si>
    <t>FR001400QZC8|Rachat|Juillet 2026</t>
  </si>
  <si>
    <t>FR001400QZC8|Rachat|Août 2026</t>
  </si>
  <si>
    <t>FR001400QZC8|Rachat|Septembre 2026</t>
  </si>
  <si>
    <t>FR001400QZC8|Rachat|Octobre 2026</t>
  </si>
  <si>
    <t>FR001400QZC8|Rachat|Novembre 2026</t>
  </si>
  <si>
    <t>FR001400QZC8|Rachat|Décembre 2026</t>
  </si>
  <si>
    <t>FR001400QZD6|Rachat|Janvier 2026</t>
  </si>
  <si>
    <t>FR001400QZD6|Rachat|Février 2026</t>
  </si>
  <si>
    <t>FR001400QZD6|Rachat|Mars 2026</t>
  </si>
  <si>
    <t>FR001400QZD6|Rachat|Avril 2026</t>
  </si>
  <si>
    <t>FR001400QZD6|Rachat|Mai 2026</t>
  </si>
  <si>
    <t>FR001400QZD6|Rachat|Juin 2026</t>
  </si>
  <si>
    <t>FR001400QZD6|Rachat|Juillet 2026</t>
  </si>
  <si>
    <t>FR001400QZD6|Rachat|Août 2026</t>
  </si>
  <si>
    <t>FR001400QZD6|Rachat|Septembre 2026</t>
  </si>
  <si>
    <t>FR001400QZD6|Rachat|Octobre 2026</t>
  </si>
  <si>
    <t>FR001400QZD6|Rachat|Novembre 2026</t>
  </si>
  <si>
    <t>FR001400QZD6|Rachat|Décembre 2026</t>
  </si>
  <si>
    <t>FR001400ZLZ0|Rachat|Janvier 2026</t>
  </si>
  <si>
    <t>Tygrow SAS</t>
  </si>
  <si>
    <t>Calendrier_Sorties_Antheor_Private_Infrastructures_2026.pdf</t>
  </si>
  <si>
    <t>FR001400ZLZ0|Rachat|Février 2026</t>
  </si>
  <si>
    <t>FR001400ZLZ0|Rachat|Mars 2026</t>
  </si>
  <si>
    <t>FR001400ZLZ0|Rachat|Avril 2026</t>
  </si>
  <si>
    <t>FR001400ZLZ0|Rachat|Mai 2026</t>
  </si>
  <si>
    <t>FR001400ZLZ0|Rachat|Juin 2026</t>
  </si>
  <si>
    <t>FR001400ZLZ0|Rachat|Juillet 2026</t>
  </si>
  <si>
    <t>FR001400ZLZ0|Rachat|Août 2026</t>
  </si>
  <si>
    <t>FR001400ZLZ0|Rachat|Septembre 2026</t>
  </si>
  <si>
    <t>FR001400ZLZ0|Rachat|Octobre 2026</t>
  </si>
  <si>
    <t>FR001400ZLZ0|Rachat|Novembre 2026</t>
  </si>
  <si>
    <t>FR001400ZLZ0|Rachat|Décembre 2026</t>
  </si>
  <si>
    <t>FR001400ZM58|Rachat|Janvier 2026</t>
  </si>
  <si>
    <t>FR001400ZM58|Rachat|Février 2026</t>
  </si>
  <si>
    <t>FR001400ZM58|Rachat|Mars 2026</t>
  </si>
  <si>
    <t>FR001400ZM58|Rachat|Avril 2026</t>
  </si>
  <si>
    <t>FR001400ZM58|Rachat|Mai 2026</t>
  </si>
  <si>
    <t>FR001400ZM58|Rachat|Juin 2026</t>
  </si>
  <si>
    <t>FR001400ZM58|Rachat|Juillet 2026</t>
  </si>
  <si>
    <t>FR001400ZM58|Rachat|Août 2026</t>
  </si>
  <si>
    <t>FR001400ZM58|Rachat|Septembre 2026</t>
  </si>
  <si>
    <t>FR001400ZM58|Rachat|Octobre 2026</t>
  </si>
  <si>
    <t>FR001400ZM58|Rachat|Novembre 2026</t>
  </si>
  <si>
    <t>FR001400ZM58|Rachat|Décembre 2026</t>
  </si>
  <si>
    <t>FR001400ZM09|Rachat|Janvier 2026</t>
  </si>
  <si>
    <t>FR001400ZM09|Rachat|Février 2026</t>
  </si>
  <si>
    <t>FR001400ZM09|Rachat|Mars 2026</t>
  </si>
  <si>
    <t>FR001400ZM09|Rachat|Avril 2026</t>
  </si>
  <si>
    <t>FR001400ZM09|Rachat|Mai 2026</t>
  </si>
  <si>
    <t>FR001400ZM09|Rachat|Juin 2026</t>
  </si>
  <si>
    <t>FR001400ZM09|Rachat|Juillet 2026</t>
  </si>
  <si>
    <t>FR001400ZM09|Rachat|Août 2026</t>
  </si>
  <si>
    <t>FR001400ZM09|Rachat|Septembre 2026</t>
  </si>
  <si>
    <t>FR001400ZM09|Rachat|Octobre 2026</t>
  </si>
  <si>
    <t>FR001400ZM09|Rachat|Novembre 2026</t>
  </si>
  <si>
    <t>FR001400ZM09|Rachat|Décembre 2026</t>
  </si>
  <si>
    <t>LU2984100870|Souscription|Janvier 2026</t>
  </si>
  <si>
    <t>EQT</t>
  </si>
  <si>
    <t>2026 EQT Nexus Funds - Trading Calendar - 2026 Final.pdf</t>
  </si>
  <si>
    <t>LU2984100870|Souscription|Février 2026</t>
  </si>
  <si>
    <t>LU2984100870|Souscription|Mars 2026</t>
  </si>
  <si>
    <t>LU2984100870|Souscription|Avril 2026</t>
  </si>
  <si>
    <t>LU2984100870|Souscription|Mai 2026</t>
  </si>
  <si>
    <t>LU2984100870|Souscription|Juin 2026</t>
  </si>
  <si>
    <t>LU2984100870|Souscription|Juillet 2026</t>
  </si>
  <si>
    <t>LU2984100870|Souscription|Août 2026</t>
  </si>
  <si>
    <t>LU2984100870|Souscription|Septembre 2026</t>
  </si>
  <si>
    <t>LU2984100870|Souscription|Octobre 2026</t>
  </si>
  <si>
    <t>LU2984100870|Souscription|Novembre 2026</t>
  </si>
  <si>
    <t>LU2984100870|Souscription|Décembre 2026</t>
  </si>
  <si>
    <t>LU2984100870|Souscription|Janvier 2027</t>
  </si>
  <si>
    <t>LU2984100870|Rachat|Mars 2026</t>
  </si>
  <si>
    <t>Publication VL ~20 JO après la VL ; paiement ~15 JO après publication</t>
  </si>
  <si>
    <t>LU2984100870|Rachat|Juin 2026</t>
  </si>
  <si>
    <t>LU2984100870|Rachat|Septembre 2026</t>
  </si>
  <si>
    <t>LU2984100870|Rachat|Décembre 2026</t>
  </si>
  <si>
    <t>LU2617117614|Souscription|Janvier 2026</t>
  </si>
  <si>
    <t>LU2617117614|Souscription|Février 2026</t>
  </si>
  <si>
    <t>LU2617117614|Souscription|Mars 2026</t>
  </si>
  <si>
    <t>LU2617117614|Souscription|Avril 2026</t>
  </si>
  <si>
    <t>LU2617117614|Souscription|Mai 2026</t>
  </si>
  <si>
    <t>LU2617117614|Souscription|Juin 2026</t>
  </si>
  <si>
    <t>LU2617117614|Souscription|Juillet 2026</t>
  </si>
  <si>
    <t>LU2617117614|Souscription|Août 2026</t>
  </si>
  <si>
    <t>LU2617117614|Souscription|Septembre 2026</t>
  </si>
  <si>
    <t>LU2617117614|Souscription|Octobre 2026</t>
  </si>
  <si>
    <t>LU2617117614|Souscription|Novembre 2026</t>
  </si>
  <si>
    <t>LU2617117614|Souscription|Décembre 2026</t>
  </si>
  <si>
    <t>LU2617117614|Souscription|Janvier 2027</t>
  </si>
  <si>
    <t>LU2617117614|Rachat|Mars 2026</t>
  </si>
  <si>
    <t>LU2617117614|Rachat|Juin 2026</t>
  </si>
  <si>
    <t>LU2617117614|Rachat|Septembre 2026</t>
  </si>
  <si>
    <t>LU2617117614|Rachat|Décembre 2026</t>
  </si>
  <si>
    <t>LU2884017059|Souscription|Décembre 2025</t>
  </si>
  <si>
    <t>Coller Capital</t>
  </si>
  <si>
    <t>Mois de souscription libellé Jan-26 sur le relevé</t>
  </si>
  <si>
    <t>CollerEquity and CollerCredit Dealing Calendar 2026.pdf</t>
  </si>
  <si>
    <t>LU2884017059|Souscription|Janvier 2026</t>
  </si>
  <si>
    <t>Mois de souscription libellé Feb-26 sur le relevé</t>
  </si>
  <si>
    <t>LU2884017059|Souscription|Février 2026</t>
  </si>
  <si>
    <t>Mois de souscription libellé Mar-26 sur le relevé</t>
  </si>
  <si>
    <t>LU2884017059|Souscription|Mars 2026</t>
  </si>
  <si>
    <t>Mois de souscription libellé Apr-26 sur le relevé</t>
  </si>
  <si>
    <t>LU2884017059|Souscription|Avril 2026</t>
  </si>
  <si>
    <t>Mois de souscription libellé May-26 sur le relevé</t>
  </si>
  <si>
    <t>LU2884017059|Souscription|Mai 2026</t>
  </si>
  <si>
    <t>Mois de souscription libellé Jun-26 sur le relevé</t>
  </si>
  <si>
    <t>LU2884017059|Souscription|Juin 2026</t>
  </si>
  <si>
    <t>Mois de souscription libellé Jul-26 sur le relevé</t>
  </si>
  <si>
    <t>LU2884017059|Souscription|Juillet 2026</t>
  </si>
  <si>
    <t>Mois de souscription libellé Aug-26 sur le relevé</t>
  </si>
  <si>
    <t>LU2884017059|Souscription|Août 2026</t>
  </si>
  <si>
    <t>Mois de souscription libellé Sep-26 sur le relevé</t>
  </si>
  <si>
    <t>LU2884017059|Souscription|Septembre 2026</t>
  </si>
  <si>
    <t>Mois de souscription libellé Oct-26 sur le relevé</t>
  </si>
  <si>
    <t>LU2884017059|Souscription|Octobre 2026</t>
  </si>
  <si>
    <t>Mois de souscription libellé Nov-26 sur le relevé</t>
  </si>
  <si>
    <t>LU2884017059|Souscription|Novembre 2026</t>
  </si>
  <si>
    <t>Mois de souscription libellé Dec-26 sur le relevé</t>
  </si>
  <si>
    <t>LU2884017059|Souscription|Décembre 2026</t>
  </si>
  <si>
    <t>Mois de souscription libellé Jan-27 sur le relevé</t>
  </si>
  <si>
    <t>LU2884017059|Rachat|Mars 2026</t>
  </si>
  <si>
    <t>Q1 ; rachat limité à ~5% de la NAV ; pénalité 2% si rachat &lt; 12 mois après souscription</t>
  </si>
  <si>
    <t>LU2884017059|Rachat|Juin 2026</t>
  </si>
  <si>
    <t>Q2 ; rachat limité à ~5% de la NAV ; pénalité 2% si rachat &lt; 12 mois après souscription</t>
  </si>
  <si>
    <t>LU2884017059|Rachat|Septembre 2026</t>
  </si>
  <si>
    <t>Q3 ; rachat limité à ~5% de la NAV ; pénalité 2% si rachat &lt; 12 mois après souscription</t>
  </si>
  <si>
    <t>LU2884017059|Rachat|Décembre 2026</t>
  </si>
  <si>
    <t>Q4 ; rachat limité à ~5% de la NAV ; pénalité 2% si rachat &lt; 12 mois après souscription</t>
  </si>
  <si>
    <t>LU2996228198|Souscription|Janvier 2026</t>
  </si>
  <si>
    <t>Pantheon</t>
  </si>
  <si>
    <t>PGPE &amp; PGCS - 2026 Subs and Reds Calendar au 2026 07 15.pdf</t>
  </si>
  <si>
    <t>LU2996228198|Souscription|Février 2026</t>
  </si>
  <si>
    <t>LU2996228198|Souscription|Mars 2026</t>
  </si>
  <si>
    <t>LU2996228198|Souscription|Avril 2026</t>
  </si>
  <si>
    <t>LU2996228198|Souscription|Mai 2026</t>
  </si>
  <si>
    <t>LU2996228198|Souscription|Juin 2026</t>
  </si>
  <si>
    <t>LU2996228198|Souscription|Juillet 2026</t>
  </si>
  <si>
    <t>LU2996228198|Souscription|Août 2026</t>
  </si>
  <si>
    <t>LU2996228198|Souscription|Septembre 2026</t>
  </si>
  <si>
    <t>LU2996228198|Souscription|Octobre 2026</t>
  </si>
  <si>
    <t>LU2996228198|Souscription|Novembre 2026</t>
  </si>
  <si>
    <t>LU2996228198|Souscription|Décembre 2026</t>
  </si>
  <si>
    <t>LU2996228198|Souscription|Janvier 2027</t>
  </si>
  <si>
    <t>LU2996228198|Rachat|Mars 2026</t>
  </si>
  <si>
    <t>Q1 ; cutoff = T-30 jours calendaires</t>
  </si>
  <si>
    <t>LU2996228198|Rachat|Juin 2026</t>
  </si>
  <si>
    <t>Q2 ; cutoff = T-30 jours calendaires</t>
  </si>
  <si>
    <t>LU2996228198|Rachat|Septembre 2026</t>
  </si>
  <si>
    <t>Q3 ; cutoff = T-30 jours calendaires</t>
  </si>
  <si>
    <t>LU2996228198|Rachat|Décembre 2026</t>
  </si>
  <si>
    <t>Q4 ; cutoff = T-30 jours calendaires</t>
  </si>
  <si>
    <t>LU2756307729|Souscription|Janvier 2026</t>
  </si>
  <si>
    <t>LU2756307729|Souscription|Février 2026</t>
  </si>
  <si>
    <t>LU2756307729|Souscription|Mars 2026</t>
  </si>
  <si>
    <t>LU2756307729|Souscription|Avril 2026</t>
  </si>
  <si>
    <t>LU2756307729|Souscription|Mai 2026</t>
  </si>
  <si>
    <t>LU2756307729|Souscription|Juin 2026</t>
  </si>
  <si>
    <t>LU2756307729|Souscription|Juillet 2026</t>
  </si>
  <si>
    <t>LU2756307729|Souscription|Août 2026</t>
  </si>
  <si>
    <t>LU2756307729|Souscription|Septembre 2026</t>
  </si>
  <si>
    <t>LU2756307729|Souscription|Octobre 2026</t>
  </si>
  <si>
    <t>LU2756307729|Souscription|Novembre 2026</t>
  </si>
  <si>
    <t>LU2756307729|Souscription|Décembre 2026</t>
  </si>
  <si>
    <t>LU2756307729|Souscription|Janvier 2027</t>
  </si>
  <si>
    <t>LU2756307729|Rachat|Mars 2026</t>
  </si>
  <si>
    <t>LU2756307729|Rachat|Juin 2026</t>
  </si>
  <si>
    <t>LU2756307729|Rachat|Septembre 2026</t>
  </si>
  <si>
    <t>LU2756307729|Rachat|Décembre 2026</t>
  </si>
  <si>
    <t>LU3047997575|Souscription|Janvier 2026</t>
  </si>
  <si>
    <t>LU3047997575|Souscription|Février 2026</t>
  </si>
  <si>
    <t>LU3047997575|Souscription|Mars 2026</t>
  </si>
  <si>
    <t>LU3047997575|Souscription|Avril 2026</t>
  </si>
  <si>
    <t>LU3047997575|Souscription|Mai 2026</t>
  </si>
  <si>
    <t>LU3047997575|Souscription|Juin 2026</t>
  </si>
  <si>
    <t>LU3047997575|Souscription|Juillet 2026</t>
  </si>
  <si>
    <t>LU3047997575|Souscription|Août 2026</t>
  </si>
  <si>
    <t>LU3047997575|Souscription|Septembre 2026</t>
  </si>
  <si>
    <t>LU3047997575|Souscription|Octobre 2026</t>
  </si>
  <si>
    <t>LU3047997575|Souscription|Novembre 2026</t>
  </si>
  <si>
    <t>LU3047997575|Souscription|Décembre 2026</t>
  </si>
  <si>
    <t>LU3047997575|Souscription|Janvier 2027</t>
  </si>
  <si>
    <t>LU3047997575|Rachat|Mars 2026</t>
  </si>
  <si>
    <t>LU3047997575|Rachat|Juin 2026</t>
  </si>
  <si>
    <t>LU3047997575|Rachat|Septembre 2026</t>
  </si>
  <si>
    <t>LU3047997575|Rachat|Décembre 2026</t>
  </si>
  <si>
    <t>LU3047997658|Souscription|Janvier 2026</t>
  </si>
  <si>
    <t>LU3047997658|Souscription|Février 2026</t>
  </si>
  <si>
    <t>LU3047997658|Souscription|Mars 2026</t>
  </si>
  <si>
    <t>LU3047997658|Souscription|Avril 2026</t>
  </si>
  <si>
    <t>LU3047997658|Souscription|Mai 2026</t>
  </si>
  <si>
    <t>LU3047997658|Souscription|Juin 2026</t>
  </si>
  <si>
    <t>LU3047997658|Souscription|Juillet 2026</t>
  </si>
  <si>
    <t>LU3047997658|Souscription|Août 2026</t>
  </si>
  <si>
    <t>LU3047997658|Souscription|Septembre 2026</t>
  </si>
  <si>
    <t>LU3047997658|Souscription|Octobre 2026</t>
  </si>
  <si>
    <t>LU3047997658|Souscription|Novembre 2026</t>
  </si>
  <si>
    <t>LU3047997658|Souscription|Décembre 2026</t>
  </si>
  <si>
    <t>LU3047997658|Souscription|Janvier 2027</t>
  </si>
  <si>
    <t>LU3047997658|Rachat|Mars 2026</t>
  </si>
  <si>
    <t>LU3047997658|Rachat|Juin 2026</t>
  </si>
  <si>
    <t>LU3047997658|Rachat|Septembre 2026</t>
  </si>
  <si>
    <t>LU3047997658|Rachat|Décembre 2026</t>
  </si>
  <si>
    <t>LU1912496582|Souscription|Janvier 2025</t>
  </si>
  <si>
    <t>Partners Group</t>
  </si>
  <si>
    <t>Fichier interne (Maxime)</t>
  </si>
  <si>
    <t>Maxime Calendrier de sortie.xlsx</t>
  </si>
  <si>
    <t>2026-07-23 10:14</t>
  </si>
  <si>
    <t>LU1912496582|Souscription|Février 2025</t>
  </si>
  <si>
    <t>LU1912496582|Souscription|Mars 2025</t>
  </si>
  <si>
    <t>LU1912496582|Souscription|Avril 2025</t>
  </si>
  <si>
    <t>LU1912496582|Souscription|Mai 2025</t>
  </si>
  <si>
    <t>LU1912496582|Souscription|Juin 2025</t>
  </si>
  <si>
    <t>LU1912496582|Souscription|Juillet 2025</t>
  </si>
  <si>
    <t>LU1912496582|Souscription|Août 2025</t>
  </si>
  <si>
    <t>LU1912496582|Souscription|Septembre 2025</t>
  </si>
  <si>
    <t>LU1912496582|Souscription|Octobre 2025</t>
  </si>
  <si>
    <t>LU1912496582|Souscription|Novembre 2025</t>
  </si>
  <si>
    <t>LU1912496582|Souscription|Décembre 2025</t>
  </si>
  <si>
    <t>LU1912496582|Souscription|Janvier 2026</t>
  </si>
  <si>
    <t>LU1912496582|Souscription|Février 2026</t>
  </si>
  <si>
    <t>LU1912496582|Souscription|Mars 2026</t>
  </si>
  <si>
    <t>LU1912496582|Souscription|Avril 2026</t>
  </si>
  <si>
    <t>LU1912496582|Souscription|Mai 2026</t>
  </si>
  <si>
    <t>LU1912496582|Souscription|Juin 2026</t>
  </si>
  <si>
    <t>LU1912496582|Souscription|Juillet 2026</t>
  </si>
  <si>
    <t>LU1912496582|Souscription|Août 2026</t>
  </si>
  <si>
    <t>LU1912496582|Souscription|Septembre 2026</t>
  </si>
  <si>
    <t>LU1912496582|Souscription|Octobre 2026</t>
  </si>
  <si>
    <t>LU1912496582|Souscription|Novembre 2026</t>
  </si>
  <si>
    <t>LU1912496582|Souscription|Décembre 2026</t>
  </si>
  <si>
    <t>LU1912496582|Rachat|Avril 2025</t>
  </si>
  <si>
    <t>LU1912496582|Rachat|Mai 2025</t>
  </si>
  <si>
    <t>LU1912496582|Rachat|Juin 2025</t>
  </si>
  <si>
    <t>LU1912496582|Rachat|Juillet 2025</t>
  </si>
  <si>
    <t>LU1912496582|Rachat|Août 2025</t>
  </si>
  <si>
    <t>LU1912496582|Rachat|Septembre 2025</t>
  </si>
  <si>
    <t>LU1912496582|Rachat|Octobre 2025</t>
  </si>
  <si>
    <t>LU1912496582|Rachat|Novembre 2025</t>
  </si>
  <si>
    <t>LU1912496582|Rachat|Décembre 2025</t>
  </si>
  <si>
    <t>LU1912496582|Rachat|Janvier 2026</t>
  </si>
  <si>
    <t>LU1912496582|Rachat|Février 2026</t>
  </si>
  <si>
    <t>LU1912496582|Rachat|Mars 2026</t>
  </si>
  <si>
    <t>LU1912496582|Rachat|Avril 2026</t>
  </si>
  <si>
    <t>LU1912496582|Rachat|Mai 2026</t>
  </si>
  <si>
    <t>LU1912496582|Rachat|Juin 2026</t>
  </si>
  <si>
    <t>LU1912496582|Rachat|Juillet 2026</t>
  </si>
  <si>
    <t>LU1912496582|Rachat|Août 2026</t>
  </si>
  <si>
    <t>LU1912496582|Rachat|Septembre 2026</t>
  </si>
  <si>
    <t>LU1912496582|Rachat|Octobre 2026</t>
  </si>
  <si>
    <t>LU1912496582|Rachat|Novembre 2026</t>
  </si>
  <si>
    <t>LU1912496582|Rachat|Décembre 2026</t>
  </si>
  <si>
    <t>LU1912497127|Souscription|Janvier 2025</t>
  </si>
  <si>
    <t>LU1912497127|Souscription|Février 2025</t>
  </si>
  <si>
    <t>LU1912497127|Souscription|Mars 2025</t>
  </si>
  <si>
    <t>LU1912497127|Souscription|Avril 2025</t>
  </si>
  <si>
    <t>LU1912497127|Souscription|Mai 2025</t>
  </si>
  <si>
    <t>LU1912497127|Souscription|Juin 2025</t>
  </si>
  <si>
    <t>LU1912497127|Souscription|Juillet 2025</t>
  </si>
  <si>
    <t>LU1912497127|Souscription|Août 2025</t>
  </si>
  <si>
    <t>LU1912497127|Souscription|Septembre 2025</t>
  </si>
  <si>
    <t>LU1912497127|Souscription|Octobre 2025</t>
  </si>
  <si>
    <t>LU1912497127|Souscription|Novembre 2025</t>
  </si>
  <si>
    <t>LU1912497127|Souscription|Décembre 2025</t>
  </si>
  <si>
    <t>LU1912497127|Souscription|Janvier 2026</t>
  </si>
  <si>
    <t>LU1912497127|Souscription|Février 2026</t>
  </si>
  <si>
    <t>LU1912497127|Souscription|Mars 2026</t>
  </si>
  <si>
    <t>LU1912497127|Souscription|Avril 2026</t>
  </si>
  <si>
    <t>LU1912497127|Souscription|Mai 2026</t>
  </si>
  <si>
    <t>LU1912497127|Souscription|Juin 2026</t>
  </si>
  <si>
    <t>LU1912497127|Souscription|Juillet 2026</t>
  </si>
  <si>
    <t>LU1912497127|Souscription|Août 2026</t>
  </si>
  <si>
    <t>LU1912497127|Souscription|Septembre 2026</t>
  </si>
  <si>
    <t>LU1912497127|Souscription|Octobre 2026</t>
  </si>
  <si>
    <t>LU1912497127|Souscription|Novembre 2026</t>
  </si>
  <si>
    <t>LU1912497127|Souscription|Décembre 2026</t>
  </si>
  <si>
    <t>LU1912497127|Rachat|Avril 2025</t>
  </si>
  <si>
    <t>LU1912497127|Rachat|Mai 2025</t>
  </si>
  <si>
    <t>LU1912497127|Rachat|Juin 2025</t>
  </si>
  <si>
    <t>LU1912497127|Rachat|Juillet 2025</t>
  </si>
  <si>
    <t>LU1912497127|Rachat|Août 2025</t>
  </si>
  <si>
    <t>LU1912497127|Rachat|Septembre 2025</t>
  </si>
  <si>
    <t>LU1912497127|Rachat|Octobre 2025</t>
  </si>
  <si>
    <t>LU1912497127|Rachat|Novembre 2025</t>
  </si>
  <si>
    <t>LU1912497127|Rachat|Décembre 2025</t>
  </si>
  <si>
    <t>LU1912497127|Rachat|Janvier 2026</t>
  </si>
  <si>
    <t>LU1912497127|Rachat|Février 2026</t>
  </si>
  <si>
    <t>LU1912497127|Rachat|Mars 2026</t>
  </si>
  <si>
    <t>LU1912497127|Rachat|Avril 2026</t>
  </si>
  <si>
    <t>LU1912497127|Rachat|Mai 2026</t>
  </si>
  <si>
    <t>LU1912497127|Rachat|Juin 2026</t>
  </si>
  <si>
    <t>LU1912497127|Rachat|Juillet 2026</t>
  </si>
  <si>
    <t>LU1912497127|Rachat|Août 2026</t>
  </si>
  <si>
    <t>LU1912497127|Rachat|Septembre 2026</t>
  </si>
  <si>
    <t>LU1912497127|Rachat|Octobre 2026</t>
  </si>
  <si>
    <t>LU1912497127|Rachat|Novembre 2026</t>
  </si>
  <si>
    <t>LU1912497127|Rachat|Décembre 2026</t>
  </si>
  <si>
    <t>LU1911739370|Rachat|Mars 2025</t>
  </si>
  <si>
    <t>LU1911739370|Rachat|Avril 2025</t>
  </si>
  <si>
    <t>LU1911739370|Rachat|Mai 2025</t>
  </si>
  <si>
    <t>LU1911739370|Rachat|Juin 2025</t>
  </si>
  <si>
    <t>LU1911739370|Rachat|Juillet 2025</t>
  </si>
  <si>
    <t>LU1911739370|Rachat|Août 2025</t>
  </si>
  <si>
    <t>LU1911739370|Rachat|Septembre 2025</t>
  </si>
  <si>
    <t>LU1911739370|Rachat|Octobre 2025</t>
  </si>
  <si>
    <t>LU1911739370|Rachat|Novembre 2025</t>
  </si>
  <si>
    <t>LU1911739370|Rachat|Décembre 2025</t>
  </si>
  <si>
    <t>LU1911739370|Rachat|Janvier 2026</t>
  </si>
  <si>
    <t>LU1911739370|Rachat|Février 2026</t>
  </si>
  <si>
    <t>LU1911739370|Rachat|Mars 2026</t>
  </si>
  <si>
    <t>LU1911739370|Rachat|Avril 2026</t>
  </si>
  <si>
    <t>LU1911739370|Rachat|Mai 2026</t>
  </si>
  <si>
    <t>LU1911739370|Rachat|Juin 2026</t>
  </si>
  <si>
    <t>LU1911739370|Rachat|Juillet 2026</t>
  </si>
  <si>
    <t>LU1911739370|Rachat|Août 2026</t>
  </si>
  <si>
    <t>LU1911739370|Rachat|Septembre 2026</t>
  </si>
  <si>
    <t>LU1911739370|Rachat|Octobre 2026</t>
  </si>
  <si>
    <t>LU1911739370|Rachat|Novembre 2026</t>
  </si>
  <si>
    <t>LU1911739370|Rachat|Décembre 2026</t>
  </si>
  <si>
    <t>LU1911739297|Rachat|Mars 2025</t>
  </si>
  <si>
    <t>LU1911739297|Rachat|Avril 2025</t>
  </si>
  <si>
    <t>LU1911739297|Rachat|Mai 2025</t>
  </si>
  <si>
    <t>LU1911739297|Rachat|Juin 2025</t>
  </si>
  <si>
    <t>LU1911739297|Rachat|Juillet 2025</t>
  </si>
  <si>
    <t>LU1911739297|Rachat|Août 2025</t>
  </si>
  <si>
    <t>LU1911739297|Rachat|Septembre 2025</t>
  </si>
  <si>
    <t>LU1911739297|Rachat|Octobre 2025</t>
  </si>
  <si>
    <t>LU1911739297|Rachat|Novembre 2025</t>
  </si>
  <si>
    <t>LU1911739297|Rachat|Décembre 2025</t>
  </si>
  <si>
    <t>LU1911739297|Rachat|Janvier 2026</t>
  </si>
  <si>
    <t>LU1911739297|Rachat|Février 2026</t>
  </si>
  <si>
    <t>LU1911739297|Rachat|Mars 2026</t>
  </si>
  <si>
    <t>LU1911739297|Rachat|Avril 2026</t>
  </si>
  <si>
    <t>LU1911739297|Rachat|Mai 2026</t>
  </si>
  <si>
    <t>LU1911739297|Rachat|Juin 2026</t>
  </si>
  <si>
    <t>LU1911739297|Rachat|Juillet 2026</t>
  </si>
  <si>
    <t>LU1911739297|Rachat|Août 2026</t>
  </si>
  <si>
    <t>LU1911739297|Rachat|Septembre 2026</t>
  </si>
  <si>
    <t>LU1911739297|Rachat|Octobre 2026</t>
  </si>
  <si>
    <t>LU1911739297|Rachat|Novembre 2026</t>
  </si>
  <si>
    <t>LU1911739297|Rachat|Décembre 2026</t>
  </si>
  <si>
    <t>LU2710930046|Souscription|Novembre 2025</t>
  </si>
  <si>
    <t>LU2710930046|Souscription|Décembre 2025</t>
  </si>
  <si>
    <t>LU2710930046|Souscription|Janvier 2026</t>
  </si>
  <si>
    <t>LU2710930046|Souscription|Février 2026</t>
  </si>
  <si>
    <t>LU2710930046|Souscription|Mars 2026</t>
  </si>
  <si>
    <t>LU2710930046|Souscription|Avril 2026</t>
  </si>
  <si>
    <t>LU2710930046|Souscription|Mai 2026</t>
  </si>
  <si>
    <t>LU2710930046|Souscription|Juin 2026</t>
  </si>
  <si>
    <t>LU2710930046|Souscription|Juillet 2026</t>
  </si>
  <si>
    <t>LU2710930046|Souscription|Août 2026</t>
  </si>
  <si>
    <t>LU2710930046|Souscription|Septembre 2026</t>
  </si>
  <si>
    <t>LU2710930046|Souscription|Octobre 2026</t>
  </si>
  <si>
    <t>LU2710930046|Souscription|Novembre 2026</t>
  </si>
  <si>
    <t>LU2710930046|Souscription|Décembre 2026</t>
  </si>
  <si>
    <t>LU2710930046|Souscription|Janvier 2027</t>
  </si>
  <si>
    <t>LU2710930046|Rachat|Septembre 2025</t>
  </si>
  <si>
    <t>LU2710930046|Rachat|Octobre 2025</t>
  </si>
  <si>
    <t>LU2710930046|Rachat|Novembre 2025</t>
  </si>
  <si>
    <t>LU2710930046|Rachat|Décembre 2025</t>
  </si>
  <si>
    <t>LU2710930046|Rachat|Janvier 2026</t>
  </si>
  <si>
    <t>LU2710930046|Rachat|Février 2026</t>
  </si>
  <si>
    <t>LU2710930046|Rachat|Mars 2026</t>
  </si>
  <si>
    <t>LU2710930046|Rachat|Avril 2026</t>
  </si>
  <si>
    <t>LU2710930046|Rachat|Mai 2026</t>
  </si>
  <si>
    <t>LU2710930046|Rachat|Juin 2026</t>
  </si>
  <si>
    <t>LU2710930046|Rachat|Juillet 2026</t>
  </si>
  <si>
    <t>LU2710930046|Rachat|Août 2026</t>
  </si>
  <si>
    <t>LU2710930046|Rachat|Septembre 2026</t>
  </si>
  <si>
    <t>LU2710930046|Rachat|Octobre 2026</t>
  </si>
  <si>
    <t>LU2710930046|Rachat|Novembre 2026</t>
  </si>
  <si>
    <t>LU2710930046|Rachat|Décembre 2026</t>
  </si>
  <si>
    <t>LU2710930046|Rachat|Janvier 2027</t>
  </si>
  <si>
    <t>LU2710930046|Rachat|Février 2027</t>
  </si>
  <si>
    <t>LU2710930046|Rachat|Mars 2027</t>
  </si>
  <si>
    <t>LU2441620379|Souscription|Juin 2026</t>
  </si>
  <si>
    <t>RIVE</t>
  </si>
  <si>
    <t>LU2441620379|Souscription|Septembre 2026</t>
  </si>
  <si>
    <t>LU2441620379|Souscription|Décembre 2026</t>
  </si>
  <si>
    <t>LU2842989936|Souscription|Juin 2026</t>
  </si>
  <si>
    <t>LU2842989936|Souscription|Septembre 2026</t>
  </si>
  <si>
    <t>LU2842989936|Souscription|Décembre 2026</t>
  </si>
  <si>
    <t>LU2563800726|Souscription|Juin 2026</t>
  </si>
  <si>
    <t>LU2563800726|Souscription|Septembre 2026</t>
  </si>
  <si>
    <t>LU2563800726|Souscription|Décembre 2026</t>
  </si>
  <si>
    <t>LU1346205443|Rachat|Mars 2025</t>
  </si>
  <si>
    <t>Fichier interne (Maxime) — image</t>
  </si>
  <si>
    <t>2026-07-23 10:49</t>
  </si>
  <si>
    <t>LU1346205443|Rachat|Avril 2025</t>
  </si>
  <si>
    <t>LU1346205443|Rachat|Mai 2025</t>
  </si>
  <si>
    <t>LU1346205443|Rachat|Juin 2025</t>
  </si>
  <si>
    <t>LU1346205443|Rachat|Juillet 2025</t>
  </si>
  <si>
    <t>LU1346205443|Rachat|Août 2025</t>
  </si>
  <si>
    <t>LU1346205443|Rachat|Septembre 2025</t>
  </si>
  <si>
    <t>LU1346205443|Rachat|Octobre 2025</t>
  </si>
  <si>
    <t>LU1346205443|Rachat|Novembre 2025</t>
  </si>
  <si>
    <t>LU1346205443|Rachat|Décembre 2025</t>
  </si>
  <si>
    <t>LU1346205443|Rachat|Janvier 2026</t>
  </si>
  <si>
    <t>LU1346205443|Rachat|Février 2026</t>
  </si>
  <si>
    <t>LU1346205443|Rachat|Mars 2026</t>
  </si>
  <si>
    <t>LU1346205443|Rachat|Avril 2026</t>
  </si>
  <si>
    <t>LU1346205443|Rachat|Mai 2026</t>
  </si>
  <si>
    <t>LU1346205443|Rachat|Juin 2026</t>
  </si>
  <si>
    <t>LU1346205443|Rachat|Juillet 2026</t>
  </si>
  <si>
    <t>LU1346205443|Rachat|Août 2026</t>
  </si>
  <si>
    <t>LU1346205443|Rachat|Septembre 2026</t>
  </si>
  <si>
    <t>LU1346205443|Rachat|Octobre 2026</t>
  </si>
  <si>
    <t>LU1346205443|Rachat|Novembre 2026</t>
  </si>
  <si>
    <t>LU1346205443|Rachat|Décembre 2026</t>
  </si>
  <si>
    <t>LU2485281419|Rachat|Mars 2026</t>
  </si>
  <si>
    <t>StepStone</t>
  </si>
  <si>
    <t>LU2485281419|Rachat|Juin 2026</t>
  </si>
  <si>
    <t>LU2485281419|Rachat|Septembre 2026</t>
  </si>
  <si>
    <t>LU2485281419|Rachat|Décembre 2026</t>
  </si>
  <si>
    <t>LU2677665254|Rachat|Mars 2026</t>
  </si>
  <si>
    <t>LU2677665254|Rachat|Juin 2026</t>
  </si>
  <si>
    <t>LU2677665254|Rachat|Septembre 2026</t>
  </si>
  <si>
    <t>LU2677665254|Rachat|Décembre 2026</t>
  </si>
  <si>
    <t>LU3036659277|Souscription|Septembre 2025</t>
  </si>
  <si>
    <t>Bridgepoint</t>
  </si>
  <si>
    <t>PDF officiel — Bridgepoint</t>
  </si>
  <si>
    <t>08. Bridgepoint Generations - Calendar.pdf</t>
  </si>
  <si>
    <t>Passée</t>
  </si>
  <si>
    <t>LU3036659277|Souscription|Octobre 2025</t>
  </si>
  <si>
    <t>LU3036659277|Souscription|Novembre 2025</t>
  </si>
  <si>
    <t>LU3036659277|Souscription|Décembre 2025</t>
  </si>
  <si>
    <t>LU3036659277|Souscription|Janvier 2026</t>
  </si>
  <si>
    <t>LU3036659277|Souscription|Février 2026</t>
  </si>
  <si>
    <t>LU3036659277|Souscription|Mars 2026</t>
  </si>
  <si>
    <t>LU3036659277|Souscription|Avril 2026</t>
  </si>
  <si>
    <t>LU3036659277|Souscription|Mai 2026</t>
  </si>
  <si>
    <t>LU3036659277|Souscription|Juin 2026</t>
  </si>
  <si>
    <t>LU3036659277|Souscription|Juillet 2026</t>
  </si>
  <si>
    <t>LU3036659277|Souscription|Août 2026</t>
  </si>
  <si>
    <t>À venir</t>
  </si>
  <si>
    <t>LU3036659277|Souscription|Septembre 2026</t>
  </si>
  <si>
    <t>LU3036659277|Souscription|Octobre 2026</t>
  </si>
  <si>
    <t>LU3036659277|Souscription|Novembre 2026</t>
  </si>
  <si>
    <t>LU3036659277|Souscription|Décembre 2026</t>
  </si>
  <si>
    <t>LU3036659277|Rachat|Décembre 2025</t>
  </si>
  <si>
    <t>LU3036659277|Rachat|Mars 2026</t>
  </si>
  <si>
    <t>LU3036659277|Rachat|Juin 2026</t>
  </si>
  <si>
    <t>LU3036659277|Rachat|Septembre 2026</t>
  </si>
  <si>
    <t>LU3036659277|Rachat|Décembre 2026</t>
  </si>
  <si>
    <t>LU2496022059|Rachat|Décembre 2025</t>
  </si>
  <si>
    <t>Neuberger Berman</t>
  </si>
  <si>
    <t>Capture d’écran — calendrier société de gestion</t>
  </si>
  <si>
    <t>Capture d’écran 2026-08-18 162400.png</t>
  </si>
  <si>
    <t>LU2496022059|Rachat|Janvier 2026</t>
  </si>
  <si>
    <t>LU2496022059|Rachat|Février 2026</t>
  </si>
  <si>
    <t>LU2496022059|Rachat|Mars 2026</t>
  </si>
  <si>
    <t>LU2496022059|Rachat|Avril 2026</t>
  </si>
  <si>
    <t>LU2496022059|Rachat|Mai 2026</t>
  </si>
  <si>
    <t>LU2496022059|Rachat|Juin 2026</t>
  </si>
  <si>
    <t>LU2496022059|Rachat|Juillet 2026</t>
  </si>
  <si>
    <t>LU2496022059|Rachat|Août 2026</t>
  </si>
  <si>
    <t>LU2496022059|Rachat|Septembre 2026</t>
  </si>
  <si>
    <t>LU2496022059|Rachat|Octobre 2026</t>
  </si>
  <si>
    <t>LU2496022059|Rachat|Novembre 2026</t>
  </si>
  <si>
    <t>LU2496022059|Rachat|Décembre 2026</t>
  </si>
  <si>
    <t>FR0013301561|Rachat|Décembre 2025</t>
  </si>
  <si>
    <t>Eurazeo</t>
  </si>
  <si>
    <t>Ouverture de la fenêtre de rachat : 01/12/2025</t>
  </si>
  <si>
    <t>Capture d’écran — calendrier Eurazeo</t>
  </si>
  <si>
    <t>eurazeo private value europe 3 .png</t>
  </si>
  <si>
    <t>FR0013301561|Rachat|Janvier 2026</t>
  </si>
  <si>
    <t>Ouverture de la fenêtre de rachat : 01/01/2026</t>
  </si>
  <si>
    <t>FR0013301561|Rachat|Février 2026</t>
  </si>
  <si>
    <t>Ouverture de la fenêtre de rachat : 01/02/2026</t>
  </si>
  <si>
    <t>FR0013301561|Rachat|Mars 2026</t>
  </si>
  <si>
    <t>Ouverture de la fenêtre de rachat : 01/03/2026</t>
  </si>
  <si>
    <t>FR0013301561|Rachat|Avril 2026</t>
  </si>
  <si>
    <t>Ouverture de la fenêtre de rachat : 01/04/2026</t>
  </si>
  <si>
    <t>FR0013301561|Rachat|Mai 2026</t>
  </si>
  <si>
    <t>Ouverture de la fenêtre de rachat : 01/05/2026</t>
  </si>
  <si>
    <t>FR0013301561|Rachat|Juin 2026</t>
  </si>
  <si>
    <t>Ouverture de la fenêtre de rachat : 01/06/2026</t>
  </si>
  <si>
    <t>FR0013301561|Rachat|Juillet 2026</t>
  </si>
  <si>
    <t>Ouverture de la fenêtre de rachat : 01/07/2026</t>
  </si>
  <si>
    <t>FR0013301561|Rachat|Août 2026</t>
  </si>
  <si>
    <t>Ouverture de la fenêtre de rachat : 01/08/2026</t>
  </si>
  <si>
    <t>FR0013301561|Rachat|Septembre 2026</t>
  </si>
  <si>
    <t>Ouverture de la fenêtre de rachat : 01/09/2026</t>
  </si>
  <si>
    <t>FR0013301561|Rachat|Octobre 2026</t>
  </si>
  <si>
    <t>Ouverture de la fenêtre de rachat : 01/10/2026</t>
  </si>
  <si>
    <t>FR0013301561|Rachat|Novembre 2026</t>
  </si>
  <si>
    <t>Ouverture de la fenêtre de rachat : 01/11/2026</t>
  </si>
  <si>
    <t>FR0013301553|Rachat|Décembre 2025</t>
  </si>
  <si>
    <t>FR0013301553|Rachat|Janvier 2026</t>
  </si>
  <si>
    <t>FR0013301553|Rachat|Février 2026</t>
  </si>
  <si>
    <t>FR0013301553|Rachat|Mars 2026</t>
  </si>
  <si>
    <t>FR0013301553|Rachat|Avril 2026</t>
  </si>
  <si>
    <t>FR0013301553|Rachat|Mai 2026</t>
  </si>
  <si>
    <t>FR0013301553|Rachat|Juin 2026</t>
  </si>
  <si>
    <t>FR0013301553|Rachat|Juillet 2026</t>
  </si>
  <si>
    <t>FR0013301553|Rachat|Août 2026</t>
  </si>
  <si>
    <t>FR0013301553|Rachat|Septembre 2026</t>
  </si>
  <si>
    <t>FR0013301553|Rachat|Octobre 2026</t>
  </si>
  <si>
    <t>FR0013301553|Rachat|Novembre 2026</t>
  </si>
  <si>
    <t>FR0013301546|Rachat|Décembre 2025</t>
  </si>
  <si>
    <t>FR0013301546|Rachat|Janvier 2026</t>
  </si>
  <si>
    <t>FR0013301546|Rachat|Février 2026</t>
  </si>
  <si>
    <t>FR0013301546|Rachat|Mars 2026</t>
  </si>
  <si>
    <t>FR0013301546|Rachat|Avril 2026</t>
  </si>
  <si>
    <t>FR0013301546|Rachat|Mai 2026</t>
  </si>
  <si>
    <t>FR0013301546|Rachat|Juin 2026</t>
  </si>
  <si>
    <t>FR0013301546|Rachat|Juillet 2026</t>
  </si>
  <si>
    <t>FR0013301546|Rachat|Août 2026</t>
  </si>
  <si>
    <t>FR0013301546|Rachat|Septembre 2026</t>
  </si>
  <si>
    <t>FR0013301546|Rachat|Octobre 2026</t>
  </si>
  <si>
    <t>FR0013301546|Rachat|Novembre 2026</t>
  </si>
  <si>
    <t>LU2862929846|Souscription|T1 2025</t>
  </si>
  <si>
    <t>Hg Capital</t>
  </si>
  <si>
    <t>Captures d’écran — calendrier HG Fusion</t>
  </si>
  <si>
    <t>HG fusion.png / HG fusion 2.png / HG fusion 3.png</t>
  </si>
  <si>
    <t>LU2862929846|Rachat|T1 2025</t>
  </si>
  <si>
    <t>Frais de sortie : 5,0 % de la VL à 1 an ; zéro à 5 ans et 10 ans.</t>
  </si>
  <si>
    <t>LU2862929846|Souscription|T2 2025</t>
  </si>
  <si>
    <t>LU2862929846|Rachat|T2 2025</t>
  </si>
  <si>
    <t>LU2862929846|Souscription|T3 2025</t>
  </si>
  <si>
    <t>LU2862929846|Rachat|T3 2025</t>
  </si>
  <si>
    <t>LU2862929846|Souscription|T4 2025</t>
  </si>
  <si>
    <t>LU2862929846|Rachat|T4 2025</t>
  </si>
  <si>
    <t>LU2862929846|Souscription|T1 2026</t>
  </si>
  <si>
    <t>LU2862929846|Rachat|T1 2026</t>
  </si>
  <si>
    <t>LU2862929846|Souscription|T2 2026</t>
  </si>
  <si>
    <t>LU2862929846|Rachat|T2 2026</t>
  </si>
  <si>
    <t>LU2862929846|Souscription|T3 2026</t>
  </si>
  <si>
    <t>LU2862929846|Rachat|T3 2026</t>
  </si>
  <si>
    <t>LU2862929846|Souscription|T4 2026</t>
  </si>
  <si>
    <t>LU2862929846|Rachat|T4 2026</t>
  </si>
  <si>
    <t>LU2480032510|Souscription|Janvier 2026</t>
  </si>
  <si>
    <t>Blackstone</t>
  </si>
  <si>
    <t>Capture d’écran — calendrier Blackstone ECRED</t>
  </si>
  <si>
    <t>blackstone Ecred .png</t>
  </si>
  <si>
    <t>LU2480032510|Rachat|Janvier 2026</t>
  </si>
  <si>
    <t>Paiement attendu sous T+60 jours calendaires ; actuellement généralement T+34 jours ouvrés.</t>
  </si>
  <si>
    <t>LU2480032510|Souscription|Février 2026</t>
  </si>
  <si>
    <t>LU2480032510|Rachat|Février 2026</t>
  </si>
  <si>
    <t>LU2480032510|Souscription|Mars 2026</t>
  </si>
  <si>
    <t>LU2480032510|Rachat|Mars 2026</t>
  </si>
  <si>
    <t>LU2480032510|Souscription|Avril 2026</t>
  </si>
  <si>
    <t>LU2480032510|Rachat|Avril 2026</t>
  </si>
  <si>
    <t>LU2480032510|Souscription|Mai 2026</t>
  </si>
  <si>
    <t>LU2480032510|Rachat|Mai 2026</t>
  </si>
  <si>
    <t>LU2480032510|Souscription|Juin 2026</t>
  </si>
  <si>
    <t>LU2480032510|Rachat|Juin 2026</t>
  </si>
  <si>
    <t>LU2480032510|Souscription|Juillet 2026</t>
  </si>
  <si>
    <t>LU2480032510|Rachat|Juillet 2026</t>
  </si>
  <si>
    <t>LU2480032510|Souscription|Août 2026</t>
  </si>
  <si>
    <t>LU2480032510|Rachat|Août 2026</t>
  </si>
  <si>
    <t>LU2480032510|Souscription|Septembre 2026</t>
  </si>
  <si>
    <t>LU2480032510|Rachat|Septembre 2026</t>
  </si>
  <si>
    <t>LU2480032510|Souscription|Octobre 2026</t>
  </si>
  <si>
    <t>LU2480032510|Rachat|Octobre 2026</t>
  </si>
  <si>
    <t>LU2480032510|Souscription|Novembre 2026</t>
  </si>
  <si>
    <t>LU2480032510|Rachat|Novembre 2026</t>
  </si>
  <si>
    <t>LU2480032510|Souscription|Décembre 2026</t>
  </si>
  <si>
    <t>LU2480032510|Rachat|Décembre 2026</t>
  </si>
  <si>
    <t>LU2480032510|Souscription|Janvier 2027</t>
  </si>
  <si>
    <t>LU2480032510|Rachat|Janvier 2027</t>
  </si>
  <si>
    <t>Calendrier reçu ?</t>
  </si>
  <si>
    <t>Année(s) reçue(s)</t>
  </si>
  <si>
    <t>Vérifié le</t>
  </si>
  <si>
    <t>Vérifié par</t>
  </si>
  <si>
    <t>Couverture jusqu'au</t>
  </si>
  <si>
    <t>Statut couverture</t>
  </si>
  <si>
    <t>Oui</t>
  </si>
  <si>
    <t>2026</t>
  </si>
  <si>
    <t>Calendrier 2026 — voir feuille Calendriers</t>
  </si>
  <si>
    <t>OK</t>
  </si>
  <si>
    <t>2025</t>
  </si>
  <si>
    <t>Périmé</t>
  </si>
  <si>
    <t>Non</t>
  </si>
  <si>
    <t>Aucun calendrier</t>
  </si>
  <si>
    <t>règles (voir note)</t>
  </si>
  <si>
    <t>Rachat centralisé mensuellement le dernier jour ouvré de chaque mois calendaire (Date de Centralisation des Rachats), à compter du 1er février 2026. Sont prises en compte les demandes reçues entre le premier jour ouvré du mois précédent et le dernier jour ouvré du mois à 17h (Période de Centralisation). Prix de rachat = prochaine Valeur Liquidative mensuelle suivant la Date de Centralisation. Règlement dans un délai maximum d'un mois suivant la date d'arrêté de la VL. Plafond de rachat = 5 % de l'actif net du Fonds par date de centralisation (exécution partielle au prorata au-delà, report possible sur demande). Rachats exclusivement en numéraire.</t>
  </si>
  <si>
    <t>Règles (pas de dates)</t>
  </si>
  <si>
    <t>H2O Multistrategies</t>
  </si>
  <si>
    <t>ISIN manquant dans la base — non vérifiable</t>
  </si>
  <si>
    <t>Helium Performance A EUR</t>
  </si>
  <si>
    <t>FIC PPG Retail</t>
  </si>
  <si>
    <t>Pénalité de 5% HT pour toute sortie anticipée avant 3 ans de détention.</t>
  </si>
  <si>
    <t>Pénalité de 4% en cours (au 25/09/2024).</t>
  </si>
  <si>
    <t>CLOSAQUI2017</t>
  </si>
  <si>
    <t>Eurazeo Principal Investments</t>
  </si>
  <si>
    <t>FCPR Entrepreneurs Sélection Secondaire</t>
  </si>
  <si>
    <t>Dealing trimestriel : 1er jour ouvré de chaque trimestre à 17h (heure de Luxembourg). Préavis de souscription ≥ 10 jours ouvrés et préavis de rachat ≥ 20 jours ouvrés avant la Dealing Date. Valeur Liquidative trimestrielle = dernier jour ouvré du trimestre précédant la Dealing Date. Publication de la VL généralement au 30e jour ouvré du trimestre suivant (50e jour ouvré pour les valorisations de décembre). Paiement du rachat généralement dans les 3 jours ouvrés suivant la publication de la VL.</t>
  </si>
  <si>
    <t>Pénalité de 5% pendant les 12 premiers mois (part F2) ; 2% pendant 12 mois pour l'ancienne part.</t>
  </si>
  <si>
    <t>Pas de lock-up.</t>
  </si>
  <si>
    <t>Contrôles de cohérence — dernière exécution : 23/07/2026 10:49</t>
  </si>
  <si>
    <t>602 ligne(s) analysée(s) · 0 erreur(s) · 4 avertissement(s) · 12 info(s)</t>
  </si>
  <si>
    <t>Gravité</t>
  </si>
  <si>
    <t>Clé</t>
  </si>
  <si>
    <t>Fonds</t>
  </si>
  <si>
    <t>Problème</t>
  </si>
  <si>
    <t>Détail</t>
  </si>
  <si>
    <t>Avertissement</t>
  </si>
  <si>
    <t>Date de valorisation ni début ni fin de mois</t>
  </si>
  <si>
    <t>VL=2026-03-25</t>
  </si>
  <si>
    <t>VL=2026-06-24</t>
  </si>
  <si>
    <t>Info</t>
  </si>
  <si>
    <t>Fichier en attente d'intégration</t>
  </si>
  <si>
    <t>PDF à intégrer\1.13.1 PGPE  PGCS - 2026 Subs and Reds Calendar (Oct-25).pdf</t>
  </si>
  <si>
    <t>PDF à intégrer\2025 Nexus Subscription and Redemption Timetables External use - Final .pdf</t>
  </si>
  <si>
    <t>PDF à intégrer\2026 Calendrier de sortie.xlsx</t>
  </si>
  <si>
    <t>PDF à intégrer\ARDIAN_Access_Infrastructure_2026.pdf</t>
  </si>
  <si>
    <t>PDF à intégrer\calendrier de sortie 2026.pdf</t>
  </si>
  <si>
    <t>PDF à intégrer\LISEZ-MOI.txt</t>
  </si>
  <si>
    <t>PDF à intégrer\Lock Up et calendrier d'entrées et de sortie HG Fusion.msg</t>
  </si>
  <si>
    <t>PDF à intégrer\PG Global Value SICAV Dealing Calendar 2025 &amp; 2026.xlsx</t>
  </si>
  <si>
    <t>PDF à intégrer\PG NXGI _Dealing Calendar 2025 &amp; 2026.xlsx</t>
  </si>
  <si>
    <t>PDF à intégrer\PGPE &amp; PGCS - 2026 Subs and Reds Calendar Final au 2026 07 15.pdf</t>
  </si>
  <si>
    <t>PDF à intégrer\SC Semi-Liquid - Dealing calendars 2026.pdf</t>
  </si>
  <si>
    <t>PDF à intégrer\The Partners Fund SICAV_Dealing Calendar 2025 &amp; 2026.xlsx</t>
  </si>
  <si>
    <t>Calendriers de sortie / souscription des fonds</t>
  </si>
  <si>
    <t>Ce fichier regroupe les calendriers annuels de passage d'ordres des fonds (surtout PE / semi-liquides / dette privée) : dates limites (cut-off), règlement / réception du cash, date de valorisation (VL) et date d'exécution, pour la souscription ET le rachat.</t>
  </si>
  <si>
    <t>Comment il est tenu à jour : Tom dépose les PDF de calendriers dans ce dossier (« Calendriers de fonds ») ; sur demande dans le chat, Claude lit les PDF et remplit / corrige la table « Calendriers ». Une ligne = un fonds, une année, un type (Souscription/Rachat), un mois.</t>
  </si>
  <si>
    <t>Colonne « Règlement / réception cash » : pour une SOUSCRIPTION = date à laquelle le cash doit être reçu par le fonds ; pour un RACHAT = date à laquelle le client reçoit son argent.</t>
  </si>
  <si>
    <t>--- Ares European Strategic Income Fund — notes du calendrier 2025 (source PDF) ---</t>
  </si>
  <si>
    <t>Souscription — cut-off : documents complets 5 jours ouvrés avant le 1er jour du mois. Cash reçu au plus tard 3 jours ouvrés avant la date de souscription. Date de VL : dernier jour calendaire du mois précédent. Date de souscription : 1er jour calendaire du mois. Publication VL : en général au 15e jour ouvré du mois.</t>
  </si>
  <si>
    <t>Rachat — préavis : demande avant clôture du 1er jour ouvré du mois de la date de rachat. Date de rachat : dernier jour calendaire du mois. Publication VL : en général au 15e jour ouvré du mois. Règlement du rachat : en général sous 2 jours ouvrés après la publication de la VL.</t>
  </si>
  <si>
    <t>Note Ares : « Dates may be subject to change ».</t>
  </si>
  <si>
    <t>Fonds rattaché (confirmé par Tom, 22 juil. 2026) : Ares European Credit Solutions — ISIN LU2702161618. ⚠️ Le PDF source est intitulé à l'intérieur « Ares European Strategic Income Fund » (rangé sous le dossier « Ares European Credit Solutions Fund SICAV ») ; rattachement Credit Solutions selon Tom. À vérifier si Ares publie un calendrier distinct pour son fonds Strategic Income (LU2702162343).</t>
  </si>
  <si>
    <t>--- GOUVERNANCE — checklist annuelle (à compléter par Tom) ---</t>
  </si>
  <si>
    <t>Responsable désigné de la mise à jour des calendriers : _______________________ (à remplir — nom du conseiller/assistant en charge)</t>
  </si>
  <si>
    <t>Cycle ANNUEL :</t>
  </si>
  <si>
    <t>• Octobre à décembre : réclamer aux sociétés de gestion les calendriers de l'année suivante pour tous les fonds marqués « Oui » dans la feuille Suivi.</t>
  </si>
  <si>
    <t>• 15 janvier : vérifier que TOUS les fonds détenus par des clients ont un calendrier couvrant la nouvelle année (colonne « Statut couverture » de la feuille Suivi = OK).</t>
  </si>
  <si>
    <t>Passe MENSUELLE :</t>
  </si>
  <si>
    <t>• Relancer le script de contrôle (outils\controle_calendriers.py).</t>
  </si>
  <si>
    <t>• Lire la feuille « Contrôles » : traiter toutes les lignes « Erreur », examiner les « Avertissement ».</t>
  </si>
  <si>
    <t>• Regarder la colonne « Statut couverture » du Suivi : traiter les « Expire bientôt » et « Périmé ».</t>
  </si>
  <si>
    <t>Procédure d'intégration d'un nouveau PDF :</t>
  </si>
  <si>
    <t>1. Déposer le PDF dans « PDF à intégrer » (au besoin dans un sous-dossier nommé par le fonds).</t>
  </si>
  <si>
    <t>2. Demander l'intégration au chat.</t>
  </si>
  <si>
    <t>3. VÉRIFICATION PAR SONDAGE : contrôler 2 dates au hasard contre le PDF original avant de faire confiance à la ligne.</t>
  </si>
  <si>
    <t>4. Remplir dans la feuille Suivi, pour ce fonds : « Vérifié le » (date du jour) et « Vérifié par » (votre nom).</t>
  </si>
  <si>
    <t>Rappel confiance : chaque ligne de la feuille Calendriers a un lien cliquable (colonne « Fichier ») vers le PDF officiel archivé dans « PDF officiels » — vérifiable en 1 clic. La colonne « Passée / À venir » permet de filtrer et ne garder que les échéances à venir.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</si>
</sst>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Calibri"/>
      <family val="2"/>
      <scheme val="minor"/>
    </font>
    <font>
      <b/>
      <sz val="12"/>
      <color rgb="FF273444"/>
      <name val="Calibri"/>
    </font>
    <font>
      <sz val="11"/>
      <color rgb="FF000000"/>
      <name val="Calibri"/>
    </font>
    <font>
      <b/>
      <sz val="11"/>
      <color rgb="FFFFFFFF"/>
      <name val="Calibri"/>
    </font>
    <font>
      <b/>
      <sz val="11"/>
      <color rgb="FF273444"/>
      <name val="Calibri"/>
    </font>
    <font>
      <sz val="12"/>
      <color theme="10"/>
      <name val="Calibri"/>
      <family val="2"/>
      <scheme val="minor"/>
    </font>
    <font>
      <b/>
      <sz val="13"/>
      <color rgb="FF273444"/>
      <name val="Calibri"/>
    </font>
    <font>
      <i/>
      <sz val="11"/>
      <color rgb="FF8F7E65"/>
      <name val="Calibri"/>
    </font>
    <font>
      <b/>
      <sz val="10"/>
      <color rgb="FF555555"/>
      <name val="Calibri"/>
    </font>
    <font>
      <b/>
      <sz val="11"/>
      <color rgb="FF2E6B4F"/>
      <name val="Calibri"/>
    </font>
    <font>
      <b/>
      <sz val="11"/>
      <color rgb="FF8A2E2E"/>
      <name val="Calibri"/>
    </font>
    <font>
      <b/>
      <sz val="11"/>
      <color rgb="FF999999"/>
      <name val="Calibri"/>
    </font>
    <font>
      <b/>
      <sz val="11"/>
      <color rgb="FF555555"/>
      <name val="Calibri"/>
    </font>
    <font>
      <i/>
      <sz val="11"/>
      <color rgb="FF999999"/>
      <name val="Calibri"/>
    </font>
    <font>
      <b/>
      <sz val="10"/>
      <color rgb="FFFFFFFF"/>
      <name val="Calibri"/>
    </font>
    <font>
      <u/>
      <sz val="10"/>
      <color rgb="FF3E5063"/>
      <name val="Calibri"/>
    </font>
    <font>
      <sz val="10"/>
      <color rgb="FF222222"/>
      <name val="Calibri"/>
    </font>
    <font>
      <sz val="10"/>
      <color rgb="FF273444"/>
      <name val="Calibri"/>
    </font>
    <font>
      <b/>
      <sz val="10"/>
      <color rgb="FF273444"/>
      <name val="Calibri"/>
    </font>
    <font>
      <b/>
      <sz val="9"/>
      <color rgb="FFFFFFFF"/>
      <name val="Calibri"/>
    </font>
    <font>
      <sz val="9"/>
      <color rgb="FF333333"/>
      <name val="Calibri"/>
    </font>
    <font>
      <sz val="9"/>
      <name val="Calibri"/>
    </font>
    <font>
      <i/>
      <sz val="9"/>
      <color rgb="FF333333"/>
      <name val="Calibri"/>
    </font>
    <font>
      <b/>
      <sz val="10"/>
      <color rgb="FF8F7E65"/>
      <name val="Calibri"/>
    </font>
    <font>
      <b/>
      <sz val="11"/>
      <color theme="1"/>
      <name val="Calibri"/>
      <family val="2"/>
      <scheme val="minor"/>
    </font>
    <font>
      <b/>
      <sz val="10"/>
      <color rgb="FF1F1F1F"/>
      <name val="Calibri"/>
    </font>
    <font>
      <b/>
      <sz val="11"/>
      <color rgb="FF1F1F1F"/>
      <name val="Calibri"/>
      <family val="2"/>
      <scheme val="minor"/>
    </font>
    <font>
      <b/>
      <sz val="11"/>
      <color rgb="FF000000"/>
      <name val="Calibri"/>
      <scheme val="minor"/>
    </font>
    <font>
      <sz val="11"/>
      <color rgb="FF000000"/>
      <name val="Calibri"/>
      <charset val="1"/>
    </font>
    <font>
      <b/>
      <sz val="10"/>
      <color theme="1"/>
      <name val="Calibri"/>
    </font>
    <font>
      <b/>
      <sz val="9"/>
      <color theme="1"/>
      <name val="Calibri"/>
    </font>
    <font>
      <sz val="9"/>
      <color theme="1"/>
      <name val="Calibri"/>
    </font>
    <font>
      <u/>
      <sz val="11"/>
      <color theme="10"/>
      <name val="Calibri"/>
      <family val="2"/>
      <scheme val="minor"/>
    </font>
    <font>
      <b/>
      <sz val="9"/>
      <color rgb="FF333333"/>
      <name val="Calibri"/>
    </font>
    <font>
      <sz val="11"/>
      <color rgb="FF333333"/>
      <name val="Calibri"/>
    </font>
  </fonts>
  <fills count="13">
    <fill>
      <patternFill patternType="none"/>
    </fill>
    <fill>
      <patternFill patternType="gray125"/>
    </fill>
    <fill>
      <patternFill patternType="solid">
        <fgColor rgb="FFF3EFE7"/>
      </patternFill>
    </fill>
    <fill>
      <patternFill patternType="solid">
        <fgColor rgb="FF273444"/>
      </patternFill>
    </fill>
    <fill>
      <patternFill patternType="solid">
        <fgColor rgb="FF8F7E65"/>
      </patternFill>
    </fill>
    <fill>
      <patternFill patternType="solid">
        <fgColor rgb="FF6E6047"/>
      </patternFill>
    </fill>
    <fill>
      <patternFill patternType="solid">
        <fgColor rgb="FFFFFFFF"/>
      </patternFill>
    </fill>
    <fill>
      <patternFill patternType="solid">
        <fgColor rgb="FFFBF8F3"/>
      </patternFill>
    </fill>
    <fill>
      <patternFill patternType="solid">
        <fgColor rgb="FFF3E9DA"/>
      </patternFill>
    </fill>
    <fill>
      <patternFill patternType="solid">
        <fgColor rgb="FFEAF0F4"/>
      </patternFill>
    </fill>
    <fill>
      <patternFill patternType="solid">
        <fgColor rgb="FFD9EAF7"/>
        <bgColor indexed="64"/>
      </patternFill>
    </fill>
    <fill>
      <patternFill patternType="solid">
        <fgColor rgb="FFFFFF00"/>
        <bgColor indexed="64"/>
      </patternFill>
    </fill>
    <fill>
      <patternFill patternType="solid">
        <fgColor rgb="FF00B050"/>
        <bgColor indexed="64"/>
      </patternFill>
    </fill>
  </fills>
  <borders count="3">
    <border>
      <left/>
      <right/>
      <top/>
      <bottom/>
      <diagonal/>
    </border>
    <border>
      <left/>
      <right/>
      <top style="thin">
        <color rgb="FFE2DACE"/>
      </top>
      <bottom/>
      <diagonal/>
    </border>
    <border>
      <left/>
      <right/>
      <top style="thin">
        <color rgb="FFE2DACE"/>
      </top>
      <bottom style="thin">
        <color rgb="FFE2DACE"/>
      </bottom>
      <diagonal/>
    </border>
  </borders>
  <cellStyleXfs count="3">
    <xf numFmtId="0" fontId="0" fillId="0" borderId="0"/>
    <xf numFmtId="0" fontId="5" fillId="0" borderId="0"/>
    <xf numFmtId="0" fontId="32" fillId="0" borderId="0" applyNumberFormat="0" applyFill="0" applyBorder="0" applyAlignment="0" applyProtection="0"/>
  </cellStyleXfs>
  <cellXfs count="115">
    <xf numFmtId="0" fontId="0" fillId="0" borderId="0" xfId="0"/>
    <xf numFmtId="14" fontId="0" fillId="0" borderId="0" xfId="0" applyNumberFormat="1"/>
    <xf numFmtId="0" fontId="1" fillId="0" borderId="0" xfId="0" applyFont="1" applyAlignment="1">
      <alignment vertical="top" wrapText="1"/>
    </xf>
    <xf numFmtId="0" fontId="2" fillId="0" borderId="0" xfId="0" applyFont="1" applyAlignment="1">
      <alignment vertical="top" wrapText="1"/>
    </xf>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5" fillId="0" borderId="0" xfId="1" applyFont="1"/>
    <xf numFmtId="0" fontId="20" fillId="0" borderId="0" xfId="0" applyFont="1"/>
    <xf numFmtId="0" fontId="0" fillId="2" borderId="0" xfId="0" applyFill="1"/>
    <xf numFmtId="14" fontId="0" fillId="2" borderId="0" xfId="0" applyNumberFormat="1" applyFill="1"/>
    <xf numFmtId="0" fontId="23" fillId="0" borderId="0" xfId="0" applyFont="1"/>
    <xf numFmtId="0" fontId="23" fillId="2" borderId="0" xfId="0" applyFont="1" applyFill="1"/>
    <xf numFmtId="0" fontId="5" fillId="0" borderId="0" xfId="1"/>
    <xf numFmtId="0" fontId="0" fillId="6" borderId="1" xfId="0" applyFill="1" applyBorder="1"/>
    <xf numFmtId="0" fontId="0" fillId="7" borderId="1" xfId="0" applyFill="1" applyBorder="1"/>
    <xf numFmtId="14" fontId="21" fillId="8" borderId="0" xfId="0" applyNumberFormat="1" applyFont="1" applyFill="1" applyAlignment="1">
      <alignment horizontal="center"/>
    </xf>
    <xf numFmtId="14" fontId="21" fillId="9" borderId="0" xfId="0" applyNumberFormat="1" applyFont="1" applyFill="1" applyAlignment="1">
      <alignment horizontal="center"/>
    </xf>
    <xf numFmtId="0" fontId="21" fillId="9" borderId="0" xfId="0" applyFont="1" applyFill="1" applyAlignment="1">
      <alignment horizontal="center"/>
    </xf>
    <xf numFmtId="0" fontId="21" fillId="8" borderId="0" xfId="0" applyFont="1" applyFill="1" applyAlignment="1">
      <alignment horizontal="center"/>
    </xf>
    <xf numFmtId="0" fontId="14" fillId="4" borderId="0" xfId="0" applyFont="1" applyFill="1" applyAlignment="1">
      <alignment horizontal="center" vertical="center" wrapText="1"/>
    </xf>
    <xf numFmtId="0" fontId="14" fillId="5" borderId="0" xfId="0" applyFont="1" applyFill="1" applyAlignment="1">
      <alignment horizontal="center" vertical="center" wrapText="1"/>
    </xf>
    <xf numFmtId="49" fontId="17" fillId="6" borderId="1" xfId="0" applyNumberFormat="1" applyFont="1" applyFill="1" applyBorder="1"/>
    <xf numFmtId="49" fontId="18" fillId="6" borderId="1" xfId="0" applyNumberFormat="1" applyFont="1" applyFill="1" applyBorder="1"/>
    <xf numFmtId="49" fontId="16" fillId="6" borderId="1" xfId="0" applyNumberFormat="1" applyFont="1" applyFill="1" applyBorder="1"/>
    <xf numFmtId="1" fontId="16" fillId="6" borderId="1" xfId="0" applyNumberFormat="1" applyFont="1" applyFill="1" applyBorder="1"/>
    <xf numFmtId="0" fontId="16" fillId="6" borderId="1" xfId="0" applyFont="1" applyFill="1" applyBorder="1"/>
    <xf numFmtId="49" fontId="17" fillId="7" borderId="1" xfId="0" applyNumberFormat="1" applyFont="1" applyFill="1" applyBorder="1"/>
    <xf numFmtId="49" fontId="18" fillId="7" borderId="1" xfId="0" applyNumberFormat="1" applyFont="1" applyFill="1" applyBorder="1"/>
    <xf numFmtId="49" fontId="16" fillId="7" borderId="1" xfId="0" applyNumberFormat="1" applyFont="1" applyFill="1" applyBorder="1"/>
    <xf numFmtId="1" fontId="16" fillId="7" borderId="1" xfId="0" applyNumberFormat="1" applyFont="1" applyFill="1" applyBorder="1"/>
    <xf numFmtId="0" fontId="16" fillId="7" borderId="1" xfId="0" applyFont="1" applyFill="1" applyBorder="1"/>
    <xf numFmtId="0" fontId="20" fillId="6" borderId="1" xfId="0" applyFont="1" applyFill="1" applyBorder="1" applyAlignment="1">
      <alignment vertical="center" wrapText="1"/>
    </xf>
    <xf numFmtId="0" fontId="20" fillId="7" borderId="1" xfId="0" applyFont="1" applyFill="1" applyBorder="1" applyAlignment="1">
      <alignment vertical="center" wrapText="1"/>
    </xf>
    <xf numFmtId="0" fontId="18" fillId="6" borderId="1" xfId="0" applyFont="1" applyFill="1" applyBorder="1"/>
    <xf numFmtId="14" fontId="18" fillId="6" borderId="1" xfId="0" applyNumberFormat="1" applyFont="1" applyFill="1" applyBorder="1"/>
    <xf numFmtId="0" fontId="19" fillId="3" borderId="0" xfId="0" applyFont="1" applyFill="1" applyAlignment="1">
      <alignment horizontal="center" vertical="center" wrapText="1"/>
    </xf>
    <xf numFmtId="0" fontId="18" fillId="7" borderId="1" xfId="0" applyFont="1" applyFill="1" applyBorder="1"/>
    <xf numFmtId="14" fontId="18" fillId="7" borderId="1" xfId="0" applyNumberFormat="1" applyFont="1" applyFill="1" applyBorder="1"/>
    <xf numFmtId="0" fontId="3" fillId="3" borderId="0" xfId="0" applyFont="1" applyFill="1" applyAlignment="1">
      <alignment horizontal="center" vertical="center" wrapText="1"/>
    </xf>
    <xf numFmtId="0" fontId="4" fillId="2" borderId="0" xfId="0" applyFont="1" applyFill="1"/>
    <xf numFmtId="0" fontId="3" fillId="3" borderId="0" xfId="0" applyFont="1" applyFill="1"/>
    <xf numFmtId="0" fontId="8" fillId="2" borderId="0" xfId="0" applyFont="1" applyFill="1"/>
    <xf numFmtId="0" fontId="0" fillId="6" borderId="1" xfId="0" applyFill="1" applyBorder="1" applyAlignment="1">
      <alignment horizontal="center"/>
    </xf>
    <xf numFmtId="0" fontId="0" fillId="7" borderId="1" xfId="0" applyFill="1" applyBorder="1" applyAlignment="1">
      <alignment horizontal="center"/>
    </xf>
    <xf numFmtId="14" fontId="0" fillId="6" borderId="1" xfId="0" applyNumberFormat="1" applyFill="1" applyBorder="1" applyAlignment="1">
      <alignment horizontal="center"/>
    </xf>
    <xf numFmtId="14" fontId="0" fillId="0" borderId="0" xfId="0" applyNumberFormat="1" applyAlignment="1">
      <alignment horizontal="center"/>
    </xf>
    <xf numFmtId="0" fontId="0" fillId="0" borderId="0" xfId="0" applyAlignment="1">
      <alignment horizontal="center"/>
    </xf>
    <xf numFmtId="14" fontId="0" fillId="6" borderId="1" xfId="0" applyNumberFormat="1" applyFill="1" applyBorder="1"/>
    <xf numFmtId="14" fontId="16" fillId="6" borderId="1" xfId="0" applyNumberFormat="1" applyFont="1" applyFill="1" applyBorder="1"/>
    <xf numFmtId="49" fontId="25" fillId="10" borderId="1" xfId="0" applyNumberFormat="1" applyFont="1" applyFill="1" applyBorder="1" applyAlignment="1">
      <alignment horizontal="center"/>
    </xf>
    <xf numFmtId="1" fontId="25" fillId="10" borderId="1" xfId="0" applyNumberFormat="1" applyFont="1" applyFill="1" applyBorder="1" applyAlignment="1">
      <alignment horizontal="center"/>
    </xf>
    <xf numFmtId="0" fontId="25" fillId="10" borderId="1" xfId="0" applyFont="1" applyFill="1" applyBorder="1" applyAlignment="1">
      <alignment horizontal="center"/>
    </xf>
    <xf numFmtId="0" fontId="26" fillId="10" borderId="1" xfId="0" applyFont="1" applyFill="1" applyBorder="1" applyAlignment="1">
      <alignment horizontal="center"/>
    </xf>
    <xf numFmtId="49" fontId="17" fillId="6" borderId="2" xfId="0" applyNumberFormat="1" applyFont="1" applyFill="1" applyBorder="1"/>
    <xf numFmtId="14" fontId="18" fillId="6" borderId="2" xfId="0" applyNumberFormat="1" applyFont="1" applyFill="1" applyBorder="1"/>
    <xf numFmtId="14" fontId="16" fillId="6" borderId="2" xfId="0" applyNumberFormat="1" applyFont="1" applyFill="1" applyBorder="1"/>
    <xf numFmtId="14" fontId="0" fillId="6" borderId="2" xfId="0" applyNumberFormat="1" applyFill="1" applyBorder="1"/>
    <xf numFmtId="49" fontId="17" fillId="7" borderId="0" xfId="0" applyNumberFormat="1" applyFont="1" applyFill="1"/>
    <xf numFmtId="49" fontId="18" fillId="7" borderId="0" xfId="0" applyNumberFormat="1" applyFont="1" applyFill="1"/>
    <xf numFmtId="49" fontId="16" fillId="7" borderId="0" xfId="0" applyNumberFormat="1" applyFont="1" applyFill="1"/>
    <xf numFmtId="1" fontId="16" fillId="7" borderId="0" xfId="0" applyNumberFormat="1" applyFont="1" applyFill="1"/>
    <xf numFmtId="0" fontId="16" fillId="7" borderId="0" xfId="0" applyFont="1" applyFill="1"/>
    <xf numFmtId="0" fontId="0" fillId="7" borderId="0" xfId="0" applyFill="1"/>
    <xf numFmtId="0" fontId="0" fillId="0" borderId="0" xfId="0" applyAlignment="1">
      <alignment horizontal="center" vertical="center"/>
    </xf>
    <xf numFmtId="49" fontId="17" fillId="11" borderId="1" xfId="0" applyNumberFormat="1" applyFont="1" applyFill="1" applyBorder="1"/>
    <xf numFmtId="49" fontId="18" fillId="11" borderId="1" xfId="0" applyNumberFormat="1" applyFont="1" applyFill="1" applyBorder="1"/>
    <xf numFmtId="0" fontId="0" fillId="11" borderId="1" xfId="0" applyFill="1" applyBorder="1"/>
    <xf numFmtId="22" fontId="0" fillId="0" borderId="0" xfId="0" applyNumberFormat="1"/>
    <xf numFmtId="14" fontId="0" fillId="7" borderId="1" xfId="0" applyNumberFormat="1" applyFill="1" applyBorder="1"/>
    <xf numFmtId="49" fontId="17" fillId="12" borderId="1" xfId="0" applyNumberFormat="1" applyFont="1" applyFill="1" applyBorder="1"/>
    <xf numFmtId="49" fontId="18" fillId="12" borderId="1" xfId="0" applyNumberFormat="1" applyFont="1" applyFill="1" applyBorder="1"/>
    <xf numFmtId="0" fontId="0" fillId="12" borderId="1" xfId="0" applyFill="1" applyBorder="1"/>
    <xf numFmtId="0" fontId="27" fillId="6" borderId="1" xfId="0" applyFont="1" applyFill="1" applyBorder="1"/>
    <xf numFmtId="0" fontId="27" fillId="0" borderId="1" xfId="0" applyFont="1" applyBorder="1"/>
    <xf numFmtId="0" fontId="28" fillId="0" borderId="0" xfId="0" applyFont="1"/>
    <xf numFmtId="0" fontId="29" fillId="7" borderId="1" xfId="0" applyFont="1" applyFill="1" applyBorder="1"/>
    <xf numFmtId="0" fontId="30" fillId="3" borderId="0" xfId="0" applyFont="1" applyFill="1" applyAlignment="1">
      <alignment horizontal="center" vertical="center" wrapText="1"/>
    </xf>
    <xf numFmtId="14" fontId="31" fillId="8" borderId="0" xfId="0" applyNumberFormat="1" applyFont="1" applyFill="1" applyAlignment="1">
      <alignment horizontal="center"/>
    </xf>
    <xf numFmtId="0" fontId="29" fillId="6" borderId="1" xfId="0" applyFont="1" applyFill="1" applyBorder="1"/>
    <xf numFmtId="0" fontId="24" fillId="11" borderId="1" xfId="0" applyFont="1" applyFill="1" applyBorder="1"/>
    <xf numFmtId="0" fontId="0" fillId="0" borderId="0" xfId="0" applyAlignment="1">
      <alignment wrapText="1"/>
    </xf>
    <xf numFmtId="0" fontId="18" fillId="11" borderId="1" xfId="0" applyFont="1" applyFill="1" applyBorder="1"/>
    <xf numFmtId="0" fontId="33" fillId="6" borderId="1" xfId="0" applyFont="1" applyFill="1" applyBorder="1" applyAlignment="1">
      <alignment vertical="center" wrapText="1"/>
    </xf>
    <xf numFmtId="0" fontId="24" fillId="6" borderId="1" xfId="0" applyFont="1" applyFill="1" applyBorder="1"/>
    <xf numFmtId="0" fontId="24" fillId="7" borderId="1" xfId="0" applyFont="1" applyFill="1" applyBorder="1"/>
    <xf numFmtId="0" fontId="0" fillId="6" borderId="0" xfId="0" applyFill="1"/>
    <xf numFmtId="0" fontId="24" fillId="0" borderId="1" xfId="0" applyFont="1" applyBorder="1"/>
    <xf numFmtId="0" fontId="0" fillId="0" borderId="1" xfId="0" applyBorder="1"/>
    <xf numFmtId="49" fontId="17" fillId="0" borderId="1" xfId="0" applyNumberFormat="1" applyFont="1" applyBorder="1"/>
    <xf numFmtId="49" fontId="18" fillId="0" borderId="1" xfId="0" applyNumberFormat="1" applyFont="1" applyBorder="1"/>
    <xf numFmtId="0" fontId="20" fillId="6" borderId="0" xfId="0" applyFont="1" applyFill="1" applyAlignment="1">
      <alignment vertical="center" wrapText="1"/>
    </xf>
    <xf numFmtId="0" fontId="20" fillId="7" borderId="0" xfId="0" applyFont="1" applyFill="1" applyAlignment="1">
      <alignment vertical="center" wrapText="1"/>
    </xf>
    <xf numFmtId="0" fontId="33" fillId="6" borderId="0" xfId="0" applyFont="1" applyFill="1" applyAlignment="1">
      <alignment vertical="center" wrapText="1"/>
    </xf>
    <xf numFmtId="0" fontId="20" fillId="0" borderId="0" xfId="0" applyFont="1" applyAlignment="1">
      <alignment vertical="center" wrapText="1"/>
    </xf>
    <xf numFmtId="0" fontId="0" fillId="6" borderId="0" xfId="0" applyFill="1" applyAlignment="1">
      <alignment wrapText="1"/>
    </xf>
    <xf numFmtId="0" fontId="0" fillId="6" borderId="0" xfId="0" applyFill="1" applyAlignment="1">
      <alignment horizontal="center"/>
    </xf>
    <xf numFmtId="0" fontId="0" fillId="7" borderId="0" xfId="0" applyFill="1" applyAlignment="1">
      <alignment horizontal="center"/>
    </xf>
    <xf numFmtId="0" fontId="0" fillId="7" borderId="0" xfId="0" applyFill="1" applyAlignment="1">
      <alignment wrapText="1"/>
    </xf>
    <xf numFmtId="0" fontId="17" fillId="6" borderId="1" xfId="0" applyFont="1" applyFill="1" applyBorder="1" applyAlignment="1">
      <alignment horizontal="center"/>
    </xf>
    <xf numFmtId="0" fontId="28" fillId="0" borderId="0" xfId="0" applyFont="1" applyAlignment="1">
      <alignment horizontal="center"/>
    </xf>
    <xf numFmtId="0" fontId="0" fillId="6" borderId="0" xfId="0" applyFill="1" applyAlignment="1">
      <alignment horizontal="left" wrapText="1"/>
    </xf>
    <xf numFmtId="0" fontId="0" fillId="7" borderId="0" xfId="0" applyFill="1" applyAlignment="1">
      <alignment horizontal="left" wrapText="1"/>
    </xf>
    <xf numFmtId="0" fontId="34" fillId="7" borderId="0" xfId="0" applyFont="1" applyFill="1" applyAlignment="1">
      <alignment vertical="center" wrapText="1"/>
    </xf>
    <xf numFmtId="0" fontId="34" fillId="6" borderId="1" xfId="0" applyFont="1" applyFill="1" applyBorder="1" applyAlignment="1">
      <alignment vertical="center" wrapText="1"/>
    </xf>
    <xf numFmtId="0" fontId="34" fillId="0" borderId="1" xfId="0" applyFont="1" applyBorder="1" applyAlignment="1">
      <alignment vertical="center" wrapText="1"/>
    </xf>
    <xf numFmtId="0" fontId="22" fillId="0" borderId="0" xfId="0" applyFont="1" applyAlignment="1">
      <alignment vertical="top" wrapText="1"/>
    </xf>
    <xf numFmtId="0" fontId="0" fillId="6" borderId="2" xfId="0" applyFill="1" applyBorder="1" applyAlignment="1">
      <alignment horizontal="center"/>
    </xf>
    <xf numFmtId="0" fontId="0" fillId="0" borderId="0" xfId="0" applyAlignment="1"/>
  </cellXfs>
  <cellStyles count="3">
    <cellStyle name="Hyperlink" xfId="2" xr:uid="{00000000-000B-0000-0000-000008000000}"/>
    <cellStyle name="Lien hypertexte" xfId="1" builtinId="8"/>
    <cellStyle name="Normal" xfId="0" builtinId="0"/>
  </cellStyles>
  <dxfs count="264">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6E6047"/>
      </font>
      <fill>
        <patternFill patternType="solid">
          <fgColor rgb="FFE9D9B8"/>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
      <font>
        <color rgb="FFB4AFA6"/>
      </font>
    </dxf>
    <dxf>
      <font>
        <b/>
        <color rgb="FF2E6B4F"/>
      </font>
      <fill>
        <patternFill patternType="solid">
          <fgColor rgb="FFCFE6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Julien Le Roy" id="{59691F9D-EF8B-462A-B0BB-6CB7EDB1A0DE}" userId="S::j.leroy@althos.com::57b46690-48fc-4e0e-bde9-cc972db541b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Calendriers" displayName="TableCalendriers" ref="A1:R715">
  <autoFilter ref="A1:R715" xr:uid="{00000000-0009-0000-0100-000001000000}"/>
  <tableColumns count="18">
    <tableColumn id="1" xr3:uid="{00000000-0010-0000-0000-000001000000}" name="Cle"/>
    <tableColumn id="2" xr3:uid="{00000000-0010-0000-0000-000002000000}" name="ISIN"/>
    <tableColumn id="3" xr3:uid="{00000000-0010-0000-0000-000003000000}" name="Nom du fonds"/>
    <tableColumn id="4" xr3:uid="{00000000-0010-0000-0000-000004000000}" name="Société"/>
    <tableColumn id="5" xr3:uid="{00000000-0010-0000-0000-000005000000}" name="Année"/>
    <tableColumn id="6" xr3:uid="{00000000-0010-0000-0000-000006000000}" name="Type"/>
    <tableColumn id="7" xr3:uid="{00000000-0010-0000-0000-000007000000}" name="Période"/>
    <tableColumn id="8" xr3:uid="{00000000-0010-0000-0000-000008000000}" name="Cut-off ordre"/>
    <tableColumn id="9" xr3:uid="{00000000-0010-0000-0000-000009000000}" name="Date de valorisation (VL)"/>
    <tableColumn id="10" xr3:uid="{00000000-0010-0000-0000-00000A000000}" name="Date d'exécution"/>
    <tableColumn id="11" xr3:uid="{00000000-0010-0000-0000-00000B000000}" name="Publication VL"/>
    <tableColumn id="12" xr3:uid="{00000000-0010-0000-0000-00000C000000}" name="Règlement / réception cash"/>
    <tableColumn id="13" xr3:uid="{00000000-0010-0000-0000-00000D000000}" name="Note"/>
    <tableColumn id="14" xr3:uid="{00000000-0010-0000-0000-00000E000000}" name="Source"/>
    <tableColumn id="15" xr3:uid="{00000000-0010-0000-0000-00000F000000}" name="Statut"/>
    <tableColumn id="16" xr3:uid="{00000000-0010-0000-0000-000010000000}" name="Fichier"/>
    <tableColumn id="17" xr3:uid="{00000000-0010-0000-0000-000011000000}" name="Horodatage"/>
    <tableColumn id="18" xr3:uid="{00000000-0010-0000-0000-000012000000}" name="Passée / À venir"/>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SuiviCalendriers" displayName="TableSuiviCalendriers" ref="A1:L146">
  <autoFilter ref="A1:L146" xr:uid="{00000000-0009-0000-0100-000002000000}"/>
  <tableColumns count="12">
    <tableColumn id="1" xr3:uid="{00000000-0010-0000-0100-000001000000}" name="ISIN"/>
    <tableColumn id="2" xr3:uid="{00000000-0010-0000-0100-000002000000}" name="Nom du fonds"/>
    <tableColumn id="3" xr3:uid="{00000000-0010-0000-0100-000003000000}" name="Catégorie"/>
    <tableColumn id="4" xr3:uid="{00000000-0010-0000-0100-000004000000}" name="Sous-catégorie"/>
    <tableColumn id="5" xr3:uid="{00000000-0010-0000-0100-000005000000}" name="Calendrier reçu ?"/>
    <tableColumn id="6" xr3:uid="{00000000-0010-0000-0100-000006000000}" name="Année(s) reçue(s)"/>
    <tableColumn id="7" xr3:uid="{00000000-0010-0000-0100-000007000000}" name="Note"/>
    <tableColumn id="8" xr3:uid="{00000000-0010-0000-0100-000008000000}" name="Vérifié le"/>
    <tableColumn id="9" xr3:uid="{00000000-0010-0000-0100-000009000000}" name="Vérifié par"/>
    <tableColumn id="10" xr3:uid="{00000000-0010-0000-0100-00000A000000}" name="Couverture jusqu'au"/>
    <tableColumn id="11" xr3:uid="{00000000-0010-0000-0100-00000B000000}" name="Statut couverture"/>
    <tableColumn id="12" xr3:uid="{00000000-0010-0000-0100-00000C000000}" name="Lock-up / pénalité de sorti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Controles" displayName="TableControles" ref="A4:E20">
  <autoFilter ref="A4:E20" xr:uid="{00000000-0009-0000-0100-000003000000}"/>
  <tableColumns count="5">
    <tableColumn id="1" xr3:uid="{00000000-0010-0000-0200-000001000000}" name="Gravité"/>
    <tableColumn id="2" xr3:uid="{00000000-0010-0000-0200-000002000000}" name="Clé"/>
    <tableColumn id="3" xr3:uid="{00000000-0010-0000-0200-000003000000}" name="Fonds"/>
    <tableColumn id="4" xr3:uid="{00000000-0010-0000-0200-000004000000}" name="Problème"/>
    <tableColumn id="5" xr3:uid="{00000000-0010-0000-0200-000005000000}" name="Dé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61" dT="2026-08-21T16:12:15.18" personId="{59691F9D-EF8B-462A-B0BB-6CB7EDB1A0DE}" id="{ABD264B8-A129-4B33-83BD-C9DF46800301}">
    <text>rachats trimestriels, avec préavis de 90 jours avant la date de rachat ; limite de 5 % de l'actif net par trimestre, excédent traité au prorata</text>
  </threadedComment>
  <threadedComment ref="J62" dT="2026-08-21T16:08:53.55" personId="{59691F9D-EF8B-462A-B0BB-6CB7EDB1A0DE}" id="{F135024C-26C5-4FD2-9495-34649087D8AD}">
    <text>Délai de sortie : VL trimestrielle, règlement sous 45 jours max ; possibilité de report jusqu'à 1 an ; suspension des rachats jusqu'à 2 ans dans certains cas. [June Oppor...15 04 2024 | PDF], [June Oppor...29 12 2023 | PDF]</text>
    <extLst>
      <x:ext xmlns:xltc2="http://schemas.microsoft.com/office/spreadsheetml/2020/threadedcomments2" uri="{F7C98A9C-CBB3-438F-8F68-D28B6AF4A901}">
        <xltc2:checksum>1392829688</xltc2:checksum>
        <xltc2:hyperlink startIndex="159" length="31" url="https://althospatrimoine2020-my.sharepoint.com/personal/j_leroy_althos_com/Documents/Fichiers%20Microsoft%20Copilot%20Chat/June%20Opportunity%20SLP%20-%20DIC%20-%2015%2004%202024.pdf"/>
        <xltc2:hyperlink startIndex="192" length="31" url="https://althospatrimoine2020-my.sharepoint.com/personal/j_leroy_althos_com/Documents/Fichiers%20Microsoft%20Copilot%20Chat/June%20Opportunity%20SLP%20-%20Statuts%2029%2012%202023.pdf"/>
      </x:ext>
    </extLst>
  </threadedComment>
  <threadedComment ref="J64" dT="2026-08-21T15:55:08.34" personId="{59691F9D-EF8B-462A-B0BB-6CB7EDB1A0DE}" id="{17788A53-90C3-4DB0-861A-5229981A4BEC}">
    <text xml:space="preserve">Pénalités de sortie
Les frais de rachat anticipé sont égaux à 20% du prix de rachat, quels que soient la date de retrait ou l'Associé exerçant le Droit de Retrait. Le prix de remboursement correspond à la première valeur liquidative établie postérieurement à la date de retrait, multiplié par le nombre d'Actions, diminué de ces frais.
À noter : dans la section « Composition des coûts », un coût de sortie de 0,37% est mentionné, mais il correspond à l'incidence des coûts encourus lorsque vous sortez à l'échéance (fin de vie du produit) — à distinguer des 20% de frais de rachat anticipé.
Délais / modalités de sortie
Lock-up : aucune demande de retrait ne peut être effectuée avant la clôture du 5ème exercice de la Société.
Fenêtre de retrait : les Associés peuvent demander leur retrait une fois par an, entre le 1er mai et le 30 juin, à compter de la clôture du 5ème exercice et jusqu'à la fin de la durée de vie de la Société.
Plafond des retraits : les demandes peuvent être refusées par le Président si le montant des retraits déjà effectués sur la période dépasse 5% du Capital Souscrit (plafonnement égalitaire entre Associés le cas échéant).
Motifs de refus : demande non conforme aux Statuts, ou dépassement du plafond de 5%.
Suspension possible : le Président peut suspendre les retraits pour une durée maximale de 12 mois (circonstances exceptionnelles de marché ou intérêt des Associés).
Versement du remboursement : il intervient entre le 1er et le 31 octobre de l'exercice au cours duquel la Demande de Retrait est formulée.
Durée de vie / placement recommandée : 6 ans à compter de la date de constitution (prorogeable par la collectivité des Associés pour 2 périodes successives d'1 an).
</text>
  </threadedComment>
  <threadedComment ref="J69" dT="2026-08-21T15:32:28.35" personId="{59691F9D-EF8B-462A-B0BB-6CB7EDB1A0DE}" id="{1A4910FA-84D5-46B6-A47F-A1B9A108447C}">
    <text>Un désinvestissement avant l’échéance est possible mais n’est pas garanti par l’initiateur du produit. Le rachat a lieu a cours inconnu et ne donne pas lieu à la perception de frais ou d’honoraires par PRIMONIAL CAPIMMO ni par Praemia REIM France</text>
  </threadedComment>
  <threadedComment ref="J70" dT="2026-08-21T15:27:33.61" personId="{59691F9D-EF8B-462A-B0BB-6CB7EDB1A0DE}" id="{65774562-5CDC-4FDD-BA26-8DB54C67F4C5}">
    <text>Délai habituel de règlement : 10 jours ouvrés maximum. [Notive d'i...2022 05 31 | PDF]
Délai pouvant aller jusqu'à 6 mois en cas de contraintes de liquidité. [Notive d'i...2022 05 31 | PDF]
Retrait possible à tout moment, sous réserve des modalités prévues</text>
    <extLst>
      <x:ext xmlns:xltc2="http://schemas.microsoft.com/office/spreadsheetml/2020/threadedcomments2" uri="{F7C98A9C-CBB3-438F-8F68-D28B6AF4A901}">
        <xltc2:checksum>691567195</xltc2:checksum>
        <xltc2:hyperlink startIndex="55" length="31" url="https://althospatrimoine2020-my.sharepoint.com/personal/j_leroy_althos_com/Documents/Fichiers%20Microsoft%20Copilot%20Chat/Notive%20d%27information%202022%2005%2031.pdf"/>
        <xltc2:hyperlink startIndex="158" length="31" url="https://althospatrimoine2020-my.sharepoint.com/personal/j_leroy_althos_com/Documents/Fichiers%20Microsoft%20Copilot%20Chat/Notive%20d%27information%202022%2005%2031.pdf"/>
      </x:ext>
    </extLst>
  </threadedComment>
  <threadedComment ref="B119" dT="2026-08-21T12:27:59.11" personId="{59691F9D-EF8B-462A-B0BB-6CB7EDB1A0DE}" id="{42CCDFD3-C673-4377-AA90-4E2BD9BDA94F}">
    <text>Fond APE</text>
  </threadedComment>
  <threadedComment ref="B265" dT="2026-08-21T12:31:55.88" personId="{59691F9D-EF8B-462A-B0BB-6CB7EDB1A0DE}" id="{73764265-6983-4452-8910-26FE5ACA08B2}">
    <text>Fond APC</text>
  </threadedComment>
  <threadedComment ref="J265" dT="2026-08-26T10:02:35.44" personId="{59691F9D-EF8B-462A-B0BB-6CB7EDB1A0DE}" id="{F199895F-9615-44CB-B28D-44F6C9280C6C}">
    <text>Demande de rachat à déposer avant 17h00 (heure d'Europe centrale) le premier jour ouvrable du mois concerné. 
Règlement des rachats généralement dans les 60 jours civils suivant la date de rachat</text>
  </threadedComment>
  <threadedComment ref="V265" dT="2026-08-20T12:18:45.74" personId="{59691F9D-EF8B-462A-B0BB-6CB7EDB1A0DE}" id="{3E81B450-C156-4C7A-826D-DD05D658A8EB}">
    <text>Le règlement intervient généralement dans les 60 jours calendaires suivant la date de rachat</text>
  </threadedComment>
  <threadedComment ref="V265" dT="2026-08-20T12:22:26.20" personId="{59691F9D-EF8B-462A-B0BB-6CB7EDB1A0DE}" id="{6AA606B9-220C-41C1-9A22-A8D4E36E088A}" parentId="{3E81B450-C156-4C7A-826D-DD05D658A8EB}">
    <text xml:space="preserve">Les demandes de rachat doivent être déposées au plus tard à 17 heures, heure d'Europe centrale, le premier jour ouvrable du mois où une Date de Rachat a été fixée. Les règlements des
rachats de parts devraient generalement s'effectuer dans les 60 jours civils a compter de la Date de Rachat. </text>
  </threadedComment>
  <threadedComment ref="B266" dT="2026-08-21T12:35:30.24" personId="{59691F9D-EF8B-462A-B0BB-6CB7EDB1A0DE}" id="{67D48571-9304-4632-81CE-C0AD722AEEF7}">
    <text>Fond APC</text>
  </threadedComment>
  <threadedComment ref="V267" dT="2026-08-20T12:11:08.36" personId="{59691F9D-EF8B-462A-B0BB-6CB7EDB1A0DE}" id="{51B21D2A-C7FD-44E0-8E8E-A8A38741E0A4}">
    <text>Délai de préavis : 30 jours
Liquidité : trimestrielle
Règlement : jusqu'à 45 jours après la date de rachat
Limite de rachat : 5 % de la VL du fonds par trimestre
Pénalité de sortie : 2 % seulement la 1ère année, puis 0 %</text>
  </threadedComment>
  <threadedComment ref="B268" dT="2026-08-21T12:31:24.29" personId="{59691F9D-EF8B-462A-B0BB-6CB7EDB1A0DE}" id="{5F9DD38E-B83A-4B58-A039-79BC03441E32}">
    <text>APC</text>
  </threadedComment>
  <threadedComment ref="B269" dT="2026-08-21T12:33:04.05" personId="{59691F9D-EF8B-462A-B0BB-6CB7EDB1A0DE}" id="{962521EA-34FD-45FE-B5E7-74B75C710EDE}">
    <text>fond APC</text>
  </threadedComment>
  <threadedComment ref="B299" dT="2026-08-21T12:25:24.58" personId="{59691F9D-EF8B-462A-B0BB-6CB7EDB1A0DE}" id="{87F79EC2-FD78-47D6-BC5D-1B800CA2FB65}">
    <text xml:space="preserve">Fond APE </text>
  </threadedComment>
  <threadedComment ref="B314" dT="2026-08-21T12:25:29.33" personId="{59691F9D-EF8B-462A-B0BB-6CB7EDB1A0DE}" id="{9FC9CB70-F879-4456-8395-C92F4CB9370D}">
    <text xml:space="preserve">Fond APE </text>
  </threadedComment>
  <threadedComment ref="B329" dT="2026-08-21T12:25:32.26" personId="{59691F9D-EF8B-462A-B0BB-6CB7EDB1A0DE}" id="{F3F243FC-C8B6-4E66-97D4-EB0435C9BA5A}">
    <text xml:space="preserve">Fond APE </text>
  </threadedComment>
  <threadedComment ref="B358" dT="2026-08-21T12:31:41.93" personId="{59691F9D-EF8B-462A-B0BB-6CB7EDB1A0DE}" id="{14737A65-A8F9-42D7-8226-FED2D8C77CA0}">
    <text>Fond APC</text>
  </threadedComment>
  <threadedComment ref="B476" dT="2026-08-21T12:30:37.90" personId="{59691F9D-EF8B-462A-B0BB-6CB7EDB1A0DE}" id="{7265982D-D71C-4FCA-8B49-505452EC8280}">
    <text>Fond APE</text>
  </threadedComment>
  <threadedComment ref="B491" dT="2026-08-21T12:30:25.08" personId="{59691F9D-EF8B-462A-B0BB-6CB7EDB1A0DE}" id="{145B2AFF-641E-49A5-8526-4A288FB78730}">
    <text>Fond APE</text>
  </threadedComment>
  <threadedComment ref="B501" dT="2026-08-21T12:30:11.97" personId="{59691F9D-EF8B-462A-B0BB-6CB7EDB1A0DE}" id="{9A3B4E3C-F5BC-4DDD-97B1-119520036870}">
    <text>Fond APE</text>
  </threadedComment>
  <threadedComment ref="B507" dT="2026-08-21T12:29:51.57" personId="{59691F9D-EF8B-462A-B0BB-6CB7EDB1A0DE}" id="{10ADA634-948F-4802-AD1E-93E776B6979D}">
    <text>Fond APE</text>
  </threadedComment>
  <threadedComment ref="B512" dT="2026-08-21T12:27:31.27" personId="{59691F9D-EF8B-462A-B0BB-6CB7EDB1A0DE}" id="{D08BD243-27A4-4D30-A3F4-6863566087A6}">
    <text>Fond APE</text>
  </threadedComment>
  <threadedComment ref="B523" dT="2026-08-18T12:26:18.64" personId="{59691F9D-EF8B-462A-B0BB-6CB7EDB1A0DE}" id="{96CE8EF9-E046-482B-BD14-89D00B523DEE}">
    <text>calendrier de sortie 2025 pas 2026</text>
  </threadedComment>
  <threadedComment ref="B523" dT="2026-08-21T12:28:36.29" personId="{59691F9D-EF8B-462A-B0BB-6CB7EDB1A0DE}" id="{B2698EFE-7C4C-4008-8BF2-F34B2DB76F44}" parentId="{96CE8EF9-E046-482B-BD14-89D00B523DEE}">
    <text>Fond APE</text>
  </threadedComment>
  <threadedComment ref="B524" dT="2026-08-21T12:28:57.71" personId="{59691F9D-EF8B-462A-B0BB-6CB7EDB1A0DE}" id="{6714AC1D-B800-4218-B2CD-5C58B9ADFA97}">
    <text>Fond APE</text>
  </threadedComment>
  <threadedComment ref="B524" dT="2026-08-28T08:16:18.63" personId="{59691F9D-EF8B-462A-B0BB-6CB7EDB1A0DE}" id="{ED52F8C9-38B2-4CA7-9F1D-B466171D20D0}" parentId="{6714AC1D-B800-4218-B2CD-5C58B9ADFA97}">
    <text>pas de DICI avec le bon code isin dans société de gestion</text>
  </threadedComment>
  <threadedComment ref="J524" dT="2026-08-28T08:16:43.91" personId="{59691F9D-EF8B-462A-B0BB-6CB7EDB1A0DE}" id="{C62AC3F1-06C3-4617-806D-F32092472A36}">
    <text>pas de DICI avec le bon code isin dans société de gestion</text>
  </threadedComment>
  <threadedComment ref="B557" dT="2026-08-21T12:28:11.40" personId="{59691F9D-EF8B-462A-B0BB-6CB7EDB1A0DE}" id="{34E15704-0D2B-473C-9167-ACD29A1AA138}">
    <text>Fond APE</text>
  </threadedComment>
  <threadedComment ref="J557" dT="2026-08-21T12:13:30.88" personId="{59691F9D-EF8B-462A-B0BB-6CB7EDB1A0DE}" id="{ECF2E546-EDF4-49EA-B9CA-19D993B76A32}">
    <text>Liquidité : trimestrielle. [2026 05 AR...aux Termes | PDF]
Demande de rachat : dernier jour ouvré du mois précédant la VL. [2026 05 AR...aux Termes | PDF]
Paiement : 2 jours ouvrés après publication de la VL. [2026 05 AR...aux Termes | PDF]
Plafonnement des rachats : 27,3 % de la poche liquide du fonds</text>
    <extLst>
      <x:ext xmlns:xltc2="http://schemas.microsoft.com/office/spreadsheetml/2020/threadedcomments2" uri="{F7C98A9C-CBB3-438F-8F68-D28B6AF4A901}">
        <xltc2:checksum>3468709153</xltc2:checksum>
        <xltc2:hyperlink startIndex="27" length="31" url="https://althospatrimoine2020-my.sharepoint.com/personal/j_leroy_althos_com/Documents/Fichiers%20Microsoft%20Copilot%20Chat/2026%2005%20ARCHIMED%20-%20MED%20Access%20Nouveaux%20Termes.pdf"/>
        <xltc2:hyperlink startIndex="123" length="31" url="https://althospatrimoine2020-my.sharepoint.com/personal/j_leroy_althos_com/Documents/Fichiers%20Microsoft%20Copilot%20Chat/2026%2005%20ARCHIMED%20-%20MED%20Access%20Nouveaux%20Termes.pdf"/>
        <xltc2:hyperlink startIndex="209" length="31" url="https://althospatrimoine2020-my.sharepoint.com/personal/j_leroy_althos_com/Documents/Fichiers%20Microsoft%20Copilot%20Chat/2026%2005%20ARCHIMED%20-%20MED%20Access%20Nouveaux%20Termes.pdf"/>
      </x:ext>
    </extLst>
  </threadedComment>
  <threadedComment ref="B558" dT="2026-08-21T12:25:17.90" personId="{59691F9D-EF8B-462A-B0BB-6CB7EDB1A0DE}" id="{5A3B8329-C1B3-4858-AFAA-D630EFA59A4F}">
    <text xml:space="preserve">Fond APE </text>
  </threadedComment>
  <threadedComment ref="B559" dT="2026-08-21T12:28:22.32" personId="{59691F9D-EF8B-462A-B0BB-6CB7EDB1A0DE}" id="{E6560826-28A3-4F6F-9B59-D89053E7F7D4}">
    <text>Fond APE</text>
  </threadedComment>
  <threadedComment ref="B560" dT="2026-08-21T12:26:35.57" personId="{59691F9D-EF8B-462A-B0BB-6CB7EDB1A0DE}" id="{C3E608EE-0766-46F7-B7A1-CB3B57500739}">
    <text>Fond APE</text>
  </threadedComment>
  <threadedComment ref="B561" dT="2026-08-28T07:48:01.33" personId="{59691F9D-EF8B-462A-B0BB-6CB7EDB1A0DE}" id="{8C0C75F0-1EE6-4D82-9901-48E515FFE61B}">
    <text>Fond APE</text>
  </threadedComment>
  <threadedComment ref="B562" dT="2026-08-21T12:27:44.97" personId="{59691F9D-EF8B-462A-B0BB-6CB7EDB1A0DE}" id="{C576D4B2-0372-4220-BCC4-AC9E8EA56A0B}">
    <text>Fond APE</text>
  </threadedComment>
  <threadedComment ref="B563" dT="2026-08-21T12:26:02.02" personId="{59691F9D-EF8B-462A-B0BB-6CB7EDB1A0DE}" id="{025613BD-0602-41F0-A165-5523A73BF203}">
    <text>Fond APE</text>
  </threadedComment>
  <threadedComment ref="V627" dT="2026-08-26T07:42:27.13" personId="{59691F9D-EF8B-462A-B0BB-6CB7EDB1A0DE}" id="{A4D5BC6D-2F2D-4EC3-B41B-A49E64F2C2E3}">
    <text>je me base sur le calendrier de HG fusion ?</text>
  </threadedComment>
  <threadedComment ref="V628" dT="2026-08-26T07:42:30.03" personId="{59691F9D-EF8B-462A-B0BB-6CB7EDB1A0DE}" id="{216A2E6B-B1E9-4B7B-9516-FBCBCC521AC8}">
    <text>je me base sur le calendrier de HG fusion ?</text>
  </threadedComment>
  <threadedComment ref="B767" dT="2026-08-21T12:26:43.72" personId="{59691F9D-EF8B-462A-B0BB-6CB7EDB1A0DE}" id="{56F780C8-B55C-4AB8-8A27-AADA6959D9BA}">
    <text>Fond APE</text>
  </threadedComment>
  <threadedComment ref="B769" dT="2026-08-21T12:26:58.08" personId="{59691F9D-EF8B-462A-B0BB-6CB7EDB1A0DE}" id="{FF710D61-4132-422C-BC54-59196AE17BF4}">
    <text>Fond APE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PDF%20officiels/Calendrier_Sorties_Althos_Private_Credit_2026%20vDEF%201704.pdf" TargetMode="External"/><Relationship Id="rId18" Type="http://schemas.openxmlformats.org/officeDocument/2006/relationships/hyperlink" Target="PDF%20officiels/2025%20Tableau%20de%20sortie.pdf" TargetMode="External"/><Relationship Id="rId26" Type="http://schemas.openxmlformats.org/officeDocument/2006/relationships/hyperlink" Target="PDF%20officiels/PGPE%20&amp;%20PGCS%20-%202026%20Subs%20and%20Reds%20Calendar%20au%202026%2007%2015.pdf" TargetMode="External"/><Relationship Id="rId39" Type="http://schemas.microsoft.com/office/2017/10/relationships/threadedComment" Target="../threadedComments/threadedComment1.xml"/><Relationship Id="rId21" Type="http://schemas.openxmlformats.org/officeDocument/2006/relationships/hyperlink" Target="PDF%20officiels/Calendrier_Sorties_Althos_Private_Equity_2026%20vDEF1704.pdf" TargetMode="External"/><Relationship Id="rId34" Type="http://schemas.openxmlformats.org/officeDocument/2006/relationships/hyperlink" Target="PDF%20officiels/2026%20GPA%20Dealing%20Cycle%20Reporting%20Calendar%20-%20Lux.pdf" TargetMode="External"/><Relationship Id="rId7" Type="http://schemas.openxmlformats.org/officeDocument/2006/relationships/hyperlink" Target="PDF%20officiels/Maxime%20Calendrier%20de%20sortie.xlsx" TargetMode="External"/><Relationship Id="rId12" Type="http://schemas.openxmlformats.org/officeDocument/2006/relationships/hyperlink" Target="PDF%20officiels/Calendrier_Sorties_Althos_Private_Credit_2026%20vDEF%201704.pdf" TargetMode="External"/><Relationship Id="rId17" Type="http://schemas.openxmlformats.org/officeDocument/2006/relationships/hyperlink" Target="PDF%20officiels/2026%20Calendrier%20d'entr&#233;e%20et%20de%20sortie.pdf" TargetMode="External"/><Relationship Id="rId25" Type="http://schemas.openxmlformats.org/officeDocument/2006/relationships/hyperlink" Target="PDF%20officiels/Calendrier_Sorties_Althos_Private_Equity_2026%20vDEF1704.pdf" TargetMode="External"/><Relationship Id="rId33" Type="http://schemas.openxmlformats.org/officeDocument/2006/relationships/hyperlink" Target="PDF%20officiels/Maxime%20Calendrier%20de%20sortie.xlsx" TargetMode="External"/><Relationship Id="rId38" Type="http://schemas.openxmlformats.org/officeDocument/2006/relationships/comments" Target="../comments1.xml"/><Relationship Id="rId2" Type="http://schemas.openxmlformats.org/officeDocument/2006/relationships/hyperlink" Target="PDF%20officiels/Calendrier_Sorties_Antheor_Private_Infrastructures_2026.pdf" TargetMode="External"/><Relationship Id="rId16" Type="http://schemas.openxmlformats.org/officeDocument/2006/relationships/hyperlink" Target="PDF%20officiels/PGPE%20&amp;%20PGCS%20-%202026%20Subs%20and%20Reds%20Calendar%20au%202026%2007%2015.pdf" TargetMode="External"/><Relationship Id="rId20" Type="http://schemas.openxmlformats.org/officeDocument/2006/relationships/hyperlink" Target="PDF%20officiels/Calendrier_Sorties_Althos_Private_Equity_2026%20vDEF1704.pdf" TargetMode="External"/><Relationship Id="rId29" Type="http://schemas.openxmlformats.org/officeDocument/2006/relationships/hyperlink" Target="PDF%20officiels/2026%20EQT%20Nexus%20Funds%20-%20Trading%20Calendar%20-%202026%20Final.pdf" TargetMode="External"/><Relationship Id="rId1" Type="http://schemas.openxmlformats.org/officeDocument/2006/relationships/hyperlink" Target="PDF%20officiels/Maxime%20Calendrier%20de%20sortie.xlsx" TargetMode="External"/><Relationship Id="rId6" Type="http://schemas.openxmlformats.org/officeDocument/2006/relationships/hyperlink" Target="PDF%20officiels/Maxime%20Calendrier%20de%20sortie.xlsx" TargetMode="External"/><Relationship Id="rId11" Type="http://schemas.openxmlformats.org/officeDocument/2006/relationships/hyperlink" Target="PDF%20officiels/Calendrier_Sorties_Althos_Private_Credit_2026%20vDEF%201704.pdf" TargetMode="External"/><Relationship Id="rId24" Type="http://schemas.openxmlformats.org/officeDocument/2006/relationships/hyperlink" Target="PDF%20officiels/Calendrier_Sorties_Althos_Private_Equity_2026%20vDEF1704.pdf" TargetMode="External"/><Relationship Id="rId32" Type="http://schemas.openxmlformats.org/officeDocument/2006/relationships/hyperlink" Target="PDF%20officiels/PGPE%20&amp;%20PGCS%20-%202026%20Subs%20and%20Reds%20Calendar%20au%202026%2007%2015.pdf" TargetMode="External"/><Relationship Id="rId37" Type="http://schemas.openxmlformats.org/officeDocument/2006/relationships/vmlDrawing" Target="../drawings/vmlDrawing1.vml"/><Relationship Id="rId5" Type="http://schemas.openxmlformats.org/officeDocument/2006/relationships/hyperlink" Target="PDF%20officiels/2026%20EQT%20Nexus%20Funds%20-%20Trading%20Calendar%20-%202026%20Final.pdf" TargetMode="External"/><Relationship Id="rId15" Type="http://schemas.openxmlformats.org/officeDocument/2006/relationships/hyperlink" Target="PDF%20officiels/PGPE%20&amp;%20PGCS%20-%202026%20Subs%20and%20Reds%20Calendar%20au%202026%2007%2015.pdf" TargetMode="External"/><Relationship Id="rId23" Type="http://schemas.openxmlformats.org/officeDocument/2006/relationships/hyperlink" Target="PDF%20officiels/Calendrier_Sorties_Althos_Private_Equity_2026%20vDEF1704.pdf" TargetMode="External"/><Relationship Id="rId28" Type="http://schemas.openxmlformats.org/officeDocument/2006/relationships/hyperlink" Target="PDF%20officiels/CollerEquity%20and%20CollerCredit%20Dealing%20Calendar%202026.pdf" TargetMode="External"/><Relationship Id="rId36" Type="http://schemas.openxmlformats.org/officeDocument/2006/relationships/hyperlink" Target="PDF%20officiels/Calendrier%202026.pdf" TargetMode="External"/><Relationship Id="rId10" Type="http://schemas.openxmlformats.org/officeDocument/2006/relationships/hyperlink" Target="PDF%20officiels/Calendrier_Sorties_Althos_Private_Credit_2026%20vDEF%201704.pdf" TargetMode="External"/><Relationship Id="rId19" Type="http://schemas.openxmlformats.org/officeDocument/2006/relationships/hyperlink" Target="PDF%20officiels/2026%20SCOPE%20Dealing%20Cycle%20Reporting%20Calendar%20-%20Lux%20Final.pdf" TargetMode="External"/><Relationship Id="rId31" Type="http://schemas.openxmlformats.org/officeDocument/2006/relationships/hyperlink" Target="PDF%20officiels/Maxime%20Calendrier%20de%20sortie.xlsx" TargetMode="External"/><Relationship Id="rId4" Type="http://schemas.openxmlformats.org/officeDocument/2006/relationships/hyperlink" Target="PDF%20officiels/Calendrier_Sorties_Antheor_Private_Infrastructures_2026.pdf" TargetMode="External"/><Relationship Id="rId9" Type="http://schemas.openxmlformats.org/officeDocument/2006/relationships/hyperlink" Target="PDF%20officiels/Maxime%20Calendrier%20de%20sortie.xlsx" TargetMode="External"/><Relationship Id="rId14" Type="http://schemas.openxmlformats.org/officeDocument/2006/relationships/hyperlink" Target="PDF%20officiels/Dealing%20Calendar%202026.pdf" TargetMode="External"/><Relationship Id="rId22" Type="http://schemas.openxmlformats.org/officeDocument/2006/relationships/hyperlink" Target="PDF%20officiels/Calendrier_Sorties_Althos_Private_Equity_2026%20vDEF1704.pdf" TargetMode="External"/><Relationship Id="rId27" Type="http://schemas.openxmlformats.org/officeDocument/2006/relationships/hyperlink" Target="PDF%20officiels/Maxime%20Calendrier%20de%20sortie.xlsx" TargetMode="External"/><Relationship Id="rId30" Type="http://schemas.openxmlformats.org/officeDocument/2006/relationships/hyperlink" Target="PDF%20officiels/Maxime%20Calendrier%20de%20sortie.xlsx" TargetMode="External"/><Relationship Id="rId35" Type="http://schemas.openxmlformats.org/officeDocument/2006/relationships/hyperlink" Target="PDF%20officiels/Maxime%20Calendrier%20de%20sortie.xlsx" TargetMode="External"/><Relationship Id="rId8" Type="http://schemas.openxmlformats.org/officeDocument/2006/relationships/hyperlink" Target="PDF%20officiels/Maxime%20Calendrier%20de%20sortie.xlsx" TargetMode="External"/><Relationship Id="rId3" Type="http://schemas.openxmlformats.org/officeDocument/2006/relationships/hyperlink" Target="PDF%20officiels/Calendrier_Sorties_Antheor_Private_Infrastructures_2026.pdf"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PDF%20officiels/2026%20SCOPE%20Dealing%20Cycle%20Reporting%20Calendar%20-%20Lux%20Final.pdf" TargetMode="External"/><Relationship Id="rId21" Type="http://schemas.openxmlformats.org/officeDocument/2006/relationships/hyperlink" Target="PDF%20officiels/2025%20Tableau%20de%20sortie.pdf" TargetMode="External"/><Relationship Id="rId324" Type="http://schemas.openxmlformats.org/officeDocument/2006/relationships/hyperlink" Target="PDF%20officiels/CollerEquity%20and%20CollerCredit%20Dealing%20Calendar%202026.pdf" TargetMode="External"/><Relationship Id="rId531" Type="http://schemas.openxmlformats.org/officeDocument/2006/relationships/hyperlink" Target="PDF%20officiels/Maxime%20Calendrier%20de%20sortie.xlsx" TargetMode="External"/><Relationship Id="rId170" Type="http://schemas.openxmlformats.org/officeDocument/2006/relationships/hyperlink" Target="PDF%20officiels/Calendrier_Sorties_Althos_Private_Equity_2026%20vDEF1704.pdf" TargetMode="External"/><Relationship Id="rId268" Type="http://schemas.openxmlformats.org/officeDocument/2006/relationships/hyperlink" Target="PDF%20officiels/Calendrier_Sorties_Antheor_Private_Infrastructures_2026.pdf" TargetMode="External"/><Relationship Id="rId475" Type="http://schemas.openxmlformats.org/officeDocument/2006/relationships/hyperlink" Target="PDF%20officiels/Maxime%20Calendrier%20de%20sortie.xlsx" TargetMode="External"/><Relationship Id="rId32" Type="http://schemas.openxmlformats.org/officeDocument/2006/relationships/hyperlink" Target="PDF%20officiels/2026%20Calendrier%20d'entr&#233;e%20et%20de%20sortie.pdf" TargetMode="External"/><Relationship Id="rId128" Type="http://schemas.openxmlformats.org/officeDocument/2006/relationships/hyperlink" Target="PDF%20officiels/Calendrier_Sorties_Althos_Private_Credit_2026%20vDEF%201704.pdf" TargetMode="External"/><Relationship Id="rId335" Type="http://schemas.openxmlformats.org/officeDocument/2006/relationships/hyperlink" Target="PDF%20officiels/PGPE%20&amp;%20PGCS%20-%202026%20Subs%20and%20Reds%20Calendar%20au%202026%2007%2015.pdf" TargetMode="External"/><Relationship Id="rId542" Type="http://schemas.openxmlformats.org/officeDocument/2006/relationships/hyperlink" Target="PDF%20officiels/Maxime%20Calendrier%20de%20sortie.xlsx" TargetMode="External"/><Relationship Id="rId181" Type="http://schemas.openxmlformats.org/officeDocument/2006/relationships/hyperlink" Target="PDF%20officiels/Calendrier_Sorties_Althos_Private_Equity_2026%20vDEF1704.pdf" TargetMode="External"/><Relationship Id="rId402" Type="http://schemas.openxmlformats.org/officeDocument/2006/relationships/hyperlink" Target="PDF%20officiels/Maxime%20Calendrier%20de%20sortie.xlsx" TargetMode="External"/><Relationship Id="rId279" Type="http://schemas.openxmlformats.org/officeDocument/2006/relationships/hyperlink" Target="PDF%20officiels/2026%20EQT%20Nexus%20Funds%20-%20Trading%20Calendar%20-%202026%20Final.pdf" TargetMode="External"/><Relationship Id="rId486" Type="http://schemas.openxmlformats.org/officeDocument/2006/relationships/hyperlink" Target="PDF%20officiels/Maxime%20Calendrier%20de%20sortie.xlsx" TargetMode="External"/><Relationship Id="rId43" Type="http://schemas.openxmlformats.org/officeDocument/2006/relationships/hyperlink" Target="PDF%20officiels/2026%20Calendrier%20d'entr&#233;e%20et%20de%20sortie.pdf" TargetMode="External"/><Relationship Id="rId139" Type="http://schemas.openxmlformats.org/officeDocument/2006/relationships/hyperlink" Target="PDF%20officiels/Calendrier_Sorties_Althos_Private_Credit_2026%20vDEF%201704.pdf" TargetMode="External"/><Relationship Id="rId346" Type="http://schemas.openxmlformats.org/officeDocument/2006/relationships/hyperlink" Target="PDF%20officiels/PGPE%20&amp;%20PGCS%20-%202026%20Subs%20and%20Reds%20Calendar%20au%202026%2007%2015.pdf" TargetMode="External"/><Relationship Id="rId553" Type="http://schemas.openxmlformats.org/officeDocument/2006/relationships/hyperlink" Target="PDF%20officiels/Maxime%20Calendrier%20de%20sortie.xlsx" TargetMode="External"/><Relationship Id="rId192" Type="http://schemas.openxmlformats.org/officeDocument/2006/relationships/hyperlink" Target="PDF%20officiels/Calendrier_Sorties_Althos_Private_Equity_2026%20vDEF1704.pdf" TargetMode="External"/><Relationship Id="rId206" Type="http://schemas.openxmlformats.org/officeDocument/2006/relationships/hyperlink" Target="PDF%20officiels/Calendrier_Sorties_Althos_Private_Equity_2026%20vDEF1704.pdf" TargetMode="External"/><Relationship Id="rId413" Type="http://schemas.openxmlformats.org/officeDocument/2006/relationships/hyperlink" Target="PDF%20officiels/Maxime%20Calendrier%20de%20sortie.xlsx" TargetMode="External"/><Relationship Id="rId497" Type="http://schemas.openxmlformats.org/officeDocument/2006/relationships/hyperlink" Target="PDF%20officiels/Maxime%20Calendrier%20de%20sortie.xlsx" TargetMode="External"/><Relationship Id="rId357" Type="http://schemas.openxmlformats.org/officeDocument/2006/relationships/hyperlink" Target="PDF%20officiels/PGPE%20&amp;%20PGCS%20-%202026%20Subs%20and%20Reds%20Calendar%20au%202026%2007%2015.pdf" TargetMode="External"/><Relationship Id="rId54" Type="http://schemas.openxmlformats.org/officeDocument/2006/relationships/hyperlink" Target="PDF%20officiels/Dealing%20Calendar%202026.pdf" TargetMode="External"/><Relationship Id="rId217" Type="http://schemas.openxmlformats.org/officeDocument/2006/relationships/hyperlink" Target="PDF%20officiels/Calendrier_Sorties_Althos_Private_Equity_2026%20vDEF1704.pdf" TargetMode="External"/><Relationship Id="rId564" Type="http://schemas.openxmlformats.org/officeDocument/2006/relationships/hyperlink" Target="PDF%20officiels/Maxime%20Calendrier%20de%20sortie.xlsx" TargetMode="External"/><Relationship Id="rId424" Type="http://schemas.openxmlformats.org/officeDocument/2006/relationships/hyperlink" Target="PDF%20officiels/Maxime%20Calendrier%20de%20sortie.xlsx" TargetMode="External"/><Relationship Id="rId270" Type="http://schemas.openxmlformats.org/officeDocument/2006/relationships/hyperlink" Target="PDF%20officiels/Calendrier_Sorties_Antheor_Private_Infrastructures_2026.pdf" TargetMode="External"/><Relationship Id="rId65" Type="http://schemas.openxmlformats.org/officeDocument/2006/relationships/hyperlink" Target="PDF%20officiels/Dealing%20Calendar%202026.pdf" TargetMode="External"/><Relationship Id="rId130" Type="http://schemas.openxmlformats.org/officeDocument/2006/relationships/hyperlink" Target="PDF%20officiels/Calendrier_Sorties_Althos_Private_Credit_2026%20vDEF%201704.pdf" TargetMode="External"/><Relationship Id="rId368" Type="http://schemas.openxmlformats.org/officeDocument/2006/relationships/hyperlink" Target="PDF%20officiels/PGPE%20&amp;%20PGCS%20-%202026%20Subs%20and%20Reds%20Calendar%20au%202026%2007%2015.pdf" TargetMode="External"/><Relationship Id="rId575" Type="http://schemas.openxmlformats.org/officeDocument/2006/relationships/hyperlink" Target="PDF%20officiels/Maxime%20Calendrier%20de%20sortie.xlsx" TargetMode="External"/><Relationship Id="rId228" Type="http://schemas.openxmlformats.org/officeDocument/2006/relationships/hyperlink" Target="PDF%20officiels/Calendrier_Sorties_Althos_Private_Equity_2026%20vDEF1704.pdf" TargetMode="External"/><Relationship Id="rId435" Type="http://schemas.openxmlformats.org/officeDocument/2006/relationships/hyperlink" Target="PDF%20officiels/Maxime%20Calendrier%20de%20sortie.xlsx" TargetMode="External"/><Relationship Id="rId281" Type="http://schemas.openxmlformats.org/officeDocument/2006/relationships/hyperlink" Target="PDF%20officiels/2026%20EQT%20Nexus%20Funds%20-%20Trading%20Calendar%20-%202026%20Final.pdf" TargetMode="External"/><Relationship Id="rId502" Type="http://schemas.openxmlformats.org/officeDocument/2006/relationships/hyperlink" Target="PDF%20officiels/Maxime%20Calendrier%20de%20sortie.xlsx" TargetMode="External"/><Relationship Id="rId76" Type="http://schemas.openxmlformats.org/officeDocument/2006/relationships/hyperlink" Target="PDF%20officiels/Calendrier%202026.pdf" TargetMode="External"/><Relationship Id="rId141" Type="http://schemas.openxmlformats.org/officeDocument/2006/relationships/hyperlink" Target="PDF%20officiels/Calendrier_Sorties_Althos_Private_Credit_2026%20vDEF%201704.pdf" TargetMode="External"/><Relationship Id="rId379" Type="http://schemas.openxmlformats.org/officeDocument/2006/relationships/hyperlink" Target="PDF%20officiels/PGPE%20&amp;%20PGCS%20-%202026%20Subs%20and%20Reds%20Calendar%20au%202026%2007%2015.pdf" TargetMode="External"/><Relationship Id="rId586" Type="http://schemas.openxmlformats.org/officeDocument/2006/relationships/hyperlink" Target="PDF%20officiels/Maxime%20Calendrier%20de%20sortie.xlsx" TargetMode="External"/><Relationship Id="rId7" Type="http://schemas.openxmlformats.org/officeDocument/2006/relationships/hyperlink" Target="PDF%20officiels/2025%20Tableau%20de%20sortie.pdf" TargetMode="External"/><Relationship Id="rId239" Type="http://schemas.openxmlformats.org/officeDocument/2006/relationships/hyperlink" Target="PDF%20officiels/Calendrier_Sorties_Althos_Private_Equity_2026%20vDEF1704.pdf" TargetMode="External"/><Relationship Id="rId446" Type="http://schemas.openxmlformats.org/officeDocument/2006/relationships/hyperlink" Target="PDF%20officiels/Maxime%20Calendrier%20de%20sortie.xlsx" TargetMode="External"/><Relationship Id="rId292" Type="http://schemas.openxmlformats.org/officeDocument/2006/relationships/hyperlink" Target="PDF%20officiels/2026%20EQT%20Nexus%20Funds%20-%20Trading%20Calendar%20-%202026%20Final.pdf" TargetMode="External"/><Relationship Id="rId306" Type="http://schemas.openxmlformats.org/officeDocument/2006/relationships/hyperlink" Target="PDF%20officiels/2026%20EQT%20Nexus%20Funds%20-%20Trading%20Calendar%20-%202026%20Final.pdf" TargetMode="External"/><Relationship Id="rId87" Type="http://schemas.openxmlformats.org/officeDocument/2006/relationships/hyperlink" Target="PDF%20officiels/2026%20GPA%20Dealing%20Cycle%20Reporting%20Calendar%20-%20Lux.pdf" TargetMode="External"/><Relationship Id="rId513" Type="http://schemas.openxmlformats.org/officeDocument/2006/relationships/hyperlink" Target="PDF%20officiels/Maxime%20Calendrier%20de%20sortie.xlsx" TargetMode="External"/><Relationship Id="rId597" Type="http://schemas.openxmlformats.org/officeDocument/2006/relationships/hyperlink" Target="PDF%20officiels/Maxime%20Calendrier%20de%20sortie.xlsx" TargetMode="External"/><Relationship Id="rId152" Type="http://schemas.openxmlformats.org/officeDocument/2006/relationships/hyperlink" Target="PDF%20officiels/Calendrier_Sorties_Althos_Private_Credit_2026%20vDEF%201704.pdf" TargetMode="External"/><Relationship Id="rId457" Type="http://schemas.openxmlformats.org/officeDocument/2006/relationships/hyperlink" Target="PDF%20officiels/Maxime%20Calendrier%20de%20sortie.xlsx" TargetMode="External"/><Relationship Id="rId14" Type="http://schemas.openxmlformats.org/officeDocument/2006/relationships/hyperlink" Target="PDF%20officiels/2025%20Tableau%20de%20sortie.pdf" TargetMode="External"/><Relationship Id="rId56" Type="http://schemas.openxmlformats.org/officeDocument/2006/relationships/hyperlink" Target="PDF%20officiels/Dealing%20Calendar%202026.pdf" TargetMode="External"/><Relationship Id="rId317" Type="http://schemas.openxmlformats.org/officeDocument/2006/relationships/hyperlink" Target="PDF%20officiels/CollerEquity%20and%20CollerCredit%20Dealing%20Calendar%202026.pdf" TargetMode="External"/><Relationship Id="rId359" Type="http://schemas.openxmlformats.org/officeDocument/2006/relationships/hyperlink" Target="PDF%20officiels/PGPE%20&amp;%20PGCS%20-%202026%20Subs%20and%20Reds%20Calendar%20au%202026%2007%2015.pdf" TargetMode="External"/><Relationship Id="rId524" Type="http://schemas.openxmlformats.org/officeDocument/2006/relationships/hyperlink" Target="PDF%20officiels/Maxime%20Calendrier%20de%20sortie.xlsx" TargetMode="External"/><Relationship Id="rId566" Type="http://schemas.openxmlformats.org/officeDocument/2006/relationships/hyperlink" Target="PDF%20officiels/Maxime%20Calendrier%20de%20sortie.xlsx" TargetMode="External"/><Relationship Id="rId98" Type="http://schemas.openxmlformats.org/officeDocument/2006/relationships/hyperlink" Target="PDF%20officiels/2026%20SCOPE%20Dealing%20Cycle%20Reporting%20Calendar%20-%20Lux%20Final.pdf" TargetMode="External"/><Relationship Id="rId121" Type="http://schemas.openxmlformats.org/officeDocument/2006/relationships/hyperlink" Target="PDF%20officiels/Calendrier_Sorties_Althos_Private_Credit_2026%20vDEF%201704.pdf" TargetMode="External"/><Relationship Id="rId163" Type="http://schemas.openxmlformats.org/officeDocument/2006/relationships/hyperlink" Target="PDF%20officiels/Calendrier_Sorties_Althos_Private_Credit_2026%20vDEF%201704.pdf" TargetMode="External"/><Relationship Id="rId219" Type="http://schemas.openxmlformats.org/officeDocument/2006/relationships/hyperlink" Target="PDF%20officiels/Calendrier_Sorties_Althos_Private_Equity_2026%20vDEF1704.pdf" TargetMode="External"/><Relationship Id="rId370" Type="http://schemas.openxmlformats.org/officeDocument/2006/relationships/hyperlink" Target="PDF%20officiels/PGPE%20&amp;%20PGCS%20-%202026%20Subs%20and%20Reds%20Calendar%20au%202026%2007%2015.pdf" TargetMode="External"/><Relationship Id="rId426" Type="http://schemas.openxmlformats.org/officeDocument/2006/relationships/hyperlink" Target="PDF%20officiels/Maxime%20Calendrier%20de%20sortie.xlsx" TargetMode="External"/><Relationship Id="rId230" Type="http://schemas.openxmlformats.org/officeDocument/2006/relationships/hyperlink" Target="PDF%20officiels/Calendrier_Sorties_Althos_Private_Equity_2026%20vDEF1704.pdf" TargetMode="External"/><Relationship Id="rId468" Type="http://schemas.openxmlformats.org/officeDocument/2006/relationships/hyperlink" Target="PDF%20officiels/Maxime%20Calendrier%20de%20sortie.xlsx" TargetMode="External"/><Relationship Id="rId25" Type="http://schemas.openxmlformats.org/officeDocument/2006/relationships/hyperlink" Target="PDF%20officiels/2025%20Tableau%20de%20sortie.pdf" TargetMode="External"/><Relationship Id="rId67" Type="http://schemas.openxmlformats.org/officeDocument/2006/relationships/hyperlink" Target="PDF%20officiels/Calendrier%202026.pdf" TargetMode="External"/><Relationship Id="rId272" Type="http://schemas.openxmlformats.org/officeDocument/2006/relationships/hyperlink" Target="PDF%20officiels/Calendrier_Sorties_Antheor_Private_Infrastructures_2026.pdf" TargetMode="External"/><Relationship Id="rId328" Type="http://schemas.openxmlformats.org/officeDocument/2006/relationships/hyperlink" Target="PDF%20officiels/PGPE%20&amp;%20PGCS%20-%202026%20Subs%20and%20Reds%20Calendar%20au%202026%2007%2015.pdf" TargetMode="External"/><Relationship Id="rId535" Type="http://schemas.openxmlformats.org/officeDocument/2006/relationships/hyperlink" Target="PDF%20officiels/Maxime%20Calendrier%20de%20sortie.xlsx" TargetMode="External"/><Relationship Id="rId577" Type="http://schemas.openxmlformats.org/officeDocument/2006/relationships/hyperlink" Target="PDF%20officiels/Maxime%20Calendrier%20de%20sortie.xlsx" TargetMode="External"/><Relationship Id="rId132" Type="http://schemas.openxmlformats.org/officeDocument/2006/relationships/hyperlink" Target="PDF%20officiels/Calendrier_Sorties_Althos_Private_Credit_2026%20vDEF%201704.pdf" TargetMode="External"/><Relationship Id="rId174" Type="http://schemas.openxmlformats.org/officeDocument/2006/relationships/hyperlink" Target="PDF%20officiels/Calendrier_Sorties_Althos_Private_Equity_2026%20vDEF1704.pdf" TargetMode="External"/><Relationship Id="rId381" Type="http://schemas.openxmlformats.org/officeDocument/2006/relationships/hyperlink" Target="PDF%20officiels/PGPE%20&amp;%20PGCS%20-%202026%20Subs%20and%20Reds%20Calendar%20au%202026%2007%2015.pdf" TargetMode="External"/><Relationship Id="rId602" Type="http://schemas.openxmlformats.org/officeDocument/2006/relationships/hyperlink" Target="PDF%20officiels/Maxime%20Calendrier%20de%20sortie.xlsx" TargetMode="External"/><Relationship Id="rId241" Type="http://schemas.openxmlformats.org/officeDocument/2006/relationships/hyperlink" Target="PDF%20officiels/Calendrier_Sorties_Antheor_Private_Infrastructures_2026.pdf" TargetMode="External"/><Relationship Id="rId437" Type="http://schemas.openxmlformats.org/officeDocument/2006/relationships/hyperlink" Target="PDF%20officiels/Maxime%20Calendrier%20de%20sortie.xlsx" TargetMode="External"/><Relationship Id="rId479" Type="http://schemas.openxmlformats.org/officeDocument/2006/relationships/hyperlink" Target="PDF%20officiels/Maxime%20Calendrier%20de%20sortie.xlsx" TargetMode="External"/><Relationship Id="rId36" Type="http://schemas.openxmlformats.org/officeDocument/2006/relationships/hyperlink" Target="PDF%20officiels/2026%20Calendrier%20d'entr&#233;e%20et%20de%20sortie.pdf" TargetMode="External"/><Relationship Id="rId283" Type="http://schemas.openxmlformats.org/officeDocument/2006/relationships/hyperlink" Target="PDF%20officiels/2026%20EQT%20Nexus%20Funds%20-%20Trading%20Calendar%20-%202026%20Final.pdf" TargetMode="External"/><Relationship Id="rId339" Type="http://schemas.openxmlformats.org/officeDocument/2006/relationships/hyperlink" Target="PDF%20officiels/PGPE%20&amp;%20PGCS%20-%202026%20Subs%20and%20Reds%20Calendar%20au%202026%2007%2015.pdf" TargetMode="External"/><Relationship Id="rId490" Type="http://schemas.openxmlformats.org/officeDocument/2006/relationships/hyperlink" Target="PDF%20officiels/Maxime%20Calendrier%20de%20sortie.xlsx" TargetMode="External"/><Relationship Id="rId504" Type="http://schemas.openxmlformats.org/officeDocument/2006/relationships/hyperlink" Target="PDF%20officiels/Maxime%20Calendrier%20de%20sortie.xlsx" TargetMode="External"/><Relationship Id="rId546" Type="http://schemas.openxmlformats.org/officeDocument/2006/relationships/hyperlink" Target="PDF%20officiels/Maxime%20Calendrier%20de%20sortie.xlsx" TargetMode="External"/><Relationship Id="rId78" Type="http://schemas.openxmlformats.org/officeDocument/2006/relationships/hyperlink" Target="PDF%20officiels/Calendrier%202026.pdf" TargetMode="External"/><Relationship Id="rId101" Type="http://schemas.openxmlformats.org/officeDocument/2006/relationships/hyperlink" Target="PDF%20officiels/2026%20SCOPE%20Dealing%20Cycle%20Reporting%20Calendar%20-%20Lux%20Final.pdf" TargetMode="External"/><Relationship Id="rId143" Type="http://schemas.openxmlformats.org/officeDocument/2006/relationships/hyperlink" Target="PDF%20officiels/Calendrier_Sorties_Althos_Private_Credit_2026%20vDEF%201704.pdf" TargetMode="External"/><Relationship Id="rId185" Type="http://schemas.openxmlformats.org/officeDocument/2006/relationships/hyperlink" Target="PDF%20officiels/Calendrier_Sorties_Althos_Private_Equity_2026%20vDEF1704.pdf" TargetMode="External"/><Relationship Id="rId350" Type="http://schemas.openxmlformats.org/officeDocument/2006/relationships/hyperlink" Target="PDF%20officiels/PGPE%20&amp;%20PGCS%20-%202026%20Subs%20and%20Reds%20Calendar%20au%202026%2007%2015.pdf" TargetMode="External"/><Relationship Id="rId406" Type="http://schemas.openxmlformats.org/officeDocument/2006/relationships/hyperlink" Target="PDF%20officiels/Maxime%20Calendrier%20de%20sortie.xlsx" TargetMode="External"/><Relationship Id="rId588" Type="http://schemas.openxmlformats.org/officeDocument/2006/relationships/hyperlink" Target="PDF%20officiels/Maxime%20Calendrier%20de%20sortie.xlsx" TargetMode="External"/><Relationship Id="rId9" Type="http://schemas.openxmlformats.org/officeDocument/2006/relationships/hyperlink" Target="PDF%20officiels/2025%20Tableau%20de%20sortie.pdf" TargetMode="External"/><Relationship Id="rId210" Type="http://schemas.openxmlformats.org/officeDocument/2006/relationships/hyperlink" Target="PDF%20officiels/Calendrier_Sorties_Althos_Private_Equity_2026%20vDEF1704.pdf" TargetMode="External"/><Relationship Id="rId392" Type="http://schemas.openxmlformats.org/officeDocument/2006/relationships/hyperlink" Target="PDF%20officiels/PGPE%20&amp;%20PGCS%20-%202026%20Subs%20and%20Reds%20Calendar%20au%202026%2007%2015.pdf" TargetMode="External"/><Relationship Id="rId448" Type="http://schemas.openxmlformats.org/officeDocument/2006/relationships/hyperlink" Target="PDF%20officiels/Maxime%20Calendrier%20de%20sortie.xlsx" TargetMode="External"/><Relationship Id="rId252" Type="http://schemas.openxmlformats.org/officeDocument/2006/relationships/hyperlink" Target="PDF%20officiels/Calendrier_Sorties_Antheor_Private_Infrastructures_2026.pdf" TargetMode="External"/><Relationship Id="rId294" Type="http://schemas.openxmlformats.org/officeDocument/2006/relationships/hyperlink" Target="PDF%20officiels/2026%20EQT%20Nexus%20Funds%20-%20Trading%20Calendar%20-%202026%20Final.pdf" TargetMode="External"/><Relationship Id="rId308" Type="http://schemas.openxmlformats.org/officeDocument/2006/relationships/hyperlink" Target="PDF%20officiels/2026%20EQT%20Nexus%20Funds%20-%20Trading%20Calendar%20-%202026%20Final.pdf" TargetMode="External"/><Relationship Id="rId515" Type="http://schemas.openxmlformats.org/officeDocument/2006/relationships/hyperlink" Target="PDF%20officiels/Maxime%20Calendrier%20de%20sortie.xlsx" TargetMode="External"/><Relationship Id="rId47" Type="http://schemas.openxmlformats.org/officeDocument/2006/relationships/hyperlink" Target="PDF%20officiels/2026%20Calendrier%20d'entr&#233;e%20et%20de%20sortie.pdf" TargetMode="External"/><Relationship Id="rId89" Type="http://schemas.openxmlformats.org/officeDocument/2006/relationships/hyperlink" Target="PDF%20officiels/2026%20GPA%20Dealing%20Cycle%20Reporting%20Calendar%20-%20Lux.pdf" TargetMode="External"/><Relationship Id="rId112" Type="http://schemas.openxmlformats.org/officeDocument/2006/relationships/hyperlink" Target="PDF%20officiels/2026%20SCOPE%20Dealing%20Cycle%20Reporting%20Calendar%20-%20Lux%20Final.pdf" TargetMode="External"/><Relationship Id="rId154" Type="http://schemas.openxmlformats.org/officeDocument/2006/relationships/hyperlink" Target="PDF%20officiels/Calendrier_Sorties_Althos_Private_Credit_2026%20vDEF%201704.pdf" TargetMode="External"/><Relationship Id="rId361" Type="http://schemas.openxmlformats.org/officeDocument/2006/relationships/hyperlink" Target="PDF%20officiels/PGPE%20&amp;%20PGCS%20-%202026%20Subs%20and%20Reds%20Calendar%20au%202026%2007%2015.pdf" TargetMode="External"/><Relationship Id="rId557" Type="http://schemas.openxmlformats.org/officeDocument/2006/relationships/hyperlink" Target="PDF%20officiels/Maxime%20Calendrier%20de%20sortie.xlsx" TargetMode="External"/><Relationship Id="rId599" Type="http://schemas.openxmlformats.org/officeDocument/2006/relationships/hyperlink" Target="PDF%20officiels/Maxime%20Calendrier%20de%20sortie.xlsx" TargetMode="External"/><Relationship Id="rId196" Type="http://schemas.openxmlformats.org/officeDocument/2006/relationships/hyperlink" Target="PDF%20officiels/Calendrier_Sorties_Althos_Private_Equity_2026%20vDEF1704.pdf" TargetMode="External"/><Relationship Id="rId417" Type="http://schemas.openxmlformats.org/officeDocument/2006/relationships/hyperlink" Target="PDF%20officiels/Maxime%20Calendrier%20de%20sortie.xlsx" TargetMode="External"/><Relationship Id="rId459" Type="http://schemas.openxmlformats.org/officeDocument/2006/relationships/hyperlink" Target="PDF%20officiels/Maxime%20Calendrier%20de%20sortie.xlsx" TargetMode="External"/><Relationship Id="rId16" Type="http://schemas.openxmlformats.org/officeDocument/2006/relationships/hyperlink" Target="PDF%20officiels/2025%20Tableau%20de%20sortie.pdf" TargetMode="External"/><Relationship Id="rId221" Type="http://schemas.openxmlformats.org/officeDocument/2006/relationships/hyperlink" Target="PDF%20officiels/Calendrier_Sorties_Althos_Private_Equity_2026%20vDEF1704.pdf" TargetMode="External"/><Relationship Id="rId263" Type="http://schemas.openxmlformats.org/officeDocument/2006/relationships/hyperlink" Target="PDF%20officiels/Calendrier_Sorties_Antheor_Private_Infrastructures_2026.pdf" TargetMode="External"/><Relationship Id="rId319" Type="http://schemas.openxmlformats.org/officeDocument/2006/relationships/hyperlink" Target="PDF%20officiels/CollerEquity%20and%20CollerCredit%20Dealing%20Calendar%202026.pdf" TargetMode="External"/><Relationship Id="rId470" Type="http://schemas.openxmlformats.org/officeDocument/2006/relationships/hyperlink" Target="PDF%20officiels/Maxime%20Calendrier%20de%20sortie.xlsx" TargetMode="External"/><Relationship Id="rId526" Type="http://schemas.openxmlformats.org/officeDocument/2006/relationships/hyperlink" Target="PDF%20officiels/Maxime%20Calendrier%20de%20sortie.xlsx" TargetMode="External"/><Relationship Id="rId58" Type="http://schemas.openxmlformats.org/officeDocument/2006/relationships/hyperlink" Target="PDF%20officiels/Dealing%20Calendar%202026.pdf" TargetMode="External"/><Relationship Id="rId123" Type="http://schemas.openxmlformats.org/officeDocument/2006/relationships/hyperlink" Target="PDF%20officiels/Calendrier_Sorties_Althos_Private_Credit_2026%20vDEF%201704.pdf" TargetMode="External"/><Relationship Id="rId330" Type="http://schemas.openxmlformats.org/officeDocument/2006/relationships/hyperlink" Target="PDF%20officiels/PGPE%20&amp;%20PGCS%20-%202026%20Subs%20and%20Reds%20Calendar%20au%202026%2007%2015.pdf" TargetMode="External"/><Relationship Id="rId568" Type="http://schemas.openxmlformats.org/officeDocument/2006/relationships/hyperlink" Target="PDF%20officiels/Maxime%20Calendrier%20de%20sortie.xlsx" TargetMode="External"/><Relationship Id="rId165" Type="http://schemas.openxmlformats.org/officeDocument/2006/relationships/hyperlink" Target="PDF%20officiels/Calendrier_Sorties_Althos_Private_Credit_2026%20vDEF%201704.pdf" TargetMode="External"/><Relationship Id="rId372" Type="http://schemas.openxmlformats.org/officeDocument/2006/relationships/hyperlink" Target="PDF%20officiels/PGPE%20&amp;%20PGCS%20-%202026%20Subs%20and%20Reds%20Calendar%20au%202026%2007%2015.pdf" TargetMode="External"/><Relationship Id="rId428" Type="http://schemas.openxmlformats.org/officeDocument/2006/relationships/hyperlink" Target="PDF%20officiels/Maxime%20Calendrier%20de%20sortie.xlsx" TargetMode="External"/><Relationship Id="rId232" Type="http://schemas.openxmlformats.org/officeDocument/2006/relationships/hyperlink" Target="PDF%20officiels/Calendrier_Sorties_Althos_Private_Equity_2026%20vDEF1704.pdf" TargetMode="External"/><Relationship Id="rId274" Type="http://schemas.openxmlformats.org/officeDocument/2006/relationships/hyperlink" Target="PDF%20officiels/Calendrier_Sorties_Antheor_Private_Infrastructures_2026.pdf" TargetMode="External"/><Relationship Id="rId481" Type="http://schemas.openxmlformats.org/officeDocument/2006/relationships/hyperlink" Target="PDF%20officiels/Maxime%20Calendrier%20de%20sortie.xlsx" TargetMode="External"/><Relationship Id="rId27" Type="http://schemas.openxmlformats.org/officeDocument/2006/relationships/hyperlink" Target="PDF%20officiels/2026%20Calendrier%20d'entr&#233;e%20et%20de%20sortie.pdf" TargetMode="External"/><Relationship Id="rId69" Type="http://schemas.openxmlformats.org/officeDocument/2006/relationships/hyperlink" Target="PDF%20officiels/Calendrier%202026.pdf" TargetMode="External"/><Relationship Id="rId134" Type="http://schemas.openxmlformats.org/officeDocument/2006/relationships/hyperlink" Target="PDF%20officiels/Calendrier_Sorties_Althos_Private_Credit_2026%20vDEF%201704.pdf" TargetMode="External"/><Relationship Id="rId537" Type="http://schemas.openxmlformats.org/officeDocument/2006/relationships/hyperlink" Target="PDF%20officiels/Maxime%20Calendrier%20de%20sortie.xlsx" TargetMode="External"/><Relationship Id="rId579" Type="http://schemas.openxmlformats.org/officeDocument/2006/relationships/hyperlink" Target="PDF%20officiels/Maxime%20Calendrier%20de%20sortie.xlsx" TargetMode="External"/><Relationship Id="rId80" Type="http://schemas.openxmlformats.org/officeDocument/2006/relationships/hyperlink" Target="PDF%20officiels/Calendrier%202026.pdf" TargetMode="External"/><Relationship Id="rId176" Type="http://schemas.openxmlformats.org/officeDocument/2006/relationships/hyperlink" Target="PDF%20officiels/Calendrier_Sorties_Althos_Private_Equity_2026%20vDEF1704.pdf" TargetMode="External"/><Relationship Id="rId341" Type="http://schemas.openxmlformats.org/officeDocument/2006/relationships/hyperlink" Target="PDF%20officiels/PGPE%20&amp;%20PGCS%20-%202026%20Subs%20and%20Reds%20Calendar%20au%202026%2007%2015.pdf" TargetMode="External"/><Relationship Id="rId383" Type="http://schemas.openxmlformats.org/officeDocument/2006/relationships/hyperlink" Target="PDF%20officiels/PGPE%20&amp;%20PGCS%20-%202026%20Subs%20and%20Reds%20Calendar%20au%202026%2007%2015.pdf" TargetMode="External"/><Relationship Id="rId439" Type="http://schemas.openxmlformats.org/officeDocument/2006/relationships/hyperlink" Target="PDF%20officiels/Maxime%20Calendrier%20de%20sortie.xlsx" TargetMode="External"/><Relationship Id="rId590" Type="http://schemas.openxmlformats.org/officeDocument/2006/relationships/hyperlink" Target="PDF%20officiels/Maxime%20Calendrier%20de%20sortie.xlsx" TargetMode="External"/><Relationship Id="rId201" Type="http://schemas.openxmlformats.org/officeDocument/2006/relationships/hyperlink" Target="PDF%20officiels/Calendrier_Sorties_Althos_Private_Equity_2026%20vDEF1704.pdf" TargetMode="External"/><Relationship Id="rId243" Type="http://schemas.openxmlformats.org/officeDocument/2006/relationships/hyperlink" Target="PDF%20officiels/Calendrier_Sorties_Antheor_Private_Infrastructures_2026.pdf" TargetMode="External"/><Relationship Id="rId285" Type="http://schemas.openxmlformats.org/officeDocument/2006/relationships/hyperlink" Target="PDF%20officiels/2026%20EQT%20Nexus%20Funds%20-%20Trading%20Calendar%20-%202026%20Final.pdf" TargetMode="External"/><Relationship Id="rId450" Type="http://schemas.openxmlformats.org/officeDocument/2006/relationships/hyperlink" Target="PDF%20officiels/Maxime%20Calendrier%20de%20sortie.xlsx" TargetMode="External"/><Relationship Id="rId506" Type="http://schemas.openxmlformats.org/officeDocument/2006/relationships/hyperlink" Target="PDF%20officiels/Maxime%20Calendrier%20de%20sortie.xlsx" TargetMode="External"/><Relationship Id="rId38" Type="http://schemas.openxmlformats.org/officeDocument/2006/relationships/hyperlink" Target="PDF%20officiels/2026%20Calendrier%20d'entr&#233;e%20et%20de%20sortie.pdf" TargetMode="External"/><Relationship Id="rId103" Type="http://schemas.openxmlformats.org/officeDocument/2006/relationships/hyperlink" Target="PDF%20officiels/2026%20SCOPE%20Dealing%20Cycle%20Reporting%20Calendar%20-%20Lux%20Final.pdf" TargetMode="External"/><Relationship Id="rId310" Type="http://schemas.openxmlformats.org/officeDocument/2006/relationships/hyperlink" Target="PDF%20officiels/2026%20EQT%20Nexus%20Funds%20-%20Trading%20Calendar%20-%202026%20Final.pdf" TargetMode="External"/><Relationship Id="rId492" Type="http://schemas.openxmlformats.org/officeDocument/2006/relationships/hyperlink" Target="PDF%20officiels/Maxime%20Calendrier%20de%20sortie.xlsx" TargetMode="External"/><Relationship Id="rId548" Type="http://schemas.openxmlformats.org/officeDocument/2006/relationships/hyperlink" Target="PDF%20officiels/Maxime%20Calendrier%20de%20sortie.xlsx" TargetMode="External"/><Relationship Id="rId91" Type="http://schemas.openxmlformats.org/officeDocument/2006/relationships/hyperlink" Target="PDF%20officiels/2026%20GPA%20Dealing%20Cycle%20Reporting%20Calendar%20-%20Lux.pdf" TargetMode="External"/><Relationship Id="rId145" Type="http://schemas.openxmlformats.org/officeDocument/2006/relationships/hyperlink" Target="PDF%20officiels/Calendrier_Sorties_Althos_Private_Credit_2026%20vDEF%201704.pdf" TargetMode="External"/><Relationship Id="rId187" Type="http://schemas.openxmlformats.org/officeDocument/2006/relationships/hyperlink" Target="PDF%20officiels/Calendrier_Sorties_Althos_Private_Equity_2026%20vDEF1704.pdf" TargetMode="External"/><Relationship Id="rId352" Type="http://schemas.openxmlformats.org/officeDocument/2006/relationships/hyperlink" Target="PDF%20officiels/PGPE%20&amp;%20PGCS%20-%202026%20Subs%20and%20Reds%20Calendar%20au%202026%2007%2015.pdf" TargetMode="External"/><Relationship Id="rId394" Type="http://schemas.openxmlformats.org/officeDocument/2006/relationships/hyperlink" Target="PDF%20officiels/PGPE%20&amp;%20PGCS%20-%202026%20Subs%20and%20Reds%20Calendar%20au%202026%2007%2015.pdf" TargetMode="External"/><Relationship Id="rId408" Type="http://schemas.openxmlformats.org/officeDocument/2006/relationships/hyperlink" Target="PDF%20officiels/Maxime%20Calendrier%20de%20sortie.xlsx" TargetMode="External"/><Relationship Id="rId212" Type="http://schemas.openxmlformats.org/officeDocument/2006/relationships/hyperlink" Target="PDF%20officiels/Calendrier_Sorties_Althos_Private_Equity_2026%20vDEF1704.pdf" TargetMode="External"/><Relationship Id="rId254" Type="http://schemas.openxmlformats.org/officeDocument/2006/relationships/hyperlink" Target="PDF%20officiels/Calendrier_Sorties_Antheor_Private_Infrastructures_2026.pdf" TargetMode="External"/><Relationship Id="rId49" Type="http://schemas.openxmlformats.org/officeDocument/2006/relationships/hyperlink" Target="PDF%20officiels/2026%20Calendrier%20d'entr&#233;e%20et%20de%20sortie.pdf" TargetMode="External"/><Relationship Id="rId114" Type="http://schemas.openxmlformats.org/officeDocument/2006/relationships/hyperlink" Target="PDF%20officiels/2026%20SCOPE%20Dealing%20Cycle%20Reporting%20Calendar%20-%20Lux%20Final.pdf" TargetMode="External"/><Relationship Id="rId296" Type="http://schemas.openxmlformats.org/officeDocument/2006/relationships/hyperlink" Target="PDF%20officiels/2026%20EQT%20Nexus%20Funds%20-%20Trading%20Calendar%20-%202026%20Final.pdf" TargetMode="External"/><Relationship Id="rId461" Type="http://schemas.openxmlformats.org/officeDocument/2006/relationships/hyperlink" Target="PDF%20officiels/Maxime%20Calendrier%20de%20sortie.xlsx" TargetMode="External"/><Relationship Id="rId517" Type="http://schemas.openxmlformats.org/officeDocument/2006/relationships/hyperlink" Target="PDF%20officiels/Maxime%20Calendrier%20de%20sortie.xlsx" TargetMode="External"/><Relationship Id="rId559" Type="http://schemas.openxmlformats.org/officeDocument/2006/relationships/hyperlink" Target="PDF%20officiels/Maxime%20Calendrier%20de%20sortie.xlsx" TargetMode="External"/><Relationship Id="rId60" Type="http://schemas.openxmlformats.org/officeDocument/2006/relationships/hyperlink" Target="PDF%20officiels/Dealing%20Calendar%202026.pdf" TargetMode="External"/><Relationship Id="rId156" Type="http://schemas.openxmlformats.org/officeDocument/2006/relationships/hyperlink" Target="PDF%20officiels/Calendrier_Sorties_Althos_Private_Credit_2026%20vDEF%201704.pdf" TargetMode="External"/><Relationship Id="rId198" Type="http://schemas.openxmlformats.org/officeDocument/2006/relationships/hyperlink" Target="PDF%20officiels/Calendrier_Sorties_Althos_Private_Equity_2026%20vDEF1704.pdf" TargetMode="External"/><Relationship Id="rId321" Type="http://schemas.openxmlformats.org/officeDocument/2006/relationships/hyperlink" Target="PDF%20officiels/CollerEquity%20and%20CollerCredit%20Dealing%20Calendar%202026.pdf" TargetMode="External"/><Relationship Id="rId363" Type="http://schemas.openxmlformats.org/officeDocument/2006/relationships/hyperlink" Target="PDF%20officiels/PGPE%20&amp;%20PGCS%20-%202026%20Subs%20and%20Reds%20Calendar%20au%202026%2007%2015.pdf" TargetMode="External"/><Relationship Id="rId419" Type="http://schemas.openxmlformats.org/officeDocument/2006/relationships/hyperlink" Target="PDF%20officiels/Maxime%20Calendrier%20de%20sortie.xlsx" TargetMode="External"/><Relationship Id="rId570" Type="http://schemas.openxmlformats.org/officeDocument/2006/relationships/hyperlink" Target="PDF%20officiels/Maxime%20Calendrier%20de%20sortie.xlsx" TargetMode="External"/><Relationship Id="rId223" Type="http://schemas.openxmlformats.org/officeDocument/2006/relationships/hyperlink" Target="PDF%20officiels/Calendrier_Sorties_Althos_Private_Equity_2026%20vDEF1704.pdf" TargetMode="External"/><Relationship Id="rId430" Type="http://schemas.openxmlformats.org/officeDocument/2006/relationships/hyperlink" Target="PDF%20officiels/Maxime%20Calendrier%20de%20sortie.xlsx" TargetMode="External"/><Relationship Id="rId18" Type="http://schemas.openxmlformats.org/officeDocument/2006/relationships/hyperlink" Target="PDF%20officiels/2025%20Tableau%20de%20sortie.pdf" TargetMode="External"/><Relationship Id="rId265" Type="http://schemas.openxmlformats.org/officeDocument/2006/relationships/hyperlink" Target="PDF%20officiels/Calendrier_Sorties_Antheor_Private_Infrastructures_2026.pdf" TargetMode="External"/><Relationship Id="rId472" Type="http://schemas.openxmlformats.org/officeDocument/2006/relationships/hyperlink" Target="PDF%20officiels/Maxime%20Calendrier%20de%20sortie.xlsx" TargetMode="External"/><Relationship Id="rId528" Type="http://schemas.openxmlformats.org/officeDocument/2006/relationships/hyperlink" Target="PDF%20officiels/Maxime%20Calendrier%20de%20sortie.xlsx" TargetMode="External"/><Relationship Id="rId125" Type="http://schemas.openxmlformats.org/officeDocument/2006/relationships/hyperlink" Target="PDF%20officiels/Calendrier_Sorties_Althos_Private_Credit_2026%20vDEF%201704.pdf" TargetMode="External"/><Relationship Id="rId167" Type="http://schemas.openxmlformats.org/officeDocument/2006/relationships/hyperlink" Target="PDF%20officiels/Calendrier_Sorties_Althos_Private_Credit_2026%20vDEF%201704.pdf" TargetMode="External"/><Relationship Id="rId332" Type="http://schemas.openxmlformats.org/officeDocument/2006/relationships/hyperlink" Target="PDF%20officiels/PGPE%20&amp;%20PGCS%20-%202026%20Subs%20and%20Reds%20Calendar%20au%202026%2007%2015.pdf" TargetMode="External"/><Relationship Id="rId374" Type="http://schemas.openxmlformats.org/officeDocument/2006/relationships/hyperlink" Target="PDF%20officiels/PGPE%20&amp;%20PGCS%20-%202026%20Subs%20and%20Reds%20Calendar%20au%202026%2007%2015.pdf" TargetMode="External"/><Relationship Id="rId581" Type="http://schemas.openxmlformats.org/officeDocument/2006/relationships/hyperlink" Target="PDF%20officiels/Maxime%20Calendrier%20de%20sortie.xlsx" TargetMode="External"/><Relationship Id="rId71" Type="http://schemas.openxmlformats.org/officeDocument/2006/relationships/hyperlink" Target="PDF%20officiels/Calendrier%202026.pdf" TargetMode="External"/><Relationship Id="rId234" Type="http://schemas.openxmlformats.org/officeDocument/2006/relationships/hyperlink" Target="PDF%20officiels/Calendrier_Sorties_Althos_Private_Equity_2026%20vDEF1704.pdf" TargetMode="External"/><Relationship Id="rId2" Type="http://schemas.openxmlformats.org/officeDocument/2006/relationships/hyperlink" Target="PDF%20officiels/2025%20Tableau%20de%20sortie.pdf" TargetMode="External"/><Relationship Id="rId29" Type="http://schemas.openxmlformats.org/officeDocument/2006/relationships/hyperlink" Target="PDF%20officiels/2026%20Calendrier%20d'entr&#233;e%20et%20de%20sortie.pdf" TargetMode="External"/><Relationship Id="rId276" Type="http://schemas.openxmlformats.org/officeDocument/2006/relationships/hyperlink" Target="PDF%20officiels/Calendrier_Sorties_Antheor_Private_Infrastructures_2026.pdf" TargetMode="External"/><Relationship Id="rId441" Type="http://schemas.openxmlformats.org/officeDocument/2006/relationships/hyperlink" Target="PDF%20officiels/Maxime%20Calendrier%20de%20sortie.xlsx" TargetMode="External"/><Relationship Id="rId483" Type="http://schemas.openxmlformats.org/officeDocument/2006/relationships/hyperlink" Target="PDF%20officiels/Maxime%20Calendrier%20de%20sortie.xlsx" TargetMode="External"/><Relationship Id="rId539" Type="http://schemas.openxmlformats.org/officeDocument/2006/relationships/hyperlink" Target="PDF%20officiels/Maxime%20Calendrier%20de%20sortie.xlsx" TargetMode="External"/><Relationship Id="rId40" Type="http://schemas.openxmlformats.org/officeDocument/2006/relationships/hyperlink" Target="PDF%20officiels/2026%20Calendrier%20d'entr&#233;e%20et%20de%20sortie.pdf" TargetMode="External"/><Relationship Id="rId136" Type="http://schemas.openxmlformats.org/officeDocument/2006/relationships/hyperlink" Target="PDF%20officiels/Calendrier_Sorties_Althos_Private_Credit_2026%20vDEF%201704.pdf" TargetMode="External"/><Relationship Id="rId178" Type="http://schemas.openxmlformats.org/officeDocument/2006/relationships/hyperlink" Target="PDF%20officiels/Calendrier_Sorties_Althos_Private_Equity_2026%20vDEF1704.pdf" TargetMode="External"/><Relationship Id="rId301" Type="http://schemas.openxmlformats.org/officeDocument/2006/relationships/hyperlink" Target="PDF%20officiels/2026%20EQT%20Nexus%20Funds%20-%20Trading%20Calendar%20-%202026%20Final.pdf" TargetMode="External"/><Relationship Id="rId343" Type="http://schemas.openxmlformats.org/officeDocument/2006/relationships/hyperlink" Target="PDF%20officiels/PGPE%20&amp;%20PGCS%20-%202026%20Subs%20and%20Reds%20Calendar%20au%202026%2007%2015.pdf" TargetMode="External"/><Relationship Id="rId550" Type="http://schemas.openxmlformats.org/officeDocument/2006/relationships/hyperlink" Target="PDF%20officiels/Maxime%20Calendrier%20de%20sortie.xlsx" TargetMode="External"/><Relationship Id="rId82" Type="http://schemas.openxmlformats.org/officeDocument/2006/relationships/hyperlink" Target="PDF%20officiels/2026%20GPA%20Dealing%20Cycle%20Reporting%20Calendar%20-%20Lux.pdf" TargetMode="External"/><Relationship Id="rId203" Type="http://schemas.openxmlformats.org/officeDocument/2006/relationships/hyperlink" Target="PDF%20officiels/Calendrier_Sorties_Althos_Private_Equity_2026%20vDEF1704.pdf" TargetMode="External"/><Relationship Id="rId385" Type="http://schemas.openxmlformats.org/officeDocument/2006/relationships/hyperlink" Target="PDF%20officiels/PGPE%20&amp;%20PGCS%20-%202026%20Subs%20and%20Reds%20Calendar%20au%202026%2007%2015.pdf" TargetMode="External"/><Relationship Id="rId592" Type="http://schemas.openxmlformats.org/officeDocument/2006/relationships/hyperlink" Target="PDF%20officiels/Maxime%20Calendrier%20de%20sortie.xlsx" TargetMode="External"/><Relationship Id="rId245" Type="http://schemas.openxmlformats.org/officeDocument/2006/relationships/hyperlink" Target="PDF%20officiels/Calendrier_Sorties_Antheor_Private_Infrastructures_2026.pdf" TargetMode="External"/><Relationship Id="rId287" Type="http://schemas.openxmlformats.org/officeDocument/2006/relationships/hyperlink" Target="PDF%20officiels/2026%20EQT%20Nexus%20Funds%20-%20Trading%20Calendar%20-%202026%20Final.pdf" TargetMode="External"/><Relationship Id="rId410" Type="http://schemas.openxmlformats.org/officeDocument/2006/relationships/hyperlink" Target="PDF%20officiels/Maxime%20Calendrier%20de%20sortie.xlsx" TargetMode="External"/><Relationship Id="rId452" Type="http://schemas.openxmlformats.org/officeDocument/2006/relationships/hyperlink" Target="PDF%20officiels/Maxime%20Calendrier%20de%20sortie.xlsx" TargetMode="External"/><Relationship Id="rId494" Type="http://schemas.openxmlformats.org/officeDocument/2006/relationships/hyperlink" Target="PDF%20officiels/Maxime%20Calendrier%20de%20sortie.xlsx" TargetMode="External"/><Relationship Id="rId508" Type="http://schemas.openxmlformats.org/officeDocument/2006/relationships/hyperlink" Target="PDF%20officiels/Maxime%20Calendrier%20de%20sortie.xlsx" TargetMode="External"/><Relationship Id="rId105" Type="http://schemas.openxmlformats.org/officeDocument/2006/relationships/hyperlink" Target="PDF%20officiels/2026%20SCOPE%20Dealing%20Cycle%20Reporting%20Calendar%20-%20Lux%20Final.pdf" TargetMode="External"/><Relationship Id="rId147" Type="http://schemas.openxmlformats.org/officeDocument/2006/relationships/hyperlink" Target="PDF%20officiels/Calendrier_Sorties_Althos_Private_Credit_2026%20vDEF%201704.pdf" TargetMode="External"/><Relationship Id="rId312" Type="http://schemas.openxmlformats.org/officeDocument/2006/relationships/hyperlink" Target="PDF%20officiels/CollerEquity%20and%20CollerCredit%20Dealing%20Calendar%202026.pdf" TargetMode="External"/><Relationship Id="rId354" Type="http://schemas.openxmlformats.org/officeDocument/2006/relationships/hyperlink" Target="PDF%20officiels/PGPE%20&amp;%20PGCS%20-%202026%20Subs%20and%20Reds%20Calendar%20au%202026%2007%2015.pdf" TargetMode="External"/><Relationship Id="rId51" Type="http://schemas.openxmlformats.org/officeDocument/2006/relationships/hyperlink" Target="PDF%20officiels/Dealing%20Calendar%202026.pdf" TargetMode="External"/><Relationship Id="rId93" Type="http://schemas.openxmlformats.org/officeDocument/2006/relationships/hyperlink" Target="PDF%20officiels/2026%20GPA%20Dealing%20Cycle%20Reporting%20Calendar%20-%20Lux.pdf" TargetMode="External"/><Relationship Id="rId189" Type="http://schemas.openxmlformats.org/officeDocument/2006/relationships/hyperlink" Target="PDF%20officiels/Calendrier_Sorties_Althos_Private_Equity_2026%20vDEF1704.pdf" TargetMode="External"/><Relationship Id="rId396" Type="http://schemas.openxmlformats.org/officeDocument/2006/relationships/hyperlink" Target="PDF%20officiels/Maxime%20Calendrier%20de%20sortie.xlsx" TargetMode="External"/><Relationship Id="rId561" Type="http://schemas.openxmlformats.org/officeDocument/2006/relationships/hyperlink" Target="PDF%20officiels/Maxime%20Calendrier%20de%20sortie.xlsx" TargetMode="External"/><Relationship Id="rId214" Type="http://schemas.openxmlformats.org/officeDocument/2006/relationships/hyperlink" Target="PDF%20officiels/Calendrier_Sorties_Althos_Private_Equity_2026%20vDEF1704.pdf" TargetMode="External"/><Relationship Id="rId256" Type="http://schemas.openxmlformats.org/officeDocument/2006/relationships/hyperlink" Target="PDF%20officiels/Calendrier_Sorties_Antheor_Private_Infrastructures_2026.pdf" TargetMode="External"/><Relationship Id="rId298" Type="http://schemas.openxmlformats.org/officeDocument/2006/relationships/hyperlink" Target="PDF%20officiels/2026%20EQT%20Nexus%20Funds%20-%20Trading%20Calendar%20-%202026%20Final.pdf" TargetMode="External"/><Relationship Id="rId421" Type="http://schemas.openxmlformats.org/officeDocument/2006/relationships/hyperlink" Target="PDF%20officiels/Maxime%20Calendrier%20de%20sortie.xlsx" TargetMode="External"/><Relationship Id="rId463" Type="http://schemas.openxmlformats.org/officeDocument/2006/relationships/hyperlink" Target="PDF%20officiels/Maxime%20Calendrier%20de%20sortie.xlsx" TargetMode="External"/><Relationship Id="rId519" Type="http://schemas.openxmlformats.org/officeDocument/2006/relationships/hyperlink" Target="PDF%20officiels/Maxime%20Calendrier%20de%20sortie.xlsx" TargetMode="External"/><Relationship Id="rId116" Type="http://schemas.openxmlformats.org/officeDocument/2006/relationships/hyperlink" Target="PDF%20officiels/2026%20SCOPE%20Dealing%20Cycle%20Reporting%20Calendar%20-%20Lux%20Final.pdf" TargetMode="External"/><Relationship Id="rId158" Type="http://schemas.openxmlformats.org/officeDocument/2006/relationships/hyperlink" Target="PDF%20officiels/Calendrier_Sorties_Althos_Private_Credit_2026%20vDEF%201704.pdf" TargetMode="External"/><Relationship Id="rId323" Type="http://schemas.openxmlformats.org/officeDocument/2006/relationships/hyperlink" Target="PDF%20officiels/CollerEquity%20and%20CollerCredit%20Dealing%20Calendar%202026.pdf" TargetMode="External"/><Relationship Id="rId530" Type="http://schemas.openxmlformats.org/officeDocument/2006/relationships/hyperlink" Target="PDF%20officiels/Maxime%20Calendrier%20de%20sortie.xlsx" TargetMode="External"/><Relationship Id="rId20" Type="http://schemas.openxmlformats.org/officeDocument/2006/relationships/hyperlink" Target="PDF%20officiels/2025%20Tableau%20de%20sortie.pdf" TargetMode="External"/><Relationship Id="rId62" Type="http://schemas.openxmlformats.org/officeDocument/2006/relationships/hyperlink" Target="PDF%20officiels/Dealing%20Calendar%202026.pdf" TargetMode="External"/><Relationship Id="rId365" Type="http://schemas.openxmlformats.org/officeDocument/2006/relationships/hyperlink" Target="PDF%20officiels/PGPE%20&amp;%20PGCS%20-%202026%20Subs%20and%20Reds%20Calendar%20au%202026%2007%2015.pdf" TargetMode="External"/><Relationship Id="rId572" Type="http://schemas.openxmlformats.org/officeDocument/2006/relationships/hyperlink" Target="PDF%20officiels/Maxime%20Calendrier%20de%20sortie.xlsx" TargetMode="External"/><Relationship Id="rId225" Type="http://schemas.openxmlformats.org/officeDocument/2006/relationships/hyperlink" Target="PDF%20officiels/Calendrier_Sorties_Althos_Private_Equity_2026%20vDEF1704.pdf" TargetMode="External"/><Relationship Id="rId267" Type="http://schemas.openxmlformats.org/officeDocument/2006/relationships/hyperlink" Target="PDF%20officiels/Calendrier_Sorties_Antheor_Private_Infrastructures_2026.pdf" TargetMode="External"/><Relationship Id="rId432" Type="http://schemas.openxmlformats.org/officeDocument/2006/relationships/hyperlink" Target="PDF%20officiels/Maxime%20Calendrier%20de%20sortie.xlsx" TargetMode="External"/><Relationship Id="rId474" Type="http://schemas.openxmlformats.org/officeDocument/2006/relationships/hyperlink" Target="PDF%20officiels/Maxime%20Calendrier%20de%20sortie.xlsx" TargetMode="External"/><Relationship Id="rId127" Type="http://schemas.openxmlformats.org/officeDocument/2006/relationships/hyperlink" Target="PDF%20officiels/Calendrier_Sorties_Althos_Private_Credit_2026%20vDEF%201704.pdf" TargetMode="External"/><Relationship Id="rId31" Type="http://schemas.openxmlformats.org/officeDocument/2006/relationships/hyperlink" Target="PDF%20officiels/2026%20Calendrier%20d'entr&#233;e%20et%20de%20sortie.pdf" TargetMode="External"/><Relationship Id="rId73" Type="http://schemas.openxmlformats.org/officeDocument/2006/relationships/hyperlink" Target="PDF%20officiels/Calendrier%202026.pdf" TargetMode="External"/><Relationship Id="rId169" Type="http://schemas.openxmlformats.org/officeDocument/2006/relationships/hyperlink" Target="PDF%20officiels/Calendrier_Sorties_Althos_Private_Equity_2026%20vDEF1704.pdf" TargetMode="External"/><Relationship Id="rId334" Type="http://schemas.openxmlformats.org/officeDocument/2006/relationships/hyperlink" Target="PDF%20officiels/PGPE%20&amp;%20PGCS%20-%202026%20Subs%20and%20Reds%20Calendar%20au%202026%2007%2015.pdf" TargetMode="External"/><Relationship Id="rId376" Type="http://schemas.openxmlformats.org/officeDocument/2006/relationships/hyperlink" Target="PDF%20officiels/PGPE%20&amp;%20PGCS%20-%202026%20Subs%20and%20Reds%20Calendar%20au%202026%2007%2015.pdf" TargetMode="External"/><Relationship Id="rId541" Type="http://schemas.openxmlformats.org/officeDocument/2006/relationships/hyperlink" Target="PDF%20officiels/Maxime%20Calendrier%20de%20sortie.xlsx" TargetMode="External"/><Relationship Id="rId583" Type="http://schemas.openxmlformats.org/officeDocument/2006/relationships/hyperlink" Target="PDF%20officiels/Maxime%20Calendrier%20de%20sortie.xlsx" TargetMode="External"/><Relationship Id="rId4" Type="http://schemas.openxmlformats.org/officeDocument/2006/relationships/hyperlink" Target="PDF%20officiels/2025%20Tableau%20de%20sortie.pdf" TargetMode="External"/><Relationship Id="rId180" Type="http://schemas.openxmlformats.org/officeDocument/2006/relationships/hyperlink" Target="PDF%20officiels/Calendrier_Sorties_Althos_Private_Equity_2026%20vDEF1704.pdf" TargetMode="External"/><Relationship Id="rId236" Type="http://schemas.openxmlformats.org/officeDocument/2006/relationships/hyperlink" Target="PDF%20officiels/Calendrier_Sorties_Althos_Private_Equity_2026%20vDEF1704.pdf" TargetMode="External"/><Relationship Id="rId278" Type="http://schemas.openxmlformats.org/officeDocument/2006/relationships/hyperlink" Target="PDF%20officiels/2026%20EQT%20Nexus%20Funds%20-%20Trading%20Calendar%20-%202026%20Final.pdf" TargetMode="External"/><Relationship Id="rId401" Type="http://schemas.openxmlformats.org/officeDocument/2006/relationships/hyperlink" Target="PDF%20officiels/Maxime%20Calendrier%20de%20sortie.xlsx" TargetMode="External"/><Relationship Id="rId443" Type="http://schemas.openxmlformats.org/officeDocument/2006/relationships/hyperlink" Target="PDF%20officiels/Maxime%20Calendrier%20de%20sortie.xlsx" TargetMode="External"/><Relationship Id="rId303" Type="http://schemas.openxmlformats.org/officeDocument/2006/relationships/hyperlink" Target="PDF%20officiels/2026%20EQT%20Nexus%20Funds%20-%20Trading%20Calendar%20-%202026%20Final.pdf" TargetMode="External"/><Relationship Id="rId485" Type="http://schemas.openxmlformats.org/officeDocument/2006/relationships/hyperlink" Target="PDF%20officiels/Maxime%20Calendrier%20de%20sortie.xlsx" TargetMode="External"/><Relationship Id="rId42" Type="http://schemas.openxmlformats.org/officeDocument/2006/relationships/hyperlink" Target="PDF%20officiels/2026%20Calendrier%20d'entr&#233;e%20et%20de%20sortie.pdf" TargetMode="External"/><Relationship Id="rId84" Type="http://schemas.openxmlformats.org/officeDocument/2006/relationships/hyperlink" Target="PDF%20officiels/2026%20GPA%20Dealing%20Cycle%20Reporting%20Calendar%20-%20Lux.pdf" TargetMode="External"/><Relationship Id="rId138" Type="http://schemas.openxmlformats.org/officeDocument/2006/relationships/hyperlink" Target="PDF%20officiels/Calendrier_Sorties_Althos_Private_Credit_2026%20vDEF%201704.pdf" TargetMode="External"/><Relationship Id="rId345" Type="http://schemas.openxmlformats.org/officeDocument/2006/relationships/hyperlink" Target="PDF%20officiels/PGPE%20&amp;%20PGCS%20-%202026%20Subs%20and%20Reds%20Calendar%20au%202026%2007%2015.pdf" TargetMode="External"/><Relationship Id="rId387" Type="http://schemas.openxmlformats.org/officeDocument/2006/relationships/hyperlink" Target="PDF%20officiels/PGPE%20&amp;%20PGCS%20-%202026%20Subs%20and%20Reds%20Calendar%20au%202026%2007%2015.pdf" TargetMode="External"/><Relationship Id="rId510" Type="http://schemas.openxmlformats.org/officeDocument/2006/relationships/hyperlink" Target="PDF%20officiels/Maxime%20Calendrier%20de%20sortie.xlsx" TargetMode="External"/><Relationship Id="rId552" Type="http://schemas.openxmlformats.org/officeDocument/2006/relationships/hyperlink" Target="PDF%20officiels/Maxime%20Calendrier%20de%20sortie.xlsx" TargetMode="External"/><Relationship Id="rId594" Type="http://schemas.openxmlformats.org/officeDocument/2006/relationships/hyperlink" Target="PDF%20officiels/Maxime%20Calendrier%20de%20sortie.xlsx" TargetMode="External"/><Relationship Id="rId191" Type="http://schemas.openxmlformats.org/officeDocument/2006/relationships/hyperlink" Target="PDF%20officiels/Calendrier_Sorties_Althos_Private_Equity_2026%20vDEF1704.pdf" TargetMode="External"/><Relationship Id="rId205" Type="http://schemas.openxmlformats.org/officeDocument/2006/relationships/hyperlink" Target="PDF%20officiels/Calendrier_Sorties_Althos_Private_Equity_2026%20vDEF1704.pdf" TargetMode="External"/><Relationship Id="rId247" Type="http://schemas.openxmlformats.org/officeDocument/2006/relationships/hyperlink" Target="PDF%20officiels/Calendrier_Sorties_Antheor_Private_Infrastructures_2026.pdf" TargetMode="External"/><Relationship Id="rId412" Type="http://schemas.openxmlformats.org/officeDocument/2006/relationships/hyperlink" Target="PDF%20officiels/Maxime%20Calendrier%20de%20sortie.xlsx" TargetMode="External"/><Relationship Id="rId107" Type="http://schemas.openxmlformats.org/officeDocument/2006/relationships/hyperlink" Target="PDF%20officiels/2026%20SCOPE%20Dealing%20Cycle%20Reporting%20Calendar%20-%20Lux%20Final.pdf" TargetMode="External"/><Relationship Id="rId289" Type="http://schemas.openxmlformats.org/officeDocument/2006/relationships/hyperlink" Target="PDF%20officiels/2026%20EQT%20Nexus%20Funds%20-%20Trading%20Calendar%20-%202026%20Final.pdf" TargetMode="External"/><Relationship Id="rId454" Type="http://schemas.openxmlformats.org/officeDocument/2006/relationships/hyperlink" Target="PDF%20officiels/Maxime%20Calendrier%20de%20sortie.xlsx" TargetMode="External"/><Relationship Id="rId496" Type="http://schemas.openxmlformats.org/officeDocument/2006/relationships/hyperlink" Target="PDF%20officiels/Maxime%20Calendrier%20de%20sortie.xlsx" TargetMode="External"/><Relationship Id="rId11" Type="http://schemas.openxmlformats.org/officeDocument/2006/relationships/hyperlink" Target="PDF%20officiels/2025%20Tableau%20de%20sortie.pdf" TargetMode="External"/><Relationship Id="rId53" Type="http://schemas.openxmlformats.org/officeDocument/2006/relationships/hyperlink" Target="PDF%20officiels/Dealing%20Calendar%202026.pdf" TargetMode="External"/><Relationship Id="rId149" Type="http://schemas.openxmlformats.org/officeDocument/2006/relationships/hyperlink" Target="PDF%20officiels/Calendrier_Sorties_Althos_Private_Credit_2026%20vDEF%201704.pdf" TargetMode="External"/><Relationship Id="rId314" Type="http://schemas.openxmlformats.org/officeDocument/2006/relationships/hyperlink" Target="PDF%20officiels/CollerEquity%20and%20CollerCredit%20Dealing%20Calendar%202026.pdf" TargetMode="External"/><Relationship Id="rId356" Type="http://schemas.openxmlformats.org/officeDocument/2006/relationships/hyperlink" Target="PDF%20officiels/PGPE%20&amp;%20PGCS%20-%202026%20Subs%20and%20Reds%20Calendar%20au%202026%2007%2015.pdf" TargetMode="External"/><Relationship Id="rId398" Type="http://schemas.openxmlformats.org/officeDocument/2006/relationships/hyperlink" Target="PDF%20officiels/Maxime%20Calendrier%20de%20sortie.xlsx" TargetMode="External"/><Relationship Id="rId521" Type="http://schemas.openxmlformats.org/officeDocument/2006/relationships/hyperlink" Target="PDF%20officiels/Maxime%20Calendrier%20de%20sortie.xlsx" TargetMode="External"/><Relationship Id="rId563" Type="http://schemas.openxmlformats.org/officeDocument/2006/relationships/hyperlink" Target="PDF%20officiels/Maxime%20Calendrier%20de%20sortie.xlsx" TargetMode="External"/><Relationship Id="rId95" Type="http://schemas.openxmlformats.org/officeDocument/2006/relationships/hyperlink" Target="PDF%20officiels/2026%20SCOPE%20Dealing%20Cycle%20Reporting%20Calendar%20-%20Lux%20Final.pdf" TargetMode="External"/><Relationship Id="rId160" Type="http://schemas.openxmlformats.org/officeDocument/2006/relationships/hyperlink" Target="PDF%20officiels/Calendrier_Sorties_Althos_Private_Credit_2026%20vDEF%201704.pdf" TargetMode="External"/><Relationship Id="rId216" Type="http://schemas.openxmlformats.org/officeDocument/2006/relationships/hyperlink" Target="PDF%20officiels/Calendrier_Sorties_Althos_Private_Equity_2026%20vDEF1704.pdf" TargetMode="External"/><Relationship Id="rId423" Type="http://schemas.openxmlformats.org/officeDocument/2006/relationships/hyperlink" Target="PDF%20officiels/Maxime%20Calendrier%20de%20sortie.xlsx" TargetMode="External"/><Relationship Id="rId258" Type="http://schemas.openxmlformats.org/officeDocument/2006/relationships/hyperlink" Target="PDF%20officiels/Calendrier_Sorties_Antheor_Private_Infrastructures_2026.pdf" TargetMode="External"/><Relationship Id="rId465" Type="http://schemas.openxmlformats.org/officeDocument/2006/relationships/hyperlink" Target="PDF%20officiels/Maxime%20Calendrier%20de%20sortie.xlsx" TargetMode="External"/><Relationship Id="rId22" Type="http://schemas.openxmlformats.org/officeDocument/2006/relationships/hyperlink" Target="PDF%20officiels/2025%20Tableau%20de%20sortie.pdf" TargetMode="External"/><Relationship Id="rId64" Type="http://schemas.openxmlformats.org/officeDocument/2006/relationships/hyperlink" Target="PDF%20officiels/Dealing%20Calendar%202026.pdf" TargetMode="External"/><Relationship Id="rId118" Type="http://schemas.openxmlformats.org/officeDocument/2006/relationships/hyperlink" Target="PDF%20officiels/2026%20SCOPE%20Dealing%20Cycle%20Reporting%20Calendar%20-%20Lux%20Final.pdf" TargetMode="External"/><Relationship Id="rId325" Type="http://schemas.openxmlformats.org/officeDocument/2006/relationships/hyperlink" Target="PDF%20officiels/CollerEquity%20and%20CollerCredit%20Dealing%20Calendar%202026.pdf" TargetMode="External"/><Relationship Id="rId367" Type="http://schemas.openxmlformats.org/officeDocument/2006/relationships/hyperlink" Target="PDF%20officiels/PGPE%20&amp;%20PGCS%20-%202026%20Subs%20and%20Reds%20Calendar%20au%202026%2007%2015.pdf" TargetMode="External"/><Relationship Id="rId532" Type="http://schemas.openxmlformats.org/officeDocument/2006/relationships/hyperlink" Target="PDF%20officiels/Maxime%20Calendrier%20de%20sortie.xlsx" TargetMode="External"/><Relationship Id="rId574" Type="http://schemas.openxmlformats.org/officeDocument/2006/relationships/hyperlink" Target="PDF%20officiels/Maxime%20Calendrier%20de%20sortie.xlsx" TargetMode="External"/><Relationship Id="rId171" Type="http://schemas.openxmlformats.org/officeDocument/2006/relationships/hyperlink" Target="PDF%20officiels/Calendrier_Sorties_Althos_Private_Equity_2026%20vDEF1704.pdf" TargetMode="External"/><Relationship Id="rId227" Type="http://schemas.openxmlformats.org/officeDocument/2006/relationships/hyperlink" Target="PDF%20officiels/Calendrier_Sorties_Althos_Private_Equity_2026%20vDEF1704.pdf" TargetMode="External"/><Relationship Id="rId269" Type="http://schemas.openxmlformats.org/officeDocument/2006/relationships/hyperlink" Target="PDF%20officiels/Calendrier_Sorties_Antheor_Private_Infrastructures_2026.pdf" TargetMode="External"/><Relationship Id="rId434" Type="http://schemas.openxmlformats.org/officeDocument/2006/relationships/hyperlink" Target="PDF%20officiels/Maxime%20Calendrier%20de%20sortie.xlsx" TargetMode="External"/><Relationship Id="rId476" Type="http://schemas.openxmlformats.org/officeDocument/2006/relationships/hyperlink" Target="PDF%20officiels/Maxime%20Calendrier%20de%20sortie.xlsx" TargetMode="External"/><Relationship Id="rId33" Type="http://schemas.openxmlformats.org/officeDocument/2006/relationships/hyperlink" Target="PDF%20officiels/2026%20Calendrier%20d'entr&#233;e%20et%20de%20sortie.pdf" TargetMode="External"/><Relationship Id="rId129" Type="http://schemas.openxmlformats.org/officeDocument/2006/relationships/hyperlink" Target="PDF%20officiels/Calendrier_Sorties_Althos_Private_Credit_2026%20vDEF%201704.pdf" TargetMode="External"/><Relationship Id="rId280" Type="http://schemas.openxmlformats.org/officeDocument/2006/relationships/hyperlink" Target="PDF%20officiels/2026%20EQT%20Nexus%20Funds%20-%20Trading%20Calendar%20-%202026%20Final.pdf" TargetMode="External"/><Relationship Id="rId336" Type="http://schemas.openxmlformats.org/officeDocument/2006/relationships/hyperlink" Target="PDF%20officiels/PGPE%20&amp;%20PGCS%20-%202026%20Subs%20and%20Reds%20Calendar%20au%202026%2007%2015.pdf" TargetMode="External"/><Relationship Id="rId501" Type="http://schemas.openxmlformats.org/officeDocument/2006/relationships/hyperlink" Target="PDF%20officiels/Maxime%20Calendrier%20de%20sortie.xlsx" TargetMode="External"/><Relationship Id="rId543" Type="http://schemas.openxmlformats.org/officeDocument/2006/relationships/hyperlink" Target="PDF%20officiels/Maxime%20Calendrier%20de%20sortie.xlsx" TargetMode="External"/><Relationship Id="rId75" Type="http://schemas.openxmlformats.org/officeDocument/2006/relationships/hyperlink" Target="PDF%20officiels/Calendrier%202026.pdf" TargetMode="External"/><Relationship Id="rId140" Type="http://schemas.openxmlformats.org/officeDocument/2006/relationships/hyperlink" Target="PDF%20officiels/Calendrier_Sorties_Althos_Private_Credit_2026%20vDEF%201704.pdf" TargetMode="External"/><Relationship Id="rId182" Type="http://schemas.openxmlformats.org/officeDocument/2006/relationships/hyperlink" Target="PDF%20officiels/Calendrier_Sorties_Althos_Private_Equity_2026%20vDEF1704.pdf" TargetMode="External"/><Relationship Id="rId378" Type="http://schemas.openxmlformats.org/officeDocument/2006/relationships/hyperlink" Target="PDF%20officiels/PGPE%20&amp;%20PGCS%20-%202026%20Subs%20and%20Reds%20Calendar%20au%202026%2007%2015.pdf" TargetMode="External"/><Relationship Id="rId403" Type="http://schemas.openxmlformats.org/officeDocument/2006/relationships/hyperlink" Target="PDF%20officiels/Maxime%20Calendrier%20de%20sortie.xlsx" TargetMode="External"/><Relationship Id="rId585" Type="http://schemas.openxmlformats.org/officeDocument/2006/relationships/hyperlink" Target="PDF%20officiels/Maxime%20Calendrier%20de%20sortie.xlsx" TargetMode="External"/><Relationship Id="rId6" Type="http://schemas.openxmlformats.org/officeDocument/2006/relationships/hyperlink" Target="PDF%20officiels/2025%20Tableau%20de%20sortie.pdf" TargetMode="External"/><Relationship Id="rId238" Type="http://schemas.openxmlformats.org/officeDocument/2006/relationships/hyperlink" Target="PDF%20officiels/Calendrier_Sorties_Althos_Private_Equity_2026%20vDEF1704.pdf" TargetMode="External"/><Relationship Id="rId445" Type="http://schemas.openxmlformats.org/officeDocument/2006/relationships/hyperlink" Target="PDF%20officiels/Maxime%20Calendrier%20de%20sortie.xlsx" TargetMode="External"/><Relationship Id="rId487" Type="http://schemas.openxmlformats.org/officeDocument/2006/relationships/hyperlink" Target="PDF%20officiels/Maxime%20Calendrier%20de%20sortie.xlsx" TargetMode="External"/><Relationship Id="rId291" Type="http://schemas.openxmlformats.org/officeDocument/2006/relationships/hyperlink" Target="PDF%20officiels/2026%20EQT%20Nexus%20Funds%20-%20Trading%20Calendar%20-%202026%20Final.pdf" TargetMode="External"/><Relationship Id="rId305" Type="http://schemas.openxmlformats.org/officeDocument/2006/relationships/hyperlink" Target="PDF%20officiels/2026%20EQT%20Nexus%20Funds%20-%20Trading%20Calendar%20-%202026%20Final.pdf" TargetMode="External"/><Relationship Id="rId347" Type="http://schemas.openxmlformats.org/officeDocument/2006/relationships/hyperlink" Target="PDF%20officiels/PGPE%20&amp;%20PGCS%20-%202026%20Subs%20and%20Reds%20Calendar%20au%202026%2007%2015.pdf" TargetMode="External"/><Relationship Id="rId512" Type="http://schemas.openxmlformats.org/officeDocument/2006/relationships/hyperlink" Target="PDF%20officiels/Maxime%20Calendrier%20de%20sortie.xlsx" TargetMode="External"/><Relationship Id="rId44" Type="http://schemas.openxmlformats.org/officeDocument/2006/relationships/hyperlink" Target="PDF%20officiels/2026%20Calendrier%20d'entr&#233;e%20et%20de%20sortie.pdf" TargetMode="External"/><Relationship Id="rId86" Type="http://schemas.openxmlformats.org/officeDocument/2006/relationships/hyperlink" Target="PDF%20officiels/2026%20GPA%20Dealing%20Cycle%20Reporting%20Calendar%20-%20Lux.pdf" TargetMode="External"/><Relationship Id="rId151" Type="http://schemas.openxmlformats.org/officeDocument/2006/relationships/hyperlink" Target="PDF%20officiels/Calendrier_Sorties_Althos_Private_Credit_2026%20vDEF%201704.pdf" TargetMode="External"/><Relationship Id="rId389" Type="http://schemas.openxmlformats.org/officeDocument/2006/relationships/hyperlink" Target="PDF%20officiels/PGPE%20&amp;%20PGCS%20-%202026%20Subs%20and%20Reds%20Calendar%20au%202026%2007%2015.pdf" TargetMode="External"/><Relationship Id="rId554" Type="http://schemas.openxmlformats.org/officeDocument/2006/relationships/hyperlink" Target="PDF%20officiels/Maxime%20Calendrier%20de%20sortie.xlsx" TargetMode="External"/><Relationship Id="rId596" Type="http://schemas.openxmlformats.org/officeDocument/2006/relationships/hyperlink" Target="PDF%20officiels/Maxime%20Calendrier%20de%20sortie.xlsx" TargetMode="External"/><Relationship Id="rId193" Type="http://schemas.openxmlformats.org/officeDocument/2006/relationships/hyperlink" Target="PDF%20officiels/Calendrier_Sorties_Althos_Private_Equity_2026%20vDEF1704.pdf" TargetMode="External"/><Relationship Id="rId207" Type="http://schemas.openxmlformats.org/officeDocument/2006/relationships/hyperlink" Target="PDF%20officiels/Calendrier_Sorties_Althos_Private_Equity_2026%20vDEF1704.pdf" TargetMode="External"/><Relationship Id="rId249" Type="http://schemas.openxmlformats.org/officeDocument/2006/relationships/hyperlink" Target="PDF%20officiels/Calendrier_Sorties_Antheor_Private_Infrastructures_2026.pdf" TargetMode="External"/><Relationship Id="rId414" Type="http://schemas.openxmlformats.org/officeDocument/2006/relationships/hyperlink" Target="PDF%20officiels/Maxime%20Calendrier%20de%20sortie.xlsx" TargetMode="External"/><Relationship Id="rId456" Type="http://schemas.openxmlformats.org/officeDocument/2006/relationships/hyperlink" Target="PDF%20officiels/Maxime%20Calendrier%20de%20sortie.xlsx" TargetMode="External"/><Relationship Id="rId498" Type="http://schemas.openxmlformats.org/officeDocument/2006/relationships/hyperlink" Target="PDF%20officiels/Maxime%20Calendrier%20de%20sortie.xlsx" TargetMode="External"/><Relationship Id="rId13" Type="http://schemas.openxmlformats.org/officeDocument/2006/relationships/hyperlink" Target="PDF%20officiels/2025%20Tableau%20de%20sortie.pdf" TargetMode="External"/><Relationship Id="rId109" Type="http://schemas.openxmlformats.org/officeDocument/2006/relationships/hyperlink" Target="PDF%20officiels/2026%20SCOPE%20Dealing%20Cycle%20Reporting%20Calendar%20-%20Lux%20Final.pdf" TargetMode="External"/><Relationship Id="rId260" Type="http://schemas.openxmlformats.org/officeDocument/2006/relationships/hyperlink" Target="PDF%20officiels/Calendrier_Sorties_Antheor_Private_Infrastructures_2026.pdf" TargetMode="External"/><Relationship Id="rId316" Type="http://schemas.openxmlformats.org/officeDocument/2006/relationships/hyperlink" Target="PDF%20officiels/CollerEquity%20and%20CollerCredit%20Dealing%20Calendar%202026.pdf" TargetMode="External"/><Relationship Id="rId523" Type="http://schemas.openxmlformats.org/officeDocument/2006/relationships/hyperlink" Target="PDF%20officiels/Maxime%20Calendrier%20de%20sortie.xlsx" TargetMode="External"/><Relationship Id="rId55" Type="http://schemas.openxmlformats.org/officeDocument/2006/relationships/hyperlink" Target="PDF%20officiels/Dealing%20Calendar%202026.pdf" TargetMode="External"/><Relationship Id="rId97" Type="http://schemas.openxmlformats.org/officeDocument/2006/relationships/hyperlink" Target="PDF%20officiels/2026%20SCOPE%20Dealing%20Cycle%20Reporting%20Calendar%20-%20Lux%20Final.pdf" TargetMode="External"/><Relationship Id="rId120" Type="http://schemas.openxmlformats.org/officeDocument/2006/relationships/hyperlink" Target="PDF%20officiels/2026%20SCOPE%20Dealing%20Cycle%20Reporting%20Calendar%20-%20Lux%20Final.pdf" TargetMode="External"/><Relationship Id="rId358" Type="http://schemas.openxmlformats.org/officeDocument/2006/relationships/hyperlink" Target="PDF%20officiels/PGPE%20&amp;%20PGCS%20-%202026%20Subs%20and%20Reds%20Calendar%20au%202026%2007%2015.pdf" TargetMode="External"/><Relationship Id="rId565" Type="http://schemas.openxmlformats.org/officeDocument/2006/relationships/hyperlink" Target="PDF%20officiels/Maxime%20Calendrier%20de%20sortie.xlsx" TargetMode="External"/><Relationship Id="rId162" Type="http://schemas.openxmlformats.org/officeDocument/2006/relationships/hyperlink" Target="PDF%20officiels/Calendrier_Sorties_Althos_Private_Credit_2026%20vDEF%201704.pdf" TargetMode="External"/><Relationship Id="rId218" Type="http://schemas.openxmlformats.org/officeDocument/2006/relationships/hyperlink" Target="PDF%20officiels/Calendrier_Sorties_Althos_Private_Equity_2026%20vDEF1704.pdf" TargetMode="External"/><Relationship Id="rId425" Type="http://schemas.openxmlformats.org/officeDocument/2006/relationships/hyperlink" Target="PDF%20officiels/Maxime%20Calendrier%20de%20sortie.xlsx" TargetMode="External"/><Relationship Id="rId467" Type="http://schemas.openxmlformats.org/officeDocument/2006/relationships/hyperlink" Target="PDF%20officiels/Maxime%20Calendrier%20de%20sortie.xlsx" TargetMode="External"/><Relationship Id="rId271" Type="http://schemas.openxmlformats.org/officeDocument/2006/relationships/hyperlink" Target="PDF%20officiels/Calendrier_Sorties_Antheor_Private_Infrastructures_2026.pdf" TargetMode="External"/><Relationship Id="rId24" Type="http://schemas.openxmlformats.org/officeDocument/2006/relationships/hyperlink" Target="PDF%20officiels/2025%20Tableau%20de%20sortie.pdf" TargetMode="External"/><Relationship Id="rId66" Type="http://schemas.openxmlformats.org/officeDocument/2006/relationships/hyperlink" Target="PDF%20officiels/Calendrier%202026.pdf" TargetMode="External"/><Relationship Id="rId131" Type="http://schemas.openxmlformats.org/officeDocument/2006/relationships/hyperlink" Target="PDF%20officiels/Calendrier_Sorties_Althos_Private_Credit_2026%20vDEF%201704.pdf" TargetMode="External"/><Relationship Id="rId327" Type="http://schemas.openxmlformats.org/officeDocument/2006/relationships/hyperlink" Target="PDF%20officiels/CollerEquity%20and%20CollerCredit%20Dealing%20Calendar%202026.pdf" TargetMode="External"/><Relationship Id="rId369" Type="http://schemas.openxmlformats.org/officeDocument/2006/relationships/hyperlink" Target="PDF%20officiels/PGPE%20&amp;%20PGCS%20-%202026%20Subs%20and%20Reds%20Calendar%20au%202026%2007%2015.pdf" TargetMode="External"/><Relationship Id="rId534" Type="http://schemas.openxmlformats.org/officeDocument/2006/relationships/hyperlink" Target="PDF%20officiels/Maxime%20Calendrier%20de%20sortie.xlsx" TargetMode="External"/><Relationship Id="rId576" Type="http://schemas.openxmlformats.org/officeDocument/2006/relationships/hyperlink" Target="PDF%20officiels/Maxime%20Calendrier%20de%20sortie.xlsx" TargetMode="External"/><Relationship Id="rId173" Type="http://schemas.openxmlformats.org/officeDocument/2006/relationships/hyperlink" Target="PDF%20officiels/Calendrier_Sorties_Althos_Private_Equity_2026%20vDEF1704.pdf" TargetMode="External"/><Relationship Id="rId229" Type="http://schemas.openxmlformats.org/officeDocument/2006/relationships/hyperlink" Target="PDF%20officiels/Calendrier_Sorties_Althos_Private_Equity_2026%20vDEF1704.pdf" TargetMode="External"/><Relationship Id="rId380" Type="http://schemas.openxmlformats.org/officeDocument/2006/relationships/hyperlink" Target="PDF%20officiels/PGPE%20&amp;%20PGCS%20-%202026%20Subs%20and%20Reds%20Calendar%20au%202026%2007%2015.pdf" TargetMode="External"/><Relationship Id="rId436" Type="http://schemas.openxmlformats.org/officeDocument/2006/relationships/hyperlink" Target="PDF%20officiels/Maxime%20Calendrier%20de%20sortie.xlsx" TargetMode="External"/><Relationship Id="rId601" Type="http://schemas.openxmlformats.org/officeDocument/2006/relationships/hyperlink" Target="PDF%20officiels/Maxime%20Calendrier%20de%20sortie.xlsx" TargetMode="External"/><Relationship Id="rId240" Type="http://schemas.openxmlformats.org/officeDocument/2006/relationships/hyperlink" Target="PDF%20officiels/Calendrier_Sorties_Althos_Private_Equity_2026%20vDEF1704.pdf" TargetMode="External"/><Relationship Id="rId478" Type="http://schemas.openxmlformats.org/officeDocument/2006/relationships/hyperlink" Target="PDF%20officiels/Maxime%20Calendrier%20de%20sortie.xlsx" TargetMode="External"/><Relationship Id="rId35" Type="http://schemas.openxmlformats.org/officeDocument/2006/relationships/hyperlink" Target="PDF%20officiels/2026%20Calendrier%20d'entr&#233;e%20et%20de%20sortie.pdf" TargetMode="External"/><Relationship Id="rId77" Type="http://schemas.openxmlformats.org/officeDocument/2006/relationships/hyperlink" Target="PDF%20officiels/Calendrier%202026.pdf" TargetMode="External"/><Relationship Id="rId100" Type="http://schemas.openxmlformats.org/officeDocument/2006/relationships/hyperlink" Target="PDF%20officiels/2026%20SCOPE%20Dealing%20Cycle%20Reporting%20Calendar%20-%20Lux%20Final.pdf" TargetMode="External"/><Relationship Id="rId282" Type="http://schemas.openxmlformats.org/officeDocument/2006/relationships/hyperlink" Target="PDF%20officiels/2026%20EQT%20Nexus%20Funds%20-%20Trading%20Calendar%20-%202026%20Final.pdf" TargetMode="External"/><Relationship Id="rId338" Type="http://schemas.openxmlformats.org/officeDocument/2006/relationships/hyperlink" Target="PDF%20officiels/PGPE%20&amp;%20PGCS%20-%202026%20Subs%20and%20Reds%20Calendar%20au%202026%2007%2015.pdf" TargetMode="External"/><Relationship Id="rId503" Type="http://schemas.openxmlformats.org/officeDocument/2006/relationships/hyperlink" Target="PDF%20officiels/Maxime%20Calendrier%20de%20sortie.xlsx" TargetMode="External"/><Relationship Id="rId545" Type="http://schemas.openxmlformats.org/officeDocument/2006/relationships/hyperlink" Target="PDF%20officiels/Maxime%20Calendrier%20de%20sortie.xlsx" TargetMode="External"/><Relationship Id="rId587" Type="http://schemas.openxmlformats.org/officeDocument/2006/relationships/hyperlink" Target="PDF%20officiels/Maxime%20Calendrier%20de%20sortie.xlsx" TargetMode="External"/><Relationship Id="rId8" Type="http://schemas.openxmlformats.org/officeDocument/2006/relationships/hyperlink" Target="PDF%20officiels/2025%20Tableau%20de%20sortie.pdf" TargetMode="External"/><Relationship Id="rId142" Type="http://schemas.openxmlformats.org/officeDocument/2006/relationships/hyperlink" Target="PDF%20officiels/Calendrier_Sorties_Althos_Private_Credit_2026%20vDEF%201704.pdf" TargetMode="External"/><Relationship Id="rId184" Type="http://schemas.openxmlformats.org/officeDocument/2006/relationships/hyperlink" Target="PDF%20officiels/Calendrier_Sorties_Althos_Private_Equity_2026%20vDEF1704.pdf" TargetMode="External"/><Relationship Id="rId391" Type="http://schemas.openxmlformats.org/officeDocument/2006/relationships/hyperlink" Target="PDF%20officiels/PGPE%20&amp;%20PGCS%20-%202026%20Subs%20and%20Reds%20Calendar%20au%202026%2007%2015.pdf" TargetMode="External"/><Relationship Id="rId405" Type="http://schemas.openxmlformats.org/officeDocument/2006/relationships/hyperlink" Target="PDF%20officiels/Maxime%20Calendrier%20de%20sortie.xlsx" TargetMode="External"/><Relationship Id="rId447" Type="http://schemas.openxmlformats.org/officeDocument/2006/relationships/hyperlink" Target="PDF%20officiels/Maxime%20Calendrier%20de%20sortie.xlsx" TargetMode="External"/><Relationship Id="rId251" Type="http://schemas.openxmlformats.org/officeDocument/2006/relationships/hyperlink" Target="PDF%20officiels/Calendrier_Sorties_Antheor_Private_Infrastructures_2026.pdf" TargetMode="External"/><Relationship Id="rId489" Type="http://schemas.openxmlformats.org/officeDocument/2006/relationships/hyperlink" Target="PDF%20officiels/Maxime%20Calendrier%20de%20sortie.xlsx" TargetMode="External"/><Relationship Id="rId46" Type="http://schemas.openxmlformats.org/officeDocument/2006/relationships/hyperlink" Target="PDF%20officiels/2026%20Calendrier%20d'entr&#233;e%20et%20de%20sortie.pdf" TargetMode="External"/><Relationship Id="rId293" Type="http://schemas.openxmlformats.org/officeDocument/2006/relationships/hyperlink" Target="PDF%20officiels/2026%20EQT%20Nexus%20Funds%20-%20Trading%20Calendar%20-%202026%20Final.pdf" TargetMode="External"/><Relationship Id="rId307" Type="http://schemas.openxmlformats.org/officeDocument/2006/relationships/hyperlink" Target="PDF%20officiels/2026%20EQT%20Nexus%20Funds%20-%20Trading%20Calendar%20-%202026%20Final.pdf" TargetMode="External"/><Relationship Id="rId349" Type="http://schemas.openxmlformats.org/officeDocument/2006/relationships/hyperlink" Target="PDF%20officiels/PGPE%20&amp;%20PGCS%20-%202026%20Subs%20and%20Reds%20Calendar%20au%202026%2007%2015.pdf" TargetMode="External"/><Relationship Id="rId514" Type="http://schemas.openxmlformats.org/officeDocument/2006/relationships/hyperlink" Target="PDF%20officiels/Maxime%20Calendrier%20de%20sortie.xlsx" TargetMode="External"/><Relationship Id="rId556" Type="http://schemas.openxmlformats.org/officeDocument/2006/relationships/hyperlink" Target="PDF%20officiels/Maxime%20Calendrier%20de%20sortie.xlsx" TargetMode="External"/><Relationship Id="rId88" Type="http://schemas.openxmlformats.org/officeDocument/2006/relationships/hyperlink" Target="PDF%20officiels/2026%20GPA%20Dealing%20Cycle%20Reporting%20Calendar%20-%20Lux.pdf" TargetMode="External"/><Relationship Id="rId111" Type="http://schemas.openxmlformats.org/officeDocument/2006/relationships/hyperlink" Target="PDF%20officiels/2026%20SCOPE%20Dealing%20Cycle%20Reporting%20Calendar%20-%20Lux%20Final.pdf" TargetMode="External"/><Relationship Id="rId153" Type="http://schemas.openxmlformats.org/officeDocument/2006/relationships/hyperlink" Target="PDF%20officiels/Calendrier_Sorties_Althos_Private_Credit_2026%20vDEF%201704.pdf" TargetMode="External"/><Relationship Id="rId195" Type="http://schemas.openxmlformats.org/officeDocument/2006/relationships/hyperlink" Target="PDF%20officiels/Calendrier_Sorties_Althos_Private_Equity_2026%20vDEF1704.pdf" TargetMode="External"/><Relationship Id="rId209" Type="http://schemas.openxmlformats.org/officeDocument/2006/relationships/hyperlink" Target="PDF%20officiels/Calendrier_Sorties_Althos_Private_Equity_2026%20vDEF1704.pdf" TargetMode="External"/><Relationship Id="rId360" Type="http://schemas.openxmlformats.org/officeDocument/2006/relationships/hyperlink" Target="PDF%20officiels/PGPE%20&amp;%20PGCS%20-%202026%20Subs%20and%20Reds%20Calendar%20au%202026%2007%2015.pdf" TargetMode="External"/><Relationship Id="rId416" Type="http://schemas.openxmlformats.org/officeDocument/2006/relationships/hyperlink" Target="PDF%20officiels/Maxime%20Calendrier%20de%20sortie.xlsx" TargetMode="External"/><Relationship Id="rId598" Type="http://schemas.openxmlformats.org/officeDocument/2006/relationships/hyperlink" Target="PDF%20officiels/Maxime%20Calendrier%20de%20sortie.xlsx" TargetMode="External"/><Relationship Id="rId220" Type="http://schemas.openxmlformats.org/officeDocument/2006/relationships/hyperlink" Target="PDF%20officiels/Calendrier_Sorties_Althos_Private_Equity_2026%20vDEF1704.pdf" TargetMode="External"/><Relationship Id="rId458" Type="http://schemas.openxmlformats.org/officeDocument/2006/relationships/hyperlink" Target="PDF%20officiels/Maxime%20Calendrier%20de%20sortie.xlsx" TargetMode="External"/><Relationship Id="rId15" Type="http://schemas.openxmlformats.org/officeDocument/2006/relationships/hyperlink" Target="PDF%20officiels/2025%20Tableau%20de%20sortie.pdf" TargetMode="External"/><Relationship Id="rId57" Type="http://schemas.openxmlformats.org/officeDocument/2006/relationships/hyperlink" Target="PDF%20officiels/Dealing%20Calendar%202026.pdf" TargetMode="External"/><Relationship Id="rId262" Type="http://schemas.openxmlformats.org/officeDocument/2006/relationships/hyperlink" Target="PDF%20officiels/Calendrier_Sorties_Antheor_Private_Infrastructures_2026.pdf" TargetMode="External"/><Relationship Id="rId318" Type="http://schemas.openxmlformats.org/officeDocument/2006/relationships/hyperlink" Target="PDF%20officiels/CollerEquity%20and%20CollerCredit%20Dealing%20Calendar%202026.pdf" TargetMode="External"/><Relationship Id="rId525" Type="http://schemas.openxmlformats.org/officeDocument/2006/relationships/hyperlink" Target="PDF%20officiels/Maxime%20Calendrier%20de%20sortie.xlsx" TargetMode="External"/><Relationship Id="rId567" Type="http://schemas.openxmlformats.org/officeDocument/2006/relationships/hyperlink" Target="PDF%20officiels/Maxime%20Calendrier%20de%20sortie.xlsx" TargetMode="External"/><Relationship Id="rId99" Type="http://schemas.openxmlformats.org/officeDocument/2006/relationships/hyperlink" Target="PDF%20officiels/2026%20SCOPE%20Dealing%20Cycle%20Reporting%20Calendar%20-%20Lux%20Final.pdf" TargetMode="External"/><Relationship Id="rId122" Type="http://schemas.openxmlformats.org/officeDocument/2006/relationships/hyperlink" Target="PDF%20officiels/Calendrier_Sorties_Althos_Private_Credit_2026%20vDEF%201704.pdf" TargetMode="External"/><Relationship Id="rId164" Type="http://schemas.openxmlformats.org/officeDocument/2006/relationships/hyperlink" Target="PDF%20officiels/Calendrier_Sorties_Althos_Private_Credit_2026%20vDEF%201704.pdf" TargetMode="External"/><Relationship Id="rId371" Type="http://schemas.openxmlformats.org/officeDocument/2006/relationships/hyperlink" Target="PDF%20officiels/PGPE%20&amp;%20PGCS%20-%202026%20Subs%20and%20Reds%20Calendar%20au%202026%2007%2015.pdf" TargetMode="External"/><Relationship Id="rId427" Type="http://schemas.openxmlformats.org/officeDocument/2006/relationships/hyperlink" Target="PDF%20officiels/Maxime%20Calendrier%20de%20sortie.xlsx" TargetMode="External"/><Relationship Id="rId469" Type="http://schemas.openxmlformats.org/officeDocument/2006/relationships/hyperlink" Target="PDF%20officiels/Maxime%20Calendrier%20de%20sortie.xlsx" TargetMode="External"/><Relationship Id="rId26" Type="http://schemas.openxmlformats.org/officeDocument/2006/relationships/hyperlink" Target="PDF%20officiels/2026%20Calendrier%20d'entr&#233;e%20et%20de%20sortie.pdf" TargetMode="External"/><Relationship Id="rId231" Type="http://schemas.openxmlformats.org/officeDocument/2006/relationships/hyperlink" Target="PDF%20officiels/Calendrier_Sorties_Althos_Private_Equity_2026%20vDEF1704.pdf" TargetMode="External"/><Relationship Id="rId273" Type="http://schemas.openxmlformats.org/officeDocument/2006/relationships/hyperlink" Target="PDF%20officiels/Calendrier_Sorties_Antheor_Private_Infrastructures_2026.pdf" TargetMode="External"/><Relationship Id="rId329" Type="http://schemas.openxmlformats.org/officeDocument/2006/relationships/hyperlink" Target="PDF%20officiels/PGPE%20&amp;%20PGCS%20-%202026%20Subs%20and%20Reds%20Calendar%20au%202026%2007%2015.pdf" TargetMode="External"/><Relationship Id="rId480" Type="http://schemas.openxmlformats.org/officeDocument/2006/relationships/hyperlink" Target="PDF%20officiels/Maxime%20Calendrier%20de%20sortie.xlsx" TargetMode="External"/><Relationship Id="rId536" Type="http://schemas.openxmlformats.org/officeDocument/2006/relationships/hyperlink" Target="PDF%20officiels/Maxime%20Calendrier%20de%20sortie.xlsx" TargetMode="External"/><Relationship Id="rId68" Type="http://schemas.openxmlformats.org/officeDocument/2006/relationships/hyperlink" Target="PDF%20officiels/Calendrier%202026.pdf" TargetMode="External"/><Relationship Id="rId133" Type="http://schemas.openxmlformats.org/officeDocument/2006/relationships/hyperlink" Target="PDF%20officiels/Calendrier_Sorties_Althos_Private_Credit_2026%20vDEF%201704.pdf" TargetMode="External"/><Relationship Id="rId175" Type="http://schemas.openxmlformats.org/officeDocument/2006/relationships/hyperlink" Target="PDF%20officiels/Calendrier_Sorties_Althos_Private_Equity_2026%20vDEF1704.pdf" TargetMode="External"/><Relationship Id="rId340" Type="http://schemas.openxmlformats.org/officeDocument/2006/relationships/hyperlink" Target="PDF%20officiels/PGPE%20&amp;%20PGCS%20-%202026%20Subs%20and%20Reds%20Calendar%20au%202026%2007%2015.pdf" TargetMode="External"/><Relationship Id="rId578" Type="http://schemas.openxmlformats.org/officeDocument/2006/relationships/hyperlink" Target="PDF%20officiels/Maxime%20Calendrier%20de%20sortie.xlsx" TargetMode="External"/><Relationship Id="rId200" Type="http://schemas.openxmlformats.org/officeDocument/2006/relationships/hyperlink" Target="PDF%20officiels/Calendrier_Sorties_Althos_Private_Equity_2026%20vDEF1704.pdf" TargetMode="External"/><Relationship Id="rId382" Type="http://schemas.openxmlformats.org/officeDocument/2006/relationships/hyperlink" Target="PDF%20officiels/PGPE%20&amp;%20PGCS%20-%202026%20Subs%20and%20Reds%20Calendar%20au%202026%2007%2015.pdf" TargetMode="External"/><Relationship Id="rId438" Type="http://schemas.openxmlformats.org/officeDocument/2006/relationships/hyperlink" Target="PDF%20officiels/Maxime%20Calendrier%20de%20sortie.xlsx" TargetMode="External"/><Relationship Id="rId603" Type="http://schemas.openxmlformats.org/officeDocument/2006/relationships/table" Target="../tables/table1.xml"/><Relationship Id="rId242" Type="http://schemas.openxmlformats.org/officeDocument/2006/relationships/hyperlink" Target="PDF%20officiels/Calendrier_Sorties_Antheor_Private_Infrastructures_2026.pdf" TargetMode="External"/><Relationship Id="rId284" Type="http://schemas.openxmlformats.org/officeDocument/2006/relationships/hyperlink" Target="PDF%20officiels/2026%20EQT%20Nexus%20Funds%20-%20Trading%20Calendar%20-%202026%20Final.pdf" TargetMode="External"/><Relationship Id="rId491" Type="http://schemas.openxmlformats.org/officeDocument/2006/relationships/hyperlink" Target="PDF%20officiels/Maxime%20Calendrier%20de%20sortie.xlsx" TargetMode="External"/><Relationship Id="rId505" Type="http://schemas.openxmlformats.org/officeDocument/2006/relationships/hyperlink" Target="PDF%20officiels/Maxime%20Calendrier%20de%20sortie.xlsx" TargetMode="External"/><Relationship Id="rId37" Type="http://schemas.openxmlformats.org/officeDocument/2006/relationships/hyperlink" Target="PDF%20officiels/2026%20Calendrier%20d'entr&#233;e%20et%20de%20sortie.pdf" TargetMode="External"/><Relationship Id="rId79" Type="http://schemas.openxmlformats.org/officeDocument/2006/relationships/hyperlink" Target="PDF%20officiels/Calendrier%202026.pdf" TargetMode="External"/><Relationship Id="rId102" Type="http://schemas.openxmlformats.org/officeDocument/2006/relationships/hyperlink" Target="PDF%20officiels/2026%20SCOPE%20Dealing%20Cycle%20Reporting%20Calendar%20-%20Lux%20Final.pdf" TargetMode="External"/><Relationship Id="rId144" Type="http://schemas.openxmlformats.org/officeDocument/2006/relationships/hyperlink" Target="PDF%20officiels/Calendrier_Sorties_Althos_Private_Credit_2026%20vDEF%201704.pdf" TargetMode="External"/><Relationship Id="rId547" Type="http://schemas.openxmlformats.org/officeDocument/2006/relationships/hyperlink" Target="PDF%20officiels/Maxime%20Calendrier%20de%20sortie.xlsx" TargetMode="External"/><Relationship Id="rId589" Type="http://schemas.openxmlformats.org/officeDocument/2006/relationships/hyperlink" Target="PDF%20officiels/Maxime%20Calendrier%20de%20sortie.xlsx" TargetMode="External"/><Relationship Id="rId90" Type="http://schemas.openxmlformats.org/officeDocument/2006/relationships/hyperlink" Target="PDF%20officiels/2026%20GPA%20Dealing%20Cycle%20Reporting%20Calendar%20-%20Lux.pdf" TargetMode="External"/><Relationship Id="rId186" Type="http://schemas.openxmlformats.org/officeDocument/2006/relationships/hyperlink" Target="PDF%20officiels/Calendrier_Sorties_Althos_Private_Equity_2026%20vDEF1704.pdf" TargetMode="External"/><Relationship Id="rId351" Type="http://schemas.openxmlformats.org/officeDocument/2006/relationships/hyperlink" Target="PDF%20officiels/PGPE%20&amp;%20PGCS%20-%202026%20Subs%20and%20Reds%20Calendar%20au%202026%2007%2015.pdf" TargetMode="External"/><Relationship Id="rId393" Type="http://schemas.openxmlformats.org/officeDocument/2006/relationships/hyperlink" Target="PDF%20officiels/PGPE%20&amp;%20PGCS%20-%202026%20Subs%20and%20Reds%20Calendar%20au%202026%2007%2015.pdf" TargetMode="External"/><Relationship Id="rId407" Type="http://schemas.openxmlformats.org/officeDocument/2006/relationships/hyperlink" Target="PDF%20officiels/Maxime%20Calendrier%20de%20sortie.xlsx" TargetMode="External"/><Relationship Id="rId449" Type="http://schemas.openxmlformats.org/officeDocument/2006/relationships/hyperlink" Target="PDF%20officiels/Maxime%20Calendrier%20de%20sortie.xlsx" TargetMode="External"/><Relationship Id="rId211" Type="http://schemas.openxmlformats.org/officeDocument/2006/relationships/hyperlink" Target="PDF%20officiels/Calendrier_Sorties_Althos_Private_Equity_2026%20vDEF1704.pdf" TargetMode="External"/><Relationship Id="rId253" Type="http://schemas.openxmlformats.org/officeDocument/2006/relationships/hyperlink" Target="PDF%20officiels/Calendrier_Sorties_Antheor_Private_Infrastructures_2026.pdf" TargetMode="External"/><Relationship Id="rId295" Type="http://schemas.openxmlformats.org/officeDocument/2006/relationships/hyperlink" Target="PDF%20officiels/2026%20EQT%20Nexus%20Funds%20-%20Trading%20Calendar%20-%202026%20Final.pdf" TargetMode="External"/><Relationship Id="rId309" Type="http://schemas.openxmlformats.org/officeDocument/2006/relationships/hyperlink" Target="PDF%20officiels/2026%20EQT%20Nexus%20Funds%20-%20Trading%20Calendar%20-%202026%20Final.pdf" TargetMode="External"/><Relationship Id="rId460" Type="http://schemas.openxmlformats.org/officeDocument/2006/relationships/hyperlink" Target="PDF%20officiels/Maxime%20Calendrier%20de%20sortie.xlsx" TargetMode="External"/><Relationship Id="rId516" Type="http://schemas.openxmlformats.org/officeDocument/2006/relationships/hyperlink" Target="PDF%20officiels/Maxime%20Calendrier%20de%20sortie.xlsx" TargetMode="External"/><Relationship Id="rId48" Type="http://schemas.openxmlformats.org/officeDocument/2006/relationships/hyperlink" Target="PDF%20officiels/2026%20Calendrier%20d'entr&#233;e%20et%20de%20sortie.pdf" TargetMode="External"/><Relationship Id="rId113" Type="http://schemas.openxmlformats.org/officeDocument/2006/relationships/hyperlink" Target="PDF%20officiels/2026%20SCOPE%20Dealing%20Cycle%20Reporting%20Calendar%20-%20Lux%20Final.pdf" TargetMode="External"/><Relationship Id="rId320" Type="http://schemas.openxmlformats.org/officeDocument/2006/relationships/hyperlink" Target="PDF%20officiels/CollerEquity%20and%20CollerCredit%20Dealing%20Calendar%202026.pdf" TargetMode="External"/><Relationship Id="rId558" Type="http://schemas.openxmlformats.org/officeDocument/2006/relationships/hyperlink" Target="PDF%20officiels/Maxime%20Calendrier%20de%20sortie.xlsx" TargetMode="External"/><Relationship Id="rId155" Type="http://schemas.openxmlformats.org/officeDocument/2006/relationships/hyperlink" Target="PDF%20officiels/Calendrier_Sorties_Althos_Private_Credit_2026%20vDEF%201704.pdf" TargetMode="External"/><Relationship Id="rId197" Type="http://schemas.openxmlformats.org/officeDocument/2006/relationships/hyperlink" Target="PDF%20officiels/Calendrier_Sorties_Althos_Private_Equity_2026%20vDEF1704.pdf" TargetMode="External"/><Relationship Id="rId362" Type="http://schemas.openxmlformats.org/officeDocument/2006/relationships/hyperlink" Target="PDF%20officiels/PGPE%20&amp;%20PGCS%20-%202026%20Subs%20and%20Reds%20Calendar%20au%202026%2007%2015.pdf" TargetMode="External"/><Relationship Id="rId418" Type="http://schemas.openxmlformats.org/officeDocument/2006/relationships/hyperlink" Target="PDF%20officiels/Maxime%20Calendrier%20de%20sortie.xlsx" TargetMode="External"/><Relationship Id="rId222" Type="http://schemas.openxmlformats.org/officeDocument/2006/relationships/hyperlink" Target="PDF%20officiels/Calendrier_Sorties_Althos_Private_Equity_2026%20vDEF1704.pdf" TargetMode="External"/><Relationship Id="rId264" Type="http://schemas.openxmlformats.org/officeDocument/2006/relationships/hyperlink" Target="PDF%20officiels/Calendrier_Sorties_Antheor_Private_Infrastructures_2026.pdf" TargetMode="External"/><Relationship Id="rId471" Type="http://schemas.openxmlformats.org/officeDocument/2006/relationships/hyperlink" Target="PDF%20officiels/Maxime%20Calendrier%20de%20sortie.xlsx" TargetMode="External"/><Relationship Id="rId17" Type="http://schemas.openxmlformats.org/officeDocument/2006/relationships/hyperlink" Target="PDF%20officiels/2025%20Tableau%20de%20sortie.pdf" TargetMode="External"/><Relationship Id="rId59" Type="http://schemas.openxmlformats.org/officeDocument/2006/relationships/hyperlink" Target="PDF%20officiels/Dealing%20Calendar%202026.pdf" TargetMode="External"/><Relationship Id="rId124" Type="http://schemas.openxmlformats.org/officeDocument/2006/relationships/hyperlink" Target="PDF%20officiels/Calendrier_Sorties_Althos_Private_Credit_2026%20vDEF%201704.pdf" TargetMode="External"/><Relationship Id="rId527" Type="http://schemas.openxmlformats.org/officeDocument/2006/relationships/hyperlink" Target="PDF%20officiels/Maxime%20Calendrier%20de%20sortie.xlsx" TargetMode="External"/><Relationship Id="rId569" Type="http://schemas.openxmlformats.org/officeDocument/2006/relationships/hyperlink" Target="PDF%20officiels/Maxime%20Calendrier%20de%20sortie.xlsx" TargetMode="External"/><Relationship Id="rId70" Type="http://schemas.openxmlformats.org/officeDocument/2006/relationships/hyperlink" Target="PDF%20officiels/Calendrier%202026.pdf" TargetMode="External"/><Relationship Id="rId166" Type="http://schemas.openxmlformats.org/officeDocument/2006/relationships/hyperlink" Target="PDF%20officiels/Calendrier_Sorties_Althos_Private_Credit_2026%20vDEF%201704.pdf" TargetMode="External"/><Relationship Id="rId331" Type="http://schemas.openxmlformats.org/officeDocument/2006/relationships/hyperlink" Target="PDF%20officiels/PGPE%20&amp;%20PGCS%20-%202026%20Subs%20and%20Reds%20Calendar%20au%202026%2007%2015.pdf" TargetMode="External"/><Relationship Id="rId373" Type="http://schemas.openxmlformats.org/officeDocument/2006/relationships/hyperlink" Target="PDF%20officiels/PGPE%20&amp;%20PGCS%20-%202026%20Subs%20and%20Reds%20Calendar%20au%202026%2007%2015.pdf" TargetMode="External"/><Relationship Id="rId429" Type="http://schemas.openxmlformats.org/officeDocument/2006/relationships/hyperlink" Target="PDF%20officiels/Maxime%20Calendrier%20de%20sortie.xlsx" TargetMode="External"/><Relationship Id="rId580" Type="http://schemas.openxmlformats.org/officeDocument/2006/relationships/hyperlink" Target="PDF%20officiels/Maxime%20Calendrier%20de%20sortie.xlsx" TargetMode="External"/><Relationship Id="rId1" Type="http://schemas.openxmlformats.org/officeDocument/2006/relationships/hyperlink" Target="PDF%20officiels/2025%20Tableau%20de%20sortie.pdf" TargetMode="External"/><Relationship Id="rId233" Type="http://schemas.openxmlformats.org/officeDocument/2006/relationships/hyperlink" Target="PDF%20officiels/Calendrier_Sorties_Althos_Private_Equity_2026%20vDEF1704.pdf" TargetMode="External"/><Relationship Id="rId440" Type="http://schemas.openxmlformats.org/officeDocument/2006/relationships/hyperlink" Target="PDF%20officiels/Maxime%20Calendrier%20de%20sortie.xlsx" TargetMode="External"/><Relationship Id="rId28" Type="http://schemas.openxmlformats.org/officeDocument/2006/relationships/hyperlink" Target="PDF%20officiels/2026%20Calendrier%20d'entr&#233;e%20et%20de%20sortie.pdf" TargetMode="External"/><Relationship Id="rId275" Type="http://schemas.openxmlformats.org/officeDocument/2006/relationships/hyperlink" Target="PDF%20officiels/Calendrier_Sorties_Antheor_Private_Infrastructures_2026.pdf" TargetMode="External"/><Relationship Id="rId300" Type="http://schemas.openxmlformats.org/officeDocument/2006/relationships/hyperlink" Target="PDF%20officiels/2026%20EQT%20Nexus%20Funds%20-%20Trading%20Calendar%20-%202026%20Final.pdf" TargetMode="External"/><Relationship Id="rId482" Type="http://schemas.openxmlformats.org/officeDocument/2006/relationships/hyperlink" Target="PDF%20officiels/Maxime%20Calendrier%20de%20sortie.xlsx" TargetMode="External"/><Relationship Id="rId538" Type="http://schemas.openxmlformats.org/officeDocument/2006/relationships/hyperlink" Target="PDF%20officiels/Maxime%20Calendrier%20de%20sortie.xlsx" TargetMode="External"/><Relationship Id="rId81" Type="http://schemas.openxmlformats.org/officeDocument/2006/relationships/hyperlink" Target="PDF%20officiels/Calendrier%202026.pdf" TargetMode="External"/><Relationship Id="rId135" Type="http://schemas.openxmlformats.org/officeDocument/2006/relationships/hyperlink" Target="PDF%20officiels/Calendrier_Sorties_Althos_Private_Credit_2026%20vDEF%201704.pdf" TargetMode="External"/><Relationship Id="rId177" Type="http://schemas.openxmlformats.org/officeDocument/2006/relationships/hyperlink" Target="PDF%20officiels/Calendrier_Sorties_Althos_Private_Equity_2026%20vDEF1704.pdf" TargetMode="External"/><Relationship Id="rId342" Type="http://schemas.openxmlformats.org/officeDocument/2006/relationships/hyperlink" Target="PDF%20officiels/PGPE%20&amp;%20PGCS%20-%202026%20Subs%20and%20Reds%20Calendar%20au%202026%2007%2015.pdf" TargetMode="External"/><Relationship Id="rId384" Type="http://schemas.openxmlformats.org/officeDocument/2006/relationships/hyperlink" Target="PDF%20officiels/PGPE%20&amp;%20PGCS%20-%202026%20Subs%20and%20Reds%20Calendar%20au%202026%2007%2015.pdf" TargetMode="External"/><Relationship Id="rId591" Type="http://schemas.openxmlformats.org/officeDocument/2006/relationships/hyperlink" Target="PDF%20officiels/Maxime%20Calendrier%20de%20sortie.xlsx" TargetMode="External"/><Relationship Id="rId202" Type="http://schemas.openxmlformats.org/officeDocument/2006/relationships/hyperlink" Target="PDF%20officiels/Calendrier_Sorties_Althos_Private_Equity_2026%20vDEF1704.pdf" TargetMode="External"/><Relationship Id="rId244" Type="http://schemas.openxmlformats.org/officeDocument/2006/relationships/hyperlink" Target="PDF%20officiels/Calendrier_Sorties_Antheor_Private_Infrastructures_2026.pdf" TargetMode="External"/><Relationship Id="rId39" Type="http://schemas.openxmlformats.org/officeDocument/2006/relationships/hyperlink" Target="PDF%20officiels/2026%20Calendrier%20d'entr&#233;e%20et%20de%20sortie.pdf" TargetMode="External"/><Relationship Id="rId286" Type="http://schemas.openxmlformats.org/officeDocument/2006/relationships/hyperlink" Target="PDF%20officiels/2026%20EQT%20Nexus%20Funds%20-%20Trading%20Calendar%20-%202026%20Final.pdf" TargetMode="External"/><Relationship Id="rId451" Type="http://schemas.openxmlformats.org/officeDocument/2006/relationships/hyperlink" Target="PDF%20officiels/Maxime%20Calendrier%20de%20sortie.xlsx" TargetMode="External"/><Relationship Id="rId493" Type="http://schemas.openxmlformats.org/officeDocument/2006/relationships/hyperlink" Target="PDF%20officiels/Maxime%20Calendrier%20de%20sortie.xlsx" TargetMode="External"/><Relationship Id="rId507" Type="http://schemas.openxmlformats.org/officeDocument/2006/relationships/hyperlink" Target="PDF%20officiels/Maxime%20Calendrier%20de%20sortie.xlsx" TargetMode="External"/><Relationship Id="rId549" Type="http://schemas.openxmlformats.org/officeDocument/2006/relationships/hyperlink" Target="PDF%20officiels/Maxime%20Calendrier%20de%20sortie.xlsx" TargetMode="External"/><Relationship Id="rId50" Type="http://schemas.openxmlformats.org/officeDocument/2006/relationships/hyperlink" Target="PDF%20officiels/Dealing%20Calendar%202026.pdf" TargetMode="External"/><Relationship Id="rId104" Type="http://schemas.openxmlformats.org/officeDocument/2006/relationships/hyperlink" Target="PDF%20officiels/2026%20SCOPE%20Dealing%20Cycle%20Reporting%20Calendar%20-%20Lux%20Final.pdf" TargetMode="External"/><Relationship Id="rId146" Type="http://schemas.openxmlformats.org/officeDocument/2006/relationships/hyperlink" Target="PDF%20officiels/Calendrier_Sorties_Althos_Private_Credit_2026%20vDEF%201704.pdf" TargetMode="External"/><Relationship Id="rId188" Type="http://schemas.openxmlformats.org/officeDocument/2006/relationships/hyperlink" Target="PDF%20officiels/Calendrier_Sorties_Althos_Private_Equity_2026%20vDEF1704.pdf" TargetMode="External"/><Relationship Id="rId311" Type="http://schemas.openxmlformats.org/officeDocument/2006/relationships/hyperlink" Target="PDF%20officiels/CollerEquity%20and%20CollerCredit%20Dealing%20Calendar%202026.pdf" TargetMode="External"/><Relationship Id="rId353" Type="http://schemas.openxmlformats.org/officeDocument/2006/relationships/hyperlink" Target="PDF%20officiels/PGPE%20&amp;%20PGCS%20-%202026%20Subs%20and%20Reds%20Calendar%20au%202026%2007%2015.pdf" TargetMode="External"/><Relationship Id="rId395" Type="http://schemas.openxmlformats.org/officeDocument/2006/relationships/hyperlink" Target="PDF%20officiels/PGPE%20&amp;%20PGCS%20-%202026%20Subs%20and%20Reds%20Calendar%20au%202026%2007%2015.pdf" TargetMode="External"/><Relationship Id="rId409" Type="http://schemas.openxmlformats.org/officeDocument/2006/relationships/hyperlink" Target="PDF%20officiels/Maxime%20Calendrier%20de%20sortie.xlsx" TargetMode="External"/><Relationship Id="rId560" Type="http://schemas.openxmlformats.org/officeDocument/2006/relationships/hyperlink" Target="PDF%20officiels/Maxime%20Calendrier%20de%20sortie.xlsx" TargetMode="External"/><Relationship Id="rId92" Type="http://schemas.openxmlformats.org/officeDocument/2006/relationships/hyperlink" Target="PDF%20officiels/2026%20GPA%20Dealing%20Cycle%20Reporting%20Calendar%20-%20Lux.pdf" TargetMode="External"/><Relationship Id="rId213" Type="http://schemas.openxmlformats.org/officeDocument/2006/relationships/hyperlink" Target="PDF%20officiels/Calendrier_Sorties_Althos_Private_Equity_2026%20vDEF1704.pdf" TargetMode="External"/><Relationship Id="rId420" Type="http://schemas.openxmlformats.org/officeDocument/2006/relationships/hyperlink" Target="PDF%20officiels/Maxime%20Calendrier%20de%20sortie.xlsx" TargetMode="External"/><Relationship Id="rId255" Type="http://schemas.openxmlformats.org/officeDocument/2006/relationships/hyperlink" Target="PDF%20officiels/Calendrier_Sorties_Antheor_Private_Infrastructures_2026.pdf" TargetMode="External"/><Relationship Id="rId297" Type="http://schemas.openxmlformats.org/officeDocument/2006/relationships/hyperlink" Target="PDF%20officiels/2026%20EQT%20Nexus%20Funds%20-%20Trading%20Calendar%20-%202026%20Final.pdf" TargetMode="External"/><Relationship Id="rId462" Type="http://schemas.openxmlformats.org/officeDocument/2006/relationships/hyperlink" Target="PDF%20officiels/Maxime%20Calendrier%20de%20sortie.xlsx" TargetMode="External"/><Relationship Id="rId518" Type="http://schemas.openxmlformats.org/officeDocument/2006/relationships/hyperlink" Target="PDF%20officiels/Maxime%20Calendrier%20de%20sortie.xlsx" TargetMode="External"/><Relationship Id="rId115" Type="http://schemas.openxmlformats.org/officeDocument/2006/relationships/hyperlink" Target="PDF%20officiels/2026%20SCOPE%20Dealing%20Cycle%20Reporting%20Calendar%20-%20Lux%20Final.pdf" TargetMode="External"/><Relationship Id="rId157" Type="http://schemas.openxmlformats.org/officeDocument/2006/relationships/hyperlink" Target="PDF%20officiels/Calendrier_Sorties_Althos_Private_Credit_2026%20vDEF%201704.pdf" TargetMode="External"/><Relationship Id="rId322" Type="http://schemas.openxmlformats.org/officeDocument/2006/relationships/hyperlink" Target="PDF%20officiels/CollerEquity%20and%20CollerCredit%20Dealing%20Calendar%202026.pdf" TargetMode="External"/><Relationship Id="rId364" Type="http://schemas.openxmlformats.org/officeDocument/2006/relationships/hyperlink" Target="PDF%20officiels/PGPE%20&amp;%20PGCS%20-%202026%20Subs%20and%20Reds%20Calendar%20au%202026%2007%2015.pdf" TargetMode="External"/><Relationship Id="rId61" Type="http://schemas.openxmlformats.org/officeDocument/2006/relationships/hyperlink" Target="PDF%20officiels/Dealing%20Calendar%202026.pdf" TargetMode="External"/><Relationship Id="rId199" Type="http://schemas.openxmlformats.org/officeDocument/2006/relationships/hyperlink" Target="PDF%20officiels/Calendrier_Sorties_Althos_Private_Equity_2026%20vDEF1704.pdf" TargetMode="External"/><Relationship Id="rId571" Type="http://schemas.openxmlformats.org/officeDocument/2006/relationships/hyperlink" Target="PDF%20officiels/Maxime%20Calendrier%20de%20sortie.xlsx" TargetMode="External"/><Relationship Id="rId19" Type="http://schemas.openxmlformats.org/officeDocument/2006/relationships/hyperlink" Target="PDF%20officiels/2025%20Tableau%20de%20sortie.pdf" TargetMode="External"/><Relationship Id="rId224" Type="http://schemas.openxmlformats.org/officeDocument/2006/relationships/hyperlink" Target="PDF%20officiels/Calendrier_Sorties_Althos_Private_Equity_2026%20vDEF1704.pdf" TargetMode="External"/><Relationship Id="rId266" Type="http://schemas.openxmlformats.org/officeDocument/2006/relationships/hyperlink" Target="PDF%20officiels/Calendrier_Sorties_Antheor_Private_Infrastructures_2026.pdf" TargetMode="External"/><Relationship Id="rId431" Type="http://schemas.openxmlformats.org/officeDocument/2006/relationships/hyperlink" Target="PDF%20officiels/Maxime%20Calendrier%20de%20sortie.xlsx" TargetMode="External"/><Relationship Id="rId473" Type="http://schemas.openxmlformats.org/officeDocument/2006/relationships/hyperlink" Target="PDF%20officiels/Maxime%20Calendrier%20de%20sortie.xlsx" TargetMode="External"/><Relationship Id="rId529" Type="http://schemas.openxmlformats.org/officeDocument/2006/relationships/hyperlink" Target="PDF%20officiels/Maxime%20Calendrier%20de%20sortie.xlsx" TargetMode="External"/><Relationship Id="rId30" Type="http://schemas.openxmlformats.org/officeDocument/2006/relationships/hyperlink" Target="PDF%20officiels/2026%20Calendrier%20d'entr&#233;e%20et%20de%20sortie.pdf" TargetMode="External"/><Relationship Id="rId126" Type="http://schemas.openxmlformats.org/officeDocument/2006/relationships/hyperlink" Target="PDF%20officiels/Calendrier_Sorties_Althos_Private_Credit_2026%20vDEF%201704.pdf" TargetMode="External"/><Relationship Id="rId168" Type="http://schemas.openxmlformats.org/officeDocument/2006/relationships/hyperlink" Target="PDF%20officiels/Calendrier_Sorties_Althos_Private_Credit_2026%20vDEF%201704.pdf" TargetMode="External"/><Relationship Id="rId333" Type="http://schemas.openxmlformats.org/officeDocument/2006/relationships/hyperlink" Target="PDF%20officiels/PGPE%20&amp;%20PGCS%20-%202026%20Subs%20and%20Reds%20Calendar%20au%202026%2007%2015.pdf" TargetMode="External"/><Relationship Id="rId540" Type="http://schemas.openxmlformats.org/officeDocument/2006/relationships/hyperlink" Target="PDF%20officiels/Maxime%20Calendrier%20de%20sortie.xlsx" TargetMode="External"/><Relationship Id="rId72" Type="http://schemas.openxmlformats.org/officeDocument/2006/relationships/hyperlink" Target="PDF%20officiels/Calendrier%202026.pdf" TargetMode="External"/><Relationship Id="rId375" Type="http://schemas.openxmlformats.org/officeDocument/2006/relationships/hyperlink" Target="PDF%20officiels/PGPE%20&amp;%20PGCS%20-%202026%20Subs%20and%20Reds%20Calendar%20au%202026%2007%2015.pdf" TargetMode="External"/><Relationship Id="rId582" Type="http://schemas.openxmlformats.org/officeDocument/2006/relationships/hyperlink" Target="PDF%20officiels/Maxime%20Calendrier%20de%20sortie.xlsx" TargetMode="External"/><Relationship Id="rId3" Type="http://schemas.openxmlformats.org/officeDocument/2006/relationships/hyperlink" Target="PDF%20officiels/2025%20Tableau%20de%20sortie.pdf" TargetMode="External"/><Relationship Id="rId235" Type="http://schemas.openxmlformats.org/officeDocument/2006/relationships/hyperlink" Target="PDF%20officiels/Calendrier_Sorties_Althos_Private_Equity_2026%20vDEF1704.pdf" TargetMode="External"/><Relationship Id="rId277" Type="http://schemas.openxmlformats.org/officeDocument/2006/relationships/hyperlink" Target="PDF%20officiels/2026%20EQT%20Nexus%20Funds%20-%20Trading%20Calendar%20-%202026%20Final.pdf" TargetMode="External"/><Relationship Id="rId400" Type="http://schemas.openxmlformats.org/officeDocument/2006/relationships/hyperlink" Target="PDF%20officiels/Maxime%20Calendrier%20de%20sortie.xlsx" TargetMode="External"/><Relationship Id="rId442" Type="http://schemas.openxmlformats.org/officeDocument/2006/relationships/hyperlink" Target="PDF%20officiels/Maxime%20Calendrier%20de%20sortie.xlsx" TargetMode="External"/><Relationship Id="rId484" Type="http://schemas.openxmlformats.org/officeDocument/2006/relationships/hyperlink" Target="PDF%20officiels/Maxime%20Calendrier%20de%20sortie.xlsx" TargetMode="External"/><Relationship Id="rId137" Type="http://schemas.openxmlformats.org/officeDocument/2006/relationships/hyperlink" Target="PDF%20officiels/Calendrier_Sorties_Althos_Private_Credit_2026%20vDEF%201704.pdf" TargetMode="External"/><Relationship Id="rId302" Type="http://schemas.openxmlformats.org/officeDocument/2006/relationships/hyperlink" Target="PDF%20officiels/2026%20EQT%20Nexus%20Funds%20-%20Trading%20Calendar%20-%202026%20Final.pdf" TargetMode="External"/><Relationship Id="rId344" Type="http://schemas.openxmlformats.org/officeDocument/2006/relationships/hyperlink" Target="PDF%20officiels/PGPE%20&amp;%20PGCS%20-%202026%20Subs%20and%20Reds%20Calendar%20au%202026%2007%2015.pdf" TargetMode="External"/><Relationship Id="rId41" Type="http://schemas.openxmlformats.org/officeDocument/2006/relationships/hyperlink" Target="PDF%20officiels/2026%20Calendrier%20d'entr&#233;e%20et%20de%20sortie.pdf" TargetMode="External"/><Relationship Id="rId83" Type="http://schemas.openxmlformats.org/officeDocument/2006/relationships/hyperlink" Target="PDF%20officiels/2026%20GPA%20Dealing%20Cycle%20Reporting%20Calendar%20-%20Lux.pdf" TargetMode="External"/><Relationship Id="rId179" Type="http://schemas.openxmlformats.org/officeDocument/2006/relationships/hyperlink" Target="PDF%20officiels/Calendrier_Sorties_Althos_Private_Equity_2026%20vDEF1704.pdf" TargetMode="External"/><Relationship Id="rId386" Type="http://schemas.openxmlformats.org/officeDocument/2006/relationships/hyperlink" Target="PDF%20officiels/PGPE%20&amp;%20PGCS%20-%202026%20Subs%20and%20Reds%20Calendar%20au%202026%2007%2015.pdf" TargetMode="External"/><Relationship Id="rId551" Type="http://schemas.openxmlformats.org/officeDocument/2006/relationships/hyperlink" Target="PDF%20officiels/Maxime%20Calendrier%20de%20sortie.xlsx" TargetMode="External"/><Relationship Id="rId593" Type="http://schemas.openxmlformats.org/officeDocument/2006/relationships/hyperlink" Target="PDF%20officiels/Maxime%20Calendrier%20de%20sortie.xlsx" TargetMode="External"/><Relationship Id="rId190" Type="http://schemas.openxmlformats.org/officeDocument/2006/relationships/hyperlink" Target="PDF%20officiels/Calendrier_Sorties_Althos_Private_Equity_2026%20vDEF1704.pdf" TargetMode="External"/><Relationship Id="rId204" Type="http://schemas.openxmlformats.org/officeDocument/2006/relationships/hyperlink" Target="PDF%20officiels/Calendrier_Sorties_Althos_Private_Equity_2026%20vDEF1704.pdf" TargetMode="External"/><Relationship Id="rId246" Type="http://schemas.openxmlformats.org/officeDocument/2006/relationships/hyperlink" Target="PDF%20officiels/Calendrier_Sorties_Antheor_Private_Infrastructures_2026.pdf" TargetMode="External"/><Relationship Id="rId288" Type="http://schemas.openxmlformats.org/officeDocument/2006/relationships/hyperlink" Target="PDF%20officiels/2026%20EQT%20Nexus%20Funds%20-%20Trading%20Calendar%20-%202026%20Final.pdf" TargetMode="External"/><Relationship Id="rId411" Type="http://schemas.openxmlformats.org/officeDocument/2006/relationships/hyperlink" Target="PDF%20officiels/Maxime%20Calendrier%20de%20sortie.xlsx" TargetMode="External"/><Relationship Id="rId453" Type="http://schemas.openxmlformats.org/officeDocument/2006/relationships/hyperlink" Target="PDF%20officiels/Maxime%20Calendrier%20de%20sortie.xlsx" TargetMode="External"/><Relationship Id="rId509" Type="http://schemas.openxmlformats.org/officeDocument/2006/relationships/hyperlink" Target="PDF%20officiels/Maxime%20Calendrier%20de%20sortie.xlsx" TargetMode="External"/><Relationship Id="rId106" Type="http://schemas.openxmlformats.org/officeDocument/2006/relationships/hyperlink" Target="PDF%20officiels/2026%20SCOPE%20Dealing%20Cycle%20Reporting%20Calendar%20-%20Lux%20Final.pdf" TargetMode="External"/><Relationship Id="rId313" Type="http://schemas.openxmlformats.org/officeDocument/2006/relationships/hyperlink" Target="PDF%20officiels/CollerEquity%20and%20CollerCredit%20Dealing%20Calendar%202026.pdf" TargetMode="External"/><Relationship Id="rId495" Type="http://schemas.openxmlformats.org/officeDocument/2006/relationships/hyperlink" Target="PDF%20officiels/Maxime%20Calendrier%20de%20sortie.xlsx" TargetMode="External"/><Relationship Id="rId10" Type="http://schemas.openxmlformats.org/officeDocument/2006/relationships/hyperlink" Target="PDF%20officiels/2025%20Tableau%20de%20sortie.pdf" TargetMode="External"/><Relationship Id="rId52" Type="http://schemas.openxmlformats.org/officeDocument/2006/relationships/hyperlink" Target="PDF%20officiels/Dealing%20Calendar%202026.pdf" TargetMode="External"/><Relationship Id="rId94" Type="http://schemas.openxmlformats.org/officeDocument/2006/relationships/hyperlink" Target="PDF%20officiels/2026%20GPA%20Dealing%20Cycle%20Reporting%20Calendar%20-%20Lux.pdf" TargetMode="External"/><Relationship Id="rId148" Type="http://schemas.openxmlformats.org/officeDocument/2006/relationships/hyperlink" Target="PDF%20officiels/Calendrier_Sorties_Althos_Private_Credit_2026%20vDEF%201704.pdf" TargetMode="External"/><Relationship Id="rId355" Type="http://schemas.openxmlformats.org/officeDocument/2006/relationships/hyperlink" Target="PDF%20officiels/PGPE%20&amp;%20PGCS%20-%202026%20Subs%20and%20Reds%20Calendar%20au%202026%2007%2015.pdf" TargetMode="External"/><Relationship Id="rId397" Type="http://schemas.openxmlformats.org/officeDocument/2006/relationships/hyperlink" Target="PDF%20officiels/Maxime%20Calendrier%20de%20sortie.xlsx" TargetMode="External"/><Relationship Id="rId520" Type="http://schemas.openxmlformats.org/officeDocument/2006/relationships/hyperlink" Target="PDF%20officiels/Maxime%20Calendrier%20de%20sortie.xlsx" TargetMode="External"/><Relationship Id="rId562" Type="http://schemas.openxmlformats.org/officeDocument/2006/relationships/hyperlink" Target="PDF%20officiels/Maxime%20Calendrier%20de%20sortie.xlsx" TargetMode="External"/><Relationship Id="rId215" Type="http://schemas.openxmlformats.org/officeDocument/2006/relationships/hyperlink" Target="PDF%20officiels/Calendrier_Sorties_Althos_Private_Equity_2026%20vDEF1704.pdf" TargetMode="External"/><Relationship Id="rId257" Type="http://schemas.openxmlformats.org/officeDocument/2006/relationships/hyperlink" Target="PDF%20officiels/Calendrier_Sorties_Antheor_Private_Infrastructures_2026.pdf" TargetMode="External"/><Relationship Id="rId422" Type="http://schemas.openxmlformats.org/officeDocument/2006/relationships/hyperlink" Target="PDF%20officiels/Maxime%20Calendrier%20de%20sortie.xlsx" TargetMode="External"/><Relationship Id="rId464" Type="http://schemas.openxmlformats.org/officeDocument/2006/relationships/hyperlink" Target="PDF%20officiels/Maxime%20Calendrier%20de%20sortie.xlsx" TargetMode="External"/><Relationship Id="rId299" Type="http://schemas.openxmlformats.org/officeDocument/2006/relationships/hyperlink" Target="PDF%20officiels/2026%20EQT%20Nexus%20Funds%20-%20Trading%20Calendar%20-%202026%20Final.pdf" TargetMode="External"/><Relationship Id="rId63" Type="http://schemas.openxmlformats.org/officeDocument/2006/relationships/hyperlink" Target="PDF%20officiels/Dealing%20Calendar%202026.pdf" TargetMode="External"/><Relationship Id="rId159" Type="http://schemas.openxmlformats.org/officeDocument/2006/relationships/hyperlink" Target="PDF%20officiels/Calendrier_Sorties_Althos_Private_Credit_2026%20vDEF%201704.pdf" TargetMode="External"/><Relationship Id="rId366" Type="http://schemas.openxmlformats.org/officeDocument/2006/relationships/hyperlink" Target="PDF%20officiels/PGPE%20&amp;%20PGCS%20-%202026%20Subs%20and%20Reds%20Calendar%20au%202026%2007%2015.pdf" TargetMode="External"/><Relationship Id="rId573" Type="http://schemas.openxmlformats.org/officeDocument/2006/relationships/hyperlink" Target="PDF%20officiels/Maxime%20Calendrier%20de%20sortie.xlsx" TargetMode="External"/><Relationship Id="rId226" Type="http://schemas.openxmlformats.org/officeDocument/2006/relationships/hyperlink" Target="PDF%20officiels/Calendrier_Sorties_Althos_Private_Equity_2026%20vDEF1704.pdf" TargetMode="External"/><Relationship Id="rId433" Type="http://schemas.openxmlformats.org/officeDocument/2006/relationships/hyperlink" Target="PDF%20officiels/Maxime%20Calendrier%20de%20sortie.xlsx" TargetMode="External"/><Relationship Id="rId74" Type="http://schemas.openxmlformats.org/officeDocument/2006/relationships/hyperlink" Target="PDF%20officiels/Calendrier%202026.pdf" TargetMode="External"/><Relationship Id="rId377" Type="http://schemas.openxmlformats.org/officeDocument/2006/relationships/hyperlink" Target="PDF%20officiels/PGPE%20&amp;%20PGCS%20-%202026%20Subs%20and%20Reds%20Calendar%20au%202026%2007%2015.pdf" TargetMode="External"/><Relationship Id="rId500" Type="http://schemas.openxmlformats.org/officeDocument/2006/relationships/hyperlink" Target="PDF%20officiels/Maxime%20Calendrier%20de%20sortie.xlsx" TargetMode="External"/><Relationship Id="rId584" Type="http://schemas.openxmlformats.org/officeDocument/2006/relationships/hyperlink" Target="PDF%20officiels/Maxime%20Calendrier%20de%20sortie.xlsx" TargetMode="External"/><Relationship Id="rId5" Type="http://schemas.openxmlformats.org/officeDocument/2006/relationships/hyperlink" Target="PDF%20officiels/2025%20Tableau%20de%20sortie.pdf" TargetMode="External"/><Relationship Id="rId237" Type="http://schemas.openxmlformats.org/officeDocument/2006/relationships/hyperlink" Target="PDF%20officiels/Calendrier_Sorties_Althos_Private_Equity_2026%20vDEF1704.pdf" TargetMode="External"/><Relationship Id="rId444" Type="http://schemas.openxmlformats.org/officeDocument/2006/relationships/hyperlink" Target="PDF%20officiels/Maxime%20Calendrier%20de%20sortie.xlsx" TargetMode="External"/><Relationship Id="rId290" Type="http://schemas.openxmlformats.org/officeDocument/2006/relationships/hyperlink" Target="PDF%20officiels/2026%20EQT%20Nexus%20Funds%20-%20Trading%20Calendar%20-%202026%20Final.pdf" TargetMode="External"/><Relationship Id="rId304" Type="http://schemas.openxmlformats.org/officeDocument/2006/relationships/hyperlink" Target="PDF%20officiels/2026%20EQT%20Nexus%20Funds%20-%20Trading%20Calendar%20-%202026%20Final.pdf" TargetMode="External"/><Relationship Id="rId388" Type="http://schemas.openxmlformats.org/officeDocument/2006/relationships/hyperlink" Target="PDF%20officiels/PGPE%20&amp;%20PGCS%20-%202026%20Subs%20and%20Reds%20Calendar%20au%202026%2007%2015.pdf" TargetMode="External"/><Relationship Id="rId511" Type="http://schemas.openxmlformats.org/officeDocument/2006/relationships/hyperlink" Target="PDF%20officiels/Maxime%20Calendrier%20de%20sortie.xlsx" TargetMode="External"/><Relationship Id="rId85" Type="http://schemas.openxmlformats.org/officeDocument/2006/relationships/hyperlink" Target="PDF%20officiels/2026%20GPA%20Dealing%20Cycle%20Reporting%20Calendar%20-%20Lux.pdf" TargetMode="External"/><Relationship Id="rId150" Type="http://schemas.openxmlformats.org/officeDocument/2006/relationships/hyperlink" Target="PDF%20officiels/Calendrier_Sorties_Althos_Private_Credit_2026%20vDEF%201704.pdf" TargetMode="External"/><Relationship Id="rId595" Type="http://schemas.openxmlformats.org/officeDocument/2006/relationships/hyperlink" Target="PDF%20officiels/Maxime%20Calendrier%20de%20sortie.xlsx" TargetMode="External"/><Relationship Id="rId248" Type="http://schemas.openxmlformats.org/officeDocument/2006/relationships/hyperlink" Target="PDF%20officiels/Calendrier_Sorties_Antheor_Private_Infrastructures_2026.pdf" TargetMode="External"/><Relationship Id="rId455" Type="http://schemas.openxmlformats.org/officeDocument/2006/relationships/hyperlink" Target="PDF%20officiels/Maxime%20Calendrier%20de%20sortie.xlsx" TargetMode="External"/><Relationship Id="rId12" Type="http://schemas.openxmlformats.org/officeDocument/2006/relationships/hyperlink" Target="PDF%20officiels/2025%20Tableau%20de%20sortie.pdf" TargetMode="External"/><Relationship Id="rId108" Type="http://schemas.openxmlformats.org/officeDocument/2006/relationships/hyperlink" Target="PDF%20officiels/2026%20SCOPE%20Dealing%20Cycle%20Reporting%20Calendar%20-%20Lux%20Final.pdf" TargetMode="External"/><Relationship Id="rId315" Type="http://schemas.openxmlformats.org/officeDocument/2006/relationships/hyperlink" Target="PDF%20officiels/CollerEquity%20and%20CollerCredit%20Dealing%20Calendar%202026.pdf" TargetMode="External"/><Relationship Id="rId522" Type="http://schemas.openxmlformats.org/officeDocument/2006/relationships/hyperlink" Target="PDF%20officiels/Maxime%20Calendrier%20de%20sortie.xlsx" TargetMode="External"/><Relationship Id="rId96" Type="http://schemas.openxmlformats.org/officeDocument/2006/relationships/hyperlink" Target="PDF%20officiels/2026%20SCOPE%20Dealing%20Cycle%20Reporting%20Calendar%20-%20Lux%20Final.pdf" TargetMode="External"/><Relationship Id="rId161" Type="http://schemas.openxmlformats.org/officeDocument/2006/relationships/hyperlink" Target="PDF%20officiels/Calendrier_Sorties_Althos_Private_Credit_2026%20vDEF%201704.pdf" TargetMode="External"/><Relationship Id="rId399" Type="http://schemas.openxmlformats.org/officeDocument/2006/relationships/hyperlink" Target="PDF%20officiels/Maxime%20Calendrier%20de%20sortie.xlsx" TargetMode="External"/><Relationship Id="rId259" Type="http://schemas.openxmlformats.org/officeDocument/2006/relationships/hyperlink" Target="PDF%20officiels/Calendrier_Sorties_Antheor_Private_Infrastructures_2026.pdf" TargetMode="External"/><Relationship Id="rId466" Type="http://schemas.openxmlformats.org/officeDocument/2006/relationships/hyperlink" Target="PDF%20officiels/Maxime%20Calendrier%20de%20sortie.xlsx" TargetMode="External"/><Relationship Id="rId23" Type="http://schemas.openxmlformats.org/officeDocument/2006/relationships/hyperlink" Target="PDF%20officiels/2025%20Tableau%20de%20sortie.pdf" TargetMode="External"/><Relationship Id="rId119" Type="http://schemas.openxmlformats.org/officeDocument/2006/relationships/hyperlink" Target="PDF%20officiels/2026%20SCOPE%20Dealing%20Cycle%20Reporting%20Calendar%20-%20Lux%20Final.pdf" TargetMode="External"/><Relationship Id="rId326" Type="http://schemas.openxmlformats.org/officeDocument/2006/relationships/hyperlink" Target="PDF%20officiels/CollerEquity%20and%20CollerCredit%20Dealing%20Calendar%202026.pdf" TargetMode="External"/><Relationship Id="rId533" Type="http://schemas.openxmlformats.org/officeDocument/2006/relationships/hyperlink" Target="PDF%20officiels/Maxime%20Calendrier%20de%20sortie.xlsx" TargetMode="External"/><Relationship Id="rId172" Type="http://schemas.openxmlformats.org/officeDocument/2006/relationships/hyperlink" Target="PDF%20officiels/Calendrier_Sorties_Althos_Private_Equity_2026%20vDEF1704.pdf" TargetMode="External"/><Relationship Id="rId477" Type="http://schemas.openxmlformats.org/officeDocument/2006/relationships/hyperlink" Target="PDF%20officiels/Maxime%20Calendrier%20de%20sortie.xlsx" TargetMode="External"/><Relationship Id="rId600" Type="http://schemas.openxmlformats.org/officeDocument/2006/relationships/hyperlink" Target="PDF%20officiels/Maxime%20Calendrier%20de%20sortie.xlsx" TargetMode="External"/><Relationship Id="rId337" Type="http://schemas.openxmlformats.org/officeDocument/2006/relationships/hyperlink" Target="PDF%20officiels/PGPE%20&amp;%20PGCS%20-%202026%20Subs%20and%20Reds%20Calendar%20au%202026%2007%2015.pdf" TargetMode="External"/><Relationship Id="rId34" Type="http://schemas.openxmlformats.org/officeDocument/2006/relationships/hyperlink" Target="PDF%20officiels/2026%20Calendrier%20d'entr&#233;e%20et%20de%20sortie.pdf" TargetMode="External"/><Relationship Id="rId544" Type="http://schemas.openxmlformats.org/officeDocument/2006/relationships/hyperlink" Target="PDF%20officiels/Maxime%20Calendrier%20de%20sortie.xlsx" TargetMode="External"/><Relationship Id="rId183" Type="http://schemas.openxmlformats.org/officeDocument/2006/relationships/hyperlink" Target="PDF%20officiels/Calendrier_Sorties_Althos_Private_Equity_2026%20vDEF1704.pdf" TargetMode="External"/><Relationship Id="rId390" Type="http://schemas.openxmlformats.org/officeDocument/2006/relationships/hyperlink" Target="PDF%20officiels/PGPE%20&amp;%20PGCS%20-%202026%20Subs%20and%20Reds%20Calendar%20au%202026%2007%2015.pdf" TargetMode="External"/><Relationship Id="rId404" Type="http://schemas.openxmlformats.org/officeDocument/2006/relationships/hyperlink" Target="PDF%20officiels/Maxime%20Calendrier%20de%20sortie.xlsx" TargetMode="External"/><Relationship Id="rId250" Type="http://schemas.openxmlformats.org/officeDocument/2006/relationships/hyperlink" Target="PDF%20officiels/Calendrier_Sorties_Antheor_Private_Infrastructures_2026.pdf" TargetMode="External"/><Relationship Id="rId488" Type="http://schemas.openxmlformats.org/officeDocument/2006/relationships/hyperlink" Target="PDF%20officiels/Maxime%20Calendrier%20de%20sortie.xlsx" TargetMode="External"/><Relationship Id="rId45" Type="http://schemas.openxmlformats.org/officeDocument/2006/relationships/hyperlink" Target="PDF%20officiels/2026%20Calendrier%20d'entr&#233;e%20et%20de%20sortie.pdf" TargetMode="External"/><Relationship Id="rId110" Type="http://schemas.openxmlformats.org/officeDocument/2006/relationships/hyperlink" Target="PDF%20officiels/2026%20SCOPE%20Dealing%20Cycle%20Reporting%20Calendar%20-%20Lux%20Final.pdf" TargetMode="External"/><Relationship Id="rId348" Type="http://schemas.openxmlformats.org/officeDocument/2006/relationships/hyperlink" Target="PDF%20officiels/PGPE%20&amp;%20PGCS%20-%202026%20Subs%20and%20Reds%20Calendar%20au%202026%2007%2015.pdf" TargetMode="External"/><Relationship Id="rId555" Type="http://schemas.openxmlformats.org/officeDocument/2006/relationships/hyperlink" Target="PDF%20officiels/Maxime%20Calendrier%20de%20sortie.xlsx" TargetMode="External"/><Relationship Id="rId194" Type="http://schemas.openxmlformats.org/officeDocument/2006/relationships/hyperlink" Target="PDF%20officiels/Calendrier_Sorties_Althos_Private_Equity_2026%20vDEF1704.pdf" TargetMode="External"/><Relationship Id="rId208" Type="http://schemas.openxmlformats.org/officeDocument/2006/relationships/hyperlink" Target="PDF%20officiels/Calendrier_Sorties_Althos_Private_Equity_2026%20vDEF1704.pdf" TargetMode="External"/><Relationship Id="rId415" Type="http://schemas.openxmlformats.org/officeDocument/2006/relationships/hyperlink" Target="PDF%20officiels/Maxime%20Calendrier%20de%20sortie.xlsx" TargetMode="External"/><Relationship Id="rId261" Type="http://schemas.openxmlformats.org/officeDocument/2006/relationships/hyperlink" Target="PDF%20officiels/Calendrier_Sorties_Antheor_Private_Infrastructures_2026.pdf" TargetMode="External"/><Relationship Id="rId499" Type="http://schemas.openxmlformats.org/officeDocument/2006/relationships/hyperlink" Target="PDF%20officiels/Maxime%20Calendrier%20de%20sortie.xlsx"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774"/>
  <sheetViews>
    <sheetView tabSelected="1" zoomScale="85" zoomScaleNormal="85" workbookViewId="0">
      <pane xSplit="2" ySplit="1" topLeftCell="C634" activePane="bottomRight" state="frozen"/>
      <selection pane="bottomRight" activeCell="G660" sqref="G660:K660"/>
      <selection pane="bottomLeft"/>
      <selection pane="topRight"/>
    </sheetView>
  </sheetViews>
  <sheetFormatPr defaultColWidth="8.7109375" defaultRowHeight="15" customHeight="1" outlineLevelRow="3"/>
  <cols>
    <col min="1" max="1" width="15" customWidth="1"/>
    <col min="2" max="2" width="52" customWidth="1"/>
    <col min="3" max="3" width="24" customWidth="1"/>
    <col min="4" max="4" width="28" customWidth="1"/>
    <col min="5" max="5" width="14" customWidth="1"/>
    <col min="6" max="6" width="11.85546875" customWidth="1"/>
    <col min="7" max="7" width="20" customWidth="1"/>
    <col min="8" max="8" width="22" customWidth="1"/>
    <col min="9" max="9" width="14" customWidth="1"/>
    <col min="10" max="10" width="84.42578125" customWidth="1"/>
    <col min="11" max="12" width="17" customWidth="1"/>
    <col min="13" max="13" width="18" customWidth="1"/>
    <col min="14" max="14" width="22" style="53" customWidth="1"/>
    <col min="15" max="15" width="12" customWidth="1"/>
    <col min="16" max="16" width="96.85546875" customWidth="1"/>
    <col min="17" max="17" width="138.5703125" customWidth="1"/>
    <col min="18" max="18" width="14.85546875" hidden="1" customWidth="1"/>
    <col min="19" max="19" width="19" hidden="1" customWidth="1"/>
    <col min="20" max="20" width="16.28515625" hidden="1" customWidth="1"/>
    <col min="21" max="21" width="22.85546875" hidden="1" customWidth="1"/>
    <col min="22" max="22" width="38.140625" customWidth="1"/>
  </cols>
  <sheetData>
    <row r="1" spans="1:22" ht="30" customHeight="1">
      <c r="A1" s="26" t="s">
        <v>0</v>
      </c>
      <c r="B1" s="26" t="s">
        <v>1</v>
      </c>
      <c r="C1" s="26" t="s">
        <v>2</v>
      </c>
      <c r="D1" s="26" t="s">
        <v>3</v>
      </c>
      <c r="E1" s="26" t="s">
        <v>4</v>
      </c>
      <c r="F1" s="26" t="s">
        <v>5</v>
      </c>
      <c r="G1" s="26" t="s">
        <v>6</v>
      </c>
      <c r="H1" s="26" t="s">
        <v>7</v>
      </c>
      <c r="I1" s="26" t="s">
        <v>8</v>
      </c>
      <c r="J1" s="27" t="s">
        <v>9</v>
      </c>
      <c r="K1" s="27" t="s">
        <v>10</v>
      </c>
      <c r="L1" s="27" t="s">
        <v>11</v>
      </c>
      <c r="M1" s="27" t="s">
        <v>12</v>
      </c>
      <c r="N1" s="27" t="s">
        <v>13</v>
      </c>
      <c r="O1" s="27" t="s">
        <v>14</v>
      </c>
      <c r="P1" s="27" t="s">
        <v>15</v>
      </c>
      <c r="Q1" s="27" t="s">
        <v>16</v>
      </c>
      <c r="R1" s="70" t="s">
        <v>17</v>
      </c>
      <c r="S1" s="70" t="s">
        <v>18</v>
      </c>
      <c r="T1" s="70" t="s">
        <v>19</v>
      </c>
      <c r="U1" s="70" t="s">
        <v>20</v>
      </c>
      <c r="V1" s="70" t="s">
        <v>21</v>
      </c>
    </row>
    <row r="2" spans="1:22">
      <c r="A2" s="28" t="s">
        <v>22</v>
      </c>
      <c r="B2" s="29" t="s">
        <v>23</v>
      </c>
      <c r="C2" s="30" t="s">
        <v>24</v>
      </c>
      <c r="D2" s="30"/>
      <c r="E2" s="30"/>
      <c r="F2" s="31">
        <v>2</v>
      </c>
      <c r="G2" s="30"/>
      <c r="H2" s="32"/>
      <c r="I2" s="30" t="s">
        <v>25</v>
      </c>
      <c r="J2" s="20" t="s">
        <v>26</v>
      </c>
      <c r="K2" s="20"/>
      <c r="L2" s="20"/>
      <c r="M2" s="20"/>
      <c r="N2" s="49"/>
      <c r="O2" s="20"/>
      <c r="P2" s="20" t="s">
        <v>27</v>
      </c>
      <c r="Q2" s="92"/>
    </row>
    <row r="3" spans="1:22">
      <c r="A3" s="33" t="s">
        <v>28</v>
      </c>
      <c r="B3" s="34" t="s">
        <v>29</v>
      </c>
      <c r="C3" s="35" t="s">
        <v>24</v>
      </c>
      <c r="D3" s="35"/>
      <c r="E3" s="35"/>
      <c r="F3" s="36">
        <v>2</v>
      </c>
      <c r="G3" s="35"/>
      <c r="H3" s="37"/>
      <c r="I3" s="35" t="s">
        <v>25</v>
      </c>
      <c r="J3" s="21" t="s">
        <v>30</v>
      </c>
      <c r="K3" s="21"/>
      <c r="L3" s="21"/>
      <c r="M3" s="21"/>
      <c r="N3" s="50"/>
      <c r="O3" s="21"/>
      <c r="P3" s="21" t="s">
        <v>27</v>
      </c>
      <c r="Q3" s="69"/>
    </row>
    <row r="4" spans="1:22">
      <c r="A4" s="28" t="s">
        <v>31</v>
      </c>
      <c r="B4" s="29" t="s">
        <v>32</v>
      </c>
      <c r="C4" s="30" t="s">
        <v>24</v>
      </c>
      <c r="D4" s="30"/>
      <c r="E4" s="30"/>
      <c r="F4" s="31">
        <v>2</v>
      </c>
      <c r="G4" s="30"/>
      <c r="H4" s="32"/>
      <c r="I4" s="30" t="s">
        <v>25</v>
      </c>
      <c r="J4" s="20" t="s">
        <v>33</v>
      </c>
      <c r="K4" s="20"/>
      <c r="L4" s="20"/>
      <c r="M4" s="20"/>
      <c r="N4" s="49"/>
      <c r="O4" s="20"/>
      <c r="P4" s="20" t="s">
        <v>27</v>
      </c>
      <c r="Q4" s="92"/>
    </row>
    <row r="5" spans="1:22">
      <c r="A5" s="33" t="s">
        <v>34</v>
      </c>
      <c r="B5" s="34" t="s">
        <v>35</v>
      </c>
      <c r="C5" s="35" t="s">
        <v>24</v>
      </c>
      <c r="D5" s="35"/>
      <c r="E5" s="35"/>
      <c r="F5" s="36">
        <v>2</v>
      </c>
      <c r="G5" s="35"/>
      <c r="H5" s="37"/>
      <c r="I5" s="35" t="s">
        <v>25</v>
      </c>
      <c r="J5" s="21" t="s">
        <v>36</v>
      </c>
      <c r="K5" s="21"/>
      <c r="L5" s="21"/>
      <c r="M5" s="21"/>
      <c r="N5" s="50"/>
      <c r="O5" s="21"/>
      <c r="P5" s="21" t="s">
        <v>27</v>
      </c>
      <c r="Q5" s="69"/>
    </row>
    <row r="6" spans="1:22">
      <c r="A6" s="28" t="s">
        <v>37</v>
      </c>
      <c r="B6" s="29" t="s">
        <v>38</v>
      </c>
      <c r="C6" s="30" t="s">
        <v>24</v>
      </c>
      <c r="D6" s="30"/>
      <c r="E6" s="30"/>
      <c r="F6" s="31">
        <v>5</v>
      </c>
      <c r="G6" s="30"/>
      <c r="H6" s="32"/>
      <c r="I6" s="30" t="s">
        <v>25</v>
      </c>
      <c r="J6" s="20" t="s">
        <v>39</v>
      </c>
      <c r="K6" s="20"/>
      <c r="L6" s="20"/>
      <c r="M6" s="20"/>
      <c r="N6" s="49"/>
      <c r="O6" s="20"/>
      <c r="P6" s="20" t="s">
        <v>40</v>
      </c>
      <c r="Q6" s="92"/>
    </row>
    <row r="7" spans="1:22">
      <c r="A7" s="33" t="s">
        <v>41</v>
      </c>
      <c r="B7" s="34" t="s">
        <v>42</v>
      </c>
      <c r="C7" s="35" t="s">
        <v>24</v>
      </c>
      <c r="D7" s="35"/>
      <c r="E7" s="35"/>
      <c r="F7" s="36">
        <v>2</v>
      </c>
      <c r="G7" s="35"/>
      <c r="H7" s="37"/>
      <c r="I7" s="35" t="s">
        <v>25</v>
      </c>
      <c r="J7" s="21" t="s">
        <v>43</v>
      </c>
      <c r="K7" s="21"/>
      <c r="L7" s="21"/>
      <c r="M7" s="21"/>
      <c r="N7" s="50"/>
      <c r="O7" s="21"/>
      <c r="P7" s="21" t="s">
        <v>27</v>
      </c>
      <c r="Q7" s="69"/>
    </row>
    <row r="8" spans="1:22">
      <c r="A8" s="28" t="s">
        <v>44</v>
      </c>
      <c r="B8" s="29" t="s">
        <v>45</v>
      </c>
      <c r="C8" s="30" t="s">
        <v>24</v>
      </c>
      <c r="D8" s="30"/>
      <c r="E8" s="30"/>
      <c r="F8" s="31">
        <v>2</v>
      </c>
      <c r="G8" s="30"/>
      <c r="H8" s="32"/>
      <c r="I8" s="30" t="s">
        <v>25</v>
      </c>
      <c r="J8" s="20" t="s">
        <v>46</v>
      </c>
      <c r="K8" s="20"/>
      <c r="L8" s="20"/>
      <c r="M8" s="20"/>
      <c r="N8" s="49"/>
      <c r="O8" s="20"/>
      <c r="P8" s="20" t="s">
        <v>40</v>
      </c>
      <c r="Q8" s="92"/>
    </row>
    <row r="9" spans="1:22">
      <c r="A9" s="33" t="s">
        <v>47</v>
      </c>
      <c r="B9" s="34" t="s">
        <v>48</v>
      </c>
      <c r="C9" s="35" t="s">
        <v>24</v>
      </c>
      <c r="D9" s="35"/>
      <c r="E9" s="35"/>
      <c r="F9" s="36">
        <v>4</v>
      </c>
      <c r="G9" s="35"/>
      <c r="H9" s="37"/>
      <c r="I9" s="35" t="s">
        <v>25</v>
      </c>
      <c r="J9" s="21" t="s">
        <v>49</v>
      </c>
      <c r="K9" s="21"/>
      <c r="L9" s="21"/>
      <c r="M9" s="21"/>
      <c r="N9" s="50"/>
      <c r="O9" s="21"/>
      <c r="P9" s="21" t="s">
        <v>27</v>
      </c>
      <c r="Q9" s="69"/>
    </row>
    <row r="10" spans="1:22">
      <c r="A10" s="28" t="s">
        <v>50</v>
      </c>
      <c r="B10" s="29" t="s">
        <v>51</v>
      </c>
      <c r="C10" s="30" t="s">
        <v>24</v>
      </c>
      <c r="D10" s="30"/>
      <c r="E10" s="30"/>
      <c r="F10" s="31">
        <v>3</v>
      </c>
      <c r="G10" s="30"/>
      <c r="H10" s="32"/>
      <c r="I10" s="30" t="s">
        <v>25</v>
      </c>
      <c r="J10" s="20"/>
      <c r="K10" s="20"/>
      <c r="L10" s="20"/>
      <c r="M10" s="20"/>
      <c r="N10" s="49"/>
      <c r="O10" s="20"/>
      <c r="P10" s="20"/>
      <c r="Q10" s="92"/>
      <c r="V10" t="s">
        <v>52</v>
      </c>
    </row>
    <row r="11" spans="1:22">
      <c r="A11" s="33" t="s">
        <v>53</v>
      </c>
      <c r="B11" s="34" t="s">
        <v>54</v>
      </c>
      <c r="C11" s="35" t="s">
        <v>24</v>
      </c>
      <c r="D11" s="35"/>
      <c r="E11" s="35"/>
      <c r="F11" s="36">
        <v>3</v>
      </c>
      <c r="G11" s="35"/>
      <c r="H11" s="37"/>
      <c r="I11" s="35" t="s">
        <v>25</v>
      </c>
      <c r="J11" s="21"/>
      <c r="K11" s="21"/>
      <c r="L11" s="21"/>
      <c r="M11" s="21"/>
      <c r="N11" s="50"/>
      <c r="O11" s="21"/>
      <c r="P11" s="21"/>
      <c r="Q11" s="69"/>
      <c r="V11" t="s">
        <v>55</v>
      </c>
    </row>
    <row r="12" spans="1:22">
      <c r="A12" s="28" t="s">
        <v>56</v>
      </c>
      <c r="B12" s="29" t="s">
        <v>57</v>
      </c>
      <c r="C12" s="30" t="s">
        <v>24</v>
      </c>
      <c r="D12" s="30"/>
      <c r="E12" s="30"/>
      <c r="F12" s="31">
        <v>3</v>
      </c>
      <c r="G12" s="30"/>
      <c r="H12" s="32"/>
      <c r="I12" s="30" t="s">
        <v>25</v>
      </c>
      <c r="J12" s="81" t="s">
        <v>58</v>
      </c>
      <c r="K12" s="20"/>
      <c r="L12" s="20"/>
      <c r="M12" s="20"/>
      <c r="N12" s="49"/>
      <c r="O12" s="20"/>
      <c r="P12" s="20" t="s">
        <v>27</v>
      </c>
      <c r="Q12" s="92"/>
    </row>
    <row r="13" spans="1:22">
      <c r="A13" s="33" t="s">
        <v>59</v>
      </c>
      <c r="B13" s="34" t="s">
        <v>60</v>
      </c>
      <c r="C13" s="35" t="s">
        <v>24</v>
      </c>
      <c r="D13" s="35"/>
      <c r="E13" s="35"/>
      <c r="F13" s="36">
        <v>3</v>
      </c>
      <c r="G13" s="35"/>
      <c r="H13" s="37"/>
      <c r="I13" s="35" t="s">
        <v>25</v>
      </c>
      <c r="J13" s="21" t="s">
        <v>58</v>
      </c>
      <c r="K13" s="21"/>
      <c r="L13" s="21"/>
      <c r="M13" s="21"/>
      <c r="N13" s="50"/>
      <c r="O13" s="21"/>
      <c r="P13" s="21" t="s">
        <v>27</v>
      </c>
      <c r="Q13" s="69"/>
    </row>
    <row r="14" spans="1:22">
      <c r="A14" s="28" t="s">
        <v>61</v>
      </c>
      <c r="B14" s="29" t="s">
        <v>62</v>
      </c>
      <c r="C14" s="30" t="s">
        <v>24</v>
      </c>
      <c r="D14" s="30"/>
      <c r="E14" s="30"/>
      <c r="F14" s="31">
        <v>3</v>
      </c>
      <c r="G14" s="30"/>
      <c r="H14" s="32"/>
      <c r="I14" s="30" t="s">
        <v>25</v>
      </c>
      <c r="J14" s="20" t="s">
        <v>63</v>
      </c>
      <c r="K14" s="20"/>
      <c r="L14" s="20"/>
      <c r="M14" s="20"/>
      <c r="N14" s="49"/>
      <c r="O14" s="20"/>
      <c r="P14" s="20" t="s">
        <v>27</v>
      </c>
      <c r="Q14" s="92"/>
    </row>
    <row r="15" spans="1:22">
      <c r="A15" s="33" t="s">
        <v>64</v>
      </c>
      <c r="B15" s="34" t="s">
        <v>65</v>
      </c>
      <c r="C15" s="35" t="s">
        <v>24</v>
      </c>
      <c r="D15" s="35"/>
      <c r="E15" s="35"/>
      <c r="F15" s="36">
        <v>4</v>
      </c>
      <c r="G15" s="35"/>
      <c r="H15" s="37"/>
      <c r="I15" s="35" t="s">
        <v>25</v>
      </c>
      <c r="J15" s="21"/>
      <c r="K15" s="21"/>
      <c r="L15" s="21"/>
      <c r="M15" s="21"/>
      <c r="N15" s="50"/>
      <c r="O15" s="21"/>
      <c r="P15" s="21"/>
      <c r="Q15" s="69"/>
      <c r="V15" t="s">
        <v>55</v>
      </c>
    </row>
    <row r="16" spans="1:22">
      <c r="A16" s="28" t="s">
        <v>66</v>
      </c>
      <c r="B16" s="29" t="s">
        <v>67</v>
      </c>
      <c r="C16" s="30" t="s">
        <v>24</v>
      </c>
      <c r="D16" s="30"/>
      <c r="E16" s="30"/>
      <c r="F16" s="31">
        <v>5</v>
      </c>
      <c r="G16" s="30"/>
      <c r="H16" s="32"/>
      <c r="I16" s="30" t="s">
        <v>25</v>
      </c>
      <c r="J16" s="20"/>
      <c r="K16" s="20"/>
      <c r="L16" s="20"/>
      <c r="M16" s="20"/>
      <c r="N16" s="49"/>
      <c r="O16" s="20"/>
      <c r="P16" s="20"/>
      <c r="Q16" s="92"/>
      <c r="V16" t="s">
        <v>55</v>
      </c>
    </row>
    <row r="17" spans="1:22">
      <c r="A17" s="33" t="s">
        <v>68</v>
      </c>
      <c r="B17" s="34" t="s">
        <v>69</v>
      </c>
      <c r="C17" s="35" t="s">
        <v>24</v>
      </c>
      <c r="D17" s="35"/>
      <c r="E17" s="35"/>
      <c r="F17" s="36">
        <v>5</v>
      </c>
      <c r="G17" s="35"/>
      <c r="H17" s="37"/>
      <c r="I17" s="35" t="s">
        <v>25</v>
      </c>
      <c r="J17" s="21" t="s">
        <v>70</v>
      </c>
      <c r="K17" s="21"/>
      <c r="L17" s="21"/>
      <c r="M17" s="21"/>
      <c r="N17" s="50"/>
      <c r="O17" s="21"/>
      <c r="P17" s="21" t="s">
        <v>27</v>
      </c>
      <c r="Q17" s="69"/>
    </row>
    <row r="18" spans="1:22">
      <c r="A18" s="28" t="s">
        <v>71</v>
      </c>
      <c r="B18" s="29" t="s">
        <v>72</v>
      </c>
      <c r="C18" s="30" t="s">
        <v>24</v>
      </c>
      <c r="D18" s="30"/>
      <c r="E18" s="30"/>
      <c r="F18" s="31">
        <v>7</v>
      </c>
      <c r="G18" s="30"/>
      <c r="H18" s="32"/>
      <c r="I18" s="30" t="s">
        <v>25</v>
      </c>
      <c r="J18" s="20" t="s">
        <v>73</v>
      </c>
      <c r="K18" s="20"/>
      <c r="L18" s="20"/>
      <c r="M18" s="20"/>
      <c r="N18" s="49"/>
      <c r="O18" s="20"/>
      <c r="P18" s="20" t="s">
        <v>40</v>
      </c>
      <c r="Q18" s="92"/>
    </row>
    <row r="19" spans="1:22">
      <c r="A19" s="33" t="s">
        <v>74</v>
      </c>
      <c r="B19" s="34" t="s">
        <v>75</v>
      </c>
      <c r="C19" s="35" t="s">
        <v>24</v>
      </c>
      <c r="D19" s="35"/>
      <c r="E19" s="35"/>
      <c r="F19" s="36">
        <v>7</v>
      </c>
      <c r="G19" s="35"/>
      <c r="H19" s="37"/>
      <c r="I19" s="35" t="s">
        <v>25</v>
      </c>
      <c r="J19" s="21" t="s">
        <v>73</v>
      </c>
      <c r="K19" s="21"/>
      <c r="L19" s="21"/>
      <c r="M19" s="21"/>
      <c r="N19" s="50"/>
      <c r="O19" s="21"/>
      <c r="P19" s="21" t="s">
        <v>40</v>
      </c>
      <c r="Q19" s="69"/>
    </row>
    <row r="20" spans="1:22">
      <c r="A20" s="28" t="s">
        <v>76</v>
      </c>
      <c r="B20" s="29" t="s">
        <v>77</v>
      </c>
      <c r="C20" s="30" t="s">
        <v>24</v>
      </c>
      <c r="D20" s="30"/>
      <c r="E20" s="30"/>
      <c r="F20" s="31">
        <v>7</v>
      </c>
      <c r="G20" s="30"/>
      <c r="H20" s="32"/>
      <c r="I20" s="30" t="s">
        <v>25</v>
      </c>
      <c r="J20" s="20"/>
      <c r="K20" s="20"/>
      <c r="L20" s="20"/>
      <c r="M20" s="20"/>
      <c r="N20" s="49"/>
      <c r="O20" s="20"/>
      <c r="P20" s="20"/>
      <c r="Q20" s="92"/>
      <c r="V20" t="s">
        <v>55</v>
      </c>
    </row>
    <row r="21" spans="1:22">
      <c r="A21" s="33" t="s">
        <v>78</v>
      </c>
      <c r="B21" s="34" t="s">
        <v>79</v>
      </c>
      <c r="C21" s="35" t="s">
        <v>24</v>
      </c>
      <c r="D21" s="35"/>
      <c r="E21" s="35"/>
      <c r="F21" s="36">
        <v>7</v>
      </c>
      <c r="G21" s="35"/>
      <c r="H21" s="37"/>
      <c r="I21" s="35" t="s">
        <v>25</v>
      </c>
      <c r="J21" s="21" t="s">
        <v>73</v>
      </c>
      <c r="K21" s="21"/>
      <c r="L21" s="21"/>
      <c r="M21" s="21"/>
      <c r="N21" s="50"/>
      <c r="O21" s="21"/>
      <c r="P21" s="21" t="s">
        <v>40</v>
      </c>
      <c r="Q21" s="69"/>
    </row>
    <row r="22" spans="1:22">
      <c r="A22" s="33" t="s">
        <v>80</v>
      </c>
      <c r="B22" s="34" t="s">
        <v>81</v>
      </c>
      <c r="C22" s="35" t="s">
        <v>24</v>
      </c>
      <c r="D22" s="35"/>
      <c r="E22" s="35"/>
      <c r="F22" s="36">
        <v>3</v>
      </c>
      <c r="G22" s="35"/>
      <c r="H22" s="37"/>
      <c r="I22" s="35" t="s">
        <v>25</v>
      </c>
      <c r="J22" s="21"/>
      <c r="K22" s="21"/>
      <c r="L22" s="21"/>
      <c r="M22" s="21"/>
      <c r="N22" s="50"/>
      <c r="O22" s="21"/>
      <c r="P22" s="21"/>
      <c r="Q22" s="69"/>
      <c r="V22" t="s">
        <v>82</v>
      </c>
    </row>
    <row r="23" spans="1:22">
      <c r="A23" s="28" t="s">
        <v>83</v>
      </c>
      <c r="B23" s="29" t="s">
        <v>84</v>
      </c>
      <c r="C23" s="30" t="s">
        <v>85</v>
      </c>
      <c r="D23" s="30"/>
      <c r="E23" s="30"/>
      <c r="F23" s="31">
        <v>4</v>
      </c>
      <c r="G23" s="30"/>
      <c r="H23" s="32"/>
      <c r="I23" s="30" t="s">
        <v>25</v>
      </c>
      <c r="J23" s="20" t="s">
        <v>86</v>
      </c>
      <c r="K23" s="20"/>
      <c r="L23" s="20"/>
      <c r="M23" s="20"/>
      <c r="N23" s="49"/>
      <c r="O23" s="20"/>
      <c r="P23" s="20" t="s">
        <v>87</v>
      </c>
      <c r="Q23" s="92"/>
    </row>
    <row r="24" spans="1:22">
      <c r="A24" s="33" t="s">
        <v>88</v>
      </c>
      <c r="B24" s="34" t="s">
        <v>89</v>
      </c>
      <c r="C24" s="35" t="s">
        <v>85</v>
      </c>
      <c r="D24" s="35"/>
      <c r="E24" s="35"/>
      <c r="F24" s="36">
        <v>4</v>
      </c>
      <c r="G24" s="35"/>
      <c r="H24" s="37"/>
      <c r="I24" s="35" t="s">
        <v>25</v>
      </c>
      <c r="J24" s="21" t="s">
        <v>90</v>
      </c>
      <c r="K24" s="21"/>
      <c r="L24" s="21"/>
      <c r="M24" s="21"/>
      <c r="N24" s="50"/>
      <c r="O24" s="21"/>
      <c r="P24" s="21" t="s">
        <v>91</v>
      </c>
      <c r="Q24" s="69"/>
    </row>
    <row r="25" spans="1:22">
      <c r="A25" s="28" t="s">
        <v>92</v>
      </c>
      <c r="B25" s="29" t="s">
        <v>93</v>
      </c>
      <c r="C25" s="30" t="s">
        <v>85</v>
      </c>
      <c r="D25" s="30"/>
      <c r="E25" s="30"/>
      <c r="F25" s="31">
        <v>4</v>
      </c>
      <c r="G25" s="30"/>
      <c r="H25" s="32"/>
      <c r="I25" s="30" t="s">
        <v>25</v>
      </c>
      <c r="J25" s="20"/>
      <c r="K25" s="20"/>
      <c r="L25" s="20"/>
      <c r="M25" s="20"/>
      <c r="N25" s="49"/>
      <c r="O25" s="20"/>
      <c r="P25" s="20"/>
      <c r="Q25" s="92"/>
      <c r="V25" t="s">
        <v>94</v>
      </c>
    </row>
    <row r="26" spans="1:22">
      <c r="A26" s="33" t="s">
        <v>95</v>
      </c>
      <c r="B26" s="34" t="s">
        <v>96</v>
      </c>
      <c r="C26" s="35" t="s">
        <v>85</v>
      </c>
      <c r="D26" s="35"/>
      <c r="E26" s="35"/>
      <c r="F26" s="36">
        <v>4</v>
      </c>
      <c r="G26" s="35"/>
      <c r="H26" s="37"/>
      <c r="I26" s="35" t="s">
        <v>25</v>
      </c>
      <c r="J26" s="21" t="s">
        <v>97</v>
      </c>
      <c r="K26" s="21"/>
      <c r="L26" s="21"/>
      <c r="M26" s="21"/>
      <c r="N26" s="50"/>
      <c r="O26" s="21"/>
      <c r="P26" s="21" t="s">
        <v>40</v>
      </c>
      <c r="Q26" s="69"/>
    </row>
    <row r="27" spans="1:22">
      <c r="A27" s="28" t="s">
        <v>98</v>
      </c>
      <c r="B27" s="29" t="s">
        <v>99</v>
      </c>
      <c r="C27" s="30" t="s">
        <v>85</v>
      </c>
      <c r="D27" s="30"/>
      <c r="E27" s="30"/>
      <c r="F27" s="31">
        <v>4</v>
      </c>
      <c r="G27" s="30"/>
      <c r="H27" s="32"/>
      <c r="I27" s="30" t="s">
        <v>25</v>
      </c>
      <c r="J27" s="20" t="s">
        <v>97</v>
      </c>
      <c r="K27" s="20"/>
      <c r="L27" s="20"/>
      <c r="M27" s="20"/>
      <c r="N27" s="49"/>
      <c r="O27" s="20"/>
      <c r="P27" s="20" t="s">
        <v>27</v>
      </c>
      <c r="Q27" s="92"/>
    </row>
    <row r="28" spans="1:22">
      <c r="A28" s="33" t="s">
        <v>100</v>
      </c>
      <c r="B28" s="34" t="s">
        <v>101</v>
      </c>
      <c r="C28" s="35" t="s">
        <v>85</v>
      </c>
      <c r="D28" s="35"/>
      <c r="E28" s="35"/>
      <c r="F28" s="36">
        <v>4</v>
      </c>
      <c r="G28" s="35"/>
      <c r="H28" s="37"/>
      <c r="I28" s="35" t="s">
        <v>25</v>
      </c>
      <c r="J28" s="21" t="s">
        <v>102</v>
      </c>
      <c r="K28" s="21"/>
      <c r="L28" s="21"/>
      <c r="M28" s="21"/>
      <c r="N28" s="50"/>
      <c r="O28" s="21"/>
      <c r="P28" s="21" t="s">
        <v>27</v>
      </c>
      <c r="Q28" s="69"/>
    </row>
    <row r="29" spans="1:22">
      <c r="A29" s="28" t="s">
        <v>103</v>
      </c>
      <c r="B29" s="29" t="s">
        <v>104</v>
      </c>
      <c r="C29" s="30" t="s">
        <v>85</v>
      </c>
      <c r="D29" s="30"/>
      <c r="E29" s="30"/>
      <c r="F29" s="31">
        <v>4</v>
      </c>
      <c r="G29" s="30"/>
      <c r="H29" s="32"/>
      <c r="I29" s="30" t="s">
        <v>25</v>
      </c>
      <c r="J29" s="20" t="s">
        <v>105</v>
      </c>
      <c r="K29" s="20"/>
      <c r="L29" s="20"/>
      <c r="M29" s="20"/>
      <c r="N29" s="49"/>
      <c r="O29" s="20"/>
      <c r="P29" s="20" t="s">
        <v>27</v>
      </c>
      <c r="Q29" s="92"/>
    </row>
    <row r="30" spans="1:22" ht="106.5">
      <c r="A30" s="33" t="s">
        <v>106</v>
      </c>
      <c r="B30" s="34" t="s">
        <v>107</v>
      </c>
      <c r="C30" s="35" t="s">
        <v>85</v>
      </c>
      <c r="D30" s="35"/>
      <c r="E30" s="35"/>
      <c r="F30" s="36">
        <v>6</v>
      </c>
      <c r="G30" s="35"/>
      <c r="H30" s="37"/>
      <c r="I30" s="35" t="s">
        <v>25</v>
      </c>
      <c r="J30" s="50" t="s">
        <v>108</v>
      </c>
      <c r="K30" s="21"/>
      <c r="L30" s="21"/>
      <c r="M30" s="21"/>
      <c r="N30" s="50"/>
      <c r="O30" s="21"/>
      <c r="P30" s="21" t="s">
        <v>109</v>
      </c>
      <c r="Q30" s="104" t="s">
        <v>110</v>
      </c>
    </row>
    <row r="31" spans="1:22" ht="121.5">
      <c r="A31" s="28" t="s">
        <v>111</v>
      </c>
      <c r="B31" s="29" t="s">
        <v>112</v>
      </c>
      <c r="C31" s="30" t="s">
        <v>85</v>
      </c>
      <c r="D31" s="30"/>
      <c r="E31" s="30"/>
      <c r="F31" s="31">
        <v>6</v>
      </c>
      <c r="G31" s="30"/>
      <c r="H31" s="32"/>
      <c r="I31" s="30" t="s">
        <v>25</v>
      </c>
      <c r="J31" s="106" t="s">
        <v>108</v>
      </c>
      <c r="K31" s="20"/>
      <c r="L31" s="20"/>
      <c r="M31" s="20"/>
      <c r="N31" s="49"/>
      <c r="O31" s="20"/>
      <c r="P31" s="20" t="s">
        <v>109</v>
      </c>
      <c r="Q31" s="101" t="s">
        <v>113</v>
      </c>
    </row>
    <row r="32" spans="1:22" ht="121.5">
      <c r="A32" s="33" t="s">
        <v>114</v>
      </c>
      <c r="B32" s="34" t="s">
        <v>115</v>
      </c>
      <c r="C32" s="35" t="s">
        <v>85</v>
      </c>
      <c r="D32" s="35"/>
      <c r="E32" s="35"/>
      <c r="F32" s="36">
        <v>6</v>
      </c>
      <c r="G32" s="35"/>
      <c r="H32" s="37"/>
      <c r="I32" s="35" t="s">
        <v>25</v>
      </c>
      <c r="J32" s="50" t="s">
        <v>108</v>
      </c>
      <c r="K32" s="21"/>
      <c r="L32" s="21"/>
      <c r="M32" s="21"/>
      <c r="N32" s="50"/>
      <c r="O32" s="21"/>
      <c r="P32" s="21" t="s">
        <v>109</v>
      </c>
      <c r="Q32" s="104" t="s">
        <v>116</v>
      </c>
    </row>
    <row r="33" spans="1:17">
      <c r="A33" s="28"/>
      <c r="B33" s="29" t="s">
        <v>117</v>
      </c>
      <c r="C33" s="30" t="s">
        <v>85</v>
      </c>
      <c r="D33" s="30"/>
      <c r="E33" s="30"/>
      <c r="F33" s="31">
        <v>3</v>
      </c>
      <c r="G33" s="30"/>
      <c r="H33" s="32"/>
      <c r="I33" s="30" t="s">
        <v>25</v>
      </c>
      <c r="J33" s="20"/>
      <c r="K33" s="20"/>
      <c r="L33" s="20"/>
      <c r="M33" s="20"/>
      <c r="N33" s="49"/>
      <c r="O33" s="20"/>
      <c r="P33" s="20" t="s">
        <v>118</v>
      </c>
      <c r="Q33" s="92"/>
    </row>
    <row r="34" spans="1:17">
      <c r="A34" s="33"/>
      <c r="B34" s="34" t="s">
        <v>119</v>
      </c>
      <c r="C34" s="35" t="s">
        <v>85</v>
      </c>
      <c r="D34" s="35"/>
      <c r="E34" s="35"/>
      <c r="F34" s="36">
        <v>4</v>
      </c>
      <c r="G34" s="35"/>
      <c r="H34" s="37"/>
      <c r="I34" s="35" t="s">
        <v>25</v>
      </c>
      <c r="J34" s="21"/>
      <c r="K34" s="21"/>
      <c r="L34" s="21"/>
      <c r="M34" s="21"/>
      <c r="N34" s="50"/>
      <c r="O34" s="21"/>
      <c r="P34" s="21" t="s">
        <v>120</v>
      </c>
      <c r="Q34" s="69"/>
    </row>
    <row r="35" spans="1:17">
      <c r="A35" s="28" t="s">
        <v>121</v>
      </c>
      <c r="B35" s="29" t="s">
        <v>122</v>
      </c>
      <c r="C35" s="30" t="s">
        <v>85</v>
      </c>
      <c r="D35" s="30"/>
      <c r="E35" s="30"/>
      <c r="F35" s="31">
        <v>3</v>
      </c>
      <c r="G35" s="30"/>
      <c r="H35" s="32"/>
      <c r="I35" s="30" t="s">
        <v>25</v>
      </c>
      <c r="J35" s="20"/>
      <c r="K35" s="20"/>
      <c r="L35" s="20"/>
      <c r="M35" s="20"/>
      <c r="N35" s="49"/>
      <c r="O35" s="20"/>
      <c r="P35" s="38" t="s">
        <v>123</v>
      </c>
      <c r="Q35" s="97"/>
    </row>
    <row r="36" spans="1:17">
      <c r="A36" s="33" t="s">
        <v>124</v>
      </c>
      <c r="B36" s="34" t="s">
        <v>125</v>
      </c>
      <c r="C36" s="35" t="s">
        <v>85</v>
      </c>
      <c r="D36" s="35"/>
      <c r="E36" s="35"/>
      <c r="F36" s="36">
        <v>6</v>
      </c>
      <c r="G36" s="35"/>
      <c r="H36" s="37"/>
      <c r="I36" s="35" t="s">
        <v>25</v>
      </c>
      <c r="J36" s="21"/>
      <c r="K36" s="21"/>
      <c r="L36" s="21"/>
      <c r="M36" s="21"/>
      <c r="N36" s="50"/>
      <c r="O36" s="21"/>
      <c r="P36" s="39" t="s">
        <v>123</v>
      </c>
      <c r="Q36" s="98"/>
    </row>
    <row r="37" spans="1:17" collapsed="1">
      <c r="A37" s="28" t="s">
        <v>126</v>
      </c>
      <c r="B37" s="29" t="s">
        <v>127</v>
      </c>
      <c r="C37" s="30" t="s">
        <v>85</v>
      </c>
      <c r="D37" s="30"/>
      <c r="E37" s="30"/>
      <c r="F37" s="31">
        <v>4</v>
      </c>
      <c r="G37" s="30"/>
      <c r="H37" s="32"/>
      <c r="I37" s="30" t="s">
        <v>25</v>
      </c>
      <c r="J37" s="40" t="str">
        <f ca="1">IF(MAX(B39:B60,G39:G60)=0,"—",IF(MAX(B39:B60,G39:G60)&lt;TODAY(),"À renouveler","À jour"))</f>
        <v>À jour</v>
      </c>
      <c r="K37" s="41" t="str">
        <f ca="1">IFERROR(IF(_xlfn.MINIFS(B39:B60,B39:B60,"&gt;="&amp;TODAY())=0,"",_xlfn.MINIFS(B39:B60,B39:B60,"&gt;="&amp;TODAY())),"")</f>
        <v/>
      </c>
      <c r="L37" s="41">
        <f ca="1">IFERROR(IF(_xlfn.MINIFS(G39:G60,G39:G60,"&gt;="&amp;TODAY())=0,"",_xlfn.MINIFS(G39:G60,G39:G60,"&gt;="&amp;TODAY())),"")</f>
        <v>46286</v>
      </c>
      <c r="M37" s="41">
        <f ca="1">IFERROR(IF(_xlfn.MINIFS(K39:K60,G39:G60,"&gt;="&amp;TODAY())=0,"",_xlfn.MINIFS(K39:K60,G39:G60,"&gt;="&amp;TODAY())),"")</f>
        <v>46351</v>
      </c>
      <c r="N37" s="51" t="s">
        <v>128</v>
      </c>
      <c r="O37" s="13" t="s">
        <v>129</v>
      </c>
      <c r="P37" s="38" t="s">
        <v>130</v>
      </c>
      <c r="Q37" s="97"/>
    </row>
    <row r="38" spans="1:17" hidden="1" outlineLevel="1">
      <c r="A38" s="42" t="s">
        <v>131</v>
      </c>
      <c r="B38" s="42" t="s">
        <v>132</v>
      </c>
      <c r="C38" s="42" t="s">
        <v>133</v>
      </c>
      <c r="D38" s="42" t="s">
        <v>134</v>
      </c>
      <c r="E38" s="42" t="s">
        <v>135</v>
      </c>
      <c r="F38" s="42" t="s">
        <v>136</v>
      </c>
      <c r="G38" s="42" t="s">
        <v>137</v>
      </c>
      <c r="H38" s="42" t="s">
        <v>138</v>
      </c>
      <c r="I38" s="42" t="s">
        <v>139</v>
      </c>
      <c r="J38" s="42" t="s">
        <v>140</v>
      </c>
      <c r="K38" s="42" t="s">
        <v>141</v>
      </c>
      <c r="N38" s="52"/>
    </row>
    <row r="39" spans="1:17" hidden="1" outlineLevel="1">
      <c r="A39" s="14" t="s">
        <v>142</v>
      </c>
      <c r="G39" s="22">
        <v>45709</v>
      </c>
      <c r="H39" s="22">
        <v>45747</v>
      </c>
      <c r="I39" s="22">
        <v>45747</v>
      </c>
      <c r="J39" s="22">
        <v>45770</v>
      </c>
      <c r="K39" s="22">
        <v>45775</v>
      </c>
    </row>
    <row r="40" spans="1:17" hidden="1" outlineLevel="1">
      <c r="A40" s="14" t="s">
        <v>143</v>
      </c>
      <c r="G40" s="22">
        <v>45737</v>
      </c>
      <c r="H40" s="22">
        <v>45777</v>
      </c>
      <c r="I40" s="22">
        <v>45777</v>
      </c>
      <c r="J40" s="22">
        <v>45800</v>
      </c>
      <c r="K40" s="22">
        <v>45805</v>
      </c>
    </row>
    <row r="41" spans="1:17" hidden="1" outlineLevel="1">
      <c r="A41" s="14" t="s">
        <v>144</v>
      </c>
      <c r="G41" s="22">
        <v>45769</v>
      </c>
      <c r="H41" s="22">
        <v>45807</v>
      </c>
      <c r="I41" s="22">
        <v>45807</v>
      </c>
      <c r="J41" s="22">
        <v>45832</v>
      </c>
      <c r="K41" s="22">
        <v>45835</v>
      </c>
    </row>
    <row r="42" spans="1:17" hidden="1" outlineLevel="1">
      <c r="A42" s="14" t="s">
        <v>145</v>
      </c>
      <c r="G42" s="22">
        <v>45798</v>
      </c>
      <c r="H42" s="22">
        <v>45838</v>
      </c>
      <c r="I42" s="22">
        <v>45838</v>
      </c>
      <c r="J42" s="22">
        <v>45859</v>
      </c>
      <c r="K42" s="22">
        <v>45862</v>
      </c>
    </row>
    <row r="43" spans="1:17" hidden="1" outlineLevel="1">
      <c r="A43" s="14" t="s">
        <v>146</v>
      </c>
      <c r="G43" s="22">
        <v>45832</v>
      </c>
      <c r="H43" s="22">
        <v>45869</v>
      </c>
      <c r="I43" s="22">
        <v>45869</v>
      </c>
      <c r="J43" s="22">
        <v>45891</v>
      </c>
      <c r="K43" s="22">
        <v>45896</v>
      </c>
    </row>
    <row r="44" spans="1:17" hidden="1" outlineLevel="1">
      <c r="A44" s="14" t="s">
        <v>147</v>
      </c>
      <c r="G44" s="22">
        <v>45859</v>
      </c>
      <c r="H44" s="22">
        <v>45898</v>
      </c>
      <c r="I44" s="22">
        <v>45898</v>
      </c>
      <c r="J44" s="22">
        <v>45919</v>
      </c>
      <c r="K44" s="22">
        <v>45924</v>
      </c>
    </row>
    <row r="45" spans="1:17" hidden="1" outlineLevel="1">
      <c r="A45" s="14" t="s">
        <v>148</v>
      </c>
      <c r="G45" s="22">
        <v>45890</v>
      </c>
      <c r="H45" s="22">
        <v>45930</v>
      </c>
      <c r="I45" s="22">
        <v>45930</v>
      </c>
      <c r="J45" s="22">
        <v>45951</v>
      </c>
      <c r="K45" s="22">
        <v>45954</v>
      </c>
    </row>
    <row r="46" spans="1:17" hidden="1" outlineLevel="1">
      <c r="A46" s="14" t="s">
        <v>149</v>
      </c>
      <c r="G46" s="22">
        <v>45922</v>
      </c>
      <c r="H46" s="22">
        <v>45961</v>
      </c>
      <c r="I46" s="22">
        <v>45961</v>
      </c>
      <c r="J46" s="22">
        <v>45982</v>
      </c>
      <c r="K46" s="22">
        <v>45987</v>
      </c>
    </row>
    <row r="47" spans="1:17" hidden="1" outlineLevel="1">
      <c r="A47" s="14" t="s">
        <v>150</v>
      </c>
      <c r="G47" s="22">
        <v>45951</v>
      </c>
      <c r="H47" s="22">
        <v>45989</v>
      </c>
      <c r="I47" s="22">
        <v>45989</v>
      </c>
      <c r="J47" s="22">
        <v>46010</v>
      </c>
      <c r="K47" s="22">
        <v>46020</v>
      </c>
    </row>
    <row r="48" spans="1:17" hidden="1" outlineLevel="1">
      <c r="A48" s="14" t="s">
        <v>151</v>
      </c>
      <c r="G48" s="22">
        <v>45982</v>
      </c>
      <c r="H48" s="22">
        <v>46022</v>
      </c>
      <c r="I48" s="22">
        <v>46022</v>
      </c>
      <c r="J48" s="22">
        <v>46044</v>
      </c>
      <c r="K48" s="22">
        <v>46049</v>
      </c>
    </row>
    <row r="49" spans="1:17" hidden="1" outlineLevel="1">
      <c r="A49" s="14" t="s">
        <v>152</v>
      </c>
      <c r="G49" s="22">
        <v>46013</v>
      </c>
      <c r="H49" s="22">
        <v>46052</v>
      </c>
      <c r="I49" s="22">
        <v>46052</v>
      </c>
      <c r="J49" s="22">
        <v>46073</v>
      </c>
      <c r="K49" s="22">
        <v>46078</v>
      </c>
    </row>
    <row r="50" spans="1:17" hidden="1" outlineLevel="1">
      <c r="A50" s="14" t="s">
        <v>153</v>
      </c>
      <c r="G50" s="22">
        <v>46043</v>
      </c>
      <c r="H50" s="22">
        <v>46080</v>
      </c>
      <c r="I50" s="22">
        <v>46080</v>
      </c>
      <c r="J50" s="22">
        <v>46101</v>
      </c>
      <c r="K50" s="22">
        <v>46106</v>
      </c>
    </row>
    <row r="51" spans="1:17" hidden="1" outlineLevel="1">
      <c r="A51" s="14" t="s">
        <v>154</v>
      </c>
      <c r="G51" s="22">
        <v>46076</v>
      </c>
      <c r="H51" s="22">
        <v>46112</v>
      </c>
      <c r="I51" s="22">
        <v>46112</v>
      </c>
      <c r="J51" s="22">
        <v>46134</v>
      </c>
      <c r="K51" s="22">
        <v>46139</v>
      </c>
    </row>
    <row r="52" spans="1:17" hidden="1" outlineLevel="1">
      <c r="A52" s="14" t="s">
        <v>155</v>
      </c>
      <c r="G52" s="22">
        <v>46104</v>
      </c>
      <c r="H52" s="22">
        <v>46142</v>
      </c>
      <c r="I52" s="22">
        <v>46142</v>
      </c>
      <c r="J52" s="22">
        <v>46168</v>
      </c>
      <c r="K52" s="22">
        <v>46171</v>
      </c>
    </row>
    <row r="53" spans="1:17" hidden="1" outlineLevel="1">
      <c r="A53" s="14" t="s">
        <v>156</v>
      </c>
      <c r="G53" s="22">
        <v>46133</v>
      </c>
      <c r="H53" s="22">
        <v>46171</v>
      </c>
      <c r="I53" s="22">
        <v>46171</v>
      </c>
      <c r="J53" s="22">
        <v>46192</v>
      </c>
      <c r="K53" s="22">
        <v>46198</v>
      </c>
    </row>
    <row r="54" spans="1:17" hidden="1" outlineLevel="1">
      <c r="A54" s="14" t="s">
        <v>157</v>
      </c>
      <c r="G54" s="22">
        <v>46163</v>
      </c>
      <c r="H54" s="22">
        <v>46203</v>
      </c>
      <c r="I54" s="22">
        <v>46203</v>
      </c>
      <c r="J54" s="22">
        <v>46224</v>
      </c>
      <c r="K54" s="22">
        <v>46227</v>
      </c>
    </row>
    <row r="55" spans="1:17" hidden="1" outlineLevel="1">
      <c r="A55" s="14" t="s">
        <v>158</v>
      </c>
      <c r="G55" s="22">
        <v>46195</v>
      </c>
      <c r="H55" s="22">
        <v>46234</v>
      </c>
      <c r="I55" s="22">
        <v>46234</v>
      </c>
      <c r="J55" s="22">
        <v>46255</v>
      </c>
      <c r="K55" s="22">
        <v>46260</v>
      </c>
    </row>
    <row r="56" spans="1:17" hidden="1" outlineLevel="1">
      <c r="A56" s="14" t="s">
        <v>159</v>
      </c>
      <c r="G56" s="22">
        <v>46224</v>
      </c>
      <c r="H56" s="22">
        <v>46265</v>
      </c>
      <c r="I56" s="22">
        <v>46265</v>
      </c>
      <c r="J56" s="22">
        <v>46286</v>
      </c>
      <c r="K56" s="22">
        <v>46289</v>
      </c>
    </row>
    <row r="57" spans="1:17" hidden="1" outlineLevel="1">
      <c r="A57" s="14" t="s">
        <v>160</v>
      </c>
      <c r="G57" s="22">
        <v>46255</v>
      </c>
      <c r="H57" s="22">
        <v>46295</v>
      </c>
      <c r="I57" s="22">
        <v>46295</v>
      </c>
      <c r="J57" s="22">
        <v>46316</v>
      </c>
      <c r="K57" s="22">
        <v>46321</v>
      </c>
    </row>
    <row r="58" spans="1:17" hidden="1" outlineLevel="1">
      <c r="A58" s="14" t="s">
        <v>161</v>
      </c>
      <c r="G58" s="22">
        <v>46286</v>
      </c>
      <c r="H58" s="22">
        <v>46325</v>
      </c>
      <c r="I58" s="22">
        <v>46325</v>
      </c>
      <c r="J58" s="22">
        <v>46346</v>
      </c>
      <c r="K58" s="22">
        <v>46351</v>
      </c>
    </row>
    <row r="59" spans="1:17" hidden="1" outlineLevel="1">
      <c r="A59" s="14" t="s">
        <v>162</v>
      </c>
      <c r="G59" s="22">
        <v>46316</v>
      </c>
      <c r="H59" s="22">
        <v>46356</v>
      </c>
      <c r="I59" s="22">
        <v>46356</v>
      </c>
      <c r="J59" s="22">
        <v>46377</v>
      </c>
      <c r="K59" s="22">
        <v>46380</v>
      </c>
    </row>
    <row r="60" spans="1:17" hidden="1" outlineLevel="1">
      <c r="A60" s="14" t="s">
        <v>163</v>
      </c>
      <c r="G60" s="22">
        <v>46349</v>
      </c>
      <c r="H60" s="22">
        <v>46387</v>
      </c>
      <c r="I60" s="22">
        <v>46387</v>
      </c>
      <c r="J60" s="22">
        <v>46408</v>
      </c>
      <c r="K60" s="22">
        <v>46413</v>
      </c>
    </row>
    <row r="61" spans="1:17">
      <c r="A61" s="33" t="s">
        <v>164</v>
      </c>
      <c r="B61" s="34" t="s">
        <v>165</v>
      </c>
      <c r="C61" s="35" t="s">
        <v>85</v>
      </c>
      <c r="D61" s="35"/>
      <c r="E61" s="35"/>
      <c r="F61" s="36">
        <v>4</v>
      </c>
      <c r="G61" s="35"/>
      <c r="H61" s="37"/>
      <c r="I61" s="35" t="s">
        <v>25</v>
      </c>
      <c r="J61" s="21" t="s">
        <v>166</v>
      </c>
      <c r="K61" s="21"/>
      <c r="L61" s="21"/>
      <c r="M61" s="21"/>
      <c r="N61" s="50"/>
      <c r="O61" s="21"/>
      <c r="P61" s="21" t="s">
        <v>167</v>
      </c>
      <c r="Q61" s="69"/>
    </row>
    <row r="62" spans="1:17">
      <c r="A62" s="28" t="s">
        <v>168</v>
      </c>
      <c r="B62" s="29" t="s">
        <v>169</v>
      </c>
      <c r="C62" s="30" t="s">
        <v>85</v>
      </c>
      <c r="D62" s="30"/>
      <c r="E62" s="30"/>
      <c r="F62" s="31">
        <v>4</v>
      </c>
      <c r="G62" s="30"/>
      <c r="H62" s="32"/>
      <c r="I62" s="30" t="s">
        <v>25</v>
      </c>
      <c r="J62" s="20" t="s">
        <v>166</v>
      </c>
      <c r="K62" s="20"/>
      <c r="L62" s="20"/>
      <c r="M62" s="20"/>
      <c r="N62" s="49"/>
      <c r="O62" s="20"/>
      <c r="P62" s="20" t="s">
        <v>170</v>
      </c>
      <c r="Q62" s="92"/>
    </row>
    <row r="63" spans="1:17">
      <c r="A63" s="33" t="s">
        <v>171</v>
      </c>
      <c r="B63" s="34" t="s">
        <v>172</v>
      </c>
      <c r="C63" s="35" t="s">
        <v>85</v>
      </c>
      <c r="D63" s="35"/>
      <c r="E63" s="35"/>
      <c r="F63" s="36">
        <v>6</v>
      </c>
      <c r="G63" s="35"/>
      <c r="H63" s="37"/>
      <c r="I63" s="35" t="s">
        <v>25</v>
      </c>
      <c r="J63" s="21" t="s">
        <v>173</v>
      </c>
      <c r="K63" s="21"/>
      <c r="L63" s="21"/>
      <c r="M63" s="21"/>
      <c r="N63" s="50"/>
      <c r="O63" s="21"/>
      <c r="P63" s="21" t="s">
        <v>174</v>
      </c>
      <c r="Q63" s="69"/>
    </row>
    <row r="64" spans="1:17">
      <c r="A64" s="28" t="s">
        <v>175</v>
      </c>
      <c r="B64" s="29" t="s">
        <v>176</v>
      </c>
      <c r="C64" s="30" t="s">
        <v>85</v>
      </c>
      <c r="D64" s="30"/>
      <c r="E64" s="30"/>
      <c r="F64" s="31">
        <v>6</v>
      </c>
      <c r="G64" s="30"/>
      <c r="H64" s="32"/>
      <c r="I64" s="30" t="s">
        <v>25</v>
      </c>
      <c r="J64" s="20" t="s">
        <v>166</v>
      </c>
      <c r="K64" s="20"/>
      <c r="L64" s="20"/>
      <c r="M64" s="20"/>
      <c r="N64" s="49"/>
      <c r="O64" s="20"/>
      <c r="P64" s="20" t="s">
        <v>177</v>
      </c>
      <c r="Q64" s="92"/>
    </row>
    <row r="65" spans="1:22">
      <c r="A65" s="33"/>
      <c r="B65" s="34" t="s">
        <v>178</v>
      </c>
      <c r="C65" s="35" t="s">
        <v>85</v>
      </c>
      <c r="D65" s="35"/>
      <c r="E65" s="35"/>
      <c r="F65" s="36">
        <v>4</v>
      </c>
      <c r="G65" s="35"/>
      <c r="H65" s="37"/>
      <c r="I65" s="35" t="s">
        <v>25</v>
      </c>
      <c r="J65" s="21"/>
      <c r="K65" s="21"/>
      <c r="L65" s="21"/>
      <c r="M65" s="21"/>
      <c r="N65" s="50"/>
      <c r="O65" s="21"/>
      <c r="P65" s="21"/>
      <c r="Q65" s="69"/>
      <c r="V65" t="s">
        <v>179</v>
      </c>
    </row>
    <row r="66" spans="1:22">
      <c r="A66" s="28"/>
      <c r="B66" s="29" t="s">
        <v>180</v>
      </c>
      <c r="C66" s="30" t="s">
        <v>85</v>
      </c>
      <c r="D66" s="30"/>
      <c r="E66" s="30"/>
      <c r="F66" s="31">
        <v>7</v>
      </c>
      <c r="G66" s="30"/>
      <c r="H66" s="32"/>
      <c r="I66" s="30" t="s">
        <v>25</v>
      </c>
      <c r="J66" s="20"/>
      <c r="K66" s="20"/>
      <c r="L66" s="20"/>
      <c r="M66" s="20"/>
      <c r="N66" s="49"/>
      <c r="O66" s="20"/>
      <c r="P66" s="20" t="s">
        <v>181</v>
      </c>
      <c r="Q66" s="92"/>
    </row>
    <row r="67" spans="1:22">
      <c r="A67" s="33"/>
      <c r="B67" s="34" t="s">
        <v>182</v>
      </c>
      <c r="C67" s="35" t="s">
        <v>85</v>
      </c>
      <c r="D67" s="35"/>
      <c r="E67" s="35"/>
      <c r="F67" s="36"/>
      <c r="G67" s="35"/>
      <c r="H67" s="37"/>
      <c r="I67" s="35" t="s">
        <v>25</v>
      </c>
      <c r="J67" s="21"/>
      <c r="K67" s="21"/>
      <c r="L67" s="21"/>
      <c r="M67" s="21"/>
      <c r="N67" s="50"/>
      <c r="O67" s="21"/>
      <c r="P67" s="21" t="s">
        <v>87</v>
      </c>
      <c r="Q67" s="69"/>
    </row>
    <row r="68" spans="1:22">
      <c r="A68" s="28"/>
      <c r="B68" s="29" t="s">
        <v>183</v>
      </c>
      <c r="C68" s="30" t="s">
        <v>85</v>
      </c>
      <c r="D68" s="30"/>
      <c r="E68" s="30"/>
      <c r="F68" s="31">
        <v>3</v>
      </c>
      <c r="G68" s="30"/>
      <c r="H68" s="32"/>
      <c r="I68" s="30" t="s">
        <v>25</v>
      </c>
      <c r="J68" s="20"/>
      <c r="K68" s="20"/>
      <c r="L68" s="20"/>
      <c r="M68" s="20"/>
      <c r="N68" s="49"/>
      <c r="O68" s="20"/>
      <c r="P68" s="20" t="s">
        <v>184</v>
      </c>
      <c r="Q68" s="92"/>
    </row>
    <row r="69" spans="1:22">
      <c r="A69" s="33"/>
      <c r="B69" s="34" t="s">
        <v>185</v>
      </c>
      <c r="C69" s="35" t="s">
        <v>85</v>
      </c>
      <c r="D69" s="35"/>
      <c r="E69" s="35"/>
      <c r="F69" s="36"/>
      <c r="G69" s="35"/>
      <c r="H69" s="37"/>
      <c r="I69" s="35" t="s">
        <v>25</v>
      </c>
      <c r="J69" s="21"/>
      <c r="K69" s="21"/>
      <c r="L69" s="21"/>
      <c r="M69" s="21"/>
      <c r="N69" s="50"/>
      <c r="O69" s="21"/>
      <c r="P69" s="21" t="s">
        <v>186</v>
      </c>
      <c r="Q69" s="69"/>
    </row>
    <row r="70" spans="1:22">
      <c r="A70" s="28"/>
      <c r="B70" s="29" t="s">
        <v>187</v>
      </c>
      <c r="C70" s="30" t="s">
        <v>85</v>
      </c>
      <c r="D70" s="30"/>
      <c r="E70" s="30"/>
      <c r="F70" s="31"/>
      <c r="G70" s="30"/>
      <c r="H70" s="32"/>
      <c r="I70" s="30" t="s">
        <v>25</v>
      </c>
      <c r="J70" s="20"/>
      <c r="K70" s="20"/>
      <c r="L70" s="20"/>
      <c r="M70" s="20"/>
      <c r="N70" s="49"/>
      <c r="O70" s="20"/>
      <c r="P70" s="20" t="s">
        <v>188</v>
      </c>
      <c r="Q70" s="92"/>
    </row>
    <row r="71" spans="1:22" collapsed="1">
      <c r="A71" s="33" t="s">
        <v>189</v>
      </c>
      <c r="B71" s="34" t="s">
        <v>190</v>
      </c>
      <c r="C71" s="35" t="s">
        <v>191</v>
      </c>
      <c r="D71" s="35"/>
      <c r="E71" s="35"/>
      <c r="F71" s="36">
        <v>6</v>
      </c>
      <c r="G71" s="35"/>
      <c r="H71" s="37"/>
      <c r="I71" s="35" t="s">
        <v>25</v>
      </c>
      <c r="J71" s="43" t="str">
        <f ca="1">IF(MAX(B73:B84,G73:G84)=0,"—",IF(MAX(B73:B84,G73:G84)&lt;TODAY(),"À renouveler","À jour"))</f>
        <v>À jour</v>
      </c>
      <c r="K71" s="44" t="str">
        <f ca="1">IFERROR(IF(_xlfn.MINIFS(B73:B84,B73:B84,"&gt;="&amp;TODAY())=0,"",_xlfn.MINIFS(B73:B84,B73:B84,"&gt;="&amp;TODAY())),"")</f>
        <v/>
      </c>
      <c r="L71" s="44">
        <f ca="1">IFERROR(IF(_xlfn.MINIFS(G73:G84,G73:G84,"&gt;="&amp;TODAY())=0,"",_xlfn.MINIFS(G73:G84,G73:G84,"&gt;="&amp;TODAY())),"")</f>
        <v>46283</v>
      </c>
      <c r="M71" s="44">
        <f ca="1">IFERROR(IF(_xlfn.MINIFS(K73:K84,G73:G84,"&gt;="&amp;TODAY())=0,"",_xlfn.MINIFS(K73:K84,G73:G84,"&gt;="&amp;TODAY())),"")</f>
        <v>46405</v>
      </c>
      <c r="N71" s="50" t="s">
        <v>128</v>
      </c>
      <c r="O71" s="13" t="s">
        <v>129</v>
      </c>
      <c r="P71" s="21" t="s">
        <v>192</v>
      </c>
      <c r="Q71" s="69"/>
    </row>
    <row r="72" spans="1:22" hidden="1" outlineLevel="1">
      <c r="A72" s="42" t="s">
        <v>131</v>
      </c>
      <c r="B72" s="42" t="s">
        <v>132</v>
      </c>
      <c r="C72" s="42" t="s">
        <v>133</v>
      </c>
      <c r="D72" s="42" t="s">
        <v>134</v>
      </c>
      <c r="E72" s="42" t="s">
        <v>135</v>
      </c>
      <c r="F72" s="42" t="s">
        <v>136</v>
      </c>
      <c r="G72" s="42" t="s">
        <v>137</v>
      </c>
      <c r="H72" s="42" t="s">
        <v>138</v>
      </c>
      <c r="I72" s="42" t="s">
        <v>139</v>
      </c>
      <c r="J72" s="42" t="s">
        <v>140</v>
      </c>
      <c r="K72" s="42" t="s">
        <v>141</v>
      </c>
    </row>
    <row r="73" spans="1:22" hidden="1" outlineLevel="1">
      <c r="A73" s="14" t="s">
        <v>152</v>
      </c>
      <c r="G73" s="22">
        <v>46008</v>
      </c>
      <c r="H73" s="22">
        <v>46052</v>
      </c>
      <c r="I73" s="22">
        <v>46052</v>
      </c>
      <c r="J73" s="22">
        <v>46108</v>
      </c>
      <c r="K73" s="22">
        <v>46129</v>
      </c>
    </row>
    <row r="74" spans="1:22" hidden="1" outlineLevel="1">
      <c r="A74" s="14" t="s">
        <v>153</v>
      </c>
      <c r="G74" s="22">
        <v>46038</v>
      </c>
      <c r="H74" s="22">
        <v>46080</v>
      </c>
      <c r="I74" s="22">
        <v>46080</v>
      </c>
      <c r="J74" s="22">
        <v>46136</v>
      </c>
      <c r="K74" s="22">
        <v>46158</v>
      </c>
    </row>
    <row r="75" spans="1:22" hidden="1" outlineLevel="1">
      <c r="A75" s="14" t="s">
        <v>154</v>
      </c>
      <c r="G75" s="22">
        <v>46070</v>
      </c>
      <c r="H75" s="22">
        <v>46112</v>
      </c>
      <c r="I75" s="22">
        <v>46112</v>
      </c>
      <c r="J75" s="22">
        <v>46168</v>
      </c>
      <c r="K75" s="22">
        <v>46190</v>
      </c>
    </row>
    <row r="76" spans="1:22" hidden="1" outlineLevel="1">
      <c r="A76" s="14" t="s">
        <v>155</v>
      </c>
      <c r="G76" s="22">
        <v>46098</v>
      </c>
      <c r="H76" s="22">
        <v>46142</v>
      </c>
      <c r="I76" s="22">
        <v>46142</v>
      </c>
      <c r="J76" s="22">
        <v>46198</v>
      </c>
      <c r="K76" s="22">
        <v>46220</v>
      </c>
    </row>
    <row r="77" spans="1:22" hidden="1" outlineLevel="1">
      <c r="A77" s="14" t="s">
        <v>156</v>
      </c>
      <c r="G77" s="22">
        <v>46125</v>
      </c>
      <c r="H77" s="22">
        <v>46171</v>
      </c>
      <c r="I77" s="22">
        <v>46171</v>
      </c>
      <c r="J77" s="22">
        <v>46227</v>
      </c>
      <c r="K77" s="22">
        <v>46247</v>
      </c>
    </row>
    <row r="78" spans="1:22" hidden="1" outlineLevel="1">
      <c r="A78" s="14" t="s">
        <v>157</v>
      </c>
      <c r="G78" s="22">
        <v>46160</v>
      </c>
      <c r="H78" s="22">
        <v>46203</v>
      </c>
      <c r="I78" s="22">
        <v>46203</v>
      </c>
      <c r="J78" s="22">
        <v>46259</v>
      </c>
      <c r="K78" s="22">
        <v>46283</v>
      </c>
    </row>
    <row r="79" spans="1:22" hidden="1" outlineLevel="1">
      <c r="A79" s="14" t="s">
        <v>158</v>
      </c>
      <c r="G79" s="22">
        <v>46191</v>
      </c>
      <c r="H79" s="22">
        <v>46234</v>
      </c>
      <c r="I79" s="22">
        <v>46234</v>
      </c>
      <c r="J79" s="22">
        <v>46290</v>
      </c>
      <c r="K79" s="22">
        <v>46313</v>
      </c>
    </row>
    <row r="80" spans="1:22" hidden="1" outlineLevel="1">
      <c r="A80" s="14" t="s">
        <v>159</v>
      </c>
      <c r="G80" s="22">
        <v>46223</v>
      </c>
      <c r="H80" s="22">
        <v>46265</v>
      </c>
      <c r="I80" s="22">
        <v>46265</v>
      </c>
      <c r="J80" s="22">
        <v>46321</v>
      </c>
      <c r="K80" s="22">
        <v>46346</v>
      </c>
    </row>
    <row r="81" spans="1:17" hidden="1" outlineLevel="1">
      <c r="A81" s="14" t="s">
        <v>160</v>
      </c>
      <c r="G81" s="22">
        <v>46253</v>
      </c>
      <c r="H81" s="22">
        <v>46295</v>
      </c>
      <c r="I81" s="22">
        <v>46295</v>
      </c>
      <c r="J81" s="22">
        <v>46351</v>
      </c>
      <c r="K81" s="22">
        <v>46375</v>
      </c>
    </row>
    <row r="82" spans="1:17" hidden="1" outlineLevel="1">
      <c r="A82" s="14" t="s">
        <v>161</v>
      </c>
      <c r="G82" s="22">
        <v>46283</v>
      </c>
      <c r="H82" s="22">
        <v>46325</v>
      </c>
      <c r="I82" s="22">
        <v>46325</v>
      </c>
      <c r="J82" s="22">
        <v>46381</v>
      </c>
      <c r="K82" s="22">
        <v>46405</v>
      </c>
    </row>
    <row r="83" spans="1:17" hidden="1" outlineLevel="1">
      <c r="A83" s="14" t="s">
        <v>162</v>
      </c>
      <c r="G83" s="22">
        <v>46311</v>
      </c>
      <c r="H83" s="22">
        <v>46356</v>
      </c>
      <c r="I83" s="22">
        <v>46356</v>
      </c>
      <c r="J83" s="22">
        <v>46412</v>
      </c>
      <c r="K83" s="22">
        <v>46434</v>
      </c>
    </row>
    <row r="84" spans="1:17" hidden="1" outlineLevel="1">
      <c r="A84" s="14" t="s">
        <v>163</v>
      </c>
      <c r="G84" s="22">
        <v>46344</v>
      </c>
      <c r="H84" s="22">
        <v>46387</v>
      </c>
      <c r="I84" s="22">
        <v>46387</v>
      </c>
      <c r="J84" s="22">
        <v>46443</v>
      </c>
      <c r="K84" s="22">
        <v>46464</v>
      </c>
    </row>
    <row r="85" spans="1:17" collapsed="1">
      <c r="A85" s="28" t="s">
        <v>193</v>
      </c>
      <c r="B85" s="29" t="s">
        <v>194</v>
      </c>
      <c r="C85" s="30" t="s">
        <v>191</v>
      </c>
      <c r="D85" s="30"/>
      <c r="E85" s="30"/>
      <c r="F85" s="31">
        <v>6</v>
      </c>
      <c r="G85" s="30"/>
      <c r="H85" s="32"/>
      <c r="I85" s="30" t="s">
        <v>25</v>
      </c>
      <c r="J85" s="40" t="str">
        <f ca="1">IF(MAX(B87:B98,G87:G98)=0,"—",IF(MAX(B87:B98,G87:G98)&lt;TODAY(),"À renouveler","À jour"))</f>
        <v>À jour</v>
      </c>
      <c r="K85" s="41" t="str">
        <f ca="1">IFERROR(IF(_xlfn.MINIFS(B87:B98,B87:B98,"&gt;="&amp;TODAY())=0,"",_xlfn.MINIFS(B87:B98,B87:B98,"&gt;="&amp;TODAY())),"")</f>
        <v/>
      </c>
      <c r="L85" s="41">
        <f ca="1">IFERROR(IF(_xlfn.MINIFS(G87:G98,G87:G98,"&gt;="&amp;TODAY())=0,"",_xlfn.MINIFS(G87:G98,G87:G98,"&gt;="&amp;TODAY())),"")</f>
        <v>46283</v>
      </c>
      <c r="M85" s="41">
        <f ca="1">IFERROR(IF(_xlfn.MINIFS(K87:K98,G87:G98,"&gt;="&amp;TODAY())=0,"",_xlfn.MINIFS(K87:K98,G87:G98,"&gt;="&amp;TODAY())),"")</f>
        <v>46405</v>
      </c>
      <c r="N85" s="49" t="s">
        <v>128</v>
      </c>
      <c r="O85" s="13" t="s">
        <v>129</v>
      </c>
      <c r="P85" s="20" t="s">
        <v>192</v>
      </c>
      <c r="Q85" s="92"/>
    </row>
    <row r="86" spans="1:17" hidden="1" outlineLevel="1">
      <c r="A86" s="42" t="s">
        <v>131</v>
      </c>
      <c r="B86" s="42" t="s">
        <v>132</v>
      </c>
      <c r="C86" s="42" t="s">
        <v>133</v>
      </c>
      <c r="D86" s="42" t="s">
        <v>134</v>
      </c>
      <c r="E86" s="42" t="s">
        <v>135</v>
      </c>
      <c r="F86" s="42" t="s">
        <v>136</v>
      </c>
      <c r="G86" s="42" t="s">
        <v>137</v>
      </c>
      <c r="H86" s="42" t="s">
        <v>138</v>
      </c>
      <c r="I86" s="42" t="s">
        <v>139</v>
      </c>
      <c r="J86" s="42" t="s">
        <v>140</v>
      </c>
      <c r="K86" s="42" t="s">
        <v>141</v>
      </c>
    </row>
    <row r="87" spans="1:17" hidden="1" outlineLevel="1">
      <c r="A87" s="14" t="s">
        <v>152</v>
      </c>
      <c r="G87" s="22">
        <v>46008</v>
      </c>
      <c r="H87" s="22">
        <v>46052</v>
      </c>
      <c r="I87" s="22">
        <v>46052</v>
      </c>
      <c r="J87" s="22">
        <v>46108</v>
      </c>
      <c r="K87" s="22">
        <v>46129</v>
      </c>
    </row>
    <row r="88" spans="1:17" hidden="1" outlineLevel="1">
      <c r="A88" s="14" t="s">
        <v>153</v>
      </c>
      <c r="G88" s="22">
        <v>46038</v>
      </c>
      <c r="H88" s="22">
        <v>46080</v>
      </c>
      <c r="I88" s="22">
        <v>46080</v>
      </c>
      <c r="J88" s="22">
        <v>46136</v>
      </c>
      <c r="K88" s="22">
        <v>46158</v>
      </c>
    </row>
    <row r="89" spans="1:17" hidden="1" outlineLevel="1">
      <c r="A89" s="14" t="s">
        <v>154</v>
      </c>
      <c r="G89" s="22">
        <v>46070</v>
      </c>
      <c r="H89" s="22">
        <v>46112</v>
      </c>
      <c r="I89" s="22">
        <v>46112</v>
      </c>
      <c r="J89" s="22">
        <v>46168</v>
      </c>
      <c r="K89" s="22">
        <v>46190</v>
      </c>
    </row>
    <row r="90" spans="1:17" hidden="1" outlineLevel="1">
      <c r="A90" s="14" t="s">
        <v>155</v>
      </c>
      <c r="G90" s="22">
        <v>46098</v>
      </c>
      <c r="H90" s="22">
        <v>46142</v>
      </c>
      <c r="I90" s="22">
        <v>46142</v>
      </c>
      <c r="J90" s="22">
        <v>46198</v>
      </c>
      <c r="K90" s="22">
        <v>46220</v>
      </c>
    </row>
    <row r="91" spans="1:17" hidden="1" outlineLevel="1">
      <c r="A91" s="14" t="s">
        <v>156</v>
      </c>
      <c r="G91" s="22">
        <v>46125</v>
      </c>
      <c r="H91" s="22">
        <v>46171</v>
      </c>
      <c r="I91" s="22">
        <v>46171</v>
      </c>
      <c r="J91" s="22">
        <v>46227</v>
      </c>
      <c r="K91" s="22">
        <v>46247</v>
      </c>
    </row>
    <row r="92" spans="1:17" hidden="1" outlineLevel="1">
      <c r="A92" s="14" t="s">
        <v>157</v>
      </c>
      <c r="G92" s="22">
        <v>46160</v>
      </c>
      <c r="H92" s="22">
        <v>46203</v>
      </c>
      <c r="I92" s="22">
        <v>46203</v>
      </c>
      <c r="J92" s="22">
        <v>46259</v>
      </c>
      <c r="K92" s="22">
        <v>46283</v>
      </c>
    </row>
    <row r="93" spans="1:17" hidden="1" outlineLevel="1">
      <c r="A93" s="14" t="s">
        <v>158</v>
      </c>
      <c r="G93" s="22">
        <v>46191</v>
      </c>
      <c r="H93" s="22">
        <v>46234</v>
      </c>
      <c r="I93" s="22">
        <v>46234</v>
      </c>
      <c r="J93" s="22">
        <v>46290</v>
      </c>
      <c r="K93" s="22">
        <v>46313</v>
      </c>
    </row>
    <row r="94" spans="1:17" hidden="1" outlineLevel="1">
      <c r="A94" s="14" t="s">
        <v>159</v>
      </c>
      <c r="G94" s="22">
        <v>46223</v>
      </c>
      <c r="H94" s="22">
        <v>46265</v>
      </c>
      <c r="I94" s="22">
        <v>46265</v>
      </c>
      <c r="J94" s="22">
        <v>46321</v>
      </c>
      <c r="K94" s="22">
        <v>46346</v>
      </c>
    </row>
    <row r="95" spans="1:17" hidden="1" outlineLevel="1">
      <c r="A95" s="14" t="s">
        <v>160</v>
      </c>
      <c r="G95" s="22">
        <v>46253</v>
      </c>
      <c r="H95" s="22">
        <v>46295</v>
      </c>
      <c r="I95" s="22">
        <v>46295</v>
      </c>
      <c r="J95" s="22">
        <v>46351</v>
      </c>
      <c r="K95" s="22">
        <v>46375</v>
      </c>
    </row>
    <row r="96" spans="1:17" hidden="1" outlineLevel="1">
      <c r="A96" s="14" t="s">
        <v>161</v>
      </c>
      <c r="G96" s="22">
        <v>46283</v>
      </c>
      <c r="H96" s="22">
        <v>46325</v>
      </c>
      <c r="I96" s="22">
        <v>46325</v>
      </c>
      <c r="J96" s="22">
        <v>46381</v>
      </c>
      <c r="K96" s="22">
        <v>46405</v>
      </c>
    </row>
    <row r="97" spans="1:17" hidden="1" outlineLevel="1">
      <c r="A97" s="14" t="s">
        <v>162</v>
      </c>
      <c r="G97" s="22">
        <v>46311</v>
      </c>
      <c r="H97" s="22">
        <v>46356</v>
      </c>
      <c r="I97" s="22">
        <v>46356</v>
      </c>
      <c r="J97" s="22">
        <v>46412</v>
      </c>
      <c r="K97" s="22">
        <v>46434</v>
      </c>
    </row>
    <row r="98" spans="1:17" hidden="1" outlineLevel="1">
      <c r="A98" s="14" t="s">
        <v>163</v>
      </c>
      <c r="G98" s="22">
        <v>46344</v>
      </c>
      <c r="H98" s="22">
        <v>46387</v>
      </c>
      <c r="I98" s="22">
        <v>46387</v>
      </c>
      <c r="J98" s="22">
        <v>46443</v>
      </c>
      <c r="K98" s="22">
        <v>46464</v>
      </c>
    </row>
    <row r="99" spans="1:17" collapsed="1">
      <c r="A99" s="33" t="s">
        <v>195</v>
      </c>
      <c r="B99" s="34" t="s">
        <v>196</v>
      </c>
      <c r="C99" s="35" t="s">
        <v>191</v>
      </c>
      <c r="D99" s="35"/>
      <c r="E99" s="35"/>
      <c r="F99" s="36">
        <v>6</v>
      </c>
      <c r="G99" s="35"/>
      <c r="H99" s="37"/>
      <c r="I99" s="35" t="s">
        <v>25</v>
      </c>
      <c r="J99" s="43" t="str">
        <f ca="1">IF(MAX(B101:B112,G101:G112)=0,"—",IF(MAX(B101:B112,G101:G112)&lt;TODAY(),"À renouveler","À jour"))</f>
        <v>À jour</v>
      </c>
      <c r="K99" s="44" t="str">
        <f ca="1">IFERROR(IF(_xlfn.MINIFS(B101:B112,B101:B112,"&gt;="&amp;TODAY())=0,"",_xlfn.MINIFS(B101:B112,B101:B112,"&gt;="&amp;TODAY())),"")</f>
        <v/>
      </c>
      <c r="L99" s="44">
        <f ca="1">IFERROR(IF(_xlfn.MINIFS(G101:G112,G101:G112,"&gt;="&amp;TODAY())=0,"",_xlfn.MINIFS(G101:G112,G101:G112,"&gt;="&amp;TODAY())),"")</f>
        <v>46283</v>
      </c>
      <c r="M99" s="44">
        <f ca="1">IFERROR(IF(_xlfn.MINIFS(K101:K112,G101:G112,"&gt;="&amp;TODAY())=0,"",_xlfn.MINIFS(K101:K112,G101:G112,"&gt;="&amp;TODAY())),"")</f>
        <v>46405</v>
      </c>
      <c r="N99" s="50" t="s">
        <v>128</v>
      </c>
      <c r="O99" s="13" t="s">
        <v>129</v>
      </c>
      <c r="P99" s="21" t="s">
        <v>192</v>
      </c>
      <c r="Q99" s="69"/>
    </row>
    <row r="100" spans="1:17" hidden="1" outlineLevel="1">
      <c r="A100" s="42" t="s">
        <v>131</v>
      </c>
      <c r="B100" s="42" t="s">
        <v>132</v>
      </c>
      <c r="C100" s="42" t="s">
        <v>133</v>
      </c>
      <c r="D100" s="42" t="s">
        <v>134</v>
      </c>
      <c r="E100" s="42" t="s">
        <v>135</v>
      </c>
      <c r="F100" s="42" t="s">
        <v>136</v>
      </c>
      <c r="G100" s="42" t="s">
        <v>137</v>
      </c>
      <c r="H100" s="42" t="s">
        <v>138</v>
      </c>
      <c r="I100" s="42" t="s">
        <v>139</v>
      </c>
      <c r="J100" s="42" t="s">
        <v>140</v>
      </c>
      <c r="K100" s="42" t="s">
        <v>141</v>
      </c>
    </row>
    <row r="101" spans="1:17" hidden="1" outlineLevel="1">
      <c r="A101" s="14" t="s">
        <v>152</v>
      </c>
      <c r="G101" s="22">
        <v>46008</v>
      </c>
      <c r="H101" s="22">
        <v>46052</v>
      </c>
      <c r="I101" s="22">
        <v>46052</v>
      </c>
      <c r="J101" s="22">
        <v>46108</v>
      </c>
      <c r="K101" s="22">
        <v>46129</v>
      </c>
    </row>
    <row r="102" spans="1:17" hidden="1" outlineLevel="1">
      <c r="A102" s="14" t="s">
        <v>153</v>
      </c>
      <c r="G102" s="22">
        <v>46038</v>
      </c>
      <c r="H102" s="22">
        <v>46080</v>
      </c>
      <c r="I102" s="22">
        <v>46080</v>
      </c>
      <c r="J102" s="22">
        <v>46136</v>
      </c>
      <c r="K102" s="22">
        <v>46158</v>
      </c>
    </row>
    <row r="103" spans="1:17" hidden="1" outlineLevel="1">
      <c r="A103" s="14" t="s">
        <v>154</v>
      </c>
      <c r="G103" s="22">
        <v>46070</v>
      </c>
      <c r="H103" s="22">
        <v>46112</v>
      </c>
      <c r="I103" s="22">
        <v>46112</v>
      </c>
      <c r="J103" s="22">
        <v>46168</v>
      </c>
      <c r="K103" s="22">
        <v>46190</v>
      </c>
    </row>
    <row r="104" spans="1:17" hidden="1" outlineLevel="1">
      <c r="A104" s="14" t="s">
        <v>155</v>
      </c>
      <c r="G104" s="22">
        <v>46098</v>
      </c>
      <c r="H104" s="22">
        <v>46142</v>
      </c>
      <c r="I104" s="22">
        <v>46142</v>
      </c>
      <c r="J104" s="22">
        <v>46198</v>
      </c>
      <c r="K104" s="22">
        <v>46220</v>
      </c>
    </row>
    <row r="105" spans="1:17" hidden="1" outlineLevel="1">
      <c r="A105" s="14" t="s">
        <v>156</v>
      </c>
      <c r="G105" s="22">
        <v>46125</v>
      </c>
      <c r="H105" s="22">
        <v>46171</v>
      </c>
      <c r="I105" s="22">
        <v>46171</v>
      </c>
      <c r="J105" s="22">
        <v>46227</v>
      </c>
      <c r="K105" s="22">
        <v>46247</v>
      </c>
    </row>
    <row r="106" spans="1:17" hidden="1" outlineLevel="1">
      <c r="A106" s="14" t="s">
        <v>157</v>
      </c>
      <c r="G106" s="22">
        <v>46160</v>
      </c>
      <c r="H106" s="22">
        <v>46203</v>
      </c>
      <c r="I106" s="22">
        <v>46203</v>
      </c>
      <c r="J106" s="22">
        <v>46259</v>
      </c>
      <c r="K106" s="22">
        <v>46283</v>
      </c>
    </row>
    <row r="107" spans="1:17" hidden="1" outlineLevel="1">
      <c r="A107" s="14" t="s">
        <v>158</v>
      </c>
      <c r="G107" s="22">
        <v>46191</v>
      </c>
      <c r="H107" s="22">
        <v>46234</v>
      </c>
      <c r="I107" s="22">
        <v>46234</v>
      </c>
      <c r="J107" s="22">
        <v>46290</v>
      </c>
      <c r="K107" s="22">
        <v>46313</v>
      </c>
    </row>
    <row r="108" spans="1:17" hidden="1" outlineLevel="1">
      <c r="A108" s="14" t="s">
        <v>159</v>
      </c>
      <c r="G108" s="22">
        <v>46223</v>
      </c>
      <c r="H108" s="22">
        <v>46265</v>
      </c>
      <c r="I108" s="22">
        <v>46265</v>
      </c>
      <c r="J108" s="22">
        <v>46321</v>
      </c>
      <c r="K108" s="22">
        <v>46346</v>
      </c>
    </row>
    <row r="109" spans="1:17" hidden="1" outlineLevel="1">
      <c r="A109" s="14" t="s">
        <v>160</v>
      </c>
      <c r="G109" s="22">
        <v>46253</v>
      </c>
      <c r="H109" s="22">
        <v>46295</v>
      </c>
      <c r="I109" s="22">
        <v>46295</v>
      </c>
      <c r="J109" s="22">
        <v>46351</v>
      </c>
      <c r="K109" s="22">
        <v>46375</v>
      </c>
    </row>
    <row r="110" spans="1:17" hidden="1" outlineLevel="1">
      <c r="A110" s="14" t="s">
        <v>161</v>
      </c>
      <c r="G110" s="22">
        <v>46283</v>
      </c>
      <c r="H110" s="22">
        <v>46325</v>
      </c>
      <c r="I110" s="22">
        <v>46325</v>
      </c>
      <c r="J110" s="22">
        <v>46381</v>
      </c>
      <c r="K110" s="22">
        <v>46405</v>
      </c>
    </row>
    <row r="111" spans="1:17" hidden="1" outlineLevel="1">
      <c r="A111" s="14" t="s">
        <v>162</v>
      </c>
      <c r="G111" s="22">
        <v>46311</v>
      </c>
      <c r="H111" s="22">
        <v>46356</v>
      </c>
      <c r="I111" s="22">
        <v>46356</v>
      </c>
      <c r="J111" s="22">
        <v>46412</v>
      </c>
      <c r="K111" s="22">
        <v>46434</v>
      </c>
    </row>
    <row r="112" spans="1:17" hidden="1" outlineLevel="1">
      <c r="A112" s="14" t="s">
        <v>163</v>
      </c>
      <c r="G112" s="22">
        <v>46344</v>
      </c>
      <c r="H112" s="22">
        <v>46387</v>
      </c>
      <c r="I112" s="22">
        <v>46387</v>
      </c>
      <c r="J112" s="22">
        <v>46443</v>
      </c>
      <c r="K112" s="22">
        <v>46464</v>
      </c>
    </row>
    <row r="113" spans="1:22" collapsed="1">
      <c r="A113" s="28" t="s">
        <v>197</v>
      </c>
      <c r="B113" s="29" t="s">
        <v>198</v>
      </c>
      <c r="C113" s="30" t="s">
        <v>191</v>
      </c>
      <c r="D113" s="30"/>
      <c r="E113" s="30"/>
      <c r="F113" s="31">
        <v>6</v>
      </c>
      <c r="G113" s="30"/>
      <c r="H113" s="32"/>
      <c r="I113" s="30" t="s">
        <v>25</v>
      </c>
      <c r="J113" s="90" t="s">
        <v>199</v>
      </c>
      <c r="K113" s="20"/>
      <c r="L113" s="41">
        <f ca="1">IFERROR(IF(_xlfn.MINIFS(G115:G118,G115:G118,"&gt;="&amp;TODAY())=0,"",_xlfn.MINIFS(G115:G118,G115:G118,"&gt;="&amp;TODAY())),"")</f>
        <v>46267</v>
      </c>
      <c r="M113" s="41">
        <f ca="1">IFERROR(IF(_xlfn.MINIFS(K115:K118,G115:G118,"&gt;="&amp;TODAY())=0,"",_xlfn.MINIFS(K115:K118,G115:G118,"&gt;="&amp;TODAY())),"")</f>
        <v>46302</v>
      </c>
      <c r="N113" s="49" t="s">
        <v>128</v>
      </c>
      <c r="O113" s="20"/>
      <c r="P113" s="89" t="s">
        <v>91</v>
      </c>
      <c r="Q113" s="99"/>
      <c r="V113" t="s">
        <v>200</v>
      </c>
    </row>
    <row r="114" spans="1:22" hidden="1" outlineLevel="1">
      <c r="A114" s="42" t="s">
        <v>131</v>
      </c>
      <c r="B114" s="42" t="s">
        <v>132</v>
      </c>
      <c r="C114" s="42" t="s">
        <v>133</v>
      </c>
      <c r="D114" s="42" t="s">
        <v>134</v>
      </c>
      <c r="E114" s="42" t="s">
        <v>135</v>
      </c>
      <c r="F114" s="42" t="s">
        <v>136</v>
      </c>
      <c r="G114" s="42" t="s">
        <v>137</v>
      </c>
      <c r="H114" s="42" t="s">
        <v>138</v>
      </c>
      <c r="I114" s="42" t="s">
        <v>139</v>
      </c>
      <c r="J114" s="42" t="s">
        <v>140</v>
      </c>
      <c r="K114" s="42" t="s">
        <v>141</v>
      </c>
      <c r="L114" s="20"/>
      <c r="M114" s="20"/>
      <c r="N114" s="49"/>
      <c r="O114" s="92"/>
      <c r="P114" s="89"/>
      <c r="Q114" s="99"/>
    </row>
    <row r="115" spans="1:22" hidden="1" outlineLevel="1">
      <c r="A115" s="14" t="s">
        <v>154</v>
      </c>
      <c r="G115" s="22">
        <v>46078</v>
      </c>
      <c r="H115" s="22">
        <v>46106</v>
      </c>
      <c r="I115" s="22">
        <v>46106</v>
      </c>
      <c r="J115" s="25"/>
      <c r="K115" s="22">
        <v>46113</v>
      </c>
    </row>
    <row r="116" spans="1:22" hidden="1" outlineLevel="1">
      <c r="A116" s="14" t="s">
        <v>157</v>
      </c>
      <c r="G116" s="22">
        <v>46169</v>
      </c>
      <c r="H116" s="22">
        <v>46197</v>
      </c>
      <c r="I116" s="22">
        <v>46197</v>
      </c>
      <c r="J116" s="25"/>
      <c r="K116" s="22">
        <v>46204</v>
      </c>
    </row>
    <row r="117" spans="1:22" hidden="1" outlineLevel="1">
      <c r="A117" s="14" t="s">
        <v>160</v>
      </c>
      <c r="G117" s="22">
        <v>46267</v>
      </c>
      <c r="H117" s="22">
        <v>46295</v>
      </c>
      <c r="I117" s="22">
        <v>46295</v>
      </c>
      <c r="J117" s="25"/>
      <c r="K117" s="22">
        <v>46302</v>
      </c>
    </row>
    <row r="118" spans="1:22" hidden="1" outlineLevel="1">
      <c r="A118" s="14" t="s">
        <v>163</v>
      </c>
      <c r="G118" s="22">
        <v>46358</v>
      </c>
      <c r="H118" s="22">
        <v>46386</v>
      </c>
      <c r="I118" s="22">
        <v>46386</v>
      </c>
      <c r="J118" s="25"/>
      <c r="K118" s="22">
        <v>46394</v>
      </c>
    </row>
    <row r="119" spans="1:22" collapsed="1">
      <c r="A119" s="33" t="s">
        <v>201</v>
      </c>
      <c r="B119" s="34" t="s">
        <v>202</v>
      </c>
      <c r="C119" s="35" t="s">
        <v>191</v>
      </c>
      <c r="D119" s="35"/>
      <c r="E119" s="35"/>
      <c r="F119" s="36">
        <v>5</v>
      </c>
      <c r="G119" s="35"/>
      <c r="H119" s="37"/>
      <c r="I119" s="35" t="s">
        <v>25</v>
      </c>
      <c r="J119" s="43" t="str">
        <f ca="1">IF(MAX(B121:B133,G121:G133)=0,"—",IF(MAX(B121:B133,G121:G133)&lt;TODAY(),"À renouveler","À jour"))</f>
        <v>À jour</v>
      </c>
      <c r="K119" s="44">
        <f ca="1">IFERROR(IF(_xlfn.MINIFS(B121:B133,B121:B133,"&gt;="&amp;TODAY())=0,"",_xlfn.MINIFS(B121:B133,B121:B133,"&gt;="&amp;TODAY())),"")</f>
        <v>46286</v>
      </c>
      <c r="L119" s="44">
        <f ca="1">IFERROR(IF(_xlfn.MINIFS(G121:G133,G121:G133,"&gt;="&amp;TODAY())=0,"",_xlfn.MINIFS(G121:G133,G121:G133,"&gt;="&amp;TODAY())),"")</f>
        <v>46357</v>
      </c>
      <c r="M119" s="44" t="str">
        <f ca="1">IFERROR(IF(_xlfn.MINIFS(K121:K133,G121:G133,"&gt;="&amp;TODAY())=0,"",_xlfn.MINIFS(K121:K133,G121:G133,"&gt;="&amp;TODAY())),"")</f>
        <v/>
      </c>
      <c r="N119" s="50" t="s">
        <v>128</v>
      </c>
      <c r="O119" s="13" t="s">
        <v>129</v>
      </c>
      <c r="P119" s="39" t="s">
        <v>203</v>
      </c>
      <c r="Q119" s="98"/>
    </row>
    <row r="120" spans="1:22" hidden="1" outlineLevel="2">
      <c r="A120" s="42" t="s">
        <v>131</v>
      </c>
      <c r="B120" s="42" t="s">
        <v>132</v>
      </c>
      <c r="C120" s="42" t="s">
        <v>133</v>
      </c>
      <c r="D120" s="42" t="s">
        <v>134</v>
      </c>
      <c r="E120" s="42" t="s">
        <v>135</v>
      </c>
      <c r="F120" s="42" t="s">
        <v>136</v>
      </c>
      <c r="G120" s="42" t="s">
        <v>137</v>
      </c>
      <c r="H120" s="42" t="s">
        <v>138</v>
      </c>
      <c r="I120" s="42" t="s">
        <v>139</v>
      </c>
      <c r="J120" s="42" t="s">
        <v>140</v>
      </c>
      <c r="K120" s="42" t="s">
        <v>141</v>
      </c>
    </row>
    <row r="121" spans="1:22" hidden="1" outlineLevel="1">
      <c r="A121" s="14" t="s">
        <v>152</v>
      </c>
      <c r="B121" s="23">
        <v>46009</v>
      </c>
      <c r="C121" s="23">
        <v>46022</v>
      </c>
      <c r="D121" s="23">
        <v>46024</v>
      </c>
      <c r="E121" s="24"/>
      <c r="F121" s="23">
        <v>46020</v>
      </c>
    </row>
    <row r="122" spans="1:22" hidden="1" outlineLevel="1">
      <c r="A122" s="14" t="s">
        <v>153</v>
      </c>
      <c r="B122" s="23">
        <v>46044</v>
      </c>
      <c r="C122" s="23">
        <v>46053</v>
      </c>
      <c r="D122" s="23">
        <v>46055</v>
      </c>
      <c r="E122" s="24"/>
      <c r="F122" s="23">
        <v>46050</v>
      </c>
    </row>
    <row r="123" spans="1:22" hidden="1" outlineLevel="1">
      <c r="A123" s="14" t="s">
        <v>154</v>
      </c>
      <c r="B123" s="23">
        <v>46072</v>
      </c>
      <c r="C123" s="23">
        <v>46081</v>
      </c>
      <c r="D123" s="23">
        <v>46083</v>
      </c>
      <c r="E123" s="24"/>
      <c r="F123" s="23">
        <v>46078</v>
      </c>
      <c r="G123" s="22">
        <v>46082</v>
      </c>
      <c r="H123" s="22">
        <v>46112</v>
      </c>
      <c r="I123" s="22">
        <v>46112</v>
      </c>
      <c r="J123" s="25"/>
      <c r="K123" s="25"/>
    </row>
    <row r="124" spans="1:22" hidden="1" outlineLevel="1">
      <c r="A124" s="14" t="s">
        <v>155</v>
      </c>
      <c r="B124" s="23">
        <v>46101</v>
      </c>
      <c r="C124" s="23">
        <v>46112</v>
      </c>
      <c r="D124" s="23">
        <v>46113</v>
      </c>
      <c r="E124" s="24"/>
      <c r="F124" s="23">
        <v>46108</v>
      </c>
    </row>
    <row r="125" spans="1:22" hidden="1" outlineLevel="1">
      <c r="A125" s="14" t="s">
        <v>156</v>
      </c>
      <c r="B125" s="23">
        <v>46133</v>
      </c>
      <c r="C125" s="23">
        <v>46142</v>
      </c>
      <c r="D125" s="23">
        <v>46146</v>
      </c>
      <c r="E125" s="24"/>
      <c r="F125" s="23">
        <v>46140</v>
      </c>
    </row>
    <row r="126" spans="1:22" hidden="1" outlineLevel="1">
      <c r="A126" s="14" t="s">
        <v>157</v>
      </c>
      <c r="B126" s="23">
        <v>46162</v>
      </c>
      <c r="C126" s="23">
        <v>46173</v>
      </c>
      <c r="D126" s="23">
        <v>46174</v>
      </c>
      <c r="E126" s="24"/>
      <c r="F126" s="23">
        <v>46169</v>
      </c>
      <c r="G126" s="22">
        <v>46173</v>
      </c>
      <c r="H126" s="22">
        <v>46203</v>
      </c>
      <c r="I126" s="22">
        <v>46203</v>
      </c>
      <c r="J126" s="25"/>
      <c r="K126" s="25"/>
    </row>
    <row r="127" spans="1:22" hidden="1" outlineLevel="1">
      <c r="A127" s="14" t="s">
        <v>158</v>
      </c>
      <c r="B127" s="23">
        <v>46191</v>
      </c>
      <c r="C127" s="23">
        <v>46203</v>
      </c>
      <c r="D127" s="23">
        <v>46204</v>
      </c>
      <c r="E127" s="24"/>
      <c r="F127" s="23">
        <v>46199</v>
      </c>
    </row>
    <row r="128" spans="1:22" hidden="1" outlineLevel="1">
      <c r="A128" s="14" t="s">
        <v>159</v>
      </c>
      <c r="B128" s="23">
        <v>46225</v>
      </c>
      <c r="C128" s="23">
        <v>46234</v>
      </c>
      <c r="D128" s="23">
        <v>46237</v>
      </c>
      <c r="E128" s="24"/>
      <c r="F128" s="23">
        <v>46232</v>
      </c>
    </row>
    <row r="129" spans="1:17" hidden="1" outlineLevel="1">
      <c r="A129" s="14" t="s">
        <v>160</v>
      </c>
      <c r="B129" s="23">
        <v>46254</v>
      </c>
      <c r="C129" s="23">
        <v>46265</v>
      </c>
      <c r="D129" s="23">
        <v>46266</v>
      </c>
      <c r="E129" s="24"/>
      <c r="F129" s="23">
        <v>46261</v>
      </c>
      <c r="G129" s="22">
        <v>46265</v>
      </c>
      <c r="H129" s="22">
        <v>46295</v>
      </c>
      <c r="I129" s="22">
        <v>46295</v>
      </c>
      <c r="J129" s="25"/>
      <c r="K129" s="25"/>
    </row>
    <row r="130" spans="1:17" hidden="1" outlineLevel="1">
      <c r="A130" s="14" t="s">
        <v>161</v>
      </c>
      <c r="B130" s="23">
        <v>46286</v>
      </c>
      <c r="C130" s="23">
        <v>46295</v>
      </c>
      <c r="D130" s="23">
        <v>46296</v>
      </c>
      <c r="E130" s="24"/>
      <c r="F130" s="23">
        <v>46293</v>
      </c>
    </row>
    <row r="131" spans="1:17" hidden="1" outlineLevel="1">
      <c r="A131" s="14" t="s">
        <v>162</v>
      </c>
      <c r="B131" s="23">
        <v>46317</v>
      </c>
      <c r="C131" s="23">
        <v>46326</v>
      </c>
      <c r="D131" s="23">
        <v>46328</v>
      </c>
      <c r="E131" s="24"/>
      <c r="F131" s="23">
        <v>46323</v>
      </c>
    </row>
    <row r="132" spans="1:17" hidden="1" outlineLevel="1">
      <c r="A132" s="14" t="s">
        <v>163</v>
      </c>
      <c r="B132" s="23">
        <v>46345</v>
      </c>
      <c r="C132" s="23">
        <v>46356</v>
      </c>
      <c r="D132" s="23">
        <v>46357</v>
      </c>
      <c r="E132" s="24"/>
      <c r="F132" s="23">
        <v>46352</v>
      </c>
      <c r="G132" s="22">
        <v>46357</v>
      </c>
      <c r="H132" s="22">
        <v>46387</v>
      </c>
      <c r="I132" s="22">
        <v>46387</v>
      </c>
      <c r="J132" s="25"/>
      <c r="K132" s="25"/>
    </row>
    <row r="133" spans="1:17" hidden="1" outlineLevel="1">
      <c r="A133" s="14" t="s">
        <v>204</v>
      </c>
      <c r="B133" s="23">
        <v>46377</v>
      </c>
      <c r="C133" s="23">
        <v>46387</v>
      </c>
      <c r="D133" s="23">
        <v>46391</v>
      </c>
      <c r="E133" s="24"/>
      <c r="F133" s="23">
        <v>46385</v>
      </c>
    </row>
    <row r="134" spans="1:17" collapsed="1">
      <c r="A134" s="28" t="s">
        <v>205</v>
      </c>
      <c r="B134" s="29" t="s">
        <v>206</v>
      </c>
      <c r="C134" s="30" t="s">
        <v>191</v>
      </c>
      <c r="D134" s="30"/>
      <c r="E134" s="30"/>
      <c r="F134" s="31">
        <v>4</v>
      </c>
      <c r="G134" s="30"/>
      <c r="H134" s="32"/>
      <c r="I134" s="30" t="s">
        <v>25</v>
      </c>
      <c r="J134" s="40" t="str">
        <f ca="1">IF(MAX(B136:B154,G136:G154)=0,"—",IF(MAX(B136:B154,G136:G154)&lt;TODAY(),"À renouveler","À jour"))</f>
        <v>À jour</v>
      </c>
      <c r="K134" s="41">
        <f ca="1">IFERROR(IF(_xlfn.MINIFS(B136:B154,B136:B154,"&gt;="&amp;TODAY())=0,"",_xlfn.MINIFS(B136:B154,B136:B154,"&gt;="&amp;TODAY())),"")</f>
        <v>46282</v>
      </c>
      <c r="L134" s="41">
        <f ca="1">IFERROR(IF(_xlfn.MINIFS(G136:G154,G136:G154,"&gt;="&amp;TODAY())=0,"",_xlfn.MINIFS(G136:G154,G136:G154,"&gt;="&amp;TODAY())),"")</f>
        <v>46294</v>
      </c>
      <c r="M134" s="41">
        <f ca="1">IFERROR(IF(_xlfn.MINIFS(K136:K154,G136:G154,"&gt;="&amp;TODAY())=0,"",_xlfn.MINIFS(K136:K154,G136:G154,"&gt;="&amp;TODAY())),"")</f>
        <v>46394</v>
      </c>
      <c r="N134" s="49"/>
      <c r="O134" s="13" t="s">
        <v>129</v>
      </c>
      <c r="P134" s="20" t="s">
        <v>91</v>
      </c>
      <c r="Q134" s="92"/>
    </row>
    <row r="135" spans="1:17" hidden="1" outlineLevel="1">
      <c r="A135" s="42" t="s">
        <v>131</v>
      </c>
      <c r="B135" s="42" t="s">
        <v>132</v>
      </c>
      <c r="C135" s="42" t="s">
        <v>133</v>
      </c>
      <c r="D135" s="42" t="s">
        <v>134</v>
      </c>
      <c r="E135" s="42" t="s">
        <v>135</v>
      </c>
      <c r="F135" s="42" t="s">
        <v>136</v>
      </c>
      <c r="G135" s="42" t="s">
        <v>137</v>
      </c>
      <c r="H135" s="42" t="s">
        <v>138</v>
      </c>
      <c r="I135" s="42" t="s">
        <v>139</v>
      </c>
      <c r="J135" s="42" t="s">
        <v>140</v>
      </c>
      <c r="K135" s="42" t="s">
        <v>141</v>
      </c>
    </row>
    <row r="136" spans="1:17" hidden="1" outlineLevel="1">
      <c r="A136" s="14" t="s">
        <v>148</v>
      </c>
      <c r="G136" s="22">
        <v>45835</v>
      </c>
      <c r="H136" s="25"/>
      <c r="I136" s="22">
        <v>45901</v>
      </c>
      <c r="J136" s="22">
        <v>45930</v>
      </c>
      <c r="K136" s="22">
        <v>45936</v>
      </c>
    </row>
    <row r="137" spans="1:17" hidden="1" outlineLevel="1">
      <c r="A137" s="14" t="s">
        <v>149</v>
      </c>
      <c r="G137" s="22">
        <v>45867</v>
      </c>
      <c r="H137" s="25"/>
      <c r="I137" s="22">
        <v>45931</v>
      </c>
      <c r="J137" s="22">
        <v>45960</v>
      </c>
      <c r="K137" s="22">
        <v>45966</v>
      </c>
    </row>
    <row r="138" spans="1:17" hidden="1" outlineLevel="1">
      <c r="A138" s="14" t="s">
        <v>150</v>
      </c>
      <c r="B138" s="23">
        <v>45950</v>
      </c>
      <c r="C138" s="24"/>
      <c r="D138" s="23">
        <v>45964</v>
      </c>
      <c r="E138" s="23">
        <v>45993</v>
      </c>
      <c r="F138" s="23">
        <v>45999</v>
      </c>
      <c r="G138" s="22">
        <v>45901</v>
      </c>
      <c r="H138" s="25"/>
      <c r="I138" s="22">
        <v>45964</v>
      </c>
      <c r="J138" s="22">
        <v>45993</v>
      </c>
      <c r="K138" s="22">
        <v>45999</v>
      </c>
    </row>
    <row r="139" spans="1:17" hidden="1" outlineLevel="1">
      <c r="A139" s="14" t="s">
        <v>151</v>
      </c>
      <c r="B139" s="23">
        <v>45978</v>
      </c>
      <c r="C139" s="24"/>
      <c r="D139" s="23">
        <v>45992</v>
      </c>
      <c r="E139" s="23">
        <v>46027</v>
      </c>
      <c r="F139" s="23">
        <v>46031</v>
      </c>
      <c r="G139" s="22">
        <v>45929</v>
      </c>
      <c r="H139" s="25"/>
      <c r="I139" s="22">
        <v>45992</v>
      </c>
      <c r="J139" s="22">
        <v>46027</v>
      </c>
      <c r="K139" s="22">
        <v>46031</v>
      </c>
    </row>
    <row r="140" spans="1:17" hidden="1" outlineLevel="1">
      <c r="A140" s="14" t="s">
        <v>152</v>
      </c>
      <c r="B140" s="23">
        <v>46006</v>
      </c>
      <c r="C140" s="24"/>
      <c r="D140" s="23">
        <v>46024</v>
      </c>
      <c r="E140" s="23">
        <v>46055</v>
      </c>
      <c r="F140" s="23">
        <v>46059</v>
      </c>
      <c r="G140" s="22">
        <v>45957</v>
      </c>
      <c r="H140" s="25"/>
      <c r="I140" s="22">
        <v>46024</v>
      </c>
      <c r="J140" s="22">
        <v>46055</v>
      </c>
      <c r="K140" s="22">
        <v>46059</v>
      </c>
    </row>
    <row r="141" spans="1:17" hidden="1" outlineLevel="1">
      <c r="A141" s="14" t="s">
        <v>153</v>
      </c>
      <c r="B141" s="23">
        <v>46041</v>
      </c>
      <c r="C141" s="24"/>
      <c r="D141" s="23">
        <v>46055</v>
      </c>
      <c r="E141" s="23">
        <v>46084</v>
      </c>
      <c r="F141" s="23">
        <v>46090</v>
      </c>
      <c r="G141" s="22">
        <v>45986</v>
      </c>
      <c r="H141" s="25"/>
      <c r="I141" s="22">
        <v>46055</v>
      </c>
      <c r="J141" s="22">
        <v>46084</v>
      </c>
      <c r="K141" s="22">
        <v>46090</v>
      </c>
    </row>
    <row r="142" spans="1:17" hidden="1" outlineLevel="1">
      <c r="A142" s="14" t="s">
        <v>154</v>
      </c>
      <c r="B142" s="23">
        <v>46069</v>
      </c>
      <c r="C142" s="24"/>
      <c r="D142" s="23">
        <v>46083</v>
      </c>
      <c r="E142" s="23">
        <v>46112</v>
      </c>
      <c r="F142" s="23">
        <v>46120</v>
      </c>
      <c r="G142" s="22">
        <v>46014</v>
      </c>
      <c r="H142" s="25"/>
      <c r="I142" s="22">
        <v>46083</v>
      </c>
      <c r="J142" s="22">
        <v>46112</v>
      </c>
      <c r="K142" s="22">
        <v>46120</v>
      </c>
    </row>
    <row r="143" spans="1:17" hidden="1" outlineLevel="1">
      <c r="A143" s="14" t="s">
        <v>155</v>
      </c>
      <c r="B143" s="23">
        <v>46099</v>
      </c>
      <c r="C143" s="24"/>
      <c r="D143" s="23">
        <v>46113</v>
      </c>
      <c r="E143" s="23">
        <v>46147</v>
      </c>
      <c r="F143" s="23">
        <v>46153</v>
      </c>
      <c r="G143" s="22">
        <v>46050</v>
      </c>
      <c r="H143" s="25"/>
      <c r="I143" s="22">
        <v>46113</v>
      </c>
      <c r="J143" s="22">
        <v>46147</v>
      </c>
      <c r="K143" s="22">
        <v>46153</v>
      </c>
    </row>
    <row r="144" spans="1:17" hidden="1" outlineLevel="1">
      <c r="A144" s="14" t="s">
        <v>156</v>
      </c>
      <c r="B144" s="23">
        <v>46129</v>
      </c>
      <c r="C144" s="24"/>
      <c r="D144" s="23">
        <v>46146</v>
      </c>
      <c r="E144" s="23">
        <v>46177</v>
      </c>
      <c r="F144" s="23">
        <v>46183</v>
      </c>
      <c r="G144" s="22">
        <v>46078</v>
      </c>
      <c r="H144" s="25"/>
      <c r="I144" s="22">
        <v>46146</v>
      </c>
      <c r="J144" s="22">
        <v>46177</v>
      </c>
      <c r="K144" s="22">
        <v>46183</v>
      </c>
    </row>
    <row r="145" spans="1:22" hidden="1" outlineLevel="1">
      <c r="A145" s="14" t="s">
        <v>157</v>
      </c>
      <c r="B145" s="23">
        <v>46157</v>
      </c>
      <c r="C145" s="24"/>
      <c r="D145" s="23">
        <v>46174</v>
      </c>
      <c r="E145" s="23">
        <v>46204</v>
      </c>
      <c r="F145" s="23">
        <v>46210</v>
      </c>
      <c r="G145" s="22">
        <v>46104</v>
      </c>
      <c r="H145" s="25"/>
      <c r="I145" s="22">
        <v>46174</v>
      </c>
      <c r="J145" s="22">
        <v>46204</v>
      </c>
      <c r="K145" s="22">
        <v>46210</v>
      </c>
    </row>
    <row r="146" spans="1:22" hidden="1" outlineLevel="1">
      <c r="A146" s="14" t="s">
        <v>158</v>
      </c>
      <c r="B146" s="23">
        <v>46189</v>
      </c>
      <c r="C146" s="24"/>
      <c r="D146" s="23">
        <v>46204</v>
      </c>
      <c r="E146" s="23">
        <v>46233</v>
      </c>
      <c r="F146" s="23">
        <v>46239</v>
      </c>
      <c r="G146" s="22">
        <v>46135</v>
      </c>
      <c r="H146" s="25"/>
      <c r="I146" s="22">
        <v>46204</v>
      </c>
      <c r="J146" s="22">
        <v>46233</v>
      </c>
      <c r="K146" s="22">
        <v>46239</v>
      </c>
    </row>
    <row r="147" spans="1:22" hidden="1" outlineLevel="1">
      <c r="A147" s="14" t="s">
        <v>159</v>
      </c>
      <c r="B147" s="23">
        <v>46223</v>
      </c>
      <c r="C147" s="24"/>
      <c r="D147" s="23">
        <v>46237</v>
      </c>
      <c r="E147" s="23">
        <v>46266</v>
      </c>
      <c r="F147" s="23">
        <v>46272</v>
      </c>
      <c r="G147" s="22">
        <v>46171</v>
      </c>
      <c r="H147" s="25"/>
      <c r="I147" s="22">
        <v>46237</v>
      </c>
      <c r="J147" s="22">
        <v>46266</v>
      </c>
      <c r="K147" s="22">
        <v>46272</v>
      </c>
    </row>
    <row r="148" spans="1:22" hidden="1" outlineLevel="1">
      <c r="A148" s="14" t="s">
        <v>160</v>
      </c>
      <c r="B148" s="23">
        <v>46252</v>
      </c>
      <c r="C148" s="24"/>
      <c r="D148" s="23">
        <v>46266</v>
      </c>
      <c r="E148" s="23">
        <v>46295</v>
      </c>
      <c r="F148" s="23">
        <v>46301</v>
      </c>
      <c r="G148" s="22">
        <v>46203</v>
      </c>
      <c r="H148" s="25"/>
      <c r="I148" s="22">
        <v>46266</v>
      </c>
      <c r="J148" s="22">
        <v>46295</v>
      </c>
      <c r="K148" s="22">
        <v>46301</v>
      </c>
    </row>
    <row r="149" spans="1:22" hidden="1" outlineLevel="1">
      <c r="A149" s="14" t="s">
        <v>161</v>
      </c>
      <c r="B149" s="23">
        <v>46282</v>
      </c>
      <c r="C149" s="24"/>
      <c r="D149" s="23">
        <v>46296</v>
      </c>
      <c r="E149" s="23">
        <v>46325</v>
      </c>
      <c r="F149" s="23">
        <v>46331</v>
      </c>
      <c r="G149" s="22">
        <v>46233</v>
      </c>
      <c r="H149" s="25"/>
      <c r="I149" s="22">
        <v>46296</v>
      </c>
      <c r="J149" s="22">
        <v>46325</v>
      </c>
      <c r="K149" s="22">
        <v>46331</v>
      </c>
    </row>
    <row r="150" spans="1:22" hidden="1" outlineLevel="1">
      <c r="A150" s="14" t="s">
        <v>162</v>
      </c>
      <c r="B150" s="23">
        <v>46314</v>
      </c>
      <c r="C150" s="24"/>
      <c r="D150" s="23">
        <v>46328</v>
      </c>
      <c r="E150" s="23">
        <v>46357</v>
      </c>
      <c r="F150" s="23">
        <v>46363</v>
      </c>
      <c r="G150" s="22">
        <v>46265</v>
      </c>
      <c r="H150" s="25"/>
      <c r="I150" s="22">
        <v>46328</v>
      </c>
      <c r="J150" s="22">
        <v>46357</v>
      </c>
      <c r="K150" s="22">
        <v>46363</v>
      </c>
    </row>
    <row r="151" spans="1:22" hidden="1" outlineLevel="1">
      <c r="A151" s="14" t="s">
        <v>163</v>
      </c>
      <c r="B151" s="23">
        <v>46343</v>
      </c>
      <c r="C151" s="24"/>
      <c r="D151" s="23">
        <v>46357</v>
      </c>
      <c r="E151" s="23">
        <v>46388</v>
      </c>
      <c r="F151" s="23">
        <v>46394</v>
      </c>
      <c r="G151" s="22">
        <v>46294</v>
      </c>
      <c r="H151" s="25"/>
      <c r="I151" s="22">
        <v>46357</v>
      </c>
      <c r="J151" s="22">
        <v>46388</v>
      </c>
      <c r="K151" s="22">
        <v>46394</v>
      </c>
    </row>
    <row r="152" spans="1:22" hidden="1" outlineLevel="1">
      <c r="A152" s="14" t="s">
        <v>204</v>
      </c>
      <c r="B152" s="23">
        <v>46372</v>
      </c>
      <c r="C152" s="24"/>
      <c r="D152" s="23">
        <v>46388</v>
      </c>
      <c r="E152" s="23">
        <v>46419</v>
      </c>
      <c r="F152" s="23">
        <v>46423</v>
      </c>
      <c r="G152" s="22">
        <v>46323</v>
      </c>
      <c r="H152" s="25"/>
      <c r="I152" s="22">
        <v>46388</v>
      </c>
      <c r="J152" s="22">
        <v>46419</v>
      </c>
      <c r="K152" s="22">
        <v>46423</v>
      </c>
    </row>
    <row r="153" spans="1:22" hidden="1" outlineLevel="1">
      <c r="A153" s="14" t="s">
        <v>207</v>
      </c>
      <c r="G153" s="22">
        <v>46352</v>
      </c>
      <c r="H153" s="25"/>
      <c r="I153" s="22">
        <v>46419</v>
      </c>
      <c r="J153" s="22">
        <v>46448</v>
      </c>
      <c r="K153" s="22">
        <v>46454</v>
      </c>
    </row>
    <row r="154" spans="1:22" hidden="1" outlineLevel="1">
      <c r="A154" s="14" t="s">
        <v>208</v>
      </c>
      <c r="G154" s="22">
        <v>46384</v>
      </c>
      <c r="H154" s="25"/>
      <c r="I154" s="22">
        <v>46447</v>
      </c>
      <c r="J154" s="22">
        <v>46476</v>
      </c>
      <c r="K154" s="22">
        <v>46482</v>
      </c>
    </row>
    <row r="155" spans="1:22">
      <c r="A155" s="33" t="s">
        <v>209</v>
      </c>
      <c r="B155" s="34" t="s">
        <v>210</v>
      </c>
      <c r="C155" s="35" t="s">
        <v>191</v>
      </c>
      <c r="D155" s="35"/>
      <c r="E155" s="35"/>
      <c r="F155" s="36">
        <v>6</v>
      </c>
      <c r="G155" s="35"/>
      <c r="H155" s="37"/>
      <c r="I155" s="35" t="s">
        <v>25</v>
      </c>
      <c r="J155" s="21" t="s">
        <v>211</v>
      </c>
      <c r="K155" s="21"/>
      <c r="L155" s="21"/>
      <c r="M155" s="21"/>
      <c r="N155" s="50"/>
      <c r="O155" s="21"/>
      <c r="P155" s="39" t="s">
        <v>212</v>
      </c>
      <c r="Q155" s="98"/>
    </row>
    <row r="156" spans="1:22" collapsed="1">
      <c r="A156" s="28" t="s">
        <v>213</v>
      </c>
      <c r="B156" s="29" t="s">
        <v>214</v>
      </c>
      <c r="C156" s="30" t="s">
        <v>191</v>
      </c>
      <c r="D156" s="30"/>
      <c r="E156" s="30"/>
      <c r="F156" s="31">
        <v>6</v>
      </c>
      <c r="G156" s="30"/>
      <c r="H156" s="32"/>
      <c r="I156" s="30" t="s">
        <v>25</v>
      </c>
      <c r="J156" s="40" t="str">
        <f ca="1">IF(MAX(B158:B161,G158:G161)=0,"—",IF(MAX(B158:B161,G158:G161)&lt;TODAY(),"À renouveler","À jour"))</f>
        <v>À jour</v>
      </c>
      <c r="K156" s="41" t="str">
        <f ca="1">IFERROR(IF(_xlfn.MINIFS(B158:B161,B158:B161,"&gt;="&amp;TODAY())=0,"",_xlfn.MINIFS(B158:B161,B158:B161,"&gt;="&amp;TODAY())),"")</f>
        <v/>
      </c>
      <c r="L156" s="41">
        <f ca="1">IFERROR(IF(_xlfn.MINIFS(G158:G161,G158:G161,"&gt;="&amp;TODAY())=0,"",_xlfn.MINIFS(G158:G161,G158:G161,"&gt;="&amp;TODAY())),"")</f>
        <v>46267</v>
      </c>
      <c r="M156" s="41">
        <f ca="1">IFERROR(IF(_xlfn.MINIFS(K158:K161,G158:G161,"&gt;="&amp;TODAY())=0,"",_xlfn.MINIFS(K158:K161,G158:G161,"&gt;="&amp;TODAY())),"")</f>
        <v>46302</v>
      </c>
      <c r="N156" s="49" t="s">
        <v>128</v>
      </c>
      <c r="O156" s="13"/>
      <c r="P156" s="20"/>
      <c r="Q156" s="92"/>
      <c r="V156" t="s">
        <v>215</v>
      </c>
    </row>
    <row r="157" spans="1:22" hidden="1" outlineLevel="1">
      <c r="A157" s="42" t="s">
        <v>131</v>
      </c>
      <c r="B157" s="42" t="s">
        <v>132</v>
      </c>
      <c r="C157" s="42" t="s">
        <v>133</v>
      </c>
      <c r="D157" s="42" t="s">
        <v>134</v>
      </c>
      <c r="E157" s="42" t="s">
        <v>135</v>
      </c>
      <c r="F157" s="42" t="s">
        <v>136</v>
      </c>
      <c r="G157" s="42" t="s">
        <v>137</v>
      </c>
      <c r="H157" s="42" t="s">
        <v>138</v>
      </c>
      <c r="I157" s="42" t="s">
        <v>139</v>
      </c>
      <c r="J157" s="42" t="s">
        <v>140</v>
      </c>
      <c r="K157" s="42" t="s">
        <v>141</v>
      </c>
    </row>
    <row r="158" spans="1:22" hidden="1" outlineLevel="1">
      <c r="A158" s="14" t="s">
        <v>154</v>
      </c>
      <c r="G158" s="22">
        <v>46078</v>
      </c>
      <c r="H158" s="22">
        <v>46106</v>
      </c>
      <c r="I158" s="22">
        <v>46106</v>
      </c>
      <c r="J158" s="25"/>
      <c r="K158" s="22">
        <v>46113</v>
      </c>
    </row>
    <row r="159" spans="1:22" hidden="1" outlineLevel="1">
      <c r="A159" s="14" t="s">
        <v>157</v>
      </c>
      <c r="G159" s="22">
        <v>46169</v>
      </c>
      <c r="H159" s="22">
        <v>46197</v>
      </c>
      <c r="I159" s="22">
        <v>46197</v>
      </c>
      <c r="J159" s="25"/>
      <c r="K159" s="22">
        <v>46204</v>
      </c>
    </row>
    <row r="160" spans="1:22" hidden="1" outlineLevel="1">
      <c r="A160" s="14" t="s">
        <v>160</v>
      </c>
      <c r="G160" s="22">
        <v>46267</v>
      </c>
      <c r="H160" s="22">
        <v>46295</v>
      </c>
      <c r="I160" s="22">
        <v>46295</v>
      </c>
      <c r="J160" s="25"/>
      <c r="K160" s="22">
        <v>46302</v>
      </c>
    </row>
    <row r="161" spans="1:17" hidden="1" outlineLevel="1">
      <c r="A161" s="14" t="s">
        <v>163</v>
      </c>
      <c r="G161" s="22">
        <v>46358</v>
      </c>
      <c r="H161" s="22">
        <v>46386</v>
      </c>
      <c r="I161" s="22">
        <v>46386</v>
      </c>
      <c r="J161" s="25"/>
      <c r="K161" s="22">
        <v>46394</v>
      </c>
    </row>
    <row r="162" spans="1:17">
      <c r="A162" s="33" t="s">
        <v>216</v>
      </c>
      <c r="B162" s="34" t="s">
        <v>217</v>
      </c>
      <c r="C162" s="35" t="s">
        <v>191</v>
      </c>
      <c r="D162" s="35"/>
      <c r="E162" s="35"/>
      <c r="F162" s="36">
        <v>3</v>
      </c>
      <c r="G162" s="35"/>
      <c r="H162" s="37"/>
      <c r="I162" s="35" t="s">
        <v>25</v>
      </c>
      <c r="J162" s="21" t="s">
        <v>218</v>
      </c>
      <c r="K162" s="21"/>
      <c r="L162" s="21"/>
      <c r="M162" s="21"/>
      <c r="N162" s="50"/>
      <c r="O162" s="21"/>
      <c r="P162" s="21" t="s">
        <v>219</v>
      </c>
      <c r="Q162" s="69"/>
    </row>
    <row r="163" spans="1:17" collapsed="1">
      <c r="A163" s="28" t="s">
        <v>220</v>
      </c>
      <c r="B163" s="29" t="s">
        <v>221</v>
      </c>
      <c r="C163" s="30" t="s">
        <v>191</v>
      </c>
      <c r="D163" s="30"/>
      <c r="E163" s="30"/>
      <c r="F163" s="31">
        <v>7</v>
      </c>
      <c r="G163" s="30"/>
      <c r="H163" s="32"/>
      <c r="I163" s="30" t="s">
        <v>25</v>
      </c>
      <c r="J163" s="40" t="str">
        <f ca="1">IF(MAX(B165:B167,G165:G167)=0,"—",IF(MAX(B165:B167,G165:G167)&lt;TODAY(),"À renouveler","À jour"))</f>
        <v>À jour</v>
      </c>
      <c r="K163" s="41">
        <f ca="1">IFERROR(IF(_xlfn.MINIFS(B165:B167,B165:B167,"&gt;="&amp;TODAY())=0,"",_xlfn.MINIFS(B165:B167,B165:B167,"&gt;="&amp;TODAY())),"")</f>
        <v>46281</v>
      </c>
      <c r="L163" s="41" t="str">
        <f ca="1">IFERROR(IF(_xlfn.MINIFS(G165:G167,G165:G167,"&gt;="&amp;TODAY())=0,"",_xlfn.MINIFS(G165:G167,G165:G167,"&gt;="&amp;TODAY())),"")</f>
        <v/>
      </c>
      <c r="M163" s="41" t="str">
        <f ca="1">IFERROR(IF(_xlfn.MINIFS(K165:K167,G165:G167,"&gt;="&amp;TODAY())=0,"",_xlfn.MINIFS(K165:K167,G165:G167,"&gt;="&amp;TODAY())),"")</f>
        <v/>
      </c>
      <c r="N163" s="49" t="s">
        <v>128</v>
      </c>
      <c r="O163" s="13" t="s">
        <v>129</v>
      </c>
      <c r="P163" s="38" t="s">
        <v>222</v>
      </c>
      <c r="Q163" s="97"/>
    </row>
    <row r="164" spans="1:17" hidden="1" outlineLevel="2">
      <c r="A164" s="42" t="s">
        <v>131</v>
      </c>
      <c r="B164" s="42" t="s">
        <v>132</v>
      </c>
      <c r="C164" s="42" t="s">
        <v>133</v>
      </c>
      <c r="D164" s="42" t="s">
        <v>134</v>
      </c>
      <c r="E164" s="42" t="s">
        <v>135</v>
      </c>
      <c r="F164" s="42" t="s">
        <v>136</v>
      </c>
      <c r="G164" s="42" t="s">
        <v>137</v>
      </c>
      <c r="H164" s="42" t="s">
        <v>138</v>
      </c>
      <c r="I164" s="42" t="s">
        <v>139</v>
      </c>
      <c r="J164" s="42" t="s">
        <v>140</v>
      </c>
      <c r="K164" s="42" t="s">
        <v>141</v>
      </c>
    </row>
    <row r="165" spans="1:17" hidden="1" outlineLevel="1">
      <c r="A165" s="14" t="s">
        <v>157</v>
      </c>
      <c r="B165" s="23">
        <v>46189</v>
      </c>
      <c r="C165" s="23">
        <v>46203</v>
      </c>
      <c r="D165" s="23">
        <v>46203</v>
      </c>
      <c r="E165" s="24"/>
      <c r="F165" s="23">
        <v>46199</v>
      </c>
    </row>
    <row r="166" spans="1:17" hidden="1" outlineLevel="1">
      <c r="A166" s="14" t="s">
        <v>160</v>
      </c>
      <c r="B166" s="23">
        <v>46281</v>
      </c>
      <c r="C166" s="23">
        <v>46295</v>
      </c>
      <c r="D166" s="23">
        <v>46295</v>
      </c>
      <c r="E166" s="24"/>
      <c r="F166" s="23">
        <v>46291</v>
      </c>
    </row>
    <row r="167" spans="1:17" hidden="1" outlineLevel="1">
      <c r="A167" s="14" t="s">
        <v>163</v>
      </c>
      <c r="B167" s="23">
        <v>46368</v>
      </c>
      <c r="C167" s="23">
        <v>46387</v>
      </c>
      <c r="D167" s="23">
        <v>46387</v>
      </c>
      <c r="E167" s="24"/>
      <c r="F167" s="23">
        <v>46385</v>
      </c>
    </row>
    <row r="168" spans="1:17">
      <c r="A168" s="33" t="s">
        <v>223</v>
      </c>
      <c r="B168" s="34" t="s">
        <v>224</v>
      </c>
      <c r="C168" s="35" t="s">
        <v>191</v>
      </c>
      <c r="D168" s="35"/>
      <c r="E168" s="35"/>
      <c r="F168" s="36">
        <v>2</v>
      </c>
      <c r="G168" s="35"/>
      <c r="H168" s="37"/>
      <c r="I168" s="35" t="s">
        <v>25</v>
      </c>
      <c r="J168" s="21"/>
      <c r="K168" s="21"/>
      <c r="L168" s="21"/>
      <c r="M168" s="21"/>
      <c r="N168" s="50"/>
      <c r="O168" s="21"/>
      <c r="P168" s="21" t="s">
        <v>91</v>
      </c>
      <c r="Q168" s="69"/>
    </row>
    <row r="169" spans="1:17">
      <c r="A169" s="28" t="s">
        <v>225</v>
      </c>
      <c r="B169" s="29" t="s">
        <v>226</v>
      </c>
      <c r="C169" s="30" t="s">
        <v>191</v>
      </c>
      <c r="D169" s="30"/>
      <c r="E169" s="30"/>
      <c r="F169" s="31">
        <v>3</v>
      </c>
      <c r="G169" s="30"/>
      <c r="H169" s="32"/>
      <c r="I169" s="30" t="s">
        <v>25</v>
      </c>
      <c r="J169" s="20" t="s">
        <v>227</v>
      </c>
      <c r="K169" s="20"/>
      <c r="L169" s="20"/>
      <c r="M169" s="20"/>
      <c r="N169" s="49"/>
      <c r="O169" s="20"/>
      <c r="P169" s="20" t="s">
        <v>228</v>
      </c>
      <c r="Q169" s="92"/>
    </row>
    <row r="170" spans="1:17" collapsed="1">
      <c r="A170" s="33" t="s">
        <v>229</v>
      </c>
      <c r="B170" s="34" t="s">
        <v>221</v>
      </c>
      <c r="C170" s="35" t="s">
        <v>191</v>
      </c>
      <c r="D170" s="35"/>
      <c r="E170" s="35"/>
      <c r="F170" s="36"/>
      <c r="G170" s="35"/>
      <c r="H170" s="37"/>
      <c r="I170" s="35" t="s">
        <v>25</v>
      </c>
      <c r="J170" s="43" t="str">
        <f ca="1">IF(MAX(B172:B174,G172:G174)=0,"—",IF(MAX(B172:B174,G172:G174)&lt;TODAY(),"À renouveler","À jour"))</f>
        <v>À jour</v>
      </c>
      <c r="K170" s="44">
        <f ca="1">IFERROR(IF(_xlfn.MINIFS(B172:B174,B172:B174,"&gt;="&amp;TODAY())=0,"",_xlfn.MINIFS(B172:B174,B172:B174,"&gt;="&amp;TODAY())),"")</f>
        <v>46281</v>
      </c>
      <c r="L170" s="44" t="str">
        <f ca="1">IFERROR(IF(_xlfn.MINIFS(G172:G174,G172:G174,"&gt;="&amp;TODAY())=0,"",_xlfn.MINIFS(G172:G174,G172:G174,"&gt;="&amp;TODAY())),"")</f>
        <v/>
      </c>
      <c r="M170" s="44" t="str">
        <f ca="1">IFERROR(IF(_xlfn.MINIFS(K172:K174,G172:G174,"&gt;="&amp;TODAY())=0,"",_xlfn.MINIFS(K172:K174,G172:G174,"&gt;="&amp;TODAY())),"")</f>
        <v/>
      </c>
      <c r="N170" s="50" t="s">
        <v>128</v>
      </c>
      <c r="O170" s="13" t="s">
        <v>129</v>
      </c>
      <c r="P170" s="39" t="s">
        <v>222</v>
      </c>
      <c r="Q170" s="98"/>
    </row>
    <row r="171" spans="1:17" hidden="1" outlineLevel="2">
      <c r="A171" s="42" t="s">
        <v>131</v>
      </c>
      <c r="B171" s="42" t="s">
        <v>132</v>
      </c>
      <c r="C171" s="42" t="s">
        <v>133</v>
      </c>
      <c r="D171" s="42" t="s">
        <v>134</v>
      </c>
      <c r="E171" s="42" t="s">
        <v>135</v>
      </c>
      <c r="F171" s="42" t="s">
        <v>136</v>
      </c>
      <c r="G171" s="42" t="s">
        <v>137</v>
      </c>
      <c r="H171" s="42" t="s">
        <v>138</v>
      </c>
      <c r="I171" s="42" t="s">
        <v>139</v>
      </c>
      <c r="J171" s="42" t="s">
        <v>140</v>
      </c>
      <c r="K171" s="42" t="s">
        <v>141</v>
      </c>
    </row>
    <row r="172" spans="1:17" hidden="1" outlineLevel="1">
      <c r="A172" s="14" t="s">
        <v>157</v>
      </c>
      <c r="B172" s="23">
        <v>46189</v>
      </c>
      <c r="C172" s="23">
        <v>46203</v>
      </c>
      <c r="D172" s="23">
        <v>46203</v>
      </c>
      <c r="E172" s="24"/>
      <c r="F172" s="23">
        <v>46199</v>
      </c>
    </row>
    <row r="173" spans="1:17" hidden="1" outlineLevel="1">
      <c r="A173" s="14" t="s">
        <v>160</v>
      </c>
      <c r="B173" s="23">
        <v>46281</v>
      </c>
      <c r="C173" s="23">
        <v>46295</v>
      </c>
      <c r="D173" s="23">
        <v>46295</v>
      </c>
      <c r="E173" s="24"/>
      <c r="F173" s="23">
        <v>46291</v>
      </c>
    </row>
    <row r="174" spans="1:17" hidden="1" outlineLevel="1">
      <c r="A174" s="14" t="s">
        <v>163</v>
      </c>
      <c r="B174" s="23">
        <v>46368</v>
      </c>
      <c r="C174" s="23">
        <v>46387</v>
      </c>
      <c r="D174" s="23">
        <v>46387</v>
      </c>
      <c r="E174" s="24"/>
      <c r="F174" s="23">
        <v>46385</v>
      </c>
    </row>
    <row r="175" spans="1:17" collapsed="1">
      <c r="A175" s="28" t="s">
        <v>230</v>
      </c>
      <c r="B175" s="29" t="s">
        <v>231</v>
      </c>
      <c r="C175" s="30" t="s">
        <v>191</v>
      </c>
      <c r="D175" s="30"/>
      <c r="E175" s="30"/>
      <c r="F175" s="31"/>
      <c r="G175" s="30"/>
      <c r="H175" s="32"/>
      <c r="I175" s="30" t="s">
        <v>25</v>
      </c>
      <c r="J175" s="40" t="str">
        <f ca="1">IF(MAX(B177:B179,G177:G179)=0,"—",IF(MAX(B177:B179,G177:G179)&lt;TODAY(),"À renouveler","À jour"))</f>
        <v>À jour</v>
      </c>
      <c r="K175" s="41">
        <f ca="1">IFERROR(IF(_xlfn.MINIFS(B177:B179,B177:B179,"&gt;="&amp;TODAY())=0,"",_xlfn.MINIFS(B177:B179,B177:B179,"&gt;="&amp;TODAY())),"")</f>
        <v>46281</v>
      </c>
      <c r="L175" s="41" t="str">
        <f ca="1">IFERROR(IF(_xlfn.MINIFS(G177:G179,G177:G179,"&gt;="&amp;TODAY())=0,"",_xlfn.MINIFS(G177:G179,G177:G179,"&gt;="&amp;TODAY())),"")</f>
        <v/>
      </c>
      <c r="M175" s="41" t="str">
        <f ca="1">IFERROR(IF(_xlfn.MINIFS(K177:K179,G177:G179,"&gt;="&amp;TODAY())=0,"",_xlfn.MINIFS(K177:K179,G177:G179,"&gt;="&amp;TODAY())),"")</f>
        <v/>
      </c>
      <c r="N175" s="49"/>
      <c r="O175" s="13" t="s">
        <v>129</v>
      </c>
      <c r="P175" s="38" t="s">
        <v>222</v>
      </c>
      <c r="Q175" s="97"/>
    </row>
    <row r="176" spans="1:17" hidden="1" outlineLevel="2">
      <c r="A176" s="42" t="s">
        <v>131</v>
      </c>
      <c r="B176" s="42" t="s">
        <v>132</v>
      </c>
      <c r="C176" s="42" t="s">
        <v>133</v>
      </c>
      <c r="D176" s="42" t="s">
        <v>134</v>
      </c>
      <c r="E176" s="42" t="s">
        <v>135</v>
      </c>
      <c r="F176" s="42" t="s">
        <v>136</v>
      </c>
      <c r="G176" s="42" t="s">
        <v>137</v>
      </c>
      <c r="H176" s="42" t="s">
        <v>138</v>
      </c>
      <c r="I176" s="42" t="s">
        <v>139</v>
      </c>
      <c r="J176" s="42" t="s">
        <v>140</v>
      </c>
      <c r="K176" s="42" t="s">
        <v>141</v>
      </c>
    </row>
    <row r="177" spans="1:17" hidden="1" outlineLevel="1">
      <c r="A177" s="14" t="s">
        <v>157</v>
      </c>
      <c r="B177" s="23">
        <v>46189</v>
      </c>
      <c r="C177" s="23">
        <v>46203</v>
      </c>
      <c r="D177" s="23">
        <v>46203</v>
      </c>
      <c r="E177" s="24"/>
      <c r="F177" s="23">
        <v>46199</v>
      </c>
    </row>
    <row r="178" spans="1:17" hidden="1" outlineLevel="1">
      <c r="A178" s="14" t="s">
        <v>160</v>
      </c>
      <c r="B178" s="23">
        <v>46281</v>
      </c>
      <c r="C178" s="23">
        <v>46295</v>
      </c>
      <c r="D178" s="23">
        <v>46295</v>
      </c>
      <c r="E178" s="24"/>
      <c r="F178" s="23">
        <v>46291</v>
      </c>
    </row>
    <row r="179" spans="1:17" hidden="1" outlineLevel="1">
      <c r="A179" s="14" t="s">
        <v>163</v>
      </c>
      <c r="B179" s="23">
        <v>46368</v>
      </c>
      <c r="C179" s="23">
        <v>46387</v>
      </c>
      <c r="D179" s="23">
        <v>46387</v>
      </c>
      <c r="E179" s="24"/>
      <c r="F179" s="23">
        <v>46385</v>
      </c>
    </row>
    <row r="180" spans="1:17" collapsed="1">
      <c r="A180" s="33" t="s">
        <v>232</v>
      </c>
      <c r="B180" s="34" t="s">
        <v>233</v>
      </c>
      <c r="C180" s="35" t="s">
        <v>234</v>
      </c>
      <c r="D180" s="35"/>
      <c r="E180" s="35"/>
      <c r="F180" s="36">
        <v>6</v>
      </c>
      <c r="G180" s="35"/>
      <c r="H180" s="37"/>
      <c r="I180" s="35" t="s">
        <v>25</v>
      </c>
      <c r="J180" s="43" t="str">
        <f ca="1">IF(MAX(B182:B193,G182:G193)=0,"—",IF(MAX(B182:B193,G182:G193)&lt;TODAY(),"À renouveler","À jour"))</f>
        <v>À jour</v>
      </c>
      <c r="K180" s="44" t="str">
        <f ca="1">IFERROR(IF(_xlfn.MINIFS(B182:B193,B182:B193,"&gt;="&amp;TODAY())=0,"",_xlfn.MINIFS(B182:B193,B182:B193,"&gt;="&amp;TODAY())),"")</f>
        <v/>
      </c>
      <c r="L180" s="44">
        <f ca="1">IFERROR(IF(_xlfn.MINIFS(G182:G193,G182:G193,"&gt;="&amp;TODAY())=0,"",_xlfn.MINIFS(G182:G193,G182:G193,"&gt;="&amp;TODAY())),"")</f>
        <v>46283</v>
      </c>
      <c r="M180" s="44">
        <f ca="1">IFERROR(IF(_xlfn.MINIFS(K182:K193,G182:G193,"&gt;="&amp;TODAY())=0,"",_xlfn.MINIFS(K182:K193,G182:G193,"&gt;="&amp;TODAY())),"")</f>
        <v>46405</v>
      </c>
      <c r="N180" s="50"/>
      <c r="O180" s="13" t="s">
        <v>129</v>
      </c>
      <c r="P180" s="39" t="s">
        <v>192</v>
      </c>
      <c r="Q180" s="98"/>
    </row>
    <row r="181" spans="1:17" hidden="1" outlineLevel="1">
      <c r="A181" s="42" t="s">
        <v>131</v>
      </c>
      <c r="B181" s="42" t="s">
        <v>132</v>
      </c>
      <c r="C181" s="42" t="s">
        <v>133</v>
      </c>
      <c r="D181" s="42" t="s">
        <v>134</v>
      </c>
      <c r="E181" s="42" t="s">
        <v>135</v>
      </c>
      <c r="F181" s="42" t="s">
        <v>136</v>
      </c>
      <c r="G181" s="42" t="s">
        <v>137</v>
      </c>
      <c r="H181" s="42" t="s">
        <v>138</v>
      </c>
      <c r="I181" s="42" t="s">
        <v>139</v>
      </c>
      <c r="J181" s="42" t="s">
        <v>140</v>
      </c>
      <c r="K181" s="42" t="s">
        <v>141</v>
      </c>
    </row>
    <row r="182" spans="1:17" hidden="1" outlineLevel="1">
      <c r="A182" s="14" t="s">
        <v>152</v>
      </c>
      <c r="G182" s="22">
        <v>46008</v>
      </c>
      <c r="H182" s="22">
        <v>46052</v>
      </c>
      <c r="I182" s="22">
        <v>46052</v>
      </c>
      <c r="J182" s="22">
        <v>46108</v>
      </c>
      <c r="K182" s="22">
        <v>46129</v>
      </c>
    </row>
    <row r="183" spans="1:17" hidden="1" outlineLevel="1">
      <c r="A183" s="14" t="s">
        <v>153</v>
      </c>
      <c r="G183" s="22">
        <v>46038</v>
      </c>
      <c r="H183" s="22">
        <v>46080</v>
      </c>
      <c r="I183" s="22">
        <v>46080</v>
      </c>
      <c r="J183" s="22">
        <v>46136</v>
      </c>
      <c r="K183" s="22">
        <v>46158</v>
      </c>
    </row>
    <row r="184" spans="1:17" hidden="1" outlineLevel="1">
      <c r="A184" s="14" t="s">
        <v>154</v>
      </c>
      <c r="G184" s="22">
        <v>46070</v>
      </c>
      <c r="H184" s="22">
        <v>46112</v>
      </c>
      <c r="I184" s="22">
        <v>46112</v>
      </c>
      <c r="J184" s="22">
        <v>46168</v>
      </c>
      <c r="K184" s="22">
        <v>46190</v>
      </c>
    </row>
    <row r="185" spans="1:17" hidden="1" outlineLevel="1">
      <c r="A185" s="14" t="s">
        <v>155</v>
      </c>
      <c r="G185" s="22">
        <v>46098</v>
      </c>
      <c r="H185" s="22">
        <v>46142</v>
      </c>
      <c r="I185" s="22">
        <v>46142</v>
      </c>
      <c r="J185" s="22">
        <v>46198</v>
      </c>
      <c r="K185" s="22">
        <v>46220</v>
      </c>
    </row>
    <row r="186" spans="1:17" hidden="1" outlineLevel="1">
      <c r="A186" s="14" t="s">
        <v>156</v>
      </c>
      <c r="G186" s="22">
        <v>46125</v>
      </c>
      <c r="H186" s="22">
        <v>46171</v>
      </c>
      <c r="I186" s="22">
        <v>46171</v>
      </c>
      <c r="J186" s="22">
        <v>46227</v>
      </c>
      <c r="K186" s="22">
        <v>46247</v>
      </c>
    </row>
    <row r="187" spans="1:17" hidden="1" outlineLevel="1">
      <c r="A187" s="14" t="s">
        <v>157</v>
      </c>
      <c r="G187" s="22">
        <v>46160</v>
      </c>
      <c r="H187" s="22">
        <v>46203</v>
      </c>
      <c r="I187" s="22">
        <v>46203</v>
      </c>
      <c r="J187" s="22">
        <v>46259</v>
      </c>
      <c r="K187" s="22">
        <v>46283</v>
      </c>
    </row>
    <row r="188" spans="1:17" hidden="1" outlineLevel="1">
      <c r="A188" s="14" t="s">
        <v>158</v>
      </c>
      <c r="G188" s="22">
        <v>46191</v>
      </c>
      <c r="H188" s="22">
        <v>46234</v>
      </c>
      <c r="I188" s="22">
        <v>46234</v>
      </c>
      <c r="J188" s="22">
        <v>46290</v>
      </c>
      <c r="K188" s="22">
        <v>46313</v>
      </c>
    </row>
    <row r="189" spans="1:17" hidden="1" outlineLevel="1">
      <c r="A189" s="14" t="s">
        <v>159</v>
      </c>
      <c r="G189" s="22">
        <v>46223</v>
      </c>
      <c r="H189" s="22">
        <v>46265</v>
      </c>
      <c r="I189" s="22">
        <v>46265</v>
      </c>
      <c r="J189" s="22">
        <v>46321</v>
      </c>
      <c r="K189" s="22">
        <v>46346</v>
      </c>
    </row>
    <row r="190" spans="1:17" hidden="1" outlineLevel="1">
      <c r="A190" s="14" t="s">
        <v>160</v>
      </c>
      <c r="G190" s="22">
        <v>46253</v>
      </c>
      <c r="H190" s="22">
        <v>46295</v>
      </c>
      <c r="I190" s="22">
        <v>46295</v>
      </c>
      <c r="J190" s="22">
        <v>46351</v>
      </c>
      <c r="K190" s="22">
        <v>46375</v>
      </c>
    </row>
    <row r="191" spans="1:17" hidden="1" outlineLevel="1">
      <c r="A191" s="14" t="s">
        <v>161</v>
      </c>
      <c r="G191" s="22">
        <v>46283</v>
      </c>
      <c r="H191" s="22">
        <v>46325</v>
      </c>
      <c r="I191" s="22">
        <v>46325</v>
      </c>
      <c r="J191" s="22">
        <v>46381</v>
      </c>
      <c r="K191" s="22">
        <v>46405</v>
      </c>
    </row>
    <row r="192" spans="1:17" hidden="1" outlineLevel="1">
      <c r="A192" s="14" t="s">
        <v>162</v>
      </c>
      <c r="G192" s="22">
        <v>46311</v>
      </c>
      <c r="H192" s="22">
        <v>46356</v>
      </c>
      <c r="I192" s="22">
        <v>46356</v>
      </c>
      <c r="J192" s="22">
        <v>46412</v>
      </c>
      <c r="K192" s="22">
        <v>46434</v>
      </c>
    </row>
    <row r="193" spans="1:17" hidden="1" outlineLevel="1">
      <c r="A193" s="14" t="s">
        <v>163</v>
      </c>
      <c r="G193" s="22">
        <v>46344</v>
      </c>
      <c r="H193" s="22">
        <v>46387</v>
      </c>
      <c r="I193" s="22">
        <v>46387</v>
      </c>
      <c r="J193" s="22">
        <v>46443</v>
      </c>
      <c r="K193" s="22">
        <v>46464</v>
      </c>
    </row>
    <row r="194" spans="1:17" collapsed="1">
      <c r="A194" s="28" t="s">
        <v>235</v>
      </c>
      <c r="B194" s="29" t="s">
        <v>236</v>
      </c>
      <c r="C194" s="30" t="s">
        <v>234</v>
      </c>
      <c r="D194" s="30"/>
      <c r="E194" s="30"/>
      <c r="F194" s="31">
        <v>6</v>
      </c>
      <c r="G194" s="30"/>
      <c r="H194" s="32"/>
      <c r="I194" s="30" t="s">
        <v>25</v>
      </c>
      <c r="J194" s="40" t="str">
        <f ca="1">IF(MAX(B196:B207,G196:G207)=0,"—",IF(MAX(B196:B207,G196:G207)&lt;TODAY(),"À renouveler","À jour"))</f>
        <v>À jour</v>
      </c>
      <c r="K194" s="41" t="str">
        <f ca="1">IFERROR(IF(_xlfn.MINIFS(B196:B207,B196:B207,"&gt;="&amp;TODAY())=0,"",_xlfn.MINIFS(B196:B207,B196:B207,"&gt;="&amp;TODAY())),"")</f>
        <v/>
      </c>
      <c r="L194" s="41">
        <f ca="1">IFERROR(IF(_xlfn.MINIFS(G196:G207,G196:G207,"&gt;="&amp;TODAY())=0,"",_xlfn.MINIFS(G196:G207,G196:G207,"&gt;="&amp;TODAY())),"")</f>
        <v>46283</v>
      </c>
      <c r="M194" s="41">
        <f ca="1">IFERROR(IF(_xlfn.MINIFS(K196:K207,G196:G207,"&gt;="&amp;TODAY())=0,"",_xlfn.MINIFS(K196:K207,G196:G207,"&gt;="&amp;TODAY())),"")</f>
        <v>46405</v>
      </c>
      <c r="N194" s="49"/>
      <c r="O194" s="13" t="s">
        <v>129</v>
      </c>
      <c r="P194" s="38" t="s">
        <v>192</v>
      </c>
      <c r="Q194" s="97"/>
    </row>
    <row r="195" spans="1:17" hidden="1" outlineLevel="1">
      <c r="A195" s="42" t="s">
        <v>131</v>
      </c>
      <c r="B195" s="42" t="s">
        <v>132</v>
      </c>
      <c r="C195" s="42" t="s">
        <v>133</v>
      </c>
      <c r="D195" s="42" t="s">
        <v>134</v>
      </c>
      <c r="E195" s="42" t="s">
        <v>135</v>
      </c>
      <c r="F195" s="42" t="s">
        <v>136</v>
      </c>
      <c r="G195" s="42" t="s">
        <v>137</v>
      </c>
      <c r="H195" s="42" t="s">
        <v>138</v>
      </c>
      <c r="I195" s="42" t="s">
        <v>139</v>
      </c>
      <c r="J195" s="42" t="s">
        <v>140</v>
      </c>
      <c r="K195" s="42" t="s">
        <v>141</v>
      </c>
    </row>
    <row r="196" spans="1:17" hidden="1" outlineLevel="1">
      <c r="A196" s="14" t="s">
        <v>152</v>
      </c>
      <c r="G196" s="22">
        <v>46008</v>
      </c>
      <c r="H196" s="22">
        <v>46052</v>
      </c>
      <c r="I196" s="22">
        <v>46052</v>
      </c>
      <c r="J196" s="22">
        <v>46108</v>
      </c>
      <c r="K196" s="22">
        <v>46129</v>
      </c>
    </row>
    <row r="197" spans="1:17" hidden="1" outlineLevel="1">
      <c r="A197" s="14" t="s">
        <v>153</v>
      </c>
      <c r="G197" s="22">
        <v>46038</v>
      </c>
      <c r="H197" s="22">
        <v>46080</v>
      </c>
      <c r="I197" s="22">
        <v>46080</v>
      </c>
      <c r="J197" s="22">
        <v>46136</v>
      </c>
      <c r="K197" s="22">
        <v>46158</v>
      </c>
    </row>
    <row r="198" spans="1:17" hidden="1" outlineLevel="1">
      <c r="A198" s="14" t="s">
        <v>154</v>
      </c>
      <c r="G198" s="22">
        <v>46070</v>
      </c>
      <c r="H198" s="22">
        <v>46112</v>
      </c>
      <c r="I198" s="22">
        <v>46112</v>
      </c>
      <c r="J198" s="22">
        <v>46168</v>
      </c>
      <c r="K198" s="22">
        <v>46190</v>
      </c>
    </row>
    <row r="199" spans="1:17" hidden="1" outlineLevel="1">
      <c r="A199" s="14" t="s">
        <v>155</v>
      </c>
      <c r="G199" s="22">
        <v>46098</v>
      </c>
      <c r="H199" s="22">
        <v>46142</v>
      </c>
      <c r="I199" s="22">
        <v>46142</v>
      </c>
      <c r="J199" s="22">
        <v>46198</v>
      </c>
      <c r="K199" s="22">
        <v>46220</v>
      </c>
    </row>
    <row r="200" spans="1:17" hidden="1" outlineLevel="1">
      <c r="A200" s="14" t="s">
        <v>156</v>
      </c>
      <c r="G200" s="22">
        <v>46125</v>
      </c>
      <c r="H200" s="22">
        <v>46171</v>
      </c>
      <c r="I200" s="22">
        <v>46171</v>
      </c>
      <c r="J200" s="22">
        <v>46227</v>
      </c>
      <c r="K200" s="22">
        <v>46247</v>
      </c>
    </row>
    <row r="201" spans="1:17" hidden="1" outlineLevel="1">
      <c r="A201" s="14" t="s">
        <v>157</v>
      </c>
      <c r="G201" s="22">
        <v>46160</v>
      </c>
      <c r="H201" s="22">
        <v>46203</v>
      </c>
      <c r="I201" s="22">
        <v>46203</v>
      </c>
      <c r="J201" s="22">
        <v>46259</v>
      </c>
      <c r="K201" s="22">
        <v>46283</v>
      </c>
    </row>
    <row r="202" spans="1:17" hidden="1" outlineLevel="1">
      <c r="A202" s="14" t="s">
        <v>158</v>
      </c>
      <c r="G202" s="22">
        <v>46191</v>
      </c>
      <c r="H202" s="22">
        <v>46234</v>
      </c>
      <c r="I202" s="22">
        <v>46234</v>
      </c>
      <c r="J202" s="22">
        <v>46290</v>
      </c>
      <c r="K202" s="22">
        <v>46313</v>
      </c>
    </row>
    <row r="203" spans="1:17" hidden="1" outlineLevel="1">
      <c r="A203" s="14" t="s">
        <v>159</v>
      </c>
      <c r="G203" s="22">
        <v>46223</v>
      </c>
      <c r="H203" s="22">
        <v>46265</v>
      </c>
      <c r="I203" s="22">
        <v>46265</v>
      </c>
      <c r="J203" s="22">
        <v>46321</v>
      </c>
      <c r="K203" s="22">
        <v>46346</v>
      </c>
    </row>
    <row r="204" spans="1:17" hidden="1" outlineLevel="1">
      <c r="A204" s="14" t="s">
        <v>160</v>
      </c>
      <c r="G204" s="22">
        <v>46253</v>
      </c>
      <c r="H204" s="22">
        <v>46295</v>
      </c>
      <c r="I204" s="22">
        <v>46295</v>
      </c>
      <c r="J204" s="22">
        <v>46351</v>
      </c>
      <c r="K204" s="22">
        <v>46375</v>
      </c>
    </row>
    <row r="205" spans="1:17" hidden="1" outlineLevel="1">
      <c r="A205" s="14" t="s">
        <v>161</v>
      </c>
      <c r="G205" s="22">
        <v>46283</v>
      </c>
      <c r="H205" s="22">
        <v>46325</v>
      </c>
      <c r="I205" s="22">
        <v>46325</v>
      </c>
      <c r="J205" s="22">
        <v>46381</v>
      </c>
      <c r="K205" s="22">
        <v>46405</v>
      </c>
    </row>
    <row r="206" spans="1:17" hidden="1" outlineLevel="1">
      <c r="A206" s="14" t="s">
        <v>162</v>
      </c>
      <c r="G206" s="22">
        <v>46311</v>
      </c>
      <c r="H206" s="22">
        <v>46356</v>
      </c>
      <c r="I206" s="22">
        <v>46356</v>
      </c>
      <c r="J206" s="22">
        <v>46412</v>
      </c>
      <c r="K206" s="22">
        <v>46434</v>
      </c>
    </row>
    <row r="207" spans="1:17" hidden="1" outlineLevel="1">
      <c r="A207" s="14" t="s">
        <v>163</v>
      </c>
      <c r="G207" s="22">
        <v>46344</v>
      </c>
      <c r="H207" s="22">
        <v>46387</v>
      </c>
      <c r="I207" s="22">
        <v>46387</v>
      </c>
      <c r="J207" s="22">
        <v>46443</v>
      </c>
      <c r="K207" s="22">
        <v>46464</v>
      </c>
    </row>
    <row r="208" spans="1:17" collapsed="1">
      <c r="A208" s="33" t="s">
        <v>237</v>
      </c>
      <c r="B208" s="34" t="s">
        <v>238</v>
      </c>
      <c r="C208" s="35" t="s">
        <v>234</v>
      </c>
      <c r="D208" s="35"/>
      <c r="E208" s="35"/>
      <c r="F208" s="36">
        <v>6</v>
      </c>
      <c r="G208" s="35"/>
      <c r="H208" s="37"/>
      <c r="I208" s="35" t="s">
        <v>25</v>
      </c>
      <c r="J208" s="43" t="str">
        <f ca="1">IF(MAX(B210:B221,G210:G221)=0,"—",IF(MAX(B210:B221,G210:G221)&lt;TODAY(),"À renouveler","À jour"))</f>
        <v>À jour</v>
      </c>
      <c r="K208" s="44" t="str">
        <f ca="1">IFERROR(IF(_xlfn.MINIFS(B210:B221,B210:B221,"&gt;="&amp;TODAY())=0,"",_xlfn.MINIFS(B210:B221,B210:B221,"&gt;="&amp;TODAY())),"")</f>
        <v/>
      </c>
      <c r="L208" s="44">
        <f ca="1">IFERROR(IF(_xlfn.MINIFS(G210:G221,G210:G221,"&gt;="&amp;TODAY())=0,"",_xlfn.MINIFS(G210:G221,G210:G221,"&gt;="&amp;TODAY())),"")</f>
        <v>46283</v>
      </c>
      <c r="M208" s="44">
        <f ca="1">IFERROR(IF(_xlfn.MINIFS(K210:K221,G210:G221,"&gt;="&amp;TODAY())=0,"",_xlfn.MINIFS(K210:K221,G210:G221,"&gt;="&amp;TODAY())),"")</f>
        <v>46405</v>
      </c>
      <c r="N208" s="50"/>
      <c r="O208" s="13" t="s">
        <v>129</v>
      </c>
      <c r="P208" s="39" t="s">
        <v>192</v>
      </c>
      <c r="Q208" s="98"/>
    </row>
    <row r="209" spans="1:17" hidden="1" outlineLevel="1">
      <c r="A209" s="42" t="s">
        <v>131</v>
      </c>
      <c r="B209" s="42" t="s">
        <v>132</v>
      </c>
      <c r="C209" s="42" t="s">
        <v>133</v>
      </c>
      <c r="D209" s="42" t="s">
        <v>134</v>
      </c>
      <c r="E209" s="42" t="s">
        <v>135</v>
      </c>
      <c r="F209" s="42" t="s">
        <v>136</v>
      </c>
      <c r="G209" s="42" t="s">
        <v>137</v>
      </c>
      <c r="H209" s="42" t="s">
        <v>138</v>
      </c>
      <c r="I209" s="42" t="s">
        <v>139</v>
      </c>
      <c r="J209" s="42" t="s">
        <v>140</v>
      </c>
      <c r="K209" s="42" t="s">
        <v>141</v>
      </c>
    </row>
    <row r="210" spans="1:17" hidden="1" outlineLevel="1">
      <c r="A210" s="14" t="s">
        <v>152</v>
      </c>
      <c r="G210" s="22">
        <v>46008</v>
      </c>
      <c r="H210" s="22">
        <v>46052</v>
      </c>
      <c r="I210" s="22">
        <v>46052</v>
      </c>
      <c r="J210" s="22">
        <v>46108</v>
      </c>
      <c r="K210" s="22">
        <v>46129</v>
      </c>
    </row>
    <row r="211" spans="1:17" hidden="1" outlineLevel="1">
      <c r="A211" s="14" t="s">
        <v>153</v>
      </c>
      <c r="G211" s="22">
        <v>46038</v>
      </c>
      <c r="H211" s="22">
        <v>46080</v>
      </c>
      <c r="I211" s="22">
        <v>46080</v>
      </c>
      <c r="J211" s="22">
        <v>46136</v>
      </c>
      <c r="K211" s="22">
        <v>46158</v>
      </c>
    </row>
    <row r="212" spans="1:17" hidden="1" outlineLevel="1">
      <c r="A212" s="14" t="s">
        <v>154</v>
      </c>
      <c r="G212" s="22">
        <v>46070</v>
      </c>
      <c r="H212" s="22">
        <v>46112</v>
      </c>
      <c r="I212" s="22">
        <v>46112</v>
      </c>
      <c r="J212" s="22">
        <v>46168</v>
      </c>
      <c r="K212" s="22">
        <v>46190</v>
      </c>
    </row>
    <row r="213" spans="1:17" hidden="1" outlineLevel="1">
      <c r="A213" s="14" t="s">
        <v>155</v>
      </c>
      <c r="G213" s="22">
        <v>46098</v>
      </c>
      <c r="H213" s="22">
        <v>46142</v>
      </c>
      <c r="I213" s="22">
        <v>46142</v>
      </c>
      <c r="J213" s="22">
        <v>46198</v>
      </c>
      <c r="K213" s="22">
        <v>46220</v>
      </c>
    </row>
    <row r="214" spans="1:17" hidden="1" outlineLevel="1">
      <c r="A214" s="14" t="s">
        <v>156</v>
      </c>
      <c r="G214" s="22">
        <v>46125</v>
      </c>
      <c r="H214" s="22">
        <v>46171</v>
      </c>
      <c r="I214" s="22">
        <v>46171</v>
      </c>
      <c r="J214" s="22">
        <v>46227</v>
      </c>
      <c r="K214" s="22">
        <v>46247</v>
      </c>
    </row>
    <row r="215" spans="1:17" hidden="1" outlineLevel="1">
      <c r="A215" s="14" t="s">
        <v>157</v>
      </c>
      <c r="G215" s="22">
        <v>46160</v>
      </c>
      <c r="H215" s="22">
        <v>46203</v>
      </c>
      <c r="I215" s="22">
        <v>46203</v>
      </c>
      <c r="J215" s="22">
        <v>46259</v>
      </c>
      <c r="K215" s="22">
        <v>46283</v>
      </c>
    </row>
    <row r="216" spans="1:17" hidden="1" outlineLevel="1">
      <c r="A216" s="14" t="s">
        <v>158</v>
      </c>
      <c r="G216" s="22">
        <v>46191</v>
      </c>
      <c r="H216" s="22">
        <v>46234</v>
      </c>
      <c r="I216" s="22">
        <v>46234</v>
      </c>
      <c r="J216" s="22">
        <v>46290</v>
      </c>
      <c r="K216" s="22">
        <v>46313</v>
      </c>
    </row>
    <row r="217" spans="1:17" hidden="1" outlineLevel="1">
      <c r="A217" s="14" t="s">
        <v>159</v>
      </c>
      <c r="G217" s="22">
        <v>46223</v>
      </c>
      <c r="H217" s="22">
        <v>46265</v>
      </c>
      <c r="I217" s="22">
        <v>46265</v>
      </c>
      <c r="J217" s="22">
        <v>46321</v>
      </c>
      <c r="K217" s="22">
        <v>46346</v>
      </c>
    </row>
    <row r="218" spans="1:17" hidden="1" outlineLevel="1">
      <c r="A218" s="14" t="s">
        <v>160</v>
      </c>
      <c r="G218" s="22">
        <v>46253</v>
      </c>
      <c r="H218" s="22">
        <v>46295</v>
      </c>
      <c r="I218" s="22">
        <v>46295</v>
      </c>
      <c r="J218" s="22">
        <v>46351</v>
      </c>
      <c r="K218" s="22">
        <v>46375</v>
      </c>
    </row>
    <row r="219" spans="1:17" hidden="1" outlineLevel="1">
      <c r="A219" s="14" t="s">
        <v>161</v>
      </c>
      <c r="G219" s="22">
        <v>46283</v>
      </c>
      <c r="H219" s="22">
        <v>46325</v>
      </c>
      <c r="I219" s="22">
        <v>46325</v>
      </c>
      <c r="J219" s="22">
        <v>46381</v>
      </c>
      <c r="K219" s="22">
        <v>46405</v>
      </c>
    </row>
    <row r="220" spans="1:17" hidden="1" outlineLevel="1">
      <c r="A220" s="14" t="s">
        <v>162</v>
      </c>
      <c r="G220" s="22">
        <v>46311</v>
      </c>
      <c r="H220" s="22">
        <v>46356</v>
      </c>
      <c r="I220" s="22">
        <v>46356</v>
      </c>
      <c r="J220" s="22">
        <v>46412</v>
      </c>
      <c r="K220" s="22">
        <v>46434</v>
      </c>
    </row>
    <row r="221" spans="1:17" hidden="1" outlineLevel="1">
      <c r="A221" s="14" t="s">
        <v>163</v>
      </c>
      <c r="G221" s="22">
        <v>46344</v>
      </c>
      <c r="H221" s="22">
        <v>46387</v>
      </c>
      <c r="I221" s="22">
        <v>46387</v>
      </c>
      <c r="J221" s="22">
        <v>46443</v>
      </c>
      <c r="K221" s="22">
        <v>46464</v>
      </c>
    </row>
    <row r="222" spans="1:17" collapsed="1">
      <c r="A222" s="28" t="s">
        <v>239</v>
      </c>
      <c r="B222" s="29" t="s">
        <v>240</v>
      </c>
      <c r="C222" s="30" t="s">
        <v>234</v>
      </c>
      <c r="D222" s="30"/>
      <c r="E222" s="30"/>
      <c r="F222" s="31">
        <v>6</v>
      </c>
      <c r="G222" s="30"/>
      <c r="H222" s="32"/>
      <c r="I222" s="30" t="s">
        <v>25</v>
      </c>
      <c r="J222" s="40" t="str">
        <f ca="1">IF(MAX(B224:B235,G224:G235)=0,"—",IF(MAX(B224:B235,G224:G235)&lt;TODAY(),"À renouveler","À jour"))</f>
        <v>À jour</v>
      </c>
      <c r="K222" s="41" t="str">
        <f ca="1">IFERROR(IF(_xlfn.MINIFS(B224:B235,B224:B235,"&gt;="&amp;TODAY())=0,"",_xlfn.MINIFS(B224:B235,B224:B235,"&gt;="&amp;TODAY())),"")</f>
        <v/>
      </c>
      <c r="L222" s="41">
        <f ca="1">IFERROR(IF(_xlfn.MINIFS(G224:G235,G224:G235,"&gt;="&amp;TODAY())=0,"",_xlfn.MINIFS(G224:G235,G224:G235,"&gt;="&amp;TODAY())),"")</f>
        <v>46283</v>
      </c>
      <c r="M222" s="41">
        <f ca="1">IFERROR(IF(_xlfn.MINIFS(K224:K235,G224:G235,"&gt;="&amp;TODAY())=0,"",_xlfn.MINIFS(K224:K235,G224:G235,"&gt;="&amp;TODAY())),"")</f>
        <v>46405</v>
      </c>
      <c r="N222" s="49"/>
      <c r="O222" s="13" t="s">
        <v>129</v>
      </c>
      <c r="P222" s="38" t="s">
        <v>192</v>
      </c>
      <c r="Q222" s="97"/>
    </row>
    <row r="223" spans="1:17" hidden="1" outlineLevel="1">
      <c r="A223" s="42" t="s">
        <v>131</v>
      </c>
      <c r="B223" s="42" t="s">
        <v>132</v>
      </c>
      <c r="C223" s="42" t="s">
        <v>133</v>
      </c>
      <c r="D223" s="42" t="s">
        <v>134</v>
      </c>
      <c r="E223" s="42" t="s">
        <v>135</v>
      </c>
      <c r="F223" s="42" t="s">
        <v>136</v>
      </c>
      <c r="G223" s="42" t="s">
        <v>137</v>
      </c>
      <c r="H223" s="42" t="s">
        <v>138</v>
      </c>
      <c r="I223" s="42" t="s">
        <v>139</v>
      </c>
      <c r="J223" s="42" t="s">
        <v>140</v>
      </c>
      <c r="K223" s="42" t="s">
        <v>141</v>
      </c>
    </row>
    <row r="224" spans="1:17" hidden="1" outlineLevel="1">
      <c r="A224" s="14" t="s">
        <v>152</v>
      </c>
      <c r="G224" s="22">
        <v>46008</v>
      </c>
      <c r="H224" s="22">
        <v>46052</v>
      </c>
      <c r="I224" s="22">
        <v>46052</v>
      </c>
      <c r="J224" s="22">
        <v>46108</v>
      </c>
      <c r="K224" s="22">
        <v>46129</v>
      </c>
    </row>
    <row r="225" spans="1:17" hidden="1" outlineLevel="1">
      <c r="A225" s="14" t="s">
        <v>153</v>
      </c>
      <c r="G225" s="22">
        <v>46038</v>
      </c>
      <c r="H225" s="22">
        <v>46080</v>
      </c>
      <c r="I225" s="22">
        <v>46080</v>
      </c>
      <c r="J225" s="22">
        <v>46136</v>
      </c>
      <c r="K225" s="22">
        <v>46158</v>
      </c>
    </row>
    <row r="226" spans="1:17" hidden="1" outlineLevel="1">
      <c r="A226" s="14" t="s">
        <v>154</v>
      </c>
      <c r="G226" s="22">
        <v>46070</v>
      </c>
      <c r="H226" s="22">
        <v>46112</v>
      </c>
      <c r="I226" s="22">
        <v>46112</v>
      </c>
      <c r="J226" s="22">
        <v>46168</v>
      </c>
      <c r="K226" s="22">
        <v>46190</v>
      </c>
    </row>
    <row r="227" spans="1:17" hidden="1" outlineLevel="1">
      <c r="A227" s="14" t="s">
        <v>155</v>
      </c>
      <c r="G227" s="22">
        <v>46098</v>
      </c>
      <c r="H227" s="22">
        <v>46142</v>
      </c>
      <c r="I227" s="22">
        <v>46142</v>
      </c>
      <c r="J227" s="22">
        <v>46198</v>
      </c>
      <c r="K227" s="22">
        <v>46220</v>
      </c>
    </row>
    <row r="228" spans="1:17" hidden="1" outlineLevel="1">
      <c r="A228" s="14" t="s">
        <v>156</v>
      </c>
      <c r="G228" s="22">
        <v>46125</v>
      </c>
      <c r="H228" s="22">
        <v>46171</v>
      </c>
      <c r="I228" s="22">
        <v>46171</v>
      </c>
      <c r="J228" s="22">
        <v>46227</v>
      </c>
      <c r="K228" s="22">
        <v>46247</v>
      </c>
    </row>
    <row r="229" spans="1:17" hidden="1" outlineLevel="1">
      <c r="A229" s="14" t="s">
        <v>157</v>
      </c>
      <c r="G229" s="22">
        <v>46160</v>
      </c>
      <c r="H229" s="22">
        <v>46203</v>
      </c>
      <c r="I229" s="22">
        <v>46203</v>
      </c>
      <c r="J229" s="22">
        <v>46259</v>
      </c>
      <c r="K229" s="22">
        <v>46283</v>
      </c>
    </row>
    <row r="230" spans="1:17" hidden="1" outlineLevel="1">
      <c r="A230" s="14" t="s">
        <v>158</v>
      </c>
      <c r="G230" s="22">
        <v>46191</v>
      </c>
      <c r="H230" s="22">
        <v>46234</v>
      </c>
      <c r="I230" s="22">
        <v>46234</v>
      </c>
      <c r="J230" s="22">
        <v>46290</v>
      </c>
      <c r="K230" s="22">
        <v>46313</v>
      </c>
    </row>
    <row r="231" spans="1:17" hidden="1" outlineLevel="1">
      <c r="A231" s="14" t="s">
        <v>159</v>
      </c>
      <c r="G231" s="22">
        <v>46223</v>
      </c>
      <c r="H231" s="22">
        <v>46265</v>
      </c>
      <c r="I231" s="22">
        <v>46265</v>
      </c>
      <c r="J231" s="22">
        <v>46321</v>
      </c>
      <c r="K231" s="22">
        <v>46346</v>
      </c>
    </row>
    <row r="232" spans="1:17" hidden="1" outlineLevel="1">
      <c r="A232" s="14" t="s">
        <v>160</v>
      </c>
      <c r="G232" s="22">
        <v>46253</v>
      </c>
      <c r="H232" s="22">
        <v>46295</v>
      </c>
      <c r="I232" s="22">
        <v>46295</v>
      </c>
      <c r="J232" s="22">
        <v>46351</v>
      </c>
      <c r="K232" s="22">
        <v>46375</v>
      </c>
    </row>
    <row r="233" spans="1:17" hidden="1" outlineLevel="1">
      <c r="A233" s="14" t="s">
        <v>161</v>
      </c>
      <c r="G233" s="22">
        <v>46283</v>
      </c>
      <c r="H233" s="22">
        <v>46325</v>
      </c>
      <c r="I233" s="22">
        <v>46325</v>
      </c>
      <c r="J233" s="22">
        <v>46381</v>
      </c>
      <c r="K233" s="22">
        <v>46405</v>
      </c>
    </row>
    <row r="234" spans="1:17" hidden="1" outlineLevel="1">
      <c r="A234" s="14" t="s">
        <v>162</v>
      </c>
      <c r="G234" s="22">
        <v>46311</v>
      </c>
      <c r="H234" s="22">
        <v>46356</v>
      </c>
      <c r="I234" s="22">
        <v>46356</v>
      </c>
      <c r="J234" s="22">
        <v>46412</v>
      </c>
      <c r="K234" s="22">
        <v>46434</v>
      </c>
    </row>
    <row r="235" spans="1:17" hidden="1" outlineLevel="1">
      <c r="A235" s="14" t="s">
        <v>163</v>
      </c>
      <c r="G235" s="22">
        <v>46344</v>
      </c>
      <c r="H235" s="22">
        <v>46387</v>
      </c>
      <c r="I235" s="22">
        <v>46387</v>
      </c>
      <c r="J235" s="22">
        <v>46443</v>
      </c>
      <c r="K235" s="22">
        <v>46464</v>
      </c>
    </row>
    <row r="236" spans="1:17" collapsed="1">
      <c r="A236" s="33" t="s">
        <v>241</v>
      </c>
      <c r="B236" s="34" t="s">
        <v>242</v>
      </c>
      <c r="C236" s="35" t="s">
        <v>234</v>
      </c>
      <c r="D236" s="35"/>
      <c r="E236" s="35"/>
      <c r="F236" s="36">
        <v>3</v>
      </c>
      <c r="G236" s="35"/>
      <c r="H236" s="37"/>
      <c r="I236" s="35" t="s">
        <v>25</v>
      </c>
      <c r="J236" s="43" t="str">
        <f ca="1">IF(MAX(B238:B249,G238:G249)=0,"—",IF(MAX(B238:B249,G238:G249)&lt;TODAY(),"À renouveler","À jour"))</f>
        <v>À jour</v>
      </c>
      <c r="K236" s="44">
        <f ca="1">IFERROR(IF(_xlfn.MINIFS(B238:B249,B238:B249,"&gt;="&amp;TODAY())=0,"",_xlfn.MINIFS(B238:B249,B238:B249,"&gt;="&amp;TODAY())),"")</f>
        <v>46281</v>
      </c>
      <c r="L236" s="44">
        <f ca="1">IFERROR(IF(_xlfn.MINIFS(G238:G249,G238:G249,"&gt;="&amp;TODAY())=0,"",_xlfn.MINIFS(G238:G249,G238:G249,"&gt;="&amp;TODAY())),"")</f>
        <v>46327</v>
      </c>
      <c r="M236" s="44">
        <f ca="1">IFERROR(IF(_xlfn.MINIFS(K238:K249,G238:G249,"&gt;="&amp;TODAY())=0,"",_xlfn.MINIFS(K238:K249,G238:G249,"&gt;="&amp;TODAY())),"")</f>
        <v>46447</v>
      </c>
      <c r="N236" s="50"/>
      <c r="O236" s="13" t="s">
        <v>129</v>
      </c>
      <c r="P236" s="21" t="s">
        <v>243</v>
      </c>
      <c r="Q236" s="69"/>
    </row>
    <row r="237" spans="1:17" hidden="1" outlineLevel="2">
      <c r="A237" s="42" t="s">
        <v>131</v>
      </c>
      <c r="B237" s="42" t="s">
        <v>132</v>
      </c>
      <c r="C237" s="42" t="s">
        <v>133</v>
      </c>
      <c r="D237" s="42" t="s">
        <v>134</v>
      </c>
      <c r="E237" s="42" t="s">
        <v>135</v>
      </c>
      <c r="F237" s="42" t="s">
        <v>136</v>
      </c>
      <c r="G237" s="42" t="s">
        <v>137</v>
      </c>
      <c r="H237" s="42" t="s">
        <v>138</v>
      </c>
      <c r="I237" s="42" t="s">
        <v>139</v>
      </c>
      <c r="J237" s="42" t="s">
        <v>140</v>
      </c>
      <c r="K237" s="42" t="s">
        <v>141</v>
      </c>
    </row>
    <row r="238" spans="1:17" hidden="1" outlineLevel="1">
      <c r="A238" s="14" t="s">
        <v>152</v>
      </c>
      <c r="B238" s="23">
        <v>46038</v>
      </c>
      <c r="C238" s="23">
        <v>46052</v>
      </c>
      <c r="D238" s="23">
        <v>46052</v>
      </c>
      <c r="E238" s="24"/>
      <c r="F238" s="23">
        <v>46052</v>
      </c>
    </row>
    <row r="239" spans="1:17" hidden="1" outlineLevel="1">
      <c r="A239" s="14" t="s">
        <v>153</v>
      </c>
      <c r="B239" s="23">
        <v>46066</v>
      </c>
      <c r="C239" s="23">
        <v>46080</v>
      </c>
      <c r="D239" s="23">
        <v>46080</v>
      </c>
      <c r="E239" s="24"/>
      <c r="F239" s="23">
        <v>46080</v>
      </c>
    </row>
    <row r="240" spans="1:17" hidden="1" outlineLevel="1">
      <c r="A240" s="14" t="s">
        <v>154</v>
      </c>
      <c r="B240" s="23">
        <v>46097</v>
      </c>
      <c r="C240" s="23">
        <v>46112</v>
      </c>
      <c r="D240" s="23">
        <v>46112</v>
      </c>
      <c r="E240" s="24"/>
      <c r="F240" s="23">
        <v>46112</v>
      </c>
      <c r="G240" s="22">
        <v>46052</v>
      </c>
      <c r="H240" s="22">
        <v>46112</v>
      </c>
      <c r="I240" s="22">
        <v>46112</v>
      </c>
      <c r="J240" s="25"/>
      <c r="K240" s="22">
        <v>46171</v>
      </c>
    </row>
    <row r="241" spans="1:22" hidden="1" outlineLevel="1">
      <c r="A241" s="14" t="s">
        <v>155</v>
      </c>
      <c r="B241" s="23">
        <v>46128</v>
      </c>
      <c r="C241" s="23">
        <v>46142</v>
      </c>
      <c r="D241" s="23">
        <v>46142</v>
      </c>
      <c r="E241" s="24"/>
      <c r="F241" s="23">
        <v>46142</v>
      </c>
    </row>
    <row r="242" spans="1:22" hidden="1" outlineLevel="1">
      <c r="A242" s="14" t="s">
        <v>156</v>
      </c>
      <c r="B242" s="23">
        <v>46155</v>
      </c>
      <c r="C242" s="23">
        <v>46171</v>
      </c>
      <c r="D242" s="23">
        <v>46171</v>
      </c>
      <c r="E242" s="24"/>
      <c r="F242" s="23">
        <v>46171</v>
      </c>
    </row>
    <row r="243" spans="1:22" hidden="1" outlineLevel="1">
      <c r="A243" s="14" t="s">
        <v>157</v>
      </c>
      <c r="B243" s="23">
        <v>46188</v>
      </c>
      <c r="C243" s="23">
        <v>46203</v>
      </c>
      <c r="D243" s="23">
        <v>46203</v>
      </c>
      <c r="E243" s="24"/>
      <c r="F243" s="23">
        <v>46203</v>
      </c>
      <c r="G243" s="22">
        <v>46143</v>
      </c>
      <c r="H243" s="22">
        <v>46203</v>
      </c>
      <c r="I243" s="22">
        <v>46203</v>
      </c>
      <c r="J243" s="25"/>
      <c r="K243" s="22">
        <v>46262</v>
      </c>
    </row>
    <row r="244" spans="1:22" hidden="1" outlineLevel="1">
      <c r="A244" s="14" t="s">
        <v>158</v>
      </c>
      <c r="B244" s="23">
        <v>46220</v>
      </c>
      <c r="C244" s="23">
        <v>46234</v>
      </c>
      <c r="D244" s="23">
        <v>46234</v>
      </c>
      <c r="E244" s="24"/>
      <c r="F244" s="23">
        <v>46234</v>
      </c>
    </row>
    <row r="245" spans="1:22" hidden="1" outlineLevel="1">
      <c r="A245" s="14" t="s">
        <v>159</v>
      </c>
      <c r="B245" s="23">
        <v>46248</v>
      </c>
      <c r="C245" s="23">
        <v>46262</v>
      </c>
      <c r="D245" s="23">
        <v>46262</v>
      </c>
      <c r="E245" s="24"/>
      <c r="F245" s="23">
        <v>46262</v>
      </c>
    </row>
    <row r="246" spans="1:22" hidden="1" outlineLevel="1">
      <c r="A246" s="14" t="s">
        <v>160</v>
      </c>
      <c r="B246" s="23">
        <v>46281</v>
      </c>
      <c r="C246" s="23">
        <v>46295</v>
      </c>
      <c r="D246" s="23">
        <v>46295</v>
      </c>
      <c r="E246" s="24"/>
      <c r="F246" s="23">
        <v>46295</v>
      </c>
      <c r="G246" s="22">
        <v>46235</v>
      </c>
      <c r="H246" s="22">
        <v>46295</v>
      </c>
      <c r="I246" s="22">
        <v>46295</v>
      </c>
      <c r="J246" s="25"/>
      <c r="K246" s="22">
        <v>46353</v>
      </c>
    </row>
    <row r="247" spans="1:22" hidden="1" outlineLevel="1">
      <c r="A247" s="14" t="s">
        <v>161</v>
      </c>
      <c r="B247" s="23">
        <v>46310</v>
      </c>
      <c r="C247" s="23">
        <v>46326</v>
      </c>
      <c r="D247" s="23">
        <v>46326</v>
      </c>
      <c r="E247" s="24"/>
      <c r="F247" s="23">
        <v>46326</v>
      </c>
    </row>
    <row r="248" spans="1:22" hidden="1" outlineLevel="1">
      <c r="A248" s="14" t="s">
        <v>162</v>
      </c>
      <c r="B248" s="23">
        <v>46342</v>
      </c>
      <c r="C248" s="23">
        <v>46356</v>
      </c>
      <c r="D248" s="23">
        <v>46356</v>
      </c>
      <c r="E248" s="24"/>
      <c r="F248" s="23">
        <v>46356</v>
      </c>
    </row>
    <row r="249" spans="1:22" hidden="1" outlineLevel="1">
      <c r="A249" s="14" t="s">
        <v>163</v>
      </c>
      <c r="B249" s="23">
        <v>46371</v>
      </c>
      <c r="C249" s="23">
        <v>46387</v>
      </c>
      <c r="D249" s="23">
        <v>46387</v>
      </c>
      <c r="E249" s="24"/>
      <c r="F249" s="23">
        <v>46387</v>
      </c>
      <c r="G249" s="22">
        <v>46327</v>
      </c>
      <c r="H249" s="22">
        <v>46387</v>
      </c>
      <c r="I249" s="22">
        <v>46387</v>
      </c>
      <c r="J249" s="25"/>
      <c r="K249" s="22">
        <v>46447</v>
      </c>
    </row>
    <row r="250" spans="1:22" collapsed="1">
      <c r="A250" s="71" t="s">
        <v>244</v>
      </c>
      <c r="B250" s="72" t="s">
        <v>245</v>
      </c>
      <c r="C250" s="30" t="s">
        <v>234</v>
      </c>
      <c r="D250" s="30"/>
      <c r="E250" s="30"/>
      <c r="F250" s="31">
        <v>4</v>
      </c>
      <c r="G250" s="30"/>
      <c r="H250" s="32"/>
      <c r="I250" s="30" t="s">
        <v>25</v>
      </c>
      <c r="J250" s="88" t="s">
        <v>246</v>
      </c>
      <c r="K250" s="41">
        <f ca="1">IFERROR(IF(_xlfn.MINIFS(B252:B264,B252:B264,"&gt;="&amp;TODAY())=0,"",_xlfn.MINIFS(B252:B264,B252:B264,"&gt;="&amp;TODAY())),"")</f>
        <v>46287</v>
      </c>
      <c r="L250" s="41">
        <f ca="1">IFERROR(IF(_xlfn.MINIFS(G252:G264,G252:G264,"&gt;="&amp;TODAY())=0,"",_xlfn.MINIFS(G252:G264,G252:G264,"&gt;="&amp;TODAY())),"")</f>
        <v>46354</v>
      </c>
      <c r="M250" s="41">
        <f ca="1">IFERROR(IF(_xlfn.MINIFS(K252:K264,G252:G264,"&gt;="&amp;TODAY())=0,"",_xlfn.MINIFS(K252:K264,G252:G264,"&gt;="&amp;TODAY())),"")</f>
        <v>46429</v>
      </c>
      <c r="N250" s="49"/>
      <c r="O250" s="13" t="s">
        <v>129</v>
      </c>
      <c r="P250" s="20" t="s">
        <v>247</v>
      </c>
      <c r="Q250" s="92"/>
      <c r="V250" t="s">
        <v>246</v>
      </c>
    </row>
    <row r="251" spans="1:22" hidden="1" outlineLevel="2">
      <c r="A251" s="42" t="s">
        <v>131</v>
      </c>
      <c r="B251" s="42" t="s">
        <v>132</v>
      </c>
      <c r="C251" s="42" t="s">
        <v>133</v>
      </c>
      <c r="D251" s="42" t="s">
        <v>134</v>
      </c>
      <c r="E251" s="42" t="s">
        <v>135</v>
      </c>
      <c r="F251" s="42" t="s">
        <v>136</v>
      </c>
      <c r="G251" s="42" t="s">
        <v>137</v>
      </c>
      <c r="H251" s="42" t="s">
        <v>138</v>
      </c>
      <c r="I251" s="42" t="s">
        <v>139</v>
      </c>
      <c r="J251" s="42" t="s">
        <v>140</v>
      </c>
      <c r="K251" s="42" t="s">
        <v>141</v>
      </c>
    </row>
    <row r="252" spans="1:22" hidden="1" outlineLevel="1">
      <c r="A252" s="14" t="s">
        <v>152</v>
      </c>
      <c r="B252" s="23">
        <v>46010</v>
      </c>
      <c r="C252" s="23">
        <v>46022</v>
      </c>
      <c r="D252" s="23">
        <v>46023</v>
      </c>
      <c r="E252" s="23">
        <v>46057</v>
      </c>
      <c r="F252" s="23">
        <v>46015</v>
      </c>
    </row>
    <row r="253" spans="1:22" hidden="1" outlineLevel="1">
      <c r="A253" s="14" t="s">
        <v>153</v>
      </c>
      <c r="B253" s="23">
        <v>46045</v>
      </c>
      <c r="C253" s="23">
        <v>46053</v>
      </c>
      <c r="D253" s="23">
        <v>46054</v>
      </c>
      <c r="E253" s="23">
        <v>46086</v>
      </c>
      <c r="F253" s="23">
        <v>46050</v>
      </c>
    </row>
    <row r="254" spans="1:22" hidden="1" outlineLevel="1">
      <c r="A254" s="14" t="s">
        <v>154</v>
      </c>
      <c r="B254" s="23">
        <v>46073</v>
      </c>
      <c r="C254" s="23">
        <v>46081</v>
      </c>
      <c r="D254" s="23">
        <v>46082</v>
      </c>
      <c r="E254" s="23">
        <v>46113</v>
      </c>
      <c r="F254" s="23">
        <v>46078</v>
      </c>
      <c r="G254" s="22">
        <v>46080</v>
      </c>
      <c r="H254" s="22">
        <v>46112</v>
      </c>
      <c r="I254" s="22">
        <v>46112</v>
      </c>
      <c r="J254" s="22">
        <v>46148</v>
      </c>
      <c r="K254" s="22">
        <v>46155</v>
      </c>
    </row>
    <row r="255" spans="1:22" hidden="1" outlineLevel="1">
      <c r="A255" s="14" t="s">
        <v>155</v>
      </c>
      <c r="B255" s="23">
        <v>46104</v>
      </c>
      <c r="C255" s="23">
        <v>46112</v>
      </c>
      <c r="D255" s="23">
        <v>46113</v>
      </c>
      <c r="E255" s="23">
        <v>46148</v>
      </c>
      <c r="F255" s="23">
        <v>46107</v>
      </c>
    </row>
    <row r="256" spans="1:22" hidden="1" outlineLevel="1">
      <c r="A256" s="14" t="s">
        <v>156</v>
      </c>
      <c r="B256" s="23">
        <v>46134</v>
      </c>
      <c r="C256" s="23">
        <v>46142</v>
      </c>
      <c r="D256" s="23">
        <v>46143</v>
      </c>
      <c r="E256" s="23">
        <v>46181</v>
      </c>
      <c r="F256" s="23">
        <v>46139</v>
      </c>
    </row>
    <row r="257" spans="1:22" hidden="1" outlineLevel="1">
      <c r="A257" s="14" t="s">
        <v>157</v>
      </c>
      <c r="B257" s="23">
        <v>46163</v>
      </c>
      <c r="C257" s="23">
        <v>46173</v>
      </c>
      <c r="D257" s="23">
        <v>46174</v>
      </c>
      <c r="E257" s="23">
        <v>46209</v>
      </c>
      <c r="F257" s="23">
        <v>46169</v>
      </c>
      <c r="G257" s="22">
        <v>46169</v>
      </c>
      <c r="H257" s="22">
        <v>46203</v>
      </c>
      <c r="I257" s="22">
        <v>46203</v>
      </c>
      <c r="J257" s="22">
        <v>46234</v>
      </c>
      <c r="K257" s="22">
        <v>46244</v>
      </c>
    </row>
    <row r="258" spans="1:22" hidden="1" outlineLevel="1">
      <c r="A258" s="14" t="s">
        <v>158</v>
      </c>
      <c r="B258" s="23">
        <v>46191</v>
      </c>
      <c r="C258" s="23">
        <v>46203</v>
      </c>
      <c r="D258" s="23">
        <v>46204</v>
      </c>
      <c r="E258" s="23">
        <v>46234</v>
      </c>
      <c r="F258" s="23">
        <v>46198</v>
      </c>
    </row>
    <row r="259" spans="1:22" hidden="1" outlineLevel="1">
      <c r="A259" s="14" t="s">
        <v>159</v>
      </c>
      <c r="B259" s="23">
        <v>46226</v>
      </c>
      <c r="C259" s="23">
        <v>46234</v>
      </c>
      <c r="D259" s="23">
        <v>46235</v>
      </c>
      <c r="E259" s="23">
        <v>46268</v>
      </c>
      <c r="F259" s="23">
        <v>46231</v>
      </c>
    </row>
    <row r="260" spans="1:22" hidden="1" outlineLevel="1">
      <c r="A260" s="14" t="s">
        <v>160</v>
      </c>
      <c r="B260" s="23">
        <v>46255</v>
      </c>
      <c r="C260" s="23">
        <v>46265</v>
      </c>
      <c r="D260" s="23">
        <v>46266</v>
      </c>
      <c r="E260" s="23">
        <v>46296</v>
      </c>
      <c r="F260" s="23">
        <v>46260</v>
      </c>
      <c r="G260" s="22">
        <v>46262</v>
      </c>
      <c r="H260" s="22">
        <v>46295</v>
      </c>
      <c r="I260" s="22">
        <v>46295</v>
      </c>
      <c r="J260" s="22">
        <v>46329</v>
      </c>
      <c r="K260" s="22">
        <v>46336</v>
      </c>
    </row>
    <row r="261" spans="1:22" hidden="1" outlineLevel="1">
      <c r="A261" s="14" t="s">
        <v>161</v>
      </c>
      <c r="B261" s="23">
        <v>46287</v>
      </c>
      <c r="C261" s="23">
        <v>46295</v>
      </c>
      <c r="D261" s="23">
        <v>46296</v>
      </c>
      <c r="E261" s="23">
        <v>46329</v>
      </c>
      <c r="F261" s="23">
        <v>46290</v>
      </c>
    </row>
    <row r="262" spans="1:22" hidden="1" outlineLevel="1">
      <c r="A262" s="14" t="s">
        <v>162</v>
      </c>
      <c r="B262" s="23">
        <v>46317</v>
      </c>
      <c r="C262" s="23">
        <v>46326</v>
      </c>
      <c r="D262" s="23">
        <v>46327</v>
      </c>
      <c r="E262" s="23">
        <v>46359</v>
      </c>
      <c r="F262" s="23">
        <v>46323</v>
      </c>
    </row>
    <row r="263" spans="1:22" hidden="1" outlineLevel="1">
      <c r="A263" s="14" t="s">
        <v>163</v>
      </c>
      <c r="B263" s="23">
        <v>46345</v>
      </c>
      <c r="C263" s="23">
        <v>46356</v>
      </c>
      <c r="D263" s="23">
        <v>46357</v>
      </c>
      <c r="E263" s="23">
        <v>46391</v>
      </c>
      <c r="F263" s="23">
        <v>46350</v>
      </c>
      <c r="G263" s="22">
        <v>46354</v>
      </c>
      <c r="H263" s="22">
        <v>46387</v>
      </c>
      <c r="I263" s="22">
        <v>46387</v>
      </c>
      <c r="J263" s="22">
        <v>46422</v>
      </c>
      <c r="K263" s="22">
        <v>46429</v>
      </c>
    </row>
    <row r="264" spans="1:22" hidden="1" outlineLevel="1">
      <c r="A264" s="14" t="s">
        <v>204</v>
      </c>
      <c r="B264" s="23">
        <v>46377</v>
      </c>
      <c r="C264" s="23">
        <v>46387</v>
      </c>
      <c r="D264" s="23">
        <v>46388</v>
      </c>
      <c r="E264" s="23">
        <v>46422</v>
      </c>
      <c r="F264" s="23">
        <v>46380</v>
      </c>
    </row>
    <row r="265" spans="1:22">
      <c r="A265" s="33" t="s">
        <v>248</v>
      </c>
      <c r="B265" s="34" t="s">
        <v>249</v>
      </c>
      <c r="C265" s="35" t="s">
        <v>234</v>
      </c>
      <c r="D265" s="35"/>
      <c r="E265" s="35"/>
      <c r="F265" s="36">
        <v>3</v>
      </c>
      <c r="G265" s="35"/>
      <c r="H265" s="37"/>
      <c r="I265" s="35" t="s">
        <v>25</v>
      </c>
      <c r="J265" s="21" t="s">
        <v>227</v>
      </c>
      <c r="K265" s="21"/>
      <c r="L265" s="21"/>
      <c r="M265" s="21"/>
      <c r="N265" s="50"/>
      <c r="O265" s="21"/>
      <c r="P265" s="39" t="s">
        <v>212</v>
      </c>
      <c r="Q265" s="98"/>
    </row>
    <row r="266" spans="1:22">
      <c r="A266" s="71" t="s">
        <v>250</v>
      </c>
      <c r="B266" s="72" t="s">
        <v>251</v>
      </c>
      <c r="C266" s="30" t="s">
        <v>234</v>
      </c>
      <c r="D266" s="30"/>
      <c r="E266" s="30"/>
      <c r="F266" s="31">
        <v>3</v>
      </c>
      <c r="G266" s="30"/>
      <c r="H266" s="32"/>
      <c r="I266" s="30" t="s">
        <v>25</v>
      </c>
      <c r="J266" s="86" t="s">
        <v>252</v>
      </c>
      <c r="K266" s="20"/>
      <c r="L266" s="20"/>
      <c r="M266" s="20"/>
      <c r="N266" s="49"/>
      <c r="O266" s="20"/>
      <c r="P266" s="20" t="s">
        <v>253</v>
      </c>
      <c r="Q266" s="92"/>
    </row>
    <row r="267" spans="1:22">
      <c r="A267" s="33" t="s">
        <v>254</v>
      </c>
      <c r="B267" s="34" t="s">
        <v>255</v>
      </c>
      <c r="C267" s="35" t="s">
        <v>234</v>
      </c>
      <c r="D267" s="35"/>
      <c r="E267" s="35"/>
      <c r="F267" s="36">
        <v>3</v>
      </c>
      <c r="G267" s="35"/>
      <c r="H267" s="37"/>
      <c r="I267" s="35" t="s">
        <v>25</v>
      </c>
      <c r="J267" s="21" t="s">
        <v>256</v>
      </c>
      <c r="K267" s="21"/>
      <c r="L267" s="21"/>
      <c r="M267" s="21"/>
      <c r="N267" s="50"/>
      <c r="O267" s="21"/>
      <c r="P267" s="21" t="s">
        <v>212</v>
      </c>
      <c r="Q267" s="69"/>
    </row>
    <row r="268" spans="1:22">
      <c r="A268" s="28" t="s">
        <v>257</v>
      </c>
      <c r="B268" s="29" t="s">
        <v>258</v>
      </c>
      <c r="C268" s="30" t="s">
        <v>234</v>
      </c>
      <c r="D268" s="30"/>
      <c r="E268" s="30"/>
      <c r="F268" s="31">
        <v>3</v>
      </c>
      <c r="G268" s="30"/>
      <c r="H268" s="32"/>
      <c r="I268" s="30" t="s">
        <v>25</v>
      </c>
      <c r="J268" s="20" t="s">
        <v>256</v>
      </c>
      <c r="K268" s="20"/>
      <c r="L268" s="20"/>
      <c r="M268" s="20"/>
      <c r="N268" s="49"/>
      <c r="O268" s="20"/>
      <c r="P268" s="94" t="s">
        <v>259</v>
      </c>
    </row>
    <row r="269" spans="1:22" collapsed="1">
      <c r="A269" s="33" t="s">
        <v>260</v>
      </c>
      <c r="B269" s="34" t="s">
        <v>261</v>
      </c>
      <c r="C269" s="35" t="s">
        <v>234</v>
      </c>
      <c r="D269" s="35"/>
      <c r="E269" s="35"/>
      <c r="F269" s="36">
        <v>3</v>
      </c>
      <c r="G269" s="35"/>
      <c r="H269" s="37"/>
      <c r="I269" s="35" t="s">
        <v>25</v>
      </c>
      <c r="J269" s="43" t="str">
        <f ca="1">IF(MAX(B271:B283,G271:G283)=0,"—",IF(MAX(B271:B283,G271:G283)&lt;TODAY(),"À renouveler","À jour"))</f>
        <v>À jour</v>
      </c>
      <c r="K269" s="44">
        <f ca="1">IFERROR(IF(_xlfn.MINIFS(B271:B283,B271:B283,"&gt;="&amp;TODAY())=0,"",_xlfn.MINIFS(B271:B283,B271:B283,"&gt;="&amp;TODAY())),"")</f>
        <v>46287</v>
      </c>
      <c r="L269" s="44">
        <f ca="1">IFERROR(IF(_xlfn.MINIFS(G271:G283,G271:G283,"&gt;="&amp;TODAY())=0,"",_xlfn.MINIFS(G271:G283,G271:G283,"&gt;="&amp;TODAY())),"")</f>
        <v>46354</v>
      </c>
      <c r="M269" s="44">
        <f ca="1">IFERROR(IF(_xlfn.MINIFS(K271:K283,G271:G283,"&gt;="&amp;TODAY())=0,"",_xlfn.MINIFS(K271:K283,G271:G283,"&gt;="&amp;TODAY())),"")</f>
        <v>46429</v>
      </c>
      <c r="N269" s="50"/>
      <c r="O269" s="13" t="s">
        <v>129</v>
      </c>
      <c r="P269" s="21" t="s">
        <v>262</v>
      </c>
      <c r="Q269" s="69"/>
    </row>
    <row r="270" spans="1:22" hidden="1" outlineLevel="2">
      <c r="A270" s="42" t="s">
        <v>131</v>
      </c>
      <c r="B270" s="42" t="s">
        <v>132</v>
      </c>
      <c r="C270" s="42" t="s">
        <v>133</v>
      </c>
      <c r="D270" s="42" t="s">
        <v>134</v>
      </c>
      <c r="E270" s="42" t="s">
        <v>135</v>
      </c>
      <c r="F270" s="42" t="s">
        <v>136</v>
      </c>
      <c r="G270" s="42" t="s">
        <v>137</v>
      </c>
      <c r="H270" s="42" t="s">
        <v>138</v>
      </c>
      <c r="I270" s="42" t="s">
        <v>139</v>
      </c>
      <c r="J270" s="42" t="s">
        <v>140</v>
      </c>
      <c r="K270" s="42" t="s">
        <v>141</v>
      </c>
    </row>
    <row r="271" spans="1:22" hidden="1" outlineLevel="1">
      <c r="A271" s="14" t="s">
        <v>152</v>
      </c>
      <c r="B271" s="23">
        <v>46010</v>
      </c>
      <c r="C271" s="23">
        <v>46022</v>
      </c>
      <c r="D271" s="23">
        <v>46023</v>
      </c>
      <c r="E271" s="23">
        <v>46057</v>
      </c>
      <c r="F271" s="23">
        <v>46015</v>
      </c>
    </row>
    <row r="272" spans="1:22" hidden="1" outlineLevel="1">
      <c r="A272" s="14" t="s">
        <v>153</v>
      </c>
      <c r="B272" s="23">
        <v>46045</v>
      </c>
      <c r="C272" s="23">
        <v>46053</v>
      </c>
      <c r="D272" s="23">
        <v>46054</v>
      </c>
      <c r="E272" s="23">
        <v>46086</v>
      </c>
      <c r="F272" s="23">
        <v>46050</v>
      </c>
    </row>
    <row r="273" spans="1:16" hidden="1" outlineLevel="1">
      <c r="A273" s="14" t="s">
        <v>154</v>
      </c>
      <c r="B273" s="23">
        <v>46073</v>
      </c>
      <c r="C273" s="23">
        <v>46081</v>
      </c>
      <c r="D273" s="23">
        <v>46082</v>
      </c>
      <c r="E273" s="23">
        <v>46113</v>
      </c>
      <c r="F273" s="23">
        <v>46078</v>
      </c>
      <c r="G273" s="22">
        <v>46080</v>
      </c>
      <c r="H273" s="22">
        <v>46112</v>
      </c>
      <c r="I273" s="22">
        <v>46112</v>
      </c>
      <c r="J273" s="22">
        <v>46148</v>
      </c>
      <c r="K273" s="22">
        <v>46155</v>
      </c>
    </row>
    <row r="274" spans="1:16" hidden="1" outlineLevel="1">
      <c r="A274" s="14" t="s">
        <v>155</v>
      </c>
      <c r="B274" s="23">
        <v>46104</v>
      </c>
      <c r="C274" s="23">
        <v>46112</v>
      </c>
      <c r="D274" s="23">
        <v>46113</v>
      </c>
      <c r="E274" s="23">
        <v>46148</v>
      </c>
      <c r="F274" s="23">
        <v>46107</v>
      </c>
    </row>
    <row r="275" spans="1:16" hidden="1" outlineLevel="1">
      <c r="A275" s="14" t="s">
        <v>156</v>
      </c>
      <c r="B275" s="23">
        <v>46134</v>
      </c>
      <c r="C275" s="23">
        <v>46142</v>
      </c>
      <c r="D275" s="23">
        <v>46143</v>
      </c>
      <c r="E275" s="23">
        <v>46181</v>
      </c>
      <c r="F275" s="23">
        <v>46139</v>
      </c>
    </row>
    <row r="276" spans="1:16" hidden="1" outlineLevel="1">
      <c r="A276" s="14" t="s">
        <v>157</v>
      </c>
      <c r="B276" s="23">
        <v>46163</v>
      </c>
      <c r="C276" s="23">
        <v>46173</v>
      </c>
      <c r="D276" s="23">
        <v>46174</v>
      </c>
      <c r="E276" s="23">
        <v>46209</v>
      </c>
      <c r="F276" s="23">
        <v>46169</v>
      </c>
      <c r="G276" s="22">
        <v>46169</v>
      </c>
      <c r="H276" s="22">
        <v>46203</v>
      </c>
      <c r="I276" s="22">
        <v>46203</v>
      </c>
      <c r="J276" s="22">
        <v>46234</v>
      </c>
      <c r="K276" s="22">
        <v>46244</v>
      </c>
    </row>
    <row r="277" spans="1:16" hidden="1" outlineLevel="1">
      <c r="A277" s="14" t="s">
        <v>158</v>
      </c>
      <c r="B277" s="23">
        <v>46191</v>
      </c>
      <c r="C277" s="23">
        <v>46203</v>
      </c>
      <c r="D277" s="23">
        <v>46204</v>
      </c>
      <c r="E277" s="23">
        <v>46234</v>
      </c>
      <c r="F277" s="23">
        <v>46198</v>
      </c>
    </row>
    <row r="278" spans="1:16" hidden="1" outlineLevel="1">
      <c r="A278" s="14" t="s">
        <v>159</v>
      </c>
      <c r="B278" s="23">
        <v>46226</v>
      </c>
      <c r="C278" s="23">
        <v>46234</v>
      </c>
      <c r="D278" s="23">
        <v>46235</v>
      </c>
      <c r="E278" s="23">
        <v>46268</v>
      </c>
      <c r="F278" s="23">
        <v>46231</v>
      </c>
    </row>
    <row r="279" spans="1:16" hidden="1" outlineLevel="1">
      <c r="A279" s="14" t="s">
        <v>160</v>
      </c>
      <c r="B279" s="23">
        <v>46255</v>
      </c>
      <c r="C279" s="23">
        <v>46265</v>
      </c>
      <c r="D279" s="23">
        <v>46266</v>
      </c>
      <c r="E279" s="23">
        <v>46296</v>
      </c>
      <c r="F279" s="23">
        <v>46260</v>
      </c>
      <c r="G279" s="22">
        <v>46262</v>
      </c>
      <c r="H279" s="22">
        <v>46295</v>
      </c>
      <c r="I279" s="22">
        <v>46295</v>
      </c>
      <c r="J279" s="22">
        <v>46329</v>
      </c>
      <c r="K279" s="22">
        <v>46336</v>
      </c>
    </row>
    <row r="280" spans="1:16" hidden="1" outlineLevel="1">
      <c r="A280" s="14" t="s">
        <v>161</v>
      </c>
      <c r="B280" s="23">
        <v>46287</v>
      </c>
      <c r="C280" s="23">
        <v>46295</v>
      </c>
      <c r="D280" s="23">
        <v>46296</v>
      </c>
      <c r="E280" s="23">
        <v>46329</v>
      </c>
      <c r="F280" s="23">
        <v>46290</v>
      </c>
    </row>
    <row r="281" spans="1:16" hidden="1" outlineLevel="1">
      <c r="A281" s="14" t="s">
        <v>162</v>
      </c>
      <c r="B281" s="23">
        <v>46317</v>
      </c>
      <c r="C281" s="23">
        <v>46326</v>
      </c>
      <c r="D281" s="23">
        <v>46327</v>
      </c>
      <c r="E281" s="23">
        <v>46359</v>
      </c>
      <c r="F281" s="23">
        <v>46323</v>
      </c>
    </row>
    <row r="282" spans="1:16" hidden="1" outlineLevel="1">
      <c r="A282" s="14" t="s">
        <v>163</v>
      </c>
      <c r="B282" s="23">
        <v>46345</v>
      </c>
      <c r="C282" s="23">
        <v>46356</v>
      </c>
      <c r="D282" s="23">
        <v>46357</v>
      </c>
      <c r="E282" s="23">
        <v>46391</v>
      </c>
      <c r="F282" s="23">
        <v>46350</v>
      </c>
      <c r="G282" s="22">
        <v>46354</v>
      </c>
      <c r="H282" s="22">
        <v>46387</v>
      </c>
      <c r="I282" s="22">
        <v>46387</v>
      </c>
      <c r="J282" s="22">
        <v>46422</v>
      </c>
      <c r="K282" s="22">
        <v>46429</v>
      </c>
    </row>
    <row r="283" spans="1:16" hidden="1" outlineLevel="1">
      <c r="A283" s="14" t="s">
        <v>204</v>
      </c>
      <c r="B283" s="23">
        <v>46377</v>
      </c>
      <c r="C283" s="23">
        <v>46387</v>
      </c>
      <c r="D283" s="23">
        <v>46388</v>
      </c>
      <c r="E283" s="23">
        <v>46422</v>
      </c>
      <c r="F283" s="23">
        <v>46380</v>
      </c>
    </row>
    <row r="284" spans="1:16" collapsed="1">
      <c r="A284" s="28" t="s">
        <v>263</v>
      </c>
      <c r="B284" s="29" t="s">
        <v>264</v>
      </c>
      <c r="C284" s="30" t="s">
        <v>234</v>
      </c>
      <c r="D284" s="30"/>
      <c r="E284" s="30"/>
      <c r="F284" s="31">
        <v>3</v>
      </c>
      <c r="G284" s="30"/>
      <c r="H284" s="32"/>
      <c r="I284" s="30" t="s">
        <v>25</v>
      </c>
      <c r="J284" s="20" t="s">
        <v>265</v>
      </c>
      <c r="K284" s="54">
        <v>46259</v>
      </c>
      <c r="L284" s="54">
        <v>46266</v>
      </c>
      <c r="M284" s="54">
        <v>46355</v>
      </c>
      <c r="N284" s="49" t="s">
        <v>266</v>
      </c>
      <c r="O284" s="20" t="s">
        <v>129</v>
      </c>
      <c r="P284" s="94" t="s">
        <v>267</v>
      </c>
    </row>
    <row r="285" spans="1:16" hidden="1" outlineLevel="1">
      <c r="A285" s="42" t="s">
        <v>131</v>
      </c>
      <c r="B285" s="42" t="s">
        <v>132</v>
      </c>
      <c r="C285" s="42" t="s">
        <v>133</v>
      </c>
      <c r="D285" s="42" t="s">
        <v>134</v>
      </c>
      <c r="E285" s="42" t="s">
        <v>135</v>
      </c>
      <c r="F285" s="42" t="s">
        <v>136</v>
      </c>
      <c r="G285" s="42" t="s">
        <v>137</v>
      </c>
      <c r="H285" s="42" t="s">
        <v>138</v>
      </c>
      <c r="I285" s="42" t="s">
        <v>139</v>
      </c>
      <c r="J285" s="83" t="s">
        <v>140</v>
      </c>
      <c r="K285" s="42" t="s">
        <v>141</v>
      </c>
    </row>
    <row r="286" spans="1:16" hidden="1" outlineLevel="1">
      <c r="A286" s="14" t="s">
        <v>152</v>
      </c>
      <c r="B286" s="23">
        <v>46015</v>
      </c>
      <c r="C286" s="23">
        <v>46022</v>
      </c>
      <c r="D286" s="23">
        <v>46023</v>
      </c>
      <c r="E286" s="23">
        <v>46052</v>
      </c>
      <c r="F286" s="23">
        <v>46015</v>
      </c>
      <c r="G286" s="22">
        <v>46024</v>
      </c>
      <c r="H286" s="22">
        <v>46053</v>
      </c>
      <c r="I286" s="22">
        <v>46053</v>
      </c>
      <c r="J286" s="84">
        <v>46080</v>
      </c>
      <c r="K286" s="22">
        <v>46113</v>
      </c>
    </row>
    <row r="287" spans="1:16" hidden="1" outlineLevel="1">
      <c r="A287" s="14" t="s">
        <v>153</v>
      </c>
      <c r="B287" s="23">
        <v>46049</v>
      </c>
      <c r="C287" s="23">
        <v>46053</v>
      </c>
      <c r="D287" s="23">
        <v>46054</v>
      </c>
      <c r="E287" s="23">
        <v>46080</v>
      </c>
      <c r="F287" s="23">
        <v>46049</v>
      </c>
      <c r="G287" s="22">
        <v>46055</v>
      </c>
      <c r="H287" s="22">
        <v>46081</v>
      </c>
      <c r="I287" s="22">
        <v>46081</v>
      </c>
      <c r="J287" s="84">
        <v>46108</v>
      </c>
      <c r="K287" s="22">
        <v>46141</v>
      </c>
    </row>
    <row r="288" spans="1:16" hidden="1" outlineLevel="1">
      <c r="A288" s="14" t="s">
        <v>154</v>
      </c>
      <c r="B288" s="23">
        <v>46077</v>
      </c>
      <c r="C288" s="23">
        <v>46081</v>
      </c>
      <c r="D288" s="23">
        <v>46082</v>
      </c>
      <c r="E288" s="23">
        <v>46108</v>
      </c>
      <c r="F288" s="23">
        <v>46077</v>
      </c>
      <c r="G288" s="22">
        <v>46083</v>
      </c>
      <c r="H288" s="22">
        <v>46112</v>
      </c>
      <c r="I288" s="22">
        <v>46112</v>
      </c>
      <c r="J288" s="84">
        <v>46142</v>
      </c>
      <c r="K288" s="22">
        <v>46172</v>
      </c>
    </row>
    <row r="289" spans="1:17" hidden="1" outlineLevel="1">
      <c r="A289" s="14" t="s">
        <v>155</v>
      </c>
      <c r="B289" s="23">
        <v>46107</v>
      </c>
      <c r="C289" s="23">
        <v>46112</v>
      </c>
      <c r="D289" s="23">
        <v>46113</v>
      </c>
      <c r="E289" s="23">
        <v>46142</v>
      </c>
      <c r="F289" s="23">
        <v>46107</v>
      </c>
      <c r="G289" s="22">
        <v>46113</v>
      </c>
      <c r="H289" s="22">
        <v>46142</v>
      </c>
      <c r="I289" s="22">
        <v>46142</v>
      </c>
      <c r="J289" s="84">
        <v>46171</v>
      </c>
      <c r="K289" s="22">
        <v>46202</v>
      </c>
    </row>
    <row r="290" spans="1:17" hidden="1" outlineLevel="1">
      <c r="A290" s="14" t="s">
        <v>156</v>
      </c>
      <c r="B290" s="23">
        <v>46139</v>
      </c>
      <c r="C290" s="23">
        <v>46142</v>
      </c>
      <c r="D290" s="23">
        <v>46143</v>
      </c>
      <c r="E290" s="23">
        <v>46171</v>
      </c>
      <c r="F290" s="23">
        <v>46139</v>
      </c>
      <c r="G290" s="22">
        <v>46147</v>
      </c>
      <c r="H290" s="22">
        <v>46173</v>
      </c>
      <c r="I290" s="22">
        <v>46173</v>
      </c>
      <c r="J290" s="84">
        <v>46203</v>
      </c>
      <c r="K290" s="22">
        <v>46233</v>
      </c>
    </row>
    <row r="291" spans="1:17" hidden="1" outlineLevel="1">
      <c r="A291" s="14" t="s">
        <v>157</v>
      </c>
      <c r="B291" s="23">
        <v>46168</v>
      </c>
      <c r="C291" s="23">
        <v>46173</v>
      </c>
      <c r="D291" s="23">
        <v>46174</v>
      </c>
      <c r="E291" s="23">
        <v>46203</v>
      </c>
      <c r="F291" s="23">
        <v>46168</v>
      </c>
      <c r="G291" s="22">
        <v>46174</v>
      </c>
      <c r="H291" s="22">
        <v>46203</v>
      </c>
      <c r="I291" s="22">
        <v>46203</v>
      </c>
      <c r="J291" s="84">
        <v>46233</v>
      </c>
      <c r="K291" s="22">
        <v>46263</v>
      </c>
    </row>
    <row r="292" spans="1:17" hidden="1" outlineLevel="1">
      <c r="A292" s="14" t="s">
        <v>158</v>
      </c>
      <c r="B292" s="23">
        <v>46198</v>
      </c>
      <c r="C292" s="23">
        <v>46203</v>
      </c>
      <c r="D292" s="23">
        <v>46204</v>
      </c>
      <c r="E292" s="23">
        <v>46233</v>
      </c>
      <c r="F292" s="23">
        <v>46198</v>
      </c>
      <c r="G292" s="22">
        <v>46204</v>
      </c>
      <c r="H292" s="22">
        <v>46234</v>
      </c>
      <c r="I292" s="22">
        <v>46234</v>
      </c>
      <c r="J292" s="84">
        <v>46262</v>
      </c>
      <c r="K292" s="22">
        <v>46294</v>
      </c>
    </row>
    <row r="293" spans="1:17" hidden="1" outlineLevel="1">
      <c r="A293" s="14" t="s">
        <v>159</v>
      </c>
      <c r="B293" s="23">
        <v>46231</v>
      </c>
      <c r="C293" s="23">
        <v>46234</v>
      </c>
      <c r="D293" s="23">
        <v>46235</v>
      </c>
      <c r="E293" s="23">
        <v>46262</v>
      </c>
      <c r="F293" s="23">
        <v>46231</v>
      </c>
      <c r="G293" s="22">
        <v>46237</v>
      </c>
      <c r="H293" s="22">
        <v>46265</v>
      </c>
      <c r="I293" s="22">
        <v>46265</v>
      </c>
      <c r="J293" s="84">
        <v>46294</v>
      </c>
      <c r="K293" s="22">
        <v>46325</v>
      </c>
    </row>
    <row r="294" spans="1:17" hidden="1" outlineLevel="1">
      <c r="A294" s="14" t="s">
        <v>160</v>
      </c>
      <c r="B294" s="23">
        <v>46259</v>
      </c>
      <c r="C294" s="23">
        <v>46265</v>
      </c>
      <c r="D294" s="23">
        <v>46266</v>
      </c>
      <c r="E294" s="23">
        <v>46294</v>
      </c>
      <c r="F294" s="23">
        <v>46259</v>
      </c>
      <c r="G294" s="22">
        <v>46266</v>
      </c>
      <c r="H294" s="22">
        <v>46295</v>
      </c>
      <c r="I294" s="22">
        <v>46295</v>
      </c>
      <c r="J294" s="84">
        <v>46323</v>
      </c>
      <c r="K294" s="22">
        <v>46355</v>
      </c>
    </row>
    <row r="295" spans="1:17" hidden="1" outlineLevel="1">
      <c r="A295" s="14" t="s">
        <v>161</v>
      </c>
      <c r="B295" s="23">
        <v>46290</v>
      </c>
      <c r="C295" s="23">
        <v>46295</v>
      </c>
      <c r="D295" s="23">
        <v>46296</v>
      </c>
      <c r="E295" s="23">
        <v>46324</v>
      </c>
      <c r="F295" s="23">
        <v>46290</v>
      </c>
      <c r="G295" s="22">
        <v>46296</v>
      </c>
      <c r="H295" s="22">
        <v>46326</v>
      </c>
      <c r="I295" s="22">
        <v>46326</v>
      </c>
      <c r="J295" s="84">
        <v>46356</v>
      </c>
      <c r="K295" s="22">
        <v>46386</v>
      </c>
    </row>
    <row r="296" spans="1:17" hidden="1" outlineLevel="1">
      <c r="A296" s="14" t="s">
        <v>162</v>
      </c>
      <c r="B296" s="23">
        <v>46322</v>
      </c>
      <c r="C296" s="23">
        <v>46326</v>
      </c>
      <c r="D296" s="23">
        <v>46327</v>
      </c>
      <c r="E296" s="23">
        <v>46354</v>
      </c>
      <c r="F296" s="23">
        <v>46322</v>
      </c>
      <c r="G296" s="22">
        <v>46328</v>
      </c>
      <c r="H296" s="22">
        <v>46356</v>
      </c>
      <c r="I296" s="22">
        <v>46356</v>
      </c>
      <c r="J296" s="84">
        <v>46386</v>
      </c>
      <c r="K296" s="22">
        <v>46416</v>
      </c>
    </row>
    <row r="297" spans="1:17" hidden="1" outlineLevel="1">
      <c r="A297" s="14" t="s">
        <v>163</v>
      </c>
      <c r="B297" s="23">
        <v>46350</v>
      </c>
      <c r="C297" s="23">
        <v>46356</v>
      </c>
      <c r="D297" s="23">
        <v>46357</v>
      </c>
      <c r="E297" s="23">
        <v>46386</v>
      </c>
      <c r="F297" s="23">
        <v>46350</v>
      </c>
      <c r="G297" s="22">
        <v>46357</v>
      </c>
      <c r="H297" s="22">
        <v>46387</v>
      </c>
      <c r="I297" s="22">
        <v>46387</v>
      </c>
      <c r="J297" s="84">
        <v>46416</v>
      </c>
      <c r="K297" s="22">
        <v>46447</v>
      </c>
    </row>
    <row r="298" spans="1:17" hidden="1" outlineLevel="1">
      <c r="A298" s="14" t="s">
        <v>204</v>
      </c>
      <c r="B298" s="23">
        <v>46380</v>
      </c>
      <c r="C298" s="23">
        <v>46387</v>
      </c>
      <c r="D298" s="23">
        <v>46388</v>
      </c>
      <c r="E298" s="23">
        <v>46416</v>
      </c>
      <c r="F298" s="23">
        <v>46380</v>
      </c>
      <c r="G298" s="22">
        <v>46391</v>
      </c>
      <c r="H298" s="22">
        <v>46418</v>
      </c>
      <c r="I298" s="22">
        <v>46418</v>
      </c>
      <c r="J298" s="84">
        <v>46444</v>
      </c>
      <c r="K298" s="22">
        <v>46478</v>
      </c>
    </row>
    <row r="299" spans="1:17" collapsed="1">
      <c r="A299" s="33" t="s">
        <v>268</v>
      </c>
      <c r="B299" s="34" t="s">
        <v>269</v>
      </c>
      <c r="C299" s="35" t="s">
        <v>234</v>
      </c>
      <c r="D299" s="35"/>
      <c r="E299" s="35"/>
      <c r="F299" s="36">
        <v>3</v>
      </c>
      <c r="G299" s="35"/>
      <c r="H299" s="37"/>
      <c r="I299" s="35" t="s">
        <v>25</v>
      </c>
      <c r="J299" s="82" t="s">
        <v>265</v>
      </c>
      <c r="K299" s="21"/>
      <c r="L299" s="75">
        <v>46265</v>
      </c>
      <c r="M299" s="75">
        <v>46326</v>
      </c>
      <c r="N299" s="50" t="s">
        <v>266</v>
      </c>
      <c r="O299" s="21" t="s">
        <v>129</v>
      </c>
      <c r="P299" s="39" t="s">
        <v>270</v>
      </c>
      <c r="Q299" s="98"/>
    </row>
    <row r="300" spans="1:17" hidden="1" outlineLevel="1">
      <c r="A300" s="112" t="s">
        <v>271</v>
      </c>
      <c r="B300" s="114"/>
      <c r="C300" s="114"/>
      <c r="D300" s="114"/>
      <c r="E300" s="114"/>
      <c r="F300" s="114"/>
      <c r="G300" s="114"/>
      <c r="H300" s="114"/>
      <c r="I300" s="114"/>
      <c r="J300" s="114"/>
      <c r="K300" s="114"/>
    </row>
    <row r="301" spans="1:17" hidden="1" outlineLevel="1">
      <c r="A301" s="42" t="s">
        <v>131</v>
      </c>
      <c r="B301" s="42"/>
      <c r="C301" s="42"/>
      <c r="D301" s="42"/>
      <c r="E301" s="42"/>
      <c r="F301" s="42"/>
      <c r="G301" s="42" t="s">
        <v>272</v>
      </c>
      <c r="H301" s="42" t="s">
        <v>273</v>
      </c>
      <c r="I301" s="42" t="s">
        <v>274</v>
      </c>
      <c r="J301" s="83"/>
      <c r="K301" s="42" t="s">
        <v>275</v>
      </c>
    </row>
    <row r="302" spans="1:17" hidden="1" outlineLevel="1">
      <c r="A302" s="14" t="s">
        <v>151</v>
      </c>
      <c r="B302" s="23"/>
      <c r="C302" s="24"/>
      <c r="D302" s="23"/>
      <c r="E302" s="23"/>
      <c r="F302" s="23"/>
      <c r="G302" s="22">
        <v>45992</v>
      </c>
      <c r="H302" s="22">
        <v>46022</v>
      </c>
      <c r="I302" s="22">
        <v>46053</v>
      </c>
      <c r="J302" s="84"/>
      <c r="K302" s="22">
        <v>46081</v>
      </c>
    </row>
    <row r="303" spans="1:17" hidden="1" outlineLevel="1">
      <c r="A303" s="14" t="s">
        <v>152</v>
      </c>
      <c r="B303" s="23"/>
      <c r="C303" s="24"/>
      <c r="D303" s="23"/>
      <c r="E303" s="23"/>
      <c r="F303" s="23"/>
      <c r="G303" s="22">
        <v>46023</v>
      </c>
      <c r="H303" s="22">
        <v>46053</v>
      </c>
      <c r="I303" s="22">
        <v>46081</v>
      </c>
      <c r="J303" s="84"/>
      <c r="K303" s="22">
        <v>46112</v>
      </c>
    </row>
    <row r="304" spans="1:17" hidden="1" outlineLevel="1">
      <c r="A304" s="14" t="s">
        <v>153</v>
      </c>
      <c r="B304" s="23"/>
      <c r="C304" s="24"/>
      <c r="D304" s="23"/>
      <c r="E304" s="23"/>
      <c r="F304" s="23"/>
      <c r="G304" s="22">
        <v>46054</v>
      </c>
      <c r="H304" s="22">
        <v>46081</v>
      </c>
      <c r="I304" s="22">
        <v>46112</v>
      </c>
      <c r="J304" s="84"/>
      <c r="K304" s="22">
        <v>46142</v>
      </c>
    </row>
    <row r="305" spans="1:17" hidden="1" outlineLevel="1">
      <c r="A305" s="14" t="s">
        <v>154</v>
      </c>
      <c r="B305" s="23"/>
      <c r="C305" s="24"/>
      <c r="D305" s="23"/>
      <c r="E305" s="23"/>
      <c r="F305" s="23"/>
      <c r="G305" s="22">
        <v>46082</v>
      </c>
      <c r="H305" s="22">
        <v>46112</v>
      </c>
      <c r="I305" s="22">
        <v>46142</v>
      </c>
      <c r="J305" s="84"/>
      <c r="K305" s="22">
        <v>46173</v>
      </c>
    </row>
    <row r="306" spans="1:17" hidden="1" outlineLevel="1">
      <c r="A306" s="14" t="s">
        <v>155</v>
      </c>
      <c r="B306" s="23"/>
      <c r="C306" s="24"/>
      <c r="D306" s="23"/>
      <c r="E306" s="23"/>
      <c r="F306" s="23"/>
      <c r="G306" s="22">
        <v>46113</v>
      </c>
      <c r="H306" s="22">
        <v>46142</v>
      </c>
      <c r="I306" s="22">
        <v>46173</v>
      </c>
      <c r="J306" s="84"/>
      <c r="K306" s="22">
        <v>46203</v>
      </c>
    </row>
    <row r="307" spans="1:17" hidden="1" outlineLevel="1">
      <c r="A307" s="14" t="s">
        <v>156</v>
      </c>
      <c r="B307" s="23"/>
      <c r="C307" s="24"/>
      <c r="D307" s="23"/>
      <c r="E307" s="23"/>
      <c r="F307" s="23"/>
      <c r="G307" s="22">
        <v>46143</v>
      </c>
      <c r="H307" s="22">
        <v>46173</v>
      </c>
      <c r="I307" s="22">
        <v>46203</v>
      </c>
      <c r="J307" s="84"/>
      <c r="K307" s="22">
        <v>46234</v>
      </c>
    </row>
    <row r="308" spans="1:17" hidden="1" outlineLevel="1">
      <c r="A308" s="14" t="s">
        <v>157</v>
      </c>
      <c r="B308" s="23"/>
      <c r="C308" s="24"/>
      <c r="D308" s="23"/>
      <c r="E308" s="23"/>
      <c r="F308" s="23"/>
      <c r="G308" s="22">
        <v>46174</v>
      </c>
      <c r="H308" s="22">
        <v>46203</v>
      </c>
      <c r="I308" s="22">
        <v>46234</v>
      </c>
      <c r="J308" s="84"/>
      <c r="K308" s="22">
        <v>46265</v>
      </c>
    </row>
    <row r="309" spans="1:17" hidden="1" outlineLevel="1">
      <c r="A309" s="14" t="s">
        <v>158</v>
      </c>
      <c r="B309" s="23"/>
      <c r="C309" s="24"/>
      <c r="D309" s="23"/>
      <c r="E309" s="23"/>
      <c r="F309" s="23"/>
      <c r="G309" s="22">
        <v>46204</v>
      </c>
      <c r="H309" s="22">
        <v>46234</v>
      </c>
      <c r="I309" s="22">
        <v>46265</v>
      </c>
      <c r="J309" s="84"/>
      <c r="K309" s="22">
        <v>46295</v>
      </c>
    </row>
    <row r="310" spans="1:17" hidden="1" outlineLevel="1">
      <c r="A310" s="14" t="s">
        <v>159</v>
      </c>
      <c r="B310" s="23"/>
      <c r="C310" s="24"/>
      <c r="D310" s="23"/>
      <c r="E310" s="23"/>
      <c r="F310" s="23"/>
      <c r="G310" s="22">
        <v>46235</v>
      </c>
      <c r="H310" s="22">
        <v>46265</v>
      </c>
      <c r="I310" s="22">
        <v>46295</v>
      </c>
      <c r="J310" s="84"/>
      <c r="K310" s="22">
        <v>46326</v>
      </c>
    </row>
    <row r="311" spans="1:17" hidden="1" outlineLevel="1">
      <c r="A311" s="14" t="s">
        <v>160</v>
      </c>
      <c r="B311" s="23"/>
      <c r="C311" s="24"/>
      <c r="D311" s="23"/>
      <c r="E311" s="23"/>
      <c r="F311" s="23"/>
      <c r="G311" s="22">
        <v>46266</v>
      </c>
      <c r="H311" s="22">
        <v>46295</v>
      </c>
      <c r="I311" s="22">
        <v>46326</v>
      </c>
      <c r="J311" s="84"/>
      <c r="K311" s="22">
        <v>46356</v>
      </c>
    </row>
    <row r="312" spans="1:17" hidden="1" outlineLevel="1">
      <c r="A312" s="14" t="s">
        <v>161</v>
      </c>
      <c r="B312" s="23"/>
      <c r="C312" s="24"/>
      <c r="D312" s="23"/>
      <c r="E312" s="23"/>
      <c r="F312" s="23"/>
      <c r="G312" s="22">
        <v>46296</v>
      </c>
      <c r="H312" s="22">
        <v>46326</v>
      </c>
      <c r="I312" s="22">
        <v>46356</v>
      </c>
      <c r="J312" s="84"/>
      <c r="K312" s="22">
        <v>46387</v>
      </c>
    </row>
    <row r="313" spans="1:17" hidden="1" outlineLevel="1">
      <c r="A313" s="14" t="s">
        <v>162</v>
      </c>
      <c r="B313" s="23"/>
      <c r="C313" s="24"/>
      <c r="D313" s="23"/>
      <c r="E313" s="23"/>
      <c r="F313" s="23"/>
      <c r="G313" s="22">
        <v>46327</v>
      </c>
      <c r="H313" s="22">
        <v>46356</v>
      </c>
      <c r="I313" s="22">
        <v>46387</v>
      </c>
      <c r="J313" s="84"/>
      <c r="K313" s="22">
        <v>46418</v>
      </c>
    </row>
    <row r="314" spans="1:17" collapsed="1">
      <c r="A314" s="28" t="s">
        <v>276</v>
      </c>
      <c r="B314" s="29" t="s">
        <v>277</v>
      </c>
      <c r="C314" s="30" t="s">
        <v>234</v>
      </c>
      <c r="D314" s="30"/>
      <c r="E314" s="30"/>
      <c r="F314" s="31">
        <v>3</v>
      </c>
      <c r="G314" s="30"/>
      <c r="H314" s="32"/>
      <c r="I314" s="30" t="s">
        <v>25</v>
      </c>
      <c r="J314" s="85" t="s">
        <v>265</v>
      </c>
      <c r="K314" s="20"/>
      <c r="L314" s="54">
        <v>46265</v>
      </c>
      <c r="M314" s="54">
        <v>46326</v>
      </c>
      <c r="N314" s="49" t="s">
        <v>266</v>
      </c>
      <c r="O314" s="20" t="s">
        <v>129</v>
      </c>
      <c r="P314" s="38" t="s">
        <v>270</v>
      </c>
      <c r="Q314" s="97"/>
    </row>
    <row r="315" spans="1:17" hidden="1" outlineLevel="1">
      <c r="A315" s="112" t="s">
        <v>271</v>
      </c>
      <c r="B315" s="114"/>
      <c r="C315" s="114"/>
      <c r="D315" s="114"/>
      <c r="E315" s="114"/>
      <c r="F315" s="114"/>
      <c r="G315" s="114"/>
      <c r="H315" s="114"/>
      <c r="I315" s="114"/>
      <c r="J315" s="114"/>
      <c r="K315" s="114"/>
    </row>
    <row r="316" spans="1:17" hidden="1" outlineLevel="1">
      <c r="A316" s="42" t="s">
        <v>131</v>
      </c>
      <c r="B316" s="42"/>
      <c r="C316" s="42"/>
      <c r="D316" s="42"/>
      <c r="E316" s="42"/>
      <c r="F316" s="42"/>
      <c r="G316" s="42" t="s">
        <v>272</v>
      </c>
      <c r="H316" s="42" t="s">
        <v>273</v>
      </c>
      <c r="I316" s="42" t="s">
        <v>274</v>
      </c>
      <c r="J316" s="83"/>
      <c r="K316" s="42" t="s">
        <v>275</v>
      </c>
    </row>
    <row r="317" spans="1:17" hidden="1" outlineLevel="1">
      <c r="A317" s="14" t="s">
        <v>151</v>
      </c>
      <c r="B317" s="23"/>
      <c r="C317" s="24"/>
      <c r="D317" s="23"/>
      <c r="E317" s="23"/>
      <c r="F317" s="23"/>
      <c r="G317" s="22">
        <v>45992</v>
      </c>
      <c r="H317" s="22">
        <v>46022</v>
      </c>
      <c r="I317" s="22">
        <v>46053</v>
      </c>
      <c r="J317" s="84"/>
      <c r="K317" s="22">
        <v>46081</v>
      </c>
    </row>
    <row r="318" spans="1:17" hidden="1" outlineLevel="1">
      <c r="A318" s="14" t="s">
        <v>152</v>
      </c>
      <c r="B318" s="23"/>
      <c r="C318" s="24"/>
      <c r="D318" s="23"/>
      <c r="E318" s="23"/>
      <c r="F318" s="23"/>
      <c r="G318" s="22">
        <v>46023</v>
      </c>
      <c r="H318" s="22">
        <v>46053</v>
      </c>
      <c r="I318" s="22">
        <v>46081</v>
      </c>
      <c r="J318" s="84"/>
      <c r="K318" s="22">
        <v>46112</v>
      </c>
    </row>
    <row r="319" spans="1:17" hidden="1" outlineLevel="1">
      <c r="A319" s="14" t="s">
        <v>153</v>
      </c>
      <c r="B319" s="23"/>
      <c r="C319" s="24"/>
      <c r="D319" s="23"/>
      <c r="E319" s="23"/>
      <c r="F319" s="23"/>
      <c r="G319" s="22">
        <v>46054</v>
      </c>
      <c r="H319" s="22">
        <v>46081</v>
      </c>
      <c r="I319" s="22">
        <v>46112</v>
      </c>
      <c r="J319" s="84"/>
      <c r="K319" s="22">
        <v>46142</v>
      </c>
    </row>
    <row r="320" spans="1:17" hidden="1" outlineLevel="1">
      <c r="A320" s="14" t="s">
        <v>154</v>
      </c>
      <c r="B320" s="23"/>
      <c r="C320" s="24"/>
      <c r="D320" s="23"/>
      <c r="E320" s="23"/>
      <c r="F320" s="23"/>
      <c r="G320" s="22">
        <v>46082</v>
      </c>
      <c r="H320" s="22">
        <v>46112</v>
      </c>
      <c r="I320" s="22">
        <v>46142</v>
      </c>
      <c r="J320" s="84"/>
      <c r="K320" s="22">
        <v>46173</v>
      </c>
    </row>
    <row r="321" spans="1:17" hidden="1" outlineLevel="1">
      <c r="A321" s="14" t="s">
        <v>155</v>
      </c>
      <c r="B321" s="23"/>
      <c r="C321" s="24"/>
      <c r="D321" s="23"/>
      <c r="E321" s="23"/>
      <c r="F321" s="23"/>
      <c r="G321" s="22">
        <v>46113</v>
      </c>
      <c r="H321" s="22">
        <v>46142</v>
      </c>
      <c r="I321" s="22">
        <v>46173</v>
      </c>
      <c r="J321" s="84"/>
      <c r="K321" s="22">
        <v>46203</v>
      </c>
    </row>
    <row r="322" spans="1:17" hidden="1" outlineLevel="1">
      <c r="A322" s="14" t="s">
        <v>156</v>
      </c>
      <c r="B322" s="23"/>
      <c r="C322" s="24"/>
      <c r="D322" s="23"/>
      <c r="E322" s="23"/>
      <c r="F322" s="23"/>
      <c r="G322" s="22">
        <v>46143</v>
      </c>
      <c r="H322" s="22">
        <v>46173</v>
      </c>
      <c r="I322" s="22">
        <v>46203</v>
      </c>
      <c r="J322" s="84"/>
      <c r="K322" s="22">
        <v>46234</v>
      </c>
    </row>
    <row r="323" spans="1:17" hidden="1" outlineLevel="1">
      <c r="A323" s="14" t="s">
        <v>157</v>
      </c>
      <c r="B323" s="23"/>
      <c r="C323" s="24"/>
      <c r="D323" s="23"/>
      <c r="E323" s="23"/>
      <c r="F323" s="23"/>
      <c r="G323" s="22">
        <v>46174</v>
      </c>
      <c r="H323" s="22">
        <v>46203</v>
      </c>
      <c r="I323" s="22">
        <v>46234</v>
      </c>
      <c r="J323" s="84"/>
      <c r="K323" s="22">
        <v>46265</v>
      </c>
    </row>
    <row r="324" spans="1:17" hidden="1" outlineLevel="1">
      <c r="A324" s="14" t="s">
        <v>158</v>
      </c>
      <c r="B324" s="23"/>
      <c r="C324" s="24"/>
      <c r="D324" s="23"/>
      <c r="E324" s="23"/>
      <c r="F324" s="23"/>
      <c r="G324" s="22">
        <v>46204</v>
      </c>
      <c r="H324" s="22">
        <v>46234</v>
      </c>
      <c r="I324" s="22">
        <v>46265</v>
      </c>
      <c r="J324" s="84"/>
      <c r="K324" s="22">
        <v>46295</v>
      </c>
    </row>
    <row r="325" spans="1:17" hidden="1" outlineLevel="1">
      <c r="A325" s="14" t="s">
        <v>159</v>
      </c>
      <c r="B325" s="23"/>
      <c r="C325" s="24"/>
      <c r="D325" s="23"/>
      <c r="E325" s="23"/>
      <c r="F325" s="23"/>
      <c r="G325" s="22">
        <v>46235</v>
      </c>
      <c r="H325" s="22">
        <v>46265</v>
      </c>
      <c r="I325" s="22">
        <v>46295</v>
      </c>
      <c r="J325" s="84"/>
      <c r="K325" s="22">
        <v>46326</v>
      </c>
    </row>
    <row r="326" spans="1:17" hidden="1" outlineLevel="1">
      <c r="A326" s="14" t="s">
        <v>160</v>
      </c>
      <c r="B326" s="23"/>
      <c r="C326" s="24"/>
      <c r="D326" s="23"/>
      <c r="E326" s="23"/>
      <c r="F326" s="23"/>
      <c r="G326" s="22">
        <v>46266</v>
      </c>
      <c r="H326" s="22">
        <v>46295</v>
      </c>
      <c r="I326" s="22">
        <v>46326</v>
      </c>
      <c r="J326" s="84"/>
      <c r="K326" s="22">
        <v>46356</v>
      </c>
    </row>
    <row r="327" spans="1:17" hidden="1" outlineLevel="1">
      <c r="A327" s="14" t="s">
        <v>161</v>
      </c>
      <c r="B327" s="23"/>
      <c r="C327" s="24"/>
      <c r="D327" s="23"/>
      <c r="E327" s="23"/>
      <c r="F327" s="23"/>
      <c r="G327" s="22">
        <v>46296</v>
      </c>
      <c r="H327" s="22">
        <v>46326</v>
      </c>
      <c r="I327" s="22">
        <v>46356</v>
      </c>
      <c r="J327" s="84"/>
      <c r="K327" s="22">
        <v>46387</v>
      </c>
    </row>
    <row r="328" spans="1:17" hidden="1" outlineLevel="1">
      <c r="A328" s="14" t="s">
        <v>162</v>
      </c>
      <c r="B328" s="23"/>
      <c r="C328" s="24"/>
      <c r="D328" s="23"/>
      <c r="E328" s="23"/>
      <c r="F328" s="23"/>
      <c r="G328" s="22">
        <v>46327</v>
      </c>
      <c r="H328" s="22">
        <v>46356</v>
      </c>
      <c r="I328" s="22">
        <v>46387</v>
      </c>
      <c r="J328" s="84"/>
      <c r="K328" s="22">
        <v>46418</v>
      </c>
    </row>
    <row r="329" spans="1:17" collapsed="1">
      <c r="A329" s="33" t="s">
        <v>278</v>
      </c>
      <c r="B329" s="34" t="s">
        <v>279</v>
      </c>
      <c r="C329" s="35" t="s">
        <v>234</v>
      </c>
      <c r="D329" s="35"/>
      <c r="E329" s="35"/>
      <c r="F329" s="36">
        <v>4</v>
      </c>
      <c r="G329" s="35"/>
      <c r="H329" s="37"/>
      <c r="I329" s="35" t="s">
        <v>25</v>
      </c>
      <c r="J329" s="82" t="s">
        <v>265</v>
      </c>
      <c r="K329" s="21"/>
      <c r="L329" s="75">
        <v>46265</v>
      </c>
      <c r="M329" s="75">
        <v>46326</v>
      </c>
      <c r="N329" s="50" t="s">
        <v>266</v>
      </c>
      <c r="O329" s="21" t="s">
        <v>129</v>
      </c>
      <c r="P329" s="39" t="s">
        <v>270</v>
      </c>
      <c r="Q329" s="98"/>
    </row>
    <row r="330" spans="1:17" hidden="1" outlineLevel="1">
      <c r="A330" s="112" t="s">
        <v>271</v>
      </c>
      <c r="B330" s="114"/>
      <c r="C330" s="114"/>
      <c r="D330" s="114"/>
      <c r="E330" s="114"/>
      <c r="F330" s="114"/>
      <c r="G330" s="114"/>
      <c r="H330" s="114"/>
      <c r="I330" s="114"/>
      <c r="J330" s="114"/>
      <c r="K330" s="114"/>
    </row>
    <row r="331" spans="1:17" hidden="1" outlineLevel="1">
      <c r="A331" s="42" t="s">
        <v>131</v>
      </c>
      <c r="B331" s="42"/>
      <c r="C331" s="42"/>
      <c r="D331" s="42"/>
      <c r="E331" s="42"/>
      <c r="F331" s="42"/>
      <c r="G331" s="42" t="s">
        <v>272</v>
      </c>
      <c r="H331" s="42" t="s">
        <v>273</v>
      </c>
      <c r="I331" s="42" t="s">
        <v>274</v>
      </c>
      <c r="J331" s="42"/>
      <c r="K331" s="42" t="s">
        <v>275</v>
      </c>
    </row>
    <row r="332" spans="1:17" hidden="1" outlineLevel="1">
      <c r="A332" s="14" t="s">
        <v>151</v>
      </c>
      <c r="B332" s="23"/>
      <c r="C332" s="24"/>
      <c r="D332" s="23"/>
      <c r="E332" s="23"/>
      <c r="F332" s="23"/>
      <c r="G332" s="22">
        <v>45992</v>
      </c>
      <c r="H332" s="22">
        <v>46022</v>
      </c>
      <c r="I332" s="22">
        <v>46053</v>
      </c>
      <c r="J332" s="22"/>
      <c r="K332" s="22">
        <v>46081</v>
      </c>
    </row>
    <row r="333" spans="1:17" hidden="1" outlineLevel="1">
      <c r="A333" s="14" t="s">
        <v>152</v>
      </c>
      <c r="B333" s="23"/>
      <c r="C333" s="24"/>
      <c r="D333" s="23"/>
      <c r="E333" s="23"/>
      <c r="F333" s="23"/>
      <c r="G333" s="22">
        <v>46023</v>
      </c>
      <c r="H333" s="22">
        <v>46053</v>
      </c>
      <c r="I333" s="22">
        <v>46081</v>
      </c>
      <c r="J333" s="22"/>
      <c r="K333" s="22">
        <v>46112</v>
      </c>
    </row>
    <row r="334" spans="1:17" hidden="1" outlineLevel="1">
      <c r="A334" s="14" t="s">
        <v>153</v>
      </c>
      <c r="B334" s="23"/>
      <c r="C334" s="24"/>
      <c r="D334" s="23"/>
      <c r="E334" s="23"/>
      <c r="F334" s="23"/>
      <c r="G334" s="22">
        <v>46054</v>
      </c>
      <c r="H334" s="22">
        <v>46081</v>
      </c>
      <c r="I334" s="22">
        <v>46112</v>
      </c>
      <c r="J334" s="22"/>
      <c r="K334" s="22">
        <v>46142</v>
      </c>
    </row>
    <row r="335" spans="1:17" hidden="1" outlineLevel="1">
      <c r="A335" s="14" t="s">
        <v>154</v>
      </c>
      <c r="B335" s="23"/>
      <c r="C335" s="24"/>
      <c r="D335" s="23"/>
      <c r="E335" s="23"/>
      <c r="F335" s="23"/>
      <c r="G335" s="22">
        <v>46082</v>
      </c>
      <c r="H335" s="22">
        <v>46112</v>
      </c>
      <c r="I335" s="22">
        <v>46142</v>
      </c>
      <c r="J335" s="22"/>
      <c r="K335" s="22">
        <v>46173</v>
      </c>
    </row>
    <row r="336" spans="1:17" hidden="1" outlineLevel="1">
      <c r="A336" s="14" t="s">
        <v>155</v>
      </c>
      <c r="B336" s="23"/>
      <c r="C336" s="24"/>
      <c r="D336" s="23"/>
      <c r="E336" s="23"/>
      <c r="F336" s="23"/>
      <c r="G336" s="22">
        <v>46113</v>
      </c>
      <c r="H336" s="22">
        <v>46142</v>
      </c>
      <c r="I336" s="22">
        <v>46173</v>
      </c>
      <c r="J336" s="22"/>
      <c r="K336" s="22">
        <v>46203</v>
      </c>
    </row>
    <row r="337" spans="1:17" hidden="1" outlineLevel="1">
      <c r="A337" s="14" t="s">
        <v>156</v>
      </c>
      <c r="B337" s="23"/>
      <c r="C337" s="24"/>
      <c r="D337" s="23"/>
      <c r="E337" s="23"/>
      <c r="F337" s="23"/>
      <c r="G337" s="22">
        <v>46143</v>
      </c>
      <c r="H337" s="22">
        <v>46173</v>
      </c>
      <c r="I337" s="22">
        <v>46203</v>
      </c>
      <c r="J337" s="22"/>
      <c r="K337" s="22">
        <v>46234</v>
      </c>
    </row>
    <row r="338" spans="1:17" hidden="1" outlineLevel="1">
      <c r="A338" s="14" t="s">
        <v>157</v>
      </c>
      <c r="B338" s="23"/>
      <c r="C338" s="24"/>
      <c r="D338" s="23"/>
      <c r="E338" s="23"/>
      <c r="F338" s="23"/>
      <c r="G338" s="22">
        <v>46174</v>
      </c>
      <c r="H338" s="22">
        <v>46203</v>
      </c>
      <c r="I338" s="22">
        <v>46234</v>
      </c>
      <c r="J338" s="22"/>
      <c r="K338" s="22">
        <v>46265</v>
      </c>
    </row>
    <row r="339" spans="1:17" hidden="1" outlineLevel="1">
      <c r="A339" s="14" t="s">
        <v>158</v>
      </c>
      <c r="B339" s="23"/>
      <c r="C339" s="24"/>
      <c r="D339" s="23"/>
      <c r="E339" s="23"/>
      <c r="F339" s="23"/>
      <c r="G339" s="22">
        <v>46204</v>
      </c>
      <c r="H339" s="22">
        <v>46234</v>
      </c>
      <c r="I339" s="22">
        <v>46265</v>
      </c>
      <c r="J339" s="22"/>
      <c r="K339" s="22">
        <v>46295</v>
      </c>
    </row>
    <row r="340" spans="1:17" hidden="1" outlineLevel="1">
      <c r="A340" s="14" t="s">
        <v>159</v>
      </c>
      <c r="B340" s="23"/>
      <c r="C340" s="24"/>
      <c r="D340" s="23"/>
      <c r="E340" s="23"/>
      <c r="F340" s="23"/>
      <c r="G340" s="22">
        <v>46235</v>
      </c>
      <c r="H340" s="22">
        <v>46265</v>
      </c>
      <c r="I340" s="22">
        <v>46295</v>
      </c>
      <c r="J340" s="22"/>
      <c r="K340" s="22">
        <v>46326</v>
      </c>
    </row>
    <row r="341" spans="1:17" hidden="1" outlineLevel="1">
      <c r="A341" s="14" t="s">
        <v>160</v>
      </c>
      <c r="B341" s="23"/>
      <c r="C341" s="24"/>
      <c r="D341" s="23"/>
      <c r="E341" s="23"/>
      <c r="F341" s="23"/>
      <c r="G341" s="22">
        <v>46266</v>
      </c>
      <c r="H341" s="22">
        <v>46295</v>
      </c>
      <c r="I341" s="22">
        <v>46326</v>
      </c>
      <c r="J341" s="22"/>
      <c r="K341" s="22">
        <v>46356</v>
      </c>
    </row>
    <row r="342" spans="1:17" hidden="1" outlineLevel="1">
      <c r="A342" s="14" t="s">
        <v>161</v>
      </c>
      <c r="B342" s="23"/>
      <c r="C342" s="24"/>
      <c r="D342" s="23"/>
      <c r="E342" s="23"/>
      <c r="F342" s="23"/>
      <c r="G342" s="22">
        <v>46296</v>
      </c>
      <c r="H342" s="22">
        <v>46326</v>
      </c>
      <c r="I342" s="22">
        <v>46356</v>
      </c>
      <c r="J342" s="22"/>
      <c r="K342" s="22">
        <v>46387</v>
      </c>
    </row>
    <row r="343" spans="1:17" hidden="1" outlineLevel="1">
      <c r="A343" s="14" t="s">
        <v>162</v>
      </c>
      <c r="B343" s="23"/>
      <c r="C343" s="24"/>
      <c r="D343" s="23"/>
      <c r="E343" s="23"/>
      <c r="F343" s="23"/>
      <c r="G343" s="22">
        <v>46327</v>
      </c>
      <c r="H343" s="22">
        <v>46356</v>
      </c>
      <c r="I343" s="22">
        <v>46387</v>
      </c>
      <c r="J343" s="22"/>
      <c r="K343" s="22">
        <v>46418</v>
      </c>
    </row>
    <row r="344" spans="1:17" collapsed="1">
      <c r="A344" s="28" t="s">
        <v>280</v>
      </c>
      <c r="B344" s="29" t="s">
        <v>281</v>
      </c>
      <c r="C344" s="30" t="s">
        <v>234</v>
      </c>
      <c r="D344" s="30"/>
      <c r="E344" s="30"/>
      <c r="F344" s="31">
        <v>3</v>
      </c>
      <c r="G344" s="30"/>
      <c r="H344" s="32"/>
      <c r="I344" s="30" t="s">
        <v>25</v>
      </c>
      <c r="J344" s="40" t="str">
        <f ca="1">IF(MAX(B346:B357,G346:G357)=0,"—",IF(MAX(B346:B357,G346:G357)&lt;TODAY(),"À renouveler","À jour"))</f>
        <v>À jour</v>
      </c>
      <c r="K344" s="41">
        <f ca="1">IFERROR(IF(_xlfn.MINIFS(B346:B357,B346:B357,"&gt;="&amp;TODAY())=0,"",_xlfn.MINIFS(B346:B357,B346:B357,"&gt;="&amp;TODAY())),"")</f>
        <v>46289</v>
      </c>
      <c r="L344" s="41">
        <f ca="1">IFERROR(IF(_xlfn.MINIFS(G346:G357,G346:G357,"&gt;="&amp;TODAY())=0,"",_xlfn.MINIFS(G346:G357,G346:G357,"&gt;="&amp;TODAY())),"")</f>
        <v>46266</v>
      </c>
      <c r="M344" s="41">
        <f ca="1">IFERROR(IF(_xlfn.MINIFS(K346:K357,G346:G357,"&gt;="&amp;TODAY())=0,"",_xlfn.MINIFS(K346:K357,G346:G357,"&gt;="&amp;TODAY())),"")</f>
        <v>46354</v>
      </c>
      <c r="N344" s="49"/>
      <c r="O344" s="13" t="s">
        <v>129</v>
      </c>
      <c r="P344" s="38" t="s">
        <v>282</v>
      </c>
      <c r="Q344" s="97"/>
    </row>
    <row r="345" spans="1:17" hidden="1" outlineLevel="1">
      <c r="A345" s="42" t="s">
        <v>131</v>
      </c>
      <c r="B345" s="42" t="s">
        <v>132</v>
      </c>
      <c r="C345" s="42" t="s">
        <v>133</v>
      </c>
      <c r="D345" s="42" t="s">
        <v>134</v>
      </c>
      <c r="E345" s="42" t="s">
        <v>135</v>
      </c>
      <c r="F345" s="42" t="s">
        <v>136</v>
      </c>
      <c r="G345" s="42" t="s">
        <v>137</v>
      </c>
      <c r="H345" s="42" t="s">
        <v>138</v>
      </c>
      <c r="I345" s="42" t="s">
        <v>139</v>
      </c>
      <c r="J345" s="42" t="s">
        <v>140</v>
      </c>
      <c r="K345" s="42" t="s">
        <v>141</v>
      </c>
    </row>
    <row r="346" spans="1:17" hidden="1" outlineLevel="1">
      <c r="A346" s="14" t="s">
        <v>152</v>
      </c>
      <c r="B346" s="23">
        <v>46048</v>
      </c>
      <c r="C346" s="24"/>
      <c r="D346" s="23">
        <v>46052</v>
      </c>
      <c r="E346" s="23">
        <v>46081</v>
      </c>
      <c r="F346" s="23">
        <v>46051</v>
      </c>
      <c r="G346" s="22">
        <v>46024</v>
      </c>
      <c r="H346" s="25"/>
      <c r="I346" s="22">
        <v>46052</v>
      </c>
      <c r="J346" s="25"/>
      <c r="K346" s="22">
        <v>46111</v>
      </c>
    </row>
    <row r="347" spans="1:17" hidden="1" outlineLevel="1">
      <c r="A347" s="14" t="s">
        <v>153</v>
      </c>
      <c r="B347" s="23">
        <v>46076</v>
      </c>
      <c r="C347" s="24"/>
      <c r="D347" s="23">
        <v>46080</v>
      </c>
      <c r="E347" s="23">
        <v>46112</v>
      </c>
      <c r="F347" s="23">
        <v>46079</v>
      </c>
      <c r="G347" s="22">
        <v>46055</v>
      </c>
      <c r="H347" s="25"/>
      <c r="I347" s="22">
        <v>46080</v>
      </c>
      <c r="J347" s="25"/>
      <c r="K347" s="22">
        <v>46141</v>
      </c>
    </row>
    <row r="348" spans="1:17" hidden="1" outlineLevel="1">
      <c r="A348" s="14" t="s">
        <v>154</v>
      </c>
      <c r="B348" s="23">
        <v>46106</v>
      </c>
      <c r="C348" s="24"/>
      <c r="D348" s="23">
        <v>46112</v>
      </c>
      <c r="E348" s="23">
        <v>46142</v>
      </c>
      <c r="F348" s="23">
        <v>46111</v>
      </c>
      <c r="G348" s="22">
        <v>46083</v>
      </c>
      <c r="H348" s="25"/>
      <c r="I348" s="22">
        <v>46112</v>
      </c>
      <c r="J348" s="25"/>
      <c r="K348" s="22">
        <v>46172</v>
      </c>
    </row>
    <row r="349" spans="1:17" hidden="1" outlineLevel="1">
      <c r="A349" s="14" t="s">
        <v>155</v>
      </c>
      <c r="B349" s="23">
        <v>46136</v>
      </c>
      <c r="C349" s="24"/>
      <c r="D349" s="23">
        <v>46142</v>
      </c>
      <c r="E349" s="23">
        <v>46173</v>
      </c>
      <c r="F349" s="23">
        <v>46141</v>
      </c>
      <c r="G349" s="22">
        <v>46113</v>
      </c>
      <c r="H349" s="25"/>
      <c r="I349" s="22">
        <v>46142</v>
      </c>
      <c r="J349" s="25"/>
      <c r="K349" s="22">
        <v>46203</v>
      </c>
    </row>
    <row r="350" spans="1:17" hidden="1" outlineLevel="1">
      <c r="A350" s="14" t="s">
        <v>156</v>
      </c>
      <c r="B350" s="23">
        <v>46164</v>
      </c>
      <c r="C350" s="24"/>
      <c r="D350" s="23">
        <v>46171</v>
      </c>
      <c r="E350" s="23">
        <v>46203</v>
      </c>
      <c r="F350" s="23">
        <v>46170</v>
      </c>
      <c r="G350" s="22">
        <v>46147</v>
      </c>
      <c r="H350" s="25"/>
      <c r="I350" s="22">
        <v>46171</v>
      </c>
      <c r="J350" s="25"/>
      <c r="K350" s="22">
        <v>46233</v>
      </c>
    </row>
    <row r="351" spans="1:17" hidden="1" outlineLevel="1">
      <c r="A351" s="14" t="s">
        <v>157</v>
      </c>
      <c r="B351" s="23">
        <v>46197</v>
      </c>
      <c r="C351" s="24"/>
      <c r="D351" s="23">
        <v>46203</v>
      </c>
      <c r="E351" s="23">
        <v>46234</v>
      </c>
      <c r="F351" s="23">
        <v>46202</v>
      </c>
      <c r="G351" s="22">
        <v>46174</v>
      </c>
      <c r="H351" s="25"/>
      <c r="I351" s="22">
        <v>46203</v>
      </c>
      <c r="J351" s="25"/>
      <c r="K351" s="22">
        <v>46263</v>
      </c>
    </row>
    <row r="352" spans="1:17" hidden="1" outlineLevel="1">
      <c r="A352" s="14" t="s">
        <v>158</v>
      </c>
      <c r="B352" s="23">
        <v>46230</v>
      </c>
      <c r="C352" s="24"/>
      <c r="D352" s="23">
        <v>46234</v>
      </c>
      <c r="E352" s="23">
        <v>46265</v>
      </c>
      <c r="F352" s="23">
        <v>46233</v>
      </c>
      <c r="G352" s="22">
        <v>46204</v>
      </c>
      <c r="H352" s="25"/>
      <c r="I352" s="22">
        <v>46234</v>
      </c>
      <c r="J352" s="25"/>
      <c r="K352" s="22">
        <v>46294</v>
      </c>
    </row>
    <row r="353" spans="1:17" hidden="1" outlineLevel="1">
      <c r="A353" s="14" t="s">
        <v>159</v>
      </c>
      <c r="B353" s="23">
        <v>46258</v>
      </c>
      <c r="C353" s="24"/>
      <c r="D353" s="23">
        <v>46262</v>
      </c>
      <c r="E353" s="23">
        <v>46295</v>
      </c>
      <c r="F353" s="23">
        <v>46261</v>
      </c>
      <c r="G353" s="22">
        <v>46237</v>
      </c>
      <c r="H353" s="25"/>
      <c r="I353" s="22">
        <v>46262</v>
      </c>
      <c r="J353" s="25"/>
      <c r="K353" s="22">
        <v>46325</v>
      </c>
    </row>
    <row r="354" spans="1:17" hidden="1" outlineLevel="1">
      <c r="A354" s="14" t="s">
        <v>160</v>
      </c>
      <c r="B354" s="23">
        <v>46289</v>
      </c>
      <c r="C354" s="24"/>
      <c r="D354" s="23">
        <v>46295</v>
      </c>
      <c r="E354" s="23">
        <v>46326</v>
      </c>
      <c r="F354" s="23">
        <v>46294</v>
      </c>
      <c r="G354" s="22">
        <v>46266</v>
      </c>
      <c r="H354" s="25"/>
      <c r="I354" s="22">
        <v>46295</v>
      </c>
      <c r="J354" s="25"/>
      <c r="K354" s="22">
        <v>46354</v>
      </c>
    </row>
    <row r="355" spans="1:17" hidden="1" outlineLevel="1">
      <c r="A355" s="14" t="s">
        <v>161</v>
      </c>
      <c r="B355" s="23">
        <v>46321</v>
      </c>
      <c r="C355" s="24"/>
      <c r="D355" s="23">
        <v>46325</v>
      </c>
      <c r="E355" s="23">
        <v>46356</v>
      </c>
      <c r="F355" s="23">
        <v>46324</v>
      </c>
      <c r="G355" s="22">
        <v>46296</v>
      </c>
      <c r="H355" s="25"/>
      <c r="I355" s="22">
        <v>46325</v>
      </c>
      <c r="J355" s="25"/>
      <c r="K355" s="22">
        <v>46386</v>
      </c>
    </row>
    <row r="356" spans="1:17" hidden="1" outlineLevel="1">
      <c r="A356" s="14" t="s">
        <v>162</v>
      </c>
      <c r="B356" s="23">
        <v>46349</v>
      </c>
      <c r="C356" s="24"/>
      <c r="D356" s="23">
        <v>46356</v>
      </c>
      <c r="E356" s="23">
        <v>46387</v>
      </c>
      <c r="F356" s="23">
        <v>46355</v>
      </c>
      <c r="G356" s="22">
        <v>46328</v>
      </c>
      <c r="H356" s="25"/>
      <c r="I356" s="22">
        <v>46356</v>
      </c>
      <c r="J356" s="25"/>
      <c r="K356" s="22">
        <v>46416</v>
      </c>
    </row>
    <row r="357" spans="1:17" hidden="1" outlineLevel="1">
      <c r="A357" s="14" t="s">
        <v>163</v>
      </c>
      <c r="B357" s="23">
        <v>46378</v>
      </c>
      <c r="C357" s="24"/>
      <c r="D357" s="23">
        <v>46387</v>
      </c>
      <c r="E357" s="23">
        <v>46418</v>
      </c>
      <c r="F357" s="23">
        <v>46386</v>
      </c>
      <c r="G357" s="22">
        <v>46357</v>
      </c>
      <c r="H357" s="25"/>
      <c r="I357" s="22">
        <v>46387</v>
      </c>
      <c r="J357" s="25"/>
      <c r="K357" s="22">
        <v>46445</v>
      </c>
    </row>
    <row r="358" spans="1:17" collapsed="1">
      <c r="A358" s="33" t="s">
        <v>283</v>
      </c>
      <c r="B358" s="34" t="s">
        <v>284</v>
      </c>
      <c r="C358" s="35" t="s">
        <v>234</v>
      </c>
      <c r="D358" s="35"/>
      <c r="E358" s="35"/>
      <c r="F358" s="36">
        <v>3</v>
      </c>
      <c r="G358" s="35"/>
      <c r="H358" s="37"/>
      <c r="I358" s="35" t="s">
        <v>25</v>
      </c>
      <c r="J358" s="43" t="str">
        <f ca="1">IF(MAX(B360:B372,G360:G372)=0,"—",IF(MAX(B360:B372,G360:G372)&lt;TODAY(),"À renouveler","À jour"))</f>
        <v>À renouveler</v>
      </c>
      <c r="K358" s="44" t="str">
        <f ca="1">IFERROR(IF(_xlfn.MINIFS(B360:B372,B360:B372,"&gt;="&amp;TODAY())=0,"",_xlfn.MINIFS(B360:B372,B360:B372,"&gt;="&amp;TODAY())),"")</f>
        <v/>
      </c>
      <c r="L358" s="44" t="str">
        <f ca="1">IFERROR(IF(_xlfn.MINIFS(G360:G372,G360:G372,"&gt;="&amp;TODAY())=0,"",_xlfn.MINIFS(G360:G372,G360:G372,"&gt;="&amp;TODAY())),"")</f>
        <v/>
      </c>
      <c r="M358" s="44" t="str">
        <f ca="1">IFERROR(IF(_xlfn.MINIFS(K360:K372,G360:G372,"&gt;="&amp;TODAY())=0,"",_xlfn.MINIFS(K360:K372,G360:G372,"&gt;="&amp;TODAY())),"")</f>
        <v/>
      </c>
      <c r="N358" s="50"/>
      <c r="O358" s="13" t="s">
        <v>129</v>
      </c>
      <c r="P358" s="39" t="s">
        <v>285</v>
      </c>
      <c r="Q358" s="98"/>
    </row>
    <row r="359" spans="1:17" hidden="1" outlineLevel="2">
      <c r="A359" s="42" t="s">
        <v>131</v>
      </c>
      <c r="B359" s="42" t="s">
        <v>132</v>
      </c>
      <c r="C359" s="42" t="s">
        <v>133</v>
      </c>
      <c r="D359" s="42" t="s">
        <v>134</v>
      </c>
      <c r="E359" s="42" t="s">
        <v>135</v>
      </c>
      <c r="F359" s="42" t="s">
        <v>136</v>
      </c>
      <c r="G359" s="42" t="s">
        <v>137</v>
      </c>
      <c r="H359" s="42" t="s">
        <v>138</v>
      </c>
      <c r="I359" s="42" t="s">
        <v>139</v>
      </c>
      <c r="J359" s="42" t="s">
        <v>140</v>
      </c>
      <c r="K359" s="42" t="s">
        <v>141</v>
      </c>
    </row>
    <row r="360" spans="1:17" hidden="1" outlineLevel="1">
      <c r="A360" s="14" t="s">
        <v>286</v>
      </c>
      <c r="B360" s="23">
        <v>45649</v>
      </c>
      <c r="C360" s="23">
        <v>45657</v>
      </c>
      <c r="D360" s="23">
        <v>45658</v>
      </c>
      <c r="E360" s="23">
        <v>45680</v>
      </c>
      <c r="F360" s="23">
        <v>45653</v>
      </c>
      <c r="G360" s="22">
        <v>45659</v>
      </c>
      <c r="H360" s="22">
        <v>45688</v>
      </c>
      <c r="I360" s="22">
        <v>45688</v>
      </c>
      <c r="J360" s="22">
        <v>45712</v>
      </c>
      <c r="K360" s="22">
        <v>45714</v>
      </c>
    </row>
    <row r="361" spans="1:17" hidden="1" outlineLevel="1">
      <c r="A361" s="14" t="s">
        <v>287</v>
      </c>
      <c r="B361" s="23">
        <v>45684</v>
      </c>
      <c r="C361" s="23">
        <v>45688</v>
      </c>
      <c r="D361" s="23">
        <v>45689</v>
      </c>
      <c r="E361" s="23">
        <v>45712</v>
      </c>
      <c r="F361" s="23">
        <v>45686</v>
      </c>
      <c r="G361" s="22">
        <v>45691</v>
      </c>
      <c r="H361" s="22">
        <v>45716</v>
      </c>
      <c r="I361" s="22">
        <v>45716</v>
      </c>
      <c r="J361" s="22">
        <v>45737</v>
      </c>
      <c r="K361" s="22">
        <v>45741</v>
      </c>
    </row>
    <row r="362" spans="1:17" hidden="1" outlineLevel="1">
      <c r="A362" s="14" t="s">
        <v>142</v>
      </c>
      <c r="B362" s="23">
        <v>45712</v>
      </c>
      <c r="C362" s="23">
        <v>45716</v>
      </c>
      <c r="D362" s="23">
        <v>45717</v>
      </c>
      <c r="E362" s="23">
        <v>45737</v>
      </c>
      <c r="F362" s="23">
        <v>45714</v>
      </c>
      <c r="G362" s="22">
        <v>45719</v>
      </c>
      <c r="H362" s="22">
        <v>45747</v>
      </c>
      <c r="I362" s="22">
        <v>45747</v>
      </c>
      <c r="J362" s="22">
        <v>45770</v>
      </c>
      <c r="K362" s="22">
        <v>45772</v>
      </c>
    </row>
    <row r="363" spans="1:17" hidden="1" outlineLevel="1">
      <c r="A363" s="14" t="s">
        <v>143</v>
      </c>
      <c r="B363" s="23">
        <v>45741</v>
      </c>
      <c r="C363" s="23">
        <v>45747</v>
      </c>
      <c r="D363" s="23">
        <v>45748</v>
      </c>
      <c r="E363" s="23">
        <v>45770</v>
      </c>
      <c r="F363" s="23">
        <v>45743</v>
      </c>
      <c r="G363" s="22">
        <v>45748</v>
      </c>
      <c r="H363" s="22">
        <v>45777</v>
      </c>
      <c r="I363" s="22">
        <v>45777</v>
      </c>
      <c r="J363" s="22">
        <v>45804</v>
      </c>
      <c r="K363" s="22">
        <v>45806</v>
      </c>
    </row>
    <row r="364" spans="1:17" hidden="1" outlineLevel="1">
      <c r="A364" s="14" t="s">
        <v>144</v>
      </c>
      <c r="B364" s="23">
        <v>45771</v>
      </c>
      <c r="C364" s="23">
        <v>45777</v>
      </c>
      <c r="D364" s="23">
        <v>45778</v>
      </c>
      <c r="E364" s="23">
        <v>45804</v>
      </c>
      <c r="F364" s="23">
        <v>45775</v>
      </c>
      <c r="G364" s="22">
        <v>45779</v>
      </c>
      <c r="H364" s="22">
        <v>45808</v>
      </c>
      <c r="I364" s="22">
        <v>45808</v>
      </c>
      <c r="J364" s="22">
        <v>45832</v>
      </c>
      <c r="K364" s="22">
        <v>45834</v>
      </c>
    </row>
    <row r="365" spans="1:17" hidden="1" outlineLevel="1">
      <c r="A365" s="14" t="s">
        <v>145</v>
      </c>
      <c r="B365" s="23">
        <v>45799</v>
      </c>
      <c r="C365" s="23">
        <v>45808</v>
      </c>
      <c r="D365" s="23">
        <v>45809</v>
      </c>
      <c r="E365" s="23">
        <v>45832</v>
      </c>
      <c r="F365" s="23">
        <v>45804</v>
      </c>
      <c r="G365" s="22">
        <v>45810</v>
      </c>
      <c r="H365" s="22">
        <v>45838</v>
      </c>
      <c r="I365" s="22">
        <v>45838</v>
      </c>
      <c r="J365" s="22">
        <v>45860</v>
      </c>
      <c r="K365" s="22">
        <v>45862</v>
      </c>
    </row>
    <row r="366" spans="1:17" hidden="1" outlineLevel="1">
      <c r="A366" s="14" t="s">
        <v>146</v>
      </c>
      <c r="B366" s="23">
        <v>45832</v>
      </c>
      <c r="C366" s="23">
        <v>45838</v>
      </c>
      <c r="D366" s="23">
        <v>45839</v>
      </c>
      <c r="E366" s="23">
        <v>45860</v>
      </c>
      <c r="F366" s="23">
        <v>45834</v>
      </c>
      <c r="G366" s="22">
        <v>45839</v>
      </c>
      <c r="H366" s="22">
        <v>45869</v>
      </c>
      <c r="I366" s="22">
        <v>45869</v>
      </c>
      <c r="J366" s="22">
        <v>45891</v>
      </c>
      <c r="K366" s="22">
        <v>45896</v>
      </c>
    </row>
    <row r="367" spans="1:17" hidden="1" outlineLevel="1">
      <c r="A367" s="14" t="s">
        <v>147</v>
      </c>
      <c r="B367" s="23">
        <v>45863</v>
      </c>
      <c r="C367" s="23">
        <v>45869</v>
      </c>
      <c r="D367" s="23">
        <v>45870</v>
      </c>
      <c r="E367" s="23">
        <v>45891</v>
      </c>
      <c r="F367" s="23">
        <v>45867</v>
      </c>
      <c r="G367" s="22">
        <v>45870</v>
      </c>
      <c r="H367" s="22">
        <v>45900</v>
      </c>
      <c r="I367" s="22">
        <v>45900</v>
      </c>
      <c r="J367" s="22">
        <v>45922</v>
      </c>
      <c r="K367" s="22">
        <v>45924</v>
      </c>
    </row>
    <row r="368" spans="1:17" hidden="1" outlineLevel="1">
      <c r="A368" s="14" t="s">
        <v>148</v>
      </c>
      <c r="B368" s="23">
        <v>45891</v>
      </c>
      <c r="C368" s="23">
        <v>45900</v>
      </c>
      <c r="D368" s="23">
        <v>45901</v>
      </c>
      <c r="E368" s="23">
        <v>45922</v>
      </c>
      <c r="F368" s="23">
        <v>45896</v>
      </c>
      <c r="G368" s="22">
        <v>45902</v>
      </c>
      <c r="H368" s="22">
        <v>45930</v>
      </c>
      <c r="I368" s="22">
        <v>45930</v>
      </c>
      <c r="J368" s="22">
        <v>45952</v>
      </c>
      <c r="K368" s="22">
        <v>45954</v>
      </c>
    </row>
    <row r="369" spans="1:17" hidden="1" outlineLevel="1">
      <c r="A369" s="14" t="s">
        <v>149</v>
      </c>
      <c r="B369" s="23">
        <v>45924</v>
      </c>
      <c r="C369" s="23">
        <v>45930</v>
      </c>
      <c r="D369" s="23">
        <v>45931</v>
      </c>
      <c r="E369" s="23">
        <v>45952</v>
      </c>
      <c r="F369" s="23">
        <v>45926</v>
      </c>
      <c r="G369" s="22">
        <v>45931</v>
      </c>
      <c r="H369" s="22">
        <v>45961</v>
      </c>
      <c r="I369" s="22">
        <v>45961</v>
      </c>
      <c r="J369" s="22">
        <v>45985</v>
      </c>
      <c r="K369" s="22">
        <v>45987</v>
      </c>
    </row>
    <row r="370" spans="1:17" hidden="1" outlineLevel="1">
      <c r="A370" s="14" t="s">
        <v>150</v>
      </c>
      <c r="B370" s="23">
        <v>45957</v>
      </c>
      <c r="C370" s="23">
        <v>45961</v>
      </c>
      <c r="D370" s="23">
        <v>45962</v>
      </c>
      <c r="E370" s="23">
        <v>45985</v>
      </c>
      <c r="F370" s="23">
        <v>45959</v>
      </c>
      <c r="G370" s="22">
        <v>45964</v>
      </c>
      <c r="H370" s="22">
        <v>45991</v>
      </c>
      <c r="I370" s="22">
        <v>45991</v>
      </c>
      <c r="J370" s="22">
        <v>46010</v>
      </c>
      <c r="K370" s="22">
        <v>46014</v>
      </c>
    </row>
    <row r="371" spans="1:17" hidden="1" outlineLevel="1">
      <c r="A371" s="14" t="s">
        <v>151</v>
      </c>
      <c r="B371" s="23">
        <v>45982</v>
      </c>
      <c r="C371" s="23">
        <v>45991</v>
      </c>
      <c r="D371" s="23">
        <v>45992</v>
      </c>
      <c r="E371" s="23">
        <v>46010</v>
      </c>
      <c r="F371" s="23">
        <v>45986</v>
      </c>
      <c r="G371" s="22">
        <v>45992</v>
      </c>
      <c r="H371" s="22">
        <v>46022</v>
      </c>
      <c r="I371" s="22">
        <v>46022</v>
      </c>
      <c r="J371" s="22">
        <v>46043</v>
      </c>
      <c r="K371" s="22">
        <v>46045</v>
      </c>
    </row>
    <row r="372" spans="1:17" hidden="1" outlineLevel="1">
      <c r="A372" s="14" t="s">
        <v>152</v>
      </c>
      <c r="B372" s="23">
        <v>46013</v>
      </c>
      <c r="C372" s="23">
        <v>46022</v>
      </c>
      <c r="D372" s="23">
        <v>46023</v>
      </c>
      <c r="E372" s="23">
        <v>46043</v>
      </c>
      <c r="F372" s="23">
        <v>46020</v>
      </c>
    </row>
    <row r="373" spans="1:17" collapsed="1">
      <c r="A373" s="28" t="s">
        <v>288</v>
      </c>
      <c r="B373" s="29" t="s">
        <v>289</v>
      </c>
      <c r="C373" s="30" t="s">
        <v>234</v>
      </c>
      <c r="D373" s="30"/>
      <c r="E373" s="30"/>
      <c r="F373" s="31">
        <v>5</v>
      </c>
      <c r="G373" s="30"/>
      <c r="H373" s="32"/>
      <c r="I373" s="30" t="s">
        <v>25</v>
      </c>
      <c r="J373" s="40" t="str">
        <f ca="1">IF(MAX(B375:B387,G375:G387)=0,"—",IF(MAX(B375:B387,G375:G387)&lt;TODAY(),"À renouveler","À jour"))</f>
        <v>À jour</v>
      </c>
      <c r="K373" s="41">
        <f ca="1">IFERROR(IF(_xlfn.MINIFS(B375:B387,B375:B387,"&gt;="&amp;TODAY())=0,"",_xlfn.MINIFS(B375:B387,B375:B387,"&gt;="&amp;TODAY())),"")</f>
        <v>46287</v>
      </c>
      <c r="L373" s="41">
        <f ca="1">IFERROR(IF(_xlfn.MINIFS(G375:G387,G375:G387,"&gt;="&amp;TODAY())=0,"",_xlfn.MINIFS(G375:G387,G375:G387,"&gt;="&amp;TODAY())),"")</f>
        <v>46287</v>
      </c>
      <c r="M373" s="41" t="str">
        <f ca="1">IFERROR(IF(_xlfn.MINIFS(K375:K387,G375:G387,"&gt;="&amp;TODAY())=0,"",_xlfn.MINIFS(K375:K387,G375:G387,"&gt;="&amp;TODAY())),"")</f>
        <v/>
      </c>
      <c r="N373" s="49"/>
      <c r="O373" s="13" t="s">
        <v>129</v>
      </c>
      <c r="P373" s="38" t="s">
        <v>290</v>
      </c>
      <c r="Q373" s="97"/>
    </row>
    <row r="374" spans="1:17" hidden="1" outlineLevel="2">
      <c r="A374" s="42" t="s">
        <v>131</v>
      </c>
      <c r="B374" s="42" t="s">
        <v>132</v>
      </c>
      <c r="C374" s="42" t="s">
        <v>133</v>
      </c>
      <c r="D374" s="42" t="s">
        <v>134</v>
      </c>
      <c r="E374" s="42" t="s">
        <v>135</v>
      </c>
      <c r="F374" s="42" t="s">
        <v>136</v>
      </c>
      <c r="G374" s="42" t="s">
        <v>137</v>
      </c>
      <c r="H374" s="42" t="s">
        <v>138</v>
      </c>
      <c r="I374" s="42" t="s">
        <v>139</v>
      </c>
      <c r="J374" s="42" t="s">
        <v>140</v>
      </c>
      <c r="K374" s="42" t="s">
        <v>141</v>
      </c>
    </row>
    <row r="375" spans="1:17" hidden="1" outlineLevel="1">
      <c r="A375" s="14" t="s">
        <v>151</v>
      </c>
      <c r="B375" s="23">
        <v>46013</v>
      </c>
      <c r="C375" s="23">
        <v>46022</v>
      </c>
      <c r="D375" s="23">
        <v>46024</v>
      </c>
      <c r="E375" s="23">
        <v>46044</v>
      </c>
      <c r="F375" s="23">
        <v>46049</v>
      </c>
      <c r="G375" s="22">
        <v>46013</v>
      </c>
      <c r="H375" s="22">
        <v>46022</v>
      </c>
      <c r="I375" s="22">
        <v>46024</v>
      </c>
      <c r="J375" s="22">
        <v>46044</v>
      </c>
      <c r="K375" s="25"/>
    </row>
    <row r="376" spans="1:17" hidden="1" outlineLevel="1">
      <c r="A376" s="14" t="s">
        <v>152</v>
      </c>
      <c r="B376" s="23">
        <v>46044</v>
      </c>
      <c r="C376" s="23">
        <v>46053</v>
      </c>
      <c r="D376" s="23">
        <v>46055</v>
      </c>
      <c r="E376" s="23">
        <v>46073</v>
      </c>
      <c r="F376" s="23">
        <v>46078</v>
      </c>
      <c r="G376" s="22">
        <v>46044</v>
      </c>
      <c r="H376" s="22">
        <v>46053</v>
      </c>
      <c r="I376" s="22">
        <v>46055</v>
      </c>
      <c r="J376" s="22">
        <v>46073</v>
      </c>
      <c r="K376" s="25"/>
    </row>
    <row r="377" spans="1:17" hidden="1" outlineLevel="1">
      <c r="A377" s="14" t="s">
        <v>153</v>
      </c>
      <c r="B377" s="23">
        <v>46076</v>
      </c>
      <c r="C377" s="23">
        <v>46081</v>
      </c>
      <c r="D377" s="23">
        <v>46083</v>
      </c>
      <c r="E377" s="23">
        <v>46101</v>
      </c>
      <c r="F377" s="23">
        <v>46106</v>
      </c>
      <c r="G377" s="22">
        <v>46076</v>
      </c>
      <c r="H377" s="22">
        <v>46081</v>
      </c>
      <c r="I377" s="22">
        <v>46083</v>
      </c>
      <c r="J377" s="22">
        <v>46101</v>
      </c>
      <c r="K377" s="25"/>
    </row>
    <row r="378" spans="1:17" hidden="1" outlineLevel="1">
      <c r="A378" s="14" t="s">
        <v>154</v>
      </c>
      <c r="B378" s="23">
        <v>46104</v>
      </c>
      <c r="C378" s="23">
        <v>46112</v>
      </c>
      <c r="D378" s="23">
        <v>46113</v>
      </c>
      <c r="E378" s="23">
        <v>46135</v>
      </c>
      <c r="F378" s="23">
        <v>46140</v>
      </c>
      <c r="G378" s="22">
        <v>46104</v>
      </c>
      <c r="H378" s="22">
        <v>46112</v>
      </c>
      <c r="I378" s="22">
        <v>46113</v>
      </c>
      <c r="J378" s="22">
        <v>46135</v>
      </c>
      <c r="K378" s="25"/>
    </row>
    <row r="379" spans="1:17" hidden="1" outlineLevel="1">
      <c r="A379" s="14" t="s">
        <v>155</v>
      </c>
      <c r="B379" s="23">
        <v>46134</v>
      </c>
      <c r="C379" s="23">
        <v>46142</v>
      </c>
      <c r="D379" s="23">
        <v>46146</v>
      </c>
      <c r="E379" s="23">
        <v>46168</v>
      </c>
      <c r="F379" s="23">
        <v>46171</v>
      </c>
      <c r="G379" s="22">
        <v>46134</v>
      </c>
      <c r="H379" s="22">
        <v>46142</v>
      </c>
      <c r="I379" s="22">
        <v>46146</v>
      </c>
      <c r="J379" s="22">
        <v>46168</v>
      </c>
      <c r="K379" s="25"/>
    </row>
    <row r="380" spans="1:17" hidden="1" outlineLevel="1">
      <c r="A380" s="14" t="s">
        <v>156</v>
      </c>
      <c r="B380" s="23">
        <v>46164</v>
      </c>
      <c r="C380" s="23">
        <v>46173</v>
      </c>
      <c r="D380" s="23">
        <v>46174</v>
      </c>
      <c r="E380" s="23">
        <v>46192</v>
      </c>
      <c r="F380" s="23">
        <v>46198</v>
      </c>
      <c r="G380" s="22">
        <v>46164</v>
      </c>
      <c r="H380" s="22">
        <v>46173</v>
      </c>
      <c r="I380" s="22">
        <v>46174</v>
      </c>
      <c r="J380" s="22">
        <v>46192</v>
      </c>
      <c r="K380" s="25"/>
    </row>
    <row r="381" spans="1:17" hidden="1" outlineLevel="1">
      <c r="A381" s="14" t="s">
        <v>157</v>
      </c>
      <c r="B381" s="23">
        <v>46195</v>
      </c>
      <c r="C381" s="23">
        <v>46203</v>
      </c>
      <c r="D381" s="23">
        <v>46204</v>
      </c>
      <c r="E381" s="23">
        <v>46224</v>
      </c>
      <c r="F381" s="23">
        <v>46227</v>
      </c>
      <c r="G381" s="22">
        <v>46195</v>
      </c>
      <c r="H381" s="22">
        <v>46203</v>
      </c>
      <c r="I381" s="22">
        <v>46204</v>
      </c>
      <c r="J381" s="22">
        <v>46224</v>
      </c>
      <c r="K381" s="25"/>
    </row>
    <row r="382" spans="1:17" hidden="1" outlineLevel="1">
      <c r="A382" s="14" t="s">
        <v>158</v>
      </c>
      <c r="B382" s="23">
        <v>46225</v>
      </c>
      <c r="C382" s="23">
        <v>46234</v>
      </c>
      <c r="D382" s="23">
        <v>46237</v>
      </c>
      <c r="E382" s="23">
        <v>46255</v>
      </c>
      <c r="F382" s="23">
        <v>46260</v>
      </c>
      <c r="G382" s="22">
        <v>46225</v>
      </c>
      <c r="H382" s="22">
        <v>46234</v>
      </c>
      <c r="I382" s="22">
        <v>46237</v>
      </c>
      <c r="J382" s="22">
        <v>46255</v>
      </c>
      <c r="K382" s="25"/>
    </row>
    <row r="383" spans="1:17" hidden="1" outlineLevel="1">
      <c r="A383" s="14" t="s">
        <v>159</v>
      </c>
      <c r="B383" s="23">
        <v>46258</v>
      </c>
      <c r="C383" s="23">
        <v>46265</v>
      </c>
      <c r="D383" s="23">
        <v>46266</v>
      </c>
      <c r="E383" s="23">
        <v>46286</v>
      </c>
      <c r="F383" s="23">
        <v>46289</v>
      </c>
      <c r="G383" s="22">
        <v>46258</v>
      </c>
      <c r="H383" s="22">
        <v>46265</v>
      </c>
      <c r="I383" s="22">
        <v>46266</v>
      </c>
      <c r="J383" s="22">
        <v>46286</v>
      </c>
      <c r="K383" s="25"/>
    </row>
    <row r="384" spans="1:17" hidden="1" outlineLevel="1">
      <c r="A384" s="14" t="s">
        <v>160</v>
      </c>
      <c r="B384" s="23">
        <v>46287</v>
      </c>
      <c r="C384" s="23">
        <v>46295</v>
      </c>
      <c r="D384" s="23">
        <v>46296</v>
      </c>
      <c r="E384" s="23">
        <v>46316</v>
      </c>
      <c r="F384" s="23">
        <v>46321</v>
      </c>
      <c r="G384" s="22">
        <v>46287</v>
      </c>
      <c r="H384" s="22">
        <v>46295</v>
      </c>
      <c r="I384" s="22">
        <v>46296</v>
      </c>
      <c r="J384" s="22">
        <v>46316</v>
      </c>
      <c r="K384" s="25"/>
    </row>
    <row r="385" spans="1:17" hidden="1" outlineLevel="1">
      <c r="A385" s="14" t="s">
        <v>161</v>
      </c>
      <c r="B385" s="23">
        <v>46317</v>
      </c>
      <c r="C385" s="23">
        <v>46326</v>
      </c>
      <c r="D385" s="23">
        <v>46328</v>
      </c>
      <c r="E385" s="23">
        <v>46346</v>
      </c>
      <c r="F385" s="23">
        <v>46351</v>
      </c>
      <c r="G385" s="22">
        <v>46317</v>
      </c>
      <c r="H385" s="22">
        <v>46326</v>
      </c>
      <c r="I385" s="22">
        <v>46328</v>
      </c>
      <c r="J385" s="22">
        <v>46346</v>
      </c>
      <c r="K385" s="25"/>
    </row>
    <row r="386" spans="1:17" hidden="1" outlineLevel="1">
      <c r="A386" s="14" t="s">
        <v>162</v>
      </c>
      <c r="B386" s="23">
        <v>46349</v>
      </c>
      <c r="C386" s="23">
        <v>46356</v>
      </c>
      <c r="D386" s="23">
        <v>46357</v>
      </c>
      <c r="E386" s="23">
        <v>46377</v>
      </c>
      <c r="F386" s="23">
        <v>46380</v>
      </c>
      <c r="G386" s="22">
        <v>46349</v>
      </c>
      <c r="H386" s="22">
        <v>46356</v>
      </c>
      <c r="I386" s="22">
        <v>46357</v>
      </c>
      <c r="J386" s="22">
        <v>46377</v>
      </c>
      <c r="K386" s="25"/>
    </row>
    <row r="387" spans="1:17" hidden="1" outlineLevel="1">
      <c r="A387" s="14" t="s">
        <v>163</v>
      </c>
      <c r="B387" s="23">
        <v>46378</v>
      </c>
      <c r="C387" s="23">
        <v>46387</v>
      </c>
      <c r="D387" s="23">
        <v>46391</v>
      </c>
      <c r="E387" s="23">
        <v>46409</v>
      </c>
      <c r="F387" s="23">
        <v>46414</v>
      </c>
      <c r="G387" s="22">
        <v>46378</v>
      </c>
      <c r="H387" s="22">
        <v>46387</v>
      </c>
      <c r="I387" s="22">
        <v>46391</v>
      </c>
      <c r="J387" s="22">
        <v>46409</v>
      </c>
      <c r="K387" s="25"/>
    </row>
    <row r="388" spans="1:17" ht="121.5">
      <c r="A388" s="33" t="s">
        <v>291</v>
      </c>
      <c r="B388" s="34" t="s">
        <v>292</v>
      </c>
      <c r="C388" s="35" t="s">
        <v>234</v>
      </c>
      <c r="D388" s="35"/>
      <c r="E388" s="35"/>
      <c r="F388" s="36">
        <v>3</v>
      </c>
      <c r="G388" s="35"/>
      <c r="H388" s="37"/>
      <c r="I388" s="35" t="s">
        <v>25</v>
      </c>
      <c r="J388" s="21" t="s">
        <v>256</v>
      </c>
      <c r="K388" s="21"/>
      <c r="L388" s="21"/>
      <c r="M388" s="21"/>
      <c r="N388" s="50"/>
      <c r="O388" s="21"/>
      <c r="P388" s="91" t="s">
        <v>293</v>
      </c>
      <c r="Q388" s="104" t="s">
        <v>294</v>
      </c>
    </row>
    <row r="389" spans="1:17" ht="121.5">
      <c r="A389" s="28" t="s">
        <v>295</v>
      </c>
      <c r="B389" s="29" t="s">
        <v>296</v>
      </c>
      <c r="C389" s="30" t="s">
        <v>234</v>
      </c>
      <c r="D389" s="30"/>
      <c r="E389" s="30"/>
      <c r="F389" s="31">
        <v>3</v>
      </c>
      <c r="G389" s="30"/>
      <c r="H389" s="32"/>
      <c r="I389" s="30" t="s">
        <v>25</v>
      </c>
      <c r="J389" s="20" t="s">
        <v>297</v>
      </c>
      <c r="K389" s="20"/>
      <c r="L389" s="20"/>
      <c r="M389" s="20"/>
      <c r="N389" s="49"/>
      <c r="O389" s="20"/>
      <c r="P389" s="20" t="s">
        <v>109</v>
      </c>
      <c r="Q389" s="101" t="s">
        <v>298</v>
      </c>
    </row>
    <row r="390" spans="1:17" ht="137.25">
      <c r="A390" s="33" t="s">
        <v>299</v>
      </c>
      <c r="B390" s="34" t="s">
        <v>300</v>
      </c>
      <c r="C390" s="35" t="s">
        <v>234</v>
      </c>
      <c r="D390" s="35"/>
      <c r="E390" s="35"/>
      <c r="F390" s="36"/>
      <c r="G390" s="35"/>
      <c r="H390" s="37"/>
      <c r="I390" s="35" t="s">
        <v>25</v>
      </c>
      <c r="J390" s="21" t="s">
        <v>297</v>
      </c>
      <c r="K390" s="21"/>
      <c r="L390" s="21"/>
      <c r="M390" s="21"/>
      <c r="N390" s="50"/>
      <c r="O390" s="21"/>
      <c r="P390" s="21" t="s">
        <v>109</v>
      </c>
      <c r="Q390" s="104" t="s">
        <v>301</v>
      </c>
    </row>
    <row r="391" spans="1:17">
      <c r="A391" s="28" t="s">
        <v>302</v>
      </c>
      <c r="B391" s="29" t="s">
        <v>303</v>
      </c>
      <c r="C391" s="30" t="s">
        <v>234</v>
      </c>
      <c r="D391" s="30"/>
      <c r="E391" s="30"/>
      <c r="F391" s="31"/>
      <c r="G391" s="30"/>
      <c r="H391" s="32"/>
      <c r="I391" s="30" t="s">
        <v>25</v>
      </c>
      <c r="J391" s="20" t="s">
        <v>227</v>
      </c>
      <c r="K391" s="20"/>
      <c r="L391" s="20"/>
      <c r="M391" s="20"/>
      <c r="N391" s="49"/>
      <c r="O391" s="20"/>
      <c r="P391" s="20" t="s">
        <v>228</v>
      </c>
      <c r="Q391" s="92"/>
    </row>
    <row r="392" spans="1:17" collapsed="1">
      <c r="A392" s="33" t="s">
        <v>304</v>
      </c>
      <c r="B392" s="34" t="s">
        <v>305</v>
      </c>
      <c r="C392" s="35" t="s">
        <v>306</v>
      </c>
      <c r="D392" s="35"/>
      <c r="E392" s="35"/>
      <c r="F392" s="36">
        <v>6</v>
      </c>
      <c r="G392" s="35"/>
      <c r="H392" s="37"/>
      <c r="I392" s="35" t="s">
        <v>25</v>
      </c>
      <c r="J392" s="43" t="str">
        <f ca="1">IF(MAX(B394:B405,G394:G405)=0,"—",IF(MAX(B394:B405,G394:G405)&lt;TODAY(),"À renouveler","À jour"))</f>
        <v>À jour</v>
      </c>
      <c r="K392" s="44" t="str">
        <f ca="1">IFERROR(IF(_xlfn.MINIFS(B394:B405,B394:B405,"&gt;="&amp;TODAY())=0,"",_xlfn.MINIFS(B394:B405,B394:B405,"&gt;="&amp;TODAY())),"")</f>
        <v/>
      </c>
      <c r="L392" s="44">
        <f ca="1">IFERROR(IF(_xlfn.MINIFS(G394:G405,G394:G405,"&gt;="&amp;TODAY())=0,"",_xlfn.MINIFS(G394:G405,G394:G405,"&gt;="&amp;TODAY())),"")</f>
        <v>46274</v>
      </c>
      <c r="M392" s="44">
        <f ca="1">IFERROR(IF(_xlfn.MINIFS(K394:K405,G394:G405,"&gt;="&amp;TODAY())=0,"",_xlfn.MINIFS(K394:K405,G394:G405,"&gt;="&amp;TODAY())),"")</f>
        <v>46365</v>
      </c>
      <c r="N392" s="50"/>
      <c r="O392" s="13" t="s">
        <v>129</v>
      </c>
      <c r="P392" s="39" t="s">
        <v>192</v>
      </c>
      <c r="Q392" s="98"/>
    </row>
    <row r="393" spans="1:17" hidden="1" outlineLevel="1">
      <c r="A393" s="42" t="s">
        <v>131</v>
      </c>
      <c r="B393" s="42" t="s">
        <v>132</v>
      </c>
      <c r="C393" s="42" t="s">
        <v>133</v>
      </c>
      <c r="D393" s="42" t="s">
        <v>134</v>
      </c>
      <c r="E393" s="42" t="s">
        <v>135</v>
      </c>
      <c r="F393" s="42" t="s">
        <v>136</v>
      </c>
      <c r="G393" s="42" t="s">
        <v>137</v>
      </c>
      <c r="H393" s="42" t="s">
        <v>138</v>
      </c>
      <c r="I393" s="42" t="s">
        <v>139</v>
      </c>
      <c r="J393" s="42" t="s">
        <v>140</v>
      </c>
      <c r="K393" s="42" t="s">
        <v>141</v>
      </c>
    </row>
    <row r="394" spans="1:17" hidden="1" outlineLevel="1">
      <c r="A394" s="14" t="s">
        <v>152</v>
      </c>
      <c r="G394" s="22">
        <v>46031</v>
      </c>
      <c r="H394" s="22">
        <v>46052</v>
      </c>
      <c r="I394" s="22">
        <v>46052</v>
      </c>
      <c r="J394" s="22">
        <v>46108</v>
      </c>
      <c r="K394" s="22">
        <v>46121</v>
      </c>
    </row>
    <row r="395" spans="1:17" hidden="1" outlineLevel="1">
      <c r="A395" s="14" t="s">
        <v>153</v>
      </c>
      <c r="G395" s="22">
        <v>46059</v>
      </c>
      <c r="H395" s="22">
        <v>46080</v>
      </c>
      <c r="I395" s="22">
        <v>46080</v>
      </c>
      <c r="J395" s="22">
        <v>46136</v>
      </c>
      <c r="K395" s="22">
        <v>46148</v>
      </c>
    </row>
    <row r="396" spans="1:17" hidden="1" outlineLevel="1">
      <c r="A396" s="14" t="s">
        <v>154</v>
      </c>
      <c r="G396" s="22">
        <v>46091</v>
      </c>
      <c r="H396" s="22">
        <v>46112</v>
      </c>
      <c r="I396" s="22">
        <v>46112</v>
      </c>
      <c r="J396" s="22">
        <v>46168</v>
      </c>
      <c r="K396" s="22">
        <v>46183</v>
      </c>
    </row>
    <row r="397" spans="1:17" hidden="1" outlineLevel="1">
      <c r="A397" s="14" t="s">
        <v>155</v>
      </c>
      <c r="G397" s="22">
        <v>46121</v>
      </c>
      <c r="H397" s="22">
        <v>46142</v>
      </c>
      <c r="I397" s="22">
        <v>46142</v>
      </c>
      <c r="J397" s="22">
        <v>46198</v>
      </c>
      <c r="K397" s="22">
        <v>46212</v>
      </c>
    </row>
    <row r="398" spans="1:17" hidden="1" outlineLevel="1">
      <c r="A398" s="14" t="s">
        <v>156</v>
      </c>
      <c r="G398" s="22">
        <v>46147</v>
      </c>
      <c r="H398" s="22">
        <v>46171</v>
      </c>
      <c r="I398" s="22">
        <v>46171</v>
      </c>
      <c r="J398" s="22">
        <v>46227</v>
      </c>
      <c r="K398" s="22">
        <v>46239</v>
      </c>
    </row>
    <row r="399" spans="1:17" hidden="1" outlineLevel="1">
      <c r="A399" s="14" t="s">
        <v>157</v>
      </c>
      <c r="G399" s="22">
        <v>46182</v>
      </c>
      <c r="H399" s="22">
        <v>46203</v>
      </c>
      <c r="I399" s="22">
        <v>46203</v>
      </c>
      <c r="J399" s="22">
        <v>46259</v>
      </c>
      <c r="K399" s="22">
        <v>46274</v>
      </c>
    </row>
    <row r="400" spans="1:17" hidden="1" outlineLevel="1">
      <c r="A400" s="14" t="s">
        <v>158</v>
      </c>
      <c r="G400" s="22">
        <v>46212</v>
      </c>
      <c r="H400" s="22">
        <v>46234</v>
      </c>
      <c r="I400" s="22">
        <v>46234</v>
      </c>
      <c r="J400" s="22">
        <v>46290</v>
      </c>
      <c r="K400" s="22">
        <v>46304</v>
      </c>
    </row>
    <row r="401" spans="1:17" hidden="1" outlineLevel="1">
      <c r="A401" s="14" t="s">
        <v>159</v>
      </c>
      <c r="G401" s="22">
        <v>46244</v>
      </c>
      <c r="H401" s="22">
        <v>46265</v>
      </c>
      <c r="I401" s="22">
        <v>46265</v>
      </c>
      <c r="J401" s="22">
        <v>46321</v>
      </c>
      <c r="K401" s="22">
        <v>46336</v>
      </c>
    </row>
    <row r="402" spans="1:17" hidden="1" outlineLevel="1">
      <c r="A402" s="14" t="s">
        <v>160</v>
      </c>
      <c r="G402" s="22">
        <v>46274</v>
      </c>
      <c r="H402" s="22">
        <v>46295</v>
      </c>
      <c r="I402" s="22">
        <v>46295</v>
      </c>
      <c r="J402" s="22">
        <v>46351</v>
      </c>
      <c r="K402" s="22">
        <v>46365</v>
      </c>
    </row>
    <row r="403" spans="1:17" hidden="1" outlineLevel="1">
      <c r="A403" s="14" t="s">
        <v>161</v>
      </c>
      <c r="G403" s="22">
        <v>46304</v>
      </c>
      <c r="H403" s="22">
        <v>46325</v>
      </c>
      <c r="I403" s="22">
        <v>46325</v>
      </c>
      <c r="J403" s="22">
        <v>46381</v>
      </c>
      <c r="K403" s="22">
        <v>46396</v>
      </c>
    </row>
    <row r="404" spans="1:17" hidden="1" outlineLevel="1">
      <c r="A404" s="14" t="s">
        <v>162</v>
      </c>
      <c r="G404" s="22">
        <v>46332</v>
      </c>
      <c r="H404" s="22">
        <v>46356</v>
      </c>
      <c r="I404" s="22">
        <v>46356</v>
      </c>
      <c r="J404" s="22">
        <v>46412</v>
      </c>
      <c r="K404" s="22">
        <v>46424</v>
      </c>
    </row>
    <row r="405" spans="1:17" hidden="1" outlineLevel="1">
      <c r="A405" s="14" t="s">
        <v>163</v>
      </c>
      <c r="G405" s="22">
        <v>46365</v>
      </c>
      <c r="H405" s="22">
        <v>46387</v>
      </c>
      <c r="I405" s="22">
        <v>46387</v>
      </c>
      <c r="J405" s="22">
        <v>46443</v>
      </c>
      <c r="K405" s="22">
        <v>46455</v>
      </c>
    </row>
    <row r="406" spans="1:17" collapsed="1">
      <c r="A406" s="28" t="s">
        <v>307</v>
      </c>
      <c r="B406" s="29" t="s">
        <v>308</v>
      </c>
      <c r="C406" s="30" t="s">
        <v>306</v>
      </c>
      <c r="D406" s="30"/>
      <c r="E406" s="30"/>
      <c r="F406" s="31">
        <v>6</v>
      </c>
      <c r="G406" s="30"/>
      <c r="H406" s="32"/>
      <c r="I406" s="30" t="s">
        <v>25</v>
      </c>
      <c r="J406" s="40" t="str">
        <f ca="1">IF(MAX(B408:B419,G408:G419)=0,"—",IF(MAX(B408:B419,G408:G419)&lt;TODAY(),"À renouveler","À jour"))</f>
        <v>À jour</v>
      </c>
      <c r="K406" s="41" t="str">
        <f ca="1">IFERROR(IF(_xlfn.MINIFS(B408:B419,B408:B419,"&gt;="&amp;TODAY())=0,"",_xlfn.MINIFS(B408:B419,B408:B419,"&gt;="&amp;TODAY())),"")</f>
        <v/>
      </c>
      <c r="L406" s="41">
        <f ca="1">IFERROR(IF(_xlfn.MINIFS(G408:G419,G408:G419,"&gt;="&amp;TODAY())=0,"",_xlfn.MINIFS(G408:G419,G408:G419,"&gt;="&amp;TODAY())),"")</f>
        <v>46274</v>
      </c>
      <c r="M406" s="41">
        <f ca="1">IFERROR(IF(_xlfn.MINIFS(K408:K419,G408:G419,"&gt;="&amp;TODAY())=0,"",_xlfn.MINIFS(K408:K419,G408:G419,"&gt;="&amp;TODAY())),"")</f>
        <v>46365</v>
      </c>
      <c r="N406" s="49"/>
      <c r="O406" s="13" t="s">
        <v>129</v>
      </c>
      <c r="P406" s="38" t="s">
        <v>192</v>
      </c>
      <c r="Q406" s="97"/>
    </row>
    <row r="407" spans="1:17" hidden="1" outlineLevel="1">
      <c r="A407" s="42" t="s">
        <v>131</v>
      </c>
      <c r="B407" s="42" t="s">
        <v>132</v>
      </c>
      <c r="C407" s="42" t="s">
        <v>133</v>
      </c>
      <c r="D407" s="42" t="s">
        <v>134</v>
      </c>
      <c r="E407" s="42" t="s">
        <v>135</v>
      </c>
      <c r="F407" s="42" t="s">
        <v>136</v>
      </c>
      <c r="G407" s="42" t="s">
        <v>137</v>
      </c>
      <c r="H407" s="42" t="s">
        <v>138</v>
      </c>
      <c r="I407" s="42" t="s">
        <v>139</v>
      </c>
      <c r="J407" s="42" t="s">
        <v>140</v>
      </c>
      <c r="K407" s="42" t="s">
        <v>141</v>
      </c>
    </row>
    <row r="408" spans="1:17" hidden="1" outlineLevel="1">
      <c r="A408" s="14" t="s">
        <v>152</v>
      </c>
      <c r="G408" s="22">
        <v>46031</v>
      </c>
      <c r="H408" s="22">
        <v>46052</v>
      </c>
      <c r="I408" s="22">
        <v>46052</v>
      </c>
      <c r="J408" s="22">
        <v>46108</v>
      </c>
      <c r="K408" s="22">
        <v>46121</v>
      </c>
    </row>
    <row r="409" spans="1:17" hidden="1" outlineLevel="1">
      <c r="A409" s="14" t="s">
        <v>153</v>
      </c>
      <c r="G409" s="22">
        <v>46059</v>
      </c>
      <c r="H409" s="22">
        <v>46080</v>
      </c>
      <c r="I409" s="22">
        <v>46080</v>
      </c>
      <c r="J409" s="22">
        <v>46136</v>
      </c>
      <c r="K409" s="22">
        <v>46148</v>
      </c>
    </row>
    <row r="410" spans="1:17" hidden="1" outlineLevel="1">
      <c r="A410" s="14" t="s">
        <v>154</v>
      </c>
      <c r="G410" s="22">
        <v>46091</v>
      </c>
      <c r="H410" s="22">
        <v>46112</v>
      </c>
      <c r="I410" s="22">
        <v>46112</v>
      </c>
      <c r="J410" s="22">
        <v>46168</v>
      </c>
      <c r="K410" s="22">
        <v>46183</v>
      </c>
    </row>
    <row r="411" spans="1:17" hidden="1" outlineLevel="1">
      <c r="A411" s="14" t="s">
        <v>155</v>
      </c>
      <c r="G411" s="22">
        <v>46121</v>
      </c>
      <c r="H411" s="22">
        <v>46142</v>
      </c>
      <c r="I411" s="22">
        <v>46142</v>
      </c>
      <c r="J411" s="22">
        <v>46198</v>
      </c>
      <c r="K411" s="22">
        <v>46212</v>
      </c>
    </row>
    <row r="412" spans="1:17" hidden="1" outlineLevel="1">
      <c r="A412" s="14" t="s">
        <v>156</v>
      </c>
      <c r="G412" s="22">
        <v>46147</v>
      </c>
      <c r="H412" s="22">
        <v>46171</v>
      </c>
      <c r="I412" s="22">
        <v>46171</v>
      </c>
      <c r="J412" s="22">
        <v>46227</v>
      </c>
      <c r="K412" s="22">
        <v>46239</v>
      </c>
    </row>
    <row r="413" spans="1:17" hidden="1" outlineLevel="1">
      <c r="A413" s="14" t="s">
        <v>157</v>
      </c>
      <c r="G413" s="22">
        <v>46182</v>
      </c>
      <c r="H413" s="22">
        <v>46203</v>
      </c>
      <c r="I413" s="22">
        <v>46203</v>
      </c>
      <c r="J413" s="22">
        <v>46259</v>
      </c>
      <c r="K413" s="22">
        <v>46274</v>
      </c>
    </row>
    <row r="414" spans="1:17" hidden="1" outlineLevel="1">
      <c r="A414" s="14" t="s">
        <v>158</v>
      </c>
      <c r="G414" s="22">
        <v>46212</v>
      </c>
      <c r="H414" s="22">
        <v>46234</v>
      </c>
      <c r="I414" s="22">
        <v>46234</v>
      </c>
      <c r="J414" s="22">
        <v>46290</v>
      </c>
      <c r="K414" s="22">
        <v>46304</v>
      </c>
    </row>
    <row r="415" spans="1:17" hidden="1" outlineLevel="1">
      <c r="A415" s="14" t="s">
        <v>159</v>
      </c>
      <c r="G415" s="22">
        <v>46244</v>
      </c>
      <c r="H415" s="22">
        <v>46265</v>
      </c>
      <c r="I415" s="22">
        <v>46265</v>
      </c>
      <c r="J415" s="22">
        <v>46321</v>
      </c>
      <c r="K415" s="22">
        <v>46336</v>
      </c>
    </row>
    <row r="416" spans="1:17" hidden="1" outlineLevel="1">
      <c r="A416" s="14" t="s">
        <v>160</v>
      </c>
      <c r="G416" s="22">
        <v>46274</v>
      </c>
      <c r="H416" s="22">
        <v>46295</v>
      </c>
      <c r="I416" s="22">
        <v>46295</v>
      </c>
      <c r="J416" s="22">
        <v>46351</v>
      </c>
      <c r="K416" s="22">
        <v>46365</v>
      </c>
    </row>
    <row r="417" spans="1:17" hidden="1" outlineLevel="1">
      <c r="A417" s="14" t="s">
        <v>161</v>
      </c>
      <c r="G417" s="22">
        <v>46304</v>
      </c>
      <c r="H417" s="22">
        <v>46325</v>
      </c>
      <c r="I417" s="22">
        <v>46325</v>
      </c>
      <c r="J417" s="22">
        <v>46381</v>
      </c>
      <c r="K417" s="22">
        <v>46396</v>
      </c>
    </row>
    <row r="418" spans="1:17" hidden="1" outlineLevel="1">
      <c r="A418" s="14" t="s">
        <v>162</v>
      </c>
      <c r="G418" s="22">
        <v>46332</v>
      </c>
      <c r="H418" s="22">
        <v>46356</v>
      </c>
      <c r="I418" s="22">
        <v>46356</v>
      </c>
      <c r="J418" s="22">
        <v>46412</v>
      </c>
      <c r="K418" s="22">
        <v>46424</v>
      </c>
    </row>
    <row r="419" spans="1:17" hidden="1" outlineLevel="1">
      <c r="A419" s="14" t="s">
        <v>163</v>
      </c>
      <c r="G419" s="22">
        <v>46365</v>
      </c>
      <c r="H419" s="22">
        <v>46387</v>
      </c>
      <c r="I419" s="22">
        <v>46387</v>
      </c>
      <c r="J419" s="22">
        <v>46443</v>
      </c>
      <c r="K419" s="22">
        <v>46455</v>
      </c>
    </row>
    <row r="420" spans="1:17" collapsed="1">
      <c r="A420" s="33" t="s">
        <v>309</v>
      </c>
      <c r="B420" s="34" t="s">
        <v>310</v>
      </c>
      <c r="C420" s="35" t="s">
        <v>306</v>
      </c>
      <c r="D420" s="35"/>
      <c r="E420" s="35"/>
      <c r="F420" s="36">
        <v>6</v>
      </c>
      <c r="G420" s="35"/>
      <c r="H420" s="37"/>
      <c r="I420" s="35" t="s">
        <v>25</v>
      </c>
      <c r="J420" s="43" t="str">
        <f ca="1">IF(MAX(B422:B433,G422:G433)=0,"—",IF(MAX(B422:B433,G422:G433)&lt;TODAY(),"À renouveler","À jour"))</f>
        <v>À jour</v>
      </c>
      <c r="K420" s="44" t="str">
        <f ca="1">IFERROR(IF(_xlfn.MINIFS(B422:B433,B422:B433,"&gt;="&amp;TODAY())=0,"",_xlfn.MINIFS(B422:B433,B422:B433,"&gt;="&amp;TODAY())),"")</f>
        <v/>
      </c>
      <c r="L420" s="44">
        <f ca="1">IFERROR(IF(_xlfn.MINIFS(G422:G433,G422:G433,"&gt;="&amp;TODAY())=0,"",_xlfn.MINIFS(G422:G433,G422:G433,"&gt;="&amp;TODAY())),"")</f>
        <v>46274</v>
      </c>
      <c r="M420" s="44">
        <f ca="1">IFERROR(IF(_xlfn.MINIFS(K422:K433,G422:G433,"&gt;="&amp;TODAY())=0,"",_xlfn.MINIFS(K422:K433,G422:G433,"&gt;="&amp;TODAY())),"")</f>
        <v>46365</v>
      </c>
      <c r="N420" s="50"/>
      <c r="O420" s="13" t="s">
        <v>129</v>
      </c>
      <c r="P420" s="39" t="s">
        <v>192</v>
      </c>
      <c r="Q420" s="98"/>
    </row>
    <row r="421" spans="1:17" hidden="1" outlineLevel="1">
      <c r="A421" s="42" t="s">
        <v>131</v>
      </c>
      <c r="B421" s="42" t="s">
        <v>132</v>
      </c>
      <c r="C421" s="42" t="s">
        <v>133</v>
      </c>
      <c r="D421" s="42" t="s">
        <v>134</v>
      </c>
      <c r="E421" s="42" t="s">
        <v>135</v>
      </c>
      <c r="F421" s="42" t="s">
        <v>136</v>
      </c>
      <c r="G421" s="42" t="s">
        <v>137</v>
      </c>
      <c r="H421" s="42" t="s">
        <v>138</v>
      </c>
      <c r="I421" s="42" t="s">
        <v>139</v>
      </c>
      <c r="J421" s="42" t="s">
        <v>140</v>
      </c>
      <c r="K421" s="42" t="s">
        <v>141</v>
      </c>
    </row>
    <row r="422" spans="1:17" hidden="1" outlineLevel="1">
      <c r="A422" s="14" t="s">
        <v>152</v>
      </c>
      <c r="G422" s="22">
        <v>46031</v>
      </c>
      <c r="H422" s="22">
        <v>46052</v>
      </c>
      <c r="I422" s="22">
        <v>46052</v>
      </c>
      <c r="J422" s="22">
        <v>46108</v>
      </c>
      <c r="K422" s="22">
        <v>46121</v>
      </c>
    </row>
    <row r="423" spans="1:17" hidden="1" outlineLevel="1">
      <c r="A423" s="14" t="s">
        <v>153</v>
      </c>
      <c r="G423" s="22">
        <v>46059</v>
      </c>
      <c r="H423" s="22">
        <v>46080</v>
      </c>
      <c r="I423" s="22">
        <v>46080</v>
      </c>
      <c r="J423" s="22">
        <v>46136</v>
      </c>
      <c r="K423" s="22">
        <v>46148</v>
      </c>
    </row>
    <row r="424" spans="1:17" hidden="1" outlineLevel="1">
      <c r="A424" s="14" t="s">
        <v>154</v>
      </c>
      <c r="G424" s="22">
        <v>46091</v>
      </c>
      <c r="H424" s="22">
        <v>46112</v>
      </c>
      <c r="I424" s="22">
        <v>46112</v>
      </c>
      <c r="J424" s="22">
        <v>46168</v>
      </c>
      <c r="K424" s="22">
        <v>46183</v>
      </c>
    </row>
    <row r="425" spans="1:17" hidden="1" outlineLevel="1">
      <c r="A425" s="14" t="s">
        <v>155</v>
      </c>
      <c r="G425" s="22">
        <v>46121</v>
      </c>
      <c r="H425" s="22">
        <v>46142</v>
      </c>
      <c r="I425" s="22">
        <v>46142</v>
      </c>
      <c r="J425" s="22">
        <v>46198</v>
      </c>
      <c r="K425" s="22">
        <v>46212</v>
      </c>
    </row>
    <row r="426" spans="1:17" hidden="1" outlineLevel="1">
      <c r="A426" s="14" t="s">
        <v>156</v>
      </c>
      <c r="G426" s="22">
        <v>46147</v>
      </c>
      <c r="H426" s="22">
        <v>46171</v>
      </c>
      <c r="I426" s="22">
        <v>46171</v>
      </c>
      <c r="J426" s="22">
        <v>46227</v>
      </c>
      <c r="K426" s="22">
        <v>46239</v>
      </c>
    </row>
    <row r="427" spans="1:17" hidden="1" outlineLevel="1">
      <c r="A427" s="14" t="s">
        <v>157</v>
      </c>
      <c r="G427" s="22">
        <v>46182</v>
      </c>
      <c r="H427" s="22">
        <v>46203</v>
      </c>
      <c r="I427" s="22">
        <v>46203</v>
      </c>
      <c r="J427" s="22">
        <v>46259</v>
      </c>
      <c r="K427" s="22">
        <v>46274</v>
      </c>
    </row>
    <row r="428" spans="1:17" hidden="1" outlineLevel="1">
      <c r="A428" s="14" t="s">
        <v>158</v>
      </c>
      <c r="G428" s="22">
        <v>46212</v>
      </c>
      <c r="H428" s="22">
        <v>46234</v>
      </c>
      <c r="I428" s="22">
        <v>46234</v>
      </c>
      <c r="J428" s="22">
        <v>46290</v>
      </c>
      <c r="K428" s="22">
        <v>46304</v>
      </c>
    </row>
    <row r="429" spans="1:17" hidden="1" outlineLevel="1">
      <c r="A429" s="14" t="s">
        <v>159</v>
      </c>
      <c r="G429" s="22">
        <v>46244</v>
      </c>
      <c r="H429" s="22">
        <v>46265</v>
      </c>
      <c r="I429" s="22">
        <v>46265</v>
      </c>
      <c r="J429" s="22">
        <v>46321</v>
      </c>
      <c r="K429" s="22">
        <v>46336</v>
      </c>
    </row>
    <row r="430" spans="1:17" hidden="1" outlineLevel="1">
      <c r="A430" s="14" t="s">
        <v>160</v>
      </c>
      <c r="G430" s="22">
        <v>46274</v>
      </c>
      <c r="H430" s="22">
        <v>46295</v>
      </c>
      <c r="I430" s="22">
        <v>46295</v>
      </c>
      <c r="J430" s="22">
        <v>46351</v>
      </c>
      <c r="K430" s="22">
        <v>46365</v>
      </c>
    </row>
    <row r="431" spans="1:17" hidden="1" outlineLevel="1">
      <c r="A431" s="14" t="s">
        <v>161</v>
      </c>
      <c r="G431" s="22">
        <v>46304</v>
      </c>
      <c r="H431" s="22">
        <v>46325</v>
      </c>
      <c r="I431" s="22">
        <v>46325</v>
      </c>
      <c r="J431" s="22">
        <v>46381</v>
      </c>
      <c r="K431" s="22">
        <v>46396</v>
      </c>
    </row>
    <row r="432" spans="1:17" hidden="1" outlineLevel="1">
      <c r="A432" s="14" t="s">
        <v>162</v>
      </c>
      <c r="G432" s="22">
        <v>46332</v>
      </c>
      <c r="H432" s="22">
        <v>46356</v>
      </c>
      <c r="I432" s="22">
        <v>46356</v>
      </c>
      <c r="J432" s="22">
        <v>46412</v>
      </c>
      <c r="K432" s="22">
        <v>46424</v>
      </c>
    </row>
    <row r="433" spans="1:17" hidden="1" outlineLevel="1">
      <c r="A433" s="14" t="s">
        <v>163</v>
      </c>
      <c r="G433" s="22">
        <v>46365</v>
      </c>
      <c r="H433" s="22">
        <v>46387</v>
      </c>
      <c r="I433" s="22">
        <v>46387</v>
      </c>
      <c r="J433" s="22">
        <v>46443</v>
      </c>
      <c r="K433" s="22">
        <v>46455</v>
      </c>
    </row>
    <row r="434" spans="1:17" collapsed="1">
      <c r="A434" s="28" t="s">
        <v>311</v>
      </c>
      <c r="B434" s="29" t="s">
        <v>312</v>
      </c>
      <c r="C434" s="30" t="s">
        <v>306</v>
      </c>
      <c r="D434" s="30"/>
      <c r="E434" s="30"/>
      <c r="F434" s="31">
        <v>6</v>
      </c>
      <c r="G434" s="30"/>
      <c r="H434" s="32"/>
      <c r="I434" s="30" t="s">
        <v>25</v>
      </c>
      <c r="J434" s="40" t="str">
        <f ca="1">IF(MAX(B436:B447,G436:G447)=0,"—",IF(MAX(B436:B447,G436:G447)&lt;TODAY(),"À renouveler","À jour"))</f>
        <v>À jour</v>
      </c>
      <c r="K434" s="41" t="str">
        <f ca="1">IFERROR(IF(_xlfn.MINIFS(B436:B447,B436:B447,"&gt;="&amp;TODAY())=0,"",_xlfn.MINIFS(B436:B447,B436:B447,"&gt;="&amp;TODAY())),"")</f>
        <v/>
      </c>
      <c r="L434" s="41">
        <f ca="1">IFERROR(IF(_xlfn.MINIFS(G436:G447,G436:G447,"&gt;="&amp;TODAY())=0,"",_xlfn.MINIFS(G436:G447,G436:G447,"&gt;="&amp;TODAY())),"")</f>
        <v>46274</v>
      </c>
      <c r="M434" s="41">
        <f ca="1">IFERROR(IF(_xlfn.MINIFS(K436:K447,G436:G447,"&gt;="&amp;TODAY())=0,"",_xlfn.MINIFS(K436:K447,G436:G447,"&gt;="&amp;TODAY())),"")</f>
        <v>46365</v>
      </c>
      <c r="N434" s="49"/>
      <c r="O434" s="13" t="s">
        <v>129</v>
      </c>
      <c r="P434" s="38" t="s">
        <v>192</v>
      </c>
      <c r="Q434" s="97"/>
    </row>
    <row r="435" spans="1:17" hidden="1" outlineLevel="1">
      <c r="A435" s="42" t="s">
        <v>131</v>
      </c>
      <c r="B435" s="42" t="s">
        <v>132</v>
      </c>
      <c r="C435" s="42" t="s">
        <v>133</v>
      </c>
      <c r="D435" s="42" t="s">
        <v>134</v>
      </c>
      <c r="E435" s="42" t="s">
        <v>135</v>
      </c>
      <c r="F435" s="42" t="s">
        <v>136</v>
      </c>
      <c r="G435" s="42" t="s">
        <v>137</v>
      </c>
      <c r="H435" s="42" t="s">
        <v>138</v>
      </c>
      <c r="I435" s="42" t="s">
        <v>139</v>
      </c>
      <c r="J435" s="42" t="s">
        <v>140</v>
      </c>
      <c r="K435" s="42" t="s">
        <v>141</v>
      </c>
    </row>
    <row r="436" spans="1:17" hidden="1" outlineLevel="1">
      <c r="A436" s="14" t="s">
        <v>152</v>
      </c>
      <c r="G436" s="22">
        <v>46031</v>
      </c>
      <c r="H436" s="22">
        <v>46052</v>
      </c>
      <c r="I436" s="22">
        <v>46052</v>
      </c>
      <c r="J436" s="22">
        <v>46108</v>
      </c>
      <c r="K436" s="22">
        <v>46121</v>
      </c>
    </row>
    <row r="437" spans="1:17" hidden="1" outlineLevel="1">
      <c r="A437" s="14" t="s">
        <v>153</v>
      </c>
      <c r="G437" s="22">
        <v>46059</v>
      </c>
      <c r="H437" s="22">
        <v>46080</v>
      </c>
      <c r="I437" s="22">
        <v>46080</v>
      </c>
      <c r="J437" s="22">
        <v>46136</v>
      </c>
      <c r="K437" s="22">
        <v>46148</v>
      </c>
    </row>
    <row r="438" spans="1:17" hidden="1" outlineLevel="1">
      <c r="A438" s="14" t="s">
        <v>154</v>
      </c>
      <c r="G438" s="22">
        <v>46091</v>
      </c>
      <c r="H438" s="22">
        <v>46112</v>
      </c>
      <c r="I438" s="22">
        <v>46112</v>
      </c>
      <c r="J438" s="22">
        <v>46168</v>
      </c>
      <c r="K438" s="22">
        <v>46183</v>
      </c>
    </row>
    <row r="439" spans="1:17" hidden="1" outlineLevel="1">
      <c r="A439" s="14" t="s">
        <v>155</v>
      </c>
      <c r="G439" s="22">
        <v>46121</v>
      </c>
      <c r="H439" s="22">
        <v>46142</v>
      </c>
      <c r="I439" s="22">
        <v>46142</v>
      </c>
      <c r="J439" s="22">
        <v>46198</v>
      </c>
      <c r="K439" s="22">
        <v>46212</v>
      </c>
    </row>
    <row r="440" spans="1:17" hidden="1" outlineLevel="1">
      <c r="A440" s="14" t="s">
        <v>156</v>
      </c>
      <c r="G440" s="22">
        <v>46147</v>
      </c>
      <c r="H440" s="22">
        <v>46171</v>
      </c>
      <c r="I440" s="22">
        <v>46171</v>
      </c>
      <c r="J440" s="22">
        <v>46227</v>
      </c>
      <c r="K440" s="22">
        <v>46239</v>
      </c>
    </row>
    <row r="441" spans="1:17" hidden="1" outlineLevel="1">
      <c r="A441" s="14" t="s">
        <v>157</v>
      </c>
      <c r="G441" s="22">
        <v>46182</v>
      </c>
      <c r="H441" s="22">
        <v>46203</v>
      </c>
      <c r="I441" s="22">
        <v>46203</v>
      </c>
      <c r="J441" s="22">
        <v>46259</v>
      </c>
      <c r="K441" s="22">
        <v>46274</v>
      </c>
    </row>
    <row r="442" spans="1:17" hidden="1" outlineLevel="1">
      <c r="A442" s="14" t="s">
        <v>158</v>
      </c>
      <c r="G442" s="22">
        <v>46212</v>
      </c>
      <c r="H442" s="22">
        <v>46234</v>
      </c>
      <c r="I442" s="22">
        <v>46234</v>
      </c>
      <c r="J442" s="22">
        <v>46290</v>
      </c>
      <c r="K442" s="22">
        <v>46304</v>
      </c>
    </row>
    <row r="443" spans="1:17" hidden="1" outlineLevel="1">
      <c r="A443" s="14" t="s">
        <v>159</v>
      </c>
      <c r="G443" s="22">
        <v>46244</v>
      </c>
      <c r="H443" s="22">
        <v>46265</v>
      </c>
      <c r="I443" s="22">
        <v>46265</v>
      </c>
      <c r="J443" s="22">
        <v>46321</v>
      </c>
      <c r="K443" s="22">
        <v>46336</v>
      </c>
    </row>
    <row r="444" spans="1:17" hidden="1" outlineLevel="1">
      <c r="A444" s="14" t="s">
        <v>160</v>
      </c>
      <c r="G444" s="22">
        <v>46274</v>
      </c>
      <c r="H444" s="22">
        <v>46295</v>
      </c>
      <c r="I444" s="22">
        <v>46295</v>
      </c>
      <c r="J444" s="22">
        <v>46351</v>
      </c>
      <c r="K444" s="22">
        <v>46365</v>
      </c>
    </row>
    <row r="445" spans="1:17" hidden="1" outlineLevel="1">
      <c r="A445" s="14" t="s">
        <v>161</v>
      </c>
      <c r="G445" s="22">
        <v>46304</v>
      </c>
      <c r="H445" s="22">
        <v>46325</v>
      </c>
      <c r="I445" s="22">
        <v>46325</v>
      </c>
      <c r="J445" s="22">
        <v>46381</v>
      </c>
      <c r="K445" s="22">
        <v>46396</v>
      </c>
    </row>
    <row r="446" spans="1:17" hidden="1" outlineLevel="1">
      <c r="A446" s="14" t="s">
        <v>162</v>
      </c>
      <c r="G446" s="22">
        <v>46332</v>
      </c>
      <c r="H446" s="22">
        <v>46356</v>
      </c>
      <c r="I446" s="22">
        <v>46356</v>
      </c>
      <c r="J446" s="22">
        <v>46412</v>
      </c>
      <c r="K446" s="22">
        <v>46424</v>
      </c>
    </row>
    <row r="447" spans="1:17" hidden="1" outlineLevel="1">
      <c r="A447" s="14" t="s">
        <v>163</v>
      </c>
      <c r="G447" s="22">
        <v>46365</v>
      </c>
      <c r="H447" s="22">
        <v>46387</v>
      </c>
      <c r="I447" s="22">
        <v>46387</v>
      </c>
      <c r="J447" s="22">
        <v>46443</v>
      </c>
      <c r="K447" s="22">
        <v>46455</v>
      </c>
    </row>
    <row r="448" spans="1:17" collapsed="1">
      <c r="A448" s="33" t="s">
        <v>313</v>
      </c>
      <c r="B448" s="34" t="s">
        <v>314</v>
      </c>
      <c r="C448" s="35" t="s">
        <v>306</v>
      </c>
      <c r="D448" s="35"/>
      <c r="E448" s="35"/>
      <c r="F448" s="36">
        <v>6</v>
      </c>
      <c r="G448" s="35"/>
      <c r="H448" s="37"/>
      <c r="I448" s="35" t="s">
        <v>25</v>
      </c>
      <c r="J448" s="43" t="str">
        <f ca="1">IF(MAX(B450:B461,G450:G461)=0,"—",IF(MAX(B450:B461,G450:G461)&lt;TODAY(),"À renouveler","À jour"))</f>
        <v>À jour</v>
      </c>
      <c r="K448" s="44" t="str">
        <f ca="1">IFERROR(IF(_xlfn.MINIFS(B450:B461,B450:B461,"&gt;="&amp;TODAY())=0,"",_xlfn.MINIFS(B450:B461,B450:B461,"&gt;="&amp;TODAY())),"")</f>
        <v/>
      </c>
      <c r="L448" s="44">
        <f ca="1">IFERROR(IF(_xlfn.MINIFS(G450:G461,G450:G461,"&gt;="&amp;TODAY())=0,"",_xlfn.MINIFS(G450:G461,G450:G461,"&gt;="&amp;TODAY())),"")</f>
        <v>46274</v>
      </c>
      <c r="M448" s="44">
        <f ca="1">IFERROR(IF(_xlfn.MINIFS(K450:K461,G450:G461,"&gt;="&amp;TODAY())=0,"",_xlfn.MINIFS(K450:K461,G450:G461,"&gt;="&amp;TODAY())),"")</f>
        <v>46365</v>
      </c>
      <c r="N448" s="50"/>
      <c r="O448" s="13" t="s">
        <v>129</v>
      </c>
      <c r="P448" s="39" t="s">
        <v>192</v>
      </c>
      <c r="Q448" s="98"/>
    </row>
    <row r="449" spans="1:17" hidden="1" outlineLevel="1">
      <c r="A449" s="42" t="s">
        <v>131</v>
      </c>
      <c r="B449" s="42" t="s">
        <v>132</v>
      </c>
      <c r="C449" s="42" t="s">
        <v>133</v>
      </c>
      <c r="D449" s="42" t="s">
        <v>134</v>
      </c>
      <c r="E449" s="42" t="s">
        <v>135</v>
      </c>
      <c r="F449" s="42" t="s">
        <v>136</v>
      </c>
      <c r="G449" s="42" t="s">
        <v>137</v>
      </c>
      <c r="H449" s="42" t="s">
        <v>138</v>
      </c>
      <c r="I449" s="42" t="s">
        <v>139</v>
      </c>
      <c r="J449" s="42" t="s">
        <v>140</v>
      </c>
      <c r="K449" s="42" t="s">
        <v>141</v>
      </c>
    </row>
    <row r="450" spans="1:17" hidden="1" outlineLevel="1">
      <c r="A450" s="14" t="s">
        <v>152</v>
      </c>
      <c r="G450" s="22">
        <v>46031</v>
      </c>
      <c r="H450" s="22">
        <v>46052</v>
      </c>
      <c r="I450" s="22">
        <v>46052</v>
      </c>
      <c r="J450" s="22">
        <v>46108</v>
      </c>
      <c r="K450" s="22">
        <v>46121</v>
      </c>
    </row>
    <row r="451" spans="1:17" hidden="1" outlineLevel="1">
      <c r="A451" s="14" t="s">
        <v>153</v>
      </c>
      <c r="G451" s="22">
        <v>46059</v>
      </c>
      <c r="H451" s="22">
        <v>46080</v>
      </c>
      <c r="I451" s="22">
        <v>46080</v>
      </c>
      <c r="J451" s="22">
        <v>46136</v>
      </c>
      <c r="K451" s="22">
        <v>46148</v>
      </c>
    </row>
    <row r="452" spans="1:17" hidden="1" outlineLevel="1">
      <c r="A452" s="14" t="s">
        <v>154</v>
      </c>
      <c r="G452" s="22">
        <v>46091</v>
      </c>
      <c r="H452" s="22">
        <v>46112</v>
      </c>
      <c r="I452" s="22">
        <v>46112</v>
      </c>
      <c r="J452" s="22">
        <v>46168</v>
      </c>
      <c r="K452" s="22">
        <v>46183</v>
      </c>
    </row>
    <row r="453" spans="1:17" hidden="1" outlineLevel="1">
      <c r="A453" s="14" t="s">
        <v>155</v>
      </c>
      <c r="G453" s="22">
        <v>46121</v>
      </c>
      <c r="H453" s="22">
        <v>46142</v>
      </c>
      <c r="I453" s="22">
        <v>46142</v>
      </c>
      <c r="J453" s="22">
        <v>46198</v>
      </c>
      <c r="K453" s="22">
        <v>46212</v>
      </c>
    </row>
    <row r="454" spans="1:17" hidden="1" outlineLevel="1">
      <c r="A454" s="14" t="s">
        <v>156</v>
      </c>
      <c r="G454" s="22">
        <v>46147</v>
      </c>
      <c r="H454" s="22">
        <v>46171</v>
      </c>
      <c r="I454" s="22">
        <v>46171</v>
      </c>
      <c r="J454" s="22">
        <v>46227</v>
      </c>
      <c r="K454" s="22">
        <v>46239</v>
      </c>
    </row>
    <row r="455" spans="1:17" hidden="1" outlineLevel="1">
      <c r="A455" s="14" t="s">
        <v>157</v>
      </c>
      <c r="G455" s="22">
        <v>46182</v>
      </c>
      <c r="H455" s="22">
        <v>46203</v>
      </c>
      <c r="I455" s="22">
        <v>46203</v>
      </c>
      <c r="J455" s="22">
        <v>46259</v>
      </c>
      <c r="K455" s="22">
        <v>46274</v>
      </c>
    </row>
    <row r="456" spans="1:17" hidden="1" outlineLevel="1">
      <c r="A456" s="14" t="s">
        <v>158</v>
      </c>
      <c r="G456" s="22">
        <v>46212</v>
      </c>
      <c r="H456" s="22">
        <v>46234</v>
      </c>
      <c r="I456" s="22">
        <v>46234</v>
      </c>
      <c r="J456" s="22">
        <v>46290</v>
      </c>
      <c r="K456" s="22">
        <v>46304</v>
      </c>
    </row>
    <row r="457" spans="1:17" hidden="1" outlineLevel="1">
      <c r="A457" s="14" t="s">
        <v>159</v>
      </c>
      <c r="G457" s="22">
        <v>46244</v>
      </c>
      <c r="H457" s="22">
        <v>46265</v>
      </c>
      <c r="I457" s="22">
        <v>46265</v>
      </c>
      <c r="J457" s="22">
        <v>46321</v>
      </c>
      <c r="K457" s="22">
        <v>46336</v>
      </c>
    </row>
    <row r="458" spans="1:17" hidden="1" outlineLevel="1">
      <c r="A458" s="14" t="s">
        <v>160</v>
      </c>
      <c r="G458" s="22">
        <v>46274</v>
      </c>
      <c r="H458" s="22">
        <v>46295</v>
      </c>
      <c r="I458" s="22">
        <v>46295</v>
      </c>
      <c r="J458" s="22">
        <v>46351</v>
      </c>
      <c r="K458" s="22">
        <v>46365</v>
      </c>
    </row>
    <row r="459" spans="1:17" hidden="1" outlineLevel="1">
      <c r="A459" s="14" t="s">
        <v>161</v>
      </c>
      <c r="G459" s="22">
        <v>46304</v>
      </c>
      <c r="H459" s="22">
        <v>46325</v>
      </c>
      <c r="I459" s="22">
        <v>46325</v>
      </c>
      <c r="J459" s="22">
        <v>46381</v>
      </c>
      <c r="K459" s="22">
        <v>46396</v>
      </c>
    </row>
    <row r="460" spans="1:17" hidden="1" outlineLevel="1">
      <c r="A460" s="14" t="s">
        <v>162</v>
      </c>
      <c r="G460" s="22">
        <v>46332</v>
      </c>
      <c r="H460" s="22">
        <v>46356</v>
      </c>
      <c r="I460" s="22">
        <v>46356</v>
      </c>
      <c r="J460" s="22">
        <v>46412</v>
      </c>
      <c r="K460" s="22">
        <v>46424</v>
      </c>
    </row>
    <row r="461" spans="1:17" hidden="1" outlineLevel="1">
      <c r="A461" s="14" t="s">
        <v>163</v>
      </c>
      <c r="G461" s="22">
        <v>46365</v>
      </c>
      <c r="H461" s="22">
        <v>46387</v>
      </c>
      <c r="I461" s="22">
        <v>46387</v>
      </c>
      <c r="J461" s="22">
        <v>46443</v>
      </c>
      <c r="K461" s="22">
        <v>46455</v>
      </c>
    </row>
    <row r="462" spans="1:17" collapsed="1">
      <c r="A462" s="28" t="s">
        <v>315</v>
      </c>
      <c r="B462" s="29" t="s">
        <v>316</v>
      </c>
      <c r="C462" s="30" t="s">
        <v>306</v>
      </c>
      <c r="D462" s="30"/>
      <c r="E462" s="30"/>
      <c r="F462" s="31">
        <v>6</v>
      </c>
      <c r="G462" s="30"/>
      <c r="H462" s="32"/>
      <c r="I462" s="30" t="s">
        <v>25</v>
      </c>
      <c r="J462" s="40" t="str">
        <f ca="1">IF(MAX(B464:B475,G464:G475)=0,"—",IF(MAX(B464:B475,G464:G475)&lt;TODAY(),"À renouveler","À jour"))</f>
        <v>À jour</v>
      </c>
      <c r="K462" s="41" t="str">
        <f ca="1">IFERROR(IF(_xlfn.MINIFS(B464:B475,B464:B475,"&gt;="&amp;TODAY())=0,"",_xlfn.MINIFS(B464:B475,B464:B475,"&gt;="&amp;TODAY())),"")</f>
        <v/>
      </c>
      <c r="L462" s="41">
        <f ca="1">IFERROR(IF(_xlfn.MINIFS(G464:G475,G464:G475,"&gt;="&amp;TODAY())=0,"",_xlfn.MINIFS(G464:G475,G464:G475,"&gt;="&amp;TODAY())),"")</f>
        <v>46274</v>
      </c>
      <c r="M462" s="41">
        <f ca="1">IFERROR(IF(_xlfn.MINIFS(K464:K475,G464:G475,"&gt;="&amp;TODAY())=0,"",_xlfn.MINIFS(K464:K475,G464:G475,"&gt;="&amp;TODAY())),"")</f>
        <v>46365</v>
      </c>
      <c r="N462" s="49"/>
      <c r="O462" s="13" t="s">
        <v>129</v>
      </c>
      <c r="P462" s="38" t="s">
        <v>192</v>
      </c>
      <c r="Q462" s="97"/>
    </row>
    <row r="463" spans="1:17" hidden="1" outlineLevel="1">
      <c r="A463" s="42" t="s">
        <v>131</v>
      </c>
      <c r="B463" s="42" t="s">
        <v>132</v>
      </c>
      <c r="C463" s="42" t="s">
        <v>133</v>
      </c>
      <c r="D463" s="42" t="s">
        <v>134</v>
      </c>
      <c r="E463" s="42" t="s">
        <v>135</v>
      </c>
      <c r="F463" s="42" t="s">
        <v>136</v>
      </c>
      <c r="G463" s="42" t="s">
        <v>137</v>
      </c>
      <c r="H463" s="42" t="s">
        <v>138</v>
      </c>
      <c r="I463" s="42" t="s">
        <v>139</v>
      </c>
      <c r="J463" s="42" t="s">
        <v>140</v>
      </c>
      <c r="K463" s="42" t="s">
        <v>141</v>
      </c>
    </row>
    <row r="464" spans="1:17" hidden="1" outlineLevel="1">
      <c r="A464" s="14" t="s">
        <v>152</v>
      </c>
      <c r="G464" s="22">
        <v>46031</v>
      </c>
      <c r="H464" s="22">
        <v>46052</v>
      </c>
      <c r="I464" s="22">
        <v>46052</v>
      </c>
      <c r="J464" s="22">
        <v>46108</v>
      </c>
      <c r="K464" s="22">
        <v>46121</v>
      </c>
    </row>
    <row r="465" spans="1:17" hidden="1" outlineLevel="1">
      <c r="A465" s="14" t="s">
        <v>153</v>
      </c>
      <c r="G465" s="22">
        <v>46059</v>
      </c>
      <c r="H465" s="22">
        <v>46080</v>
      </c>
      <c r="I465" s="22">
        <v>46080</v>
      </c>
      <c r="J465" s="22">
        <v>46136</v>
      </c>
      <c r="K465" s="22">
        <v>46148</v>
      </c>
    </row>
    <row r="466" spans="1:17" hidden="1" outlineLevel="1">
      <c r="A466" s="14" t="s">
        <v>154</v>
      </c>
      <c r="G466" s="22">
        <v>46091</v>
      </c>
      <c r="H466" s="22">
        <v>46112</v>
      </c>
      <c r="I466" s="22">
        <v>46112</v>
      </c>
      <c r="J466" s="22">
        <v>46168</v>
      </c>
      <c r="K466" s="22">
        <v>46183</v>
      </c>
    </row>
    <row r="467" spans="1:17" hidden="1" outlineLevel="1">
      <c r="A467" s="14" t="s">
        <v>155</v>
      </c>
      <c r="G467" s="22">
        <v>46121</v>
      </c>
      <c r="H467" s="22">
        <v>46142</v>
      </c>
      <c r="I467" s="22">
        <v>46142</v>
      </c>
      <c r="J467" s="22">
        <v>46198</v>
      </c>
      <c r="K467" s="22">
        <v>46212</v>
      </c>
    </row>
    <row r="468" spans="1:17" hidden="1" outlineLevel="1">
      <c r="A468" s="14" t="s">
        <v>156</v>
      </c>
      <c r="G468" s="22">
        <v>46147</v>
      </c>
      <c r="H468" s="22">
        <v>46171</v>
      </c>
      <c r="I468" s="22">
        <v>46171</v>
      </c>
      <c r="J468" s="22">
        <v>46227</v>
      </c>
      <c r="K468" s="22">
        <v>46239</v>
      </c>
    </row>
    <row r="469" spans="1:17" hidden="1" outlineLevel="1">
      <c r="A469" s="14" t="s">
        <v>157</v>
      </c>
      <c r="G469" s="22">
        <v>46182</v>
      </c>
      <c r="H469" s="22">
        <v>46203</v>
      </c>
      <c r="I469" s="22">
        <v>46203</v>
      </c>
      <c r="J469" s="22">
        <v>46259</v>
      </c>
      <c r="K469" s="22">
        <v>46274</v>
      </c>
    </row>
    <row r="470" spans="1:17" hidden="1" outlineLevel="1">
      <c r="A470" s="14" t="s">
        <v>158</v>
      </c>
      <c r="G470" s="22">
        <v>46212</v>
      </c>
      <c r="H470" s="22">
        <v>46234</v>
      </c>
      <c r="I470" s="22">
        <v>46234</v>
      </c>
      <c r="J470" s="22">
        <v>46290</v>
      </c>
      <c r="K470" s="22">
        <v>46304</v>
      </c>
    </row>
    <row r="471" spans="1:17" hidden="1" outlineLevel="1">
      <c r="A471" s="14" t="s">
        <v>159</v>
      </c>
      <c r="G471" s="22">
        <v>46244</v>
      </c>
      <c r="H471" s="22">
        <v>46265</v>
      </c>
      <c r="I471" s="22">
        <v>46265</v>
      </c>
      <c r="J471" s="22">
        <v>46321</v>
      </c>
      <c r="K471" s="22">
        <v>46336</v>
      </c>
    </row>
    <row r="472" spans="1:17" hidden="1" outlineLevel="1">
      <c r="A472" s="14" t="s">
        <v>160</v>
      </c>
      <c r="G472" s="22">
        <v>46274</v>
      </c>
      <c r="H472" s="22">
        <v>46295</v>
      </c>
      <c r="I472" s="22">
        <v>46295</v>
      </c>
      <c r="J472" s="22">
        <v>46351</v>
      </c>
      <c r="K472" s="22">
        <v>46365</v>
      </c>
    </row>
    <row r="473" spans="1:17" hidden="1" outlineLevel="1">
      <c r="A473" s="14" t="s">
        <v>161</v>
      </c>
      <c r="G473" s="22">
        <v>46304</v>
      </c>
      <c r="H473" s="22">
        <v>46325</v>
      </c>
      <c r="I473" s="22">
        <v>46325</v>
      </c>
      <c r="J473" s="22">
        <v>46381</v>
      </c>
      <c r="K473" s="22">
        <v>46396</v>
      </c>
    </row>
    <row r="474" spans="1:17" hidden="1" outlineLevel="1">
      <c r="A474" s="14" t="s">
        <v>162</v>
      </c>
      <c r="G474" s="22">
        <v>46332</v>
      </c>
      <c r="H474" s="22">
        <v>46356</v>
      </c>
      <c r="I474" s="22">
        <v>46356</v>
      </c>
      <c r="J474" s="22">
        <v>46412</v>
      </c>
      <c r="K474" s="22">
        <v>46424</v>
      </c>
    </row>
    <row r="475" spans="1:17" hidden="1" outlineLevel="1">
      <c r="A475" s="14" t="s">
        <v>163</v>
      </c>
      <c r="G475" s="22">
        <v>46365</v>
      </c>
      <c r="H475" s="22">
        <v>46387</v>
      </c>
      <c r="I475" s="22">
        <v>46387</v>
      </c>
      <c r="J475" s="22">
        <v>46443</v>
      </c>
      <c r="K475" s="22">
        <v>46455</v>
      </c>
    </row>
    <row r="476" spans="1:17" ht="162.75" collapsed="1">
      <c r="A476" s="33" t="s">
        <v>317</v>
      </c>
      <c r="B476" s="34" t="s">
        <v>318</v>
      </c>
      <c r="C476" s="35" t="s">
        <v>306</v>
      </c>
      <c r="D476" s="35"/>
      <c r="E476" s="35"/>
      <c r="F476" s="36">
        <v>5</v>
      </c>
      <c r="G476" s="35"/>
      <c r="H476" s="37"/>
      <c r="I476" s="35" t="s">
        <v>25</v>
      </c>
      <c r="J476" s="43" t="str">
        <f ca="1">IF(MAX(B478:B490,G478:G490)=0,"—",IF(MAX(B478:B490,G478:G490)&lt;TODAY(),"À renouveler","À jour"))</f>
        <v>À jour</v>
      </c>
      <c r="K476" s="44">
        <f ca="1">IFERROR(IF(_xlfn.MINIFS(B478:B490,B478:B490,"&gt;="&amp;TODAY())=0,"",_xlfn.MINIFS(B478:B490,B478:B490,"&gt;="&amp;TODAY())),"")</f>
        <v>46287</v>
      </c>
      <c r="L476" s="44">
        <f ca="1">IFERROR(IF(_xlfn.MINIFS(G478:G490,G478:G490,"&gt;="&amp;TODAY())=0,"",_xlfn.MINIFS(G478:G490,G478:G490,"&gt;="&amp;TODAY())),"")</f>
        <v>46356</v>
      </c>
      <c r="M476" s="44">
        <f ca="1">IFERROR(IF(_xlfn.MINIFS(K478:K490,G478:G490,"&gt;="&amp;TODAY())=0,"",_xlfn.MINIFS(K478:K490,G478:G490,"&gt;="&amp;TODAY())),"")</f>
        <v>46427</v>
      </c>
      <c r="N476" s="50"/>
      <c r="O476" s="13" t="s">
        <v>129</v>
      </c>
      <c r="P476" s="39" t="s">
        <v>212</v>
      </c>
      <c r="Q476" s="98" t="s">
        <v>319</v>
      </c>
    </row>
    <row r="477" spans="1:17" hidden="1" outlineLevel="2">
      <c r="A477" s="42" t="s">
        <v>131</v>
      </c>
      <c r="B477" s="42" t="s">
        <v>132</v>
      </c>
      <c r="C477" s="42" t="s">
        <v>133</v>
      </c>
      <c r="D477" s="42" t="s">
        <v>134</v>
      </c>
      <c r="E477" s="42" t="s">
        <v>135</v>
      </c>
      <c r="F477" s="42" t="s">
        <v>136</v>
      </c>
      <c r="G477" s="42" t="s">
        <v>137</v>
      </c>
      <c r="H477" s="42" t="s">
        <v>138</v>
      </c>
      <c r="I477" s="42" t="s">
        <v>139</v>
      </c>
      <c r="J477" s="42" t="s">
        <v>140</v>
      </c>
      <c r="K477" s="42" t="s">
        <v>141</v>
      </c>
    </row>
    <row r="478" spans="1:17" hidden="1" outlineLevel="1">
      <c r="A478" s="14" t="s">
        <v>152</v>
      </c>
      <c r="B478" s="23">
        <v>46010</v>
      </c>
      <c r="C478" s="23">
        <v>46022</v>
      </c>
      <c r="D478" s="23">
        <v>46023</v>
      </c>
      <c r="E478" s="23">
        <v>46052</v>
      </c>
      <c r="F478" s="23">
        <v>46015</v>
      </c>
    </row>
    <row r="479" spans="1:17" hidden="1" outlineLevel="1">
      <c r="A479" s="14" t="s">
        <v>153</v>
      </c>
      <c r="B479" s="23">
        <v>46045</v>
      </c>
      <c r="C479" s="23">
        <v>46053</v>
      </c>
      <c r="D479" s="23">
        <v>46054</v>
      </c>
      <c r="E479" s="23">
        <v>46084</v>
      </c>
      <c r="F479" s="23">
        <v>46050</v>
      </c>
    </row>
    <row r="480" spans="1:17" hidden="1" outlineLevel="1">
      <c r="A480" s="14" t="s">
        <v>154</v>
      </c>
      <c r="B480" s="23">
        <v>46073</v>
      </c>
      <c r="C480" s="23">
        <v>46081</v>
      </c>
      <c r="D480" s="23">
        <v>46082</v>
      </c>
      <c r="E480" s="23">
        <v>46111</v>
      </c>
      <c r="F480" s="23">
        <v>46078</v>
      </c>
      <c r="G480" s="22">
        <v>46081</v>
      </c>
      <c r="H480" s="22">
        <v>46112</v>
      </c>
      <c r="I480" s="22">
        <v>46112</v>
      </c>
      <c r="J480" s="22">
        <v>46142</v>
      </c>
      <c r="K480" s="22">
        <v>46153</v>
      </c>
    </row>
    <row r="481" spans="1:17" hidden="1" outlineLevel="1">
      <c r="A481" s="14" t="s">
        <v>155</v>
      </c>
      <c r="B481" s="23">
        <v>46104</v>
      </c>
      <c r="C481" s="23">
        <v>46112</v>
      </c>
      <c r="D481" s="23">
        <v>46113</v>
      </c>
      <c r="E481" s="23">
        <v>46142</v>
      </c>
      <c r="F481" s="23">
        <v>46107</v>
      </c>
    </row>
    <row r="482" spans="1:17" hidden="1" outlineLevel="1">
      <c r="A482" s="14" t="s">
        <v>156</v>
      </c>
      <c r="B482" s="23">
        <v>46134</v>
      </c>
      <c r="C482" s="23">
        <v>46142</v>
      </c>
      <c r="D482" s="23">
        <v>46143</v>
      </c>
      <c r="E482" s="23">
        <v>46177</v>
      </c>
      <c r="F482" s="23">
        <v>46139</v>
      </c>
    </row>
    <row r="483" spans="1:17" hidden="1" outlineLevel="1">
      <c r="A483" s="14" t="s">
        <v>157</v>
      </c>
      <c r="B483" s="23">
        <v>46163</v>
      </c>
      <c r="C483" s="23">
        <v>46173</v>
      </c>
      <c r="D483" s="23">
        <v>46174</v>
      </c>
      <c r="E483" s="23">
        <v>46204</v>
      </c>
      <c r="F483" s="23">
        <v>46169</v>
      </c>
      <c r="G483" s="22">
        <v>46172</v>
      </c>
      <c r="H483" s="22">
        <v>46203</v>
      </c>
      <c r="I483" s="22">
        <v>46203</v>
      </c>
      <c r="J483" s="22">
        <v>46232</v>
      </c>
      <c r="K483" s="22">
        <v>46240</v>
      </c>
    </row>
    <row r="484" spans="1:17" hidden="1" outlineLevel="1">
      <c r="A484" s="14" t="s">
        <v>158</v>
      </c>
      <c r="B484" s="23">
        <v>46191</v>
      </c>
      <c r="C484" s="23">
        <v>46203</v>
      </c>
      <c r="D484" s="23">
        <v>46204</v>
      </c>
      <c r="E484" s="23">
        <v>46232</v>
      </c>
      <c r="F484" s="23">
        <v>46198</v>
      </c>
    </row>
    <row r="485" spans="1:17" hidden="1" outlineLevel="1">
      <c r="A485" s="14" t="s">
        <v>159</v>
      </c>
      <c r="B485" s="23">
        <v>46226</v>
      </c>
      <c r="C485" s="23">
        <v>46234</v>
      </c>
      <c r="D485" s="23">
        <v>46235</v>
      </c>
      <c r="E485" s="23">
        <v>46266</v>
      </c>
      <c r="F485" s="23">
        <v>46231</v>
      </c>
    </row>
    <row r="486" spans="1:17" hidden="1" outlineLevel="1">
      <c r="A486" s="14" t="s">
        <v>160</v>
      </c>
      <c r="B486" s="23">
        <v>46255</v>
      </c>
      <c r="C486" s="23">
        <v>46265</v>
      </c>
      <c r="D486" s="23">
        <v>46266</v>
      </c>
      <c r="E486" s="23">
        <v>46294</v>
      </c>
      <c r="F486" s="23">
        <v>46260</v>
      </c>
      <c r="G486" s="22">
        <v>46264</v>
      </c>
      <c r="H486" s="22">
        <v>46295</v>
      </c>
      <c r="I486" s="22">
        <v>46295</v>
      </c>
      <c r="J486" s="22">
        <v>46325</v>
      </c>
      <c r="K486" s="22">
        <v>46332</v>
      </c>
    </row>
    <row r="487" spans="1:17" hidden="1" outlineLevel="1">
      <c r="A487" s="14" t="s">
        <v>161</v>
      </c>
      <c r="B487" s="23">
        <v>46287</v>
      </c>
      <c r="C487" s="23">
        <v>46295</v>
      </c>
      <c r="D487" s="23">
        <v>46296</v>
      </c>
      <c r="E487" s="23">
        <v>46325</v>
      </c>
      <c r="F487" s="23">
        <v>46290</v>
      </c>
    </row>
    <row r="488" spans="1:17" hidden="1" outlineLevel="1">
      <c r="A488" s="14" t="s">
        <v>162</v>
      </c>
      <c r="B488" s="23">
        <v>46317</v>
      </c>
      <c r="C488" s="23">
        <v>46326</v>
      </c>
      <c r="D488" s="23">
        <v>46327</v>
      </c>
      <c r="E488" s="23">
        <v>46357</v>
      </c>
      <c r="F488" s="23">
        <v>46323</v>
      </c>
    </row>
    <row r="489" spans="1:17" hidden="1" outlineLevel="1">
      <c r="A489" s="14" t="s">
        <v>163</v>
      </c>
      <c r="B489" s="23">
        <v>46345</v>
      </c>
      <c r="C489" s="23">
        <v>46356</v>
      </c>
      <c r="D489" s="23">
        <v>46357</v>
      </c>
      <c r="E489" s="23">
        <v>46386</v>
      </c>
      <c r="F489" s="23">
        <v>46350</v>
      </c>
      <c r="G489" s="22">
        <v>46356</v>
      </c>
      <c r="H489" s="22">
        <v>46387</v>
      </c>
      <c r="I489" s="22">
        <v>46387</v>
      </c>
      <c r="J489" s="22">
        <v>46420</v>
      </c>
      <c r="K489" s="22">
        <v>46427</v>
      </c>
    </row>
    <row r="490" spans="1:17" hidden="1" outlineLevel="1">
      <c r="A490" s="14" t="s">
        <v>204</v>
      </c>
      <c r="B490" s="23">
        <v>46377</v>
      </c>
      <c r="C490" s="23">
        <v>46387</v>
      </c>
      <c r="D490" s="23">
        <v>46388</v>
      </c>
      <c r="E490" s="23">
        <v>46419</v>
      </c>
      <c r="F490" s="23">
        <v>46380</v>
      </c>
    </row>
    <row r="491" spans="1:17" ht="75.75" collapsed="1">
      <c r="A491" s="28" t="s">
        <v>320</v>
      </c>
      <c r="B491" s="29" t="s">
        <v>321</v>
      </c>
      <c r="C491" s="30" t="s">
        <v>306</v>
      </c>
      <c r="D491" s="30"/>
      <c r="E491" s="30"/>
      <c r="F491" s="31">
        <v>4</v>
      </c>
      <c r="G491" s="30"/>
      <c r="H491" s="32"/>
      <c r="I491" s="30" t="s">
        <v>25</v>
      </c>
      <c r="J491" s="85" t="s">
        <v>265</v>
      </c>
      <c r="K491" s="54">
        <v>46282</v>
      </c>
      <c r="L491" s="54">
        <v>46268</v>
      </c>
      <c r="M491" s="54">
        <v>46343</v>
      </c>
      <c r="N491" s="49" t="s">
        <v>266</v>
      </c>
      <c r="O491" s="20" t="s">
        <v>129</v>
      </c>
      <c r="P491" s="38" t="s">
        <v>322</v>
      </c>
      <c r="Q491" s="97" t="s">
        <v>323</v>
      </c>
    </row>
    <row r="492" spans="1:17" hidden="1" outlineLevel="1">
      <c r="A492" s="42" t="s">
        <v>324</v>
      </c>
      <c r="B492" s="42" t="s">
        <v>132</v>
      </c>
      <c r="C492" s="42" t="s">
        <v>133</v>
      </c>
      <c r="D492" s="42" t="s">
        <v>134</v>
      </c>
      <c r="E492" s="42" t="s">
        <v>135</v>
      </c>
      <c r="F492" s="42" t="s">
        <v>136</v>
      </c>
      <c r="G492" s="42" t="s">
        <v>137</v>
      </c>
      <c r="H492" s="42" t="s">
        <v>138</v>
      </c>
      <c r="I492" s="42" t="s">
        <v>139</v>
      </c>
      <c r="J492" s="42" t="s">
        <v>140</v>
      </c>
      <c r="K492" s="42" t="s">
        <v>141</v>
      </c>
    </row>
    <row r="493" spans="1:17" hidden="1" outlineLevel="1">
      <c r="A493" s="14" t="s">
        <v>325</v>
      </c>
      <c r="B493" s="1">
        <v>45734</v>
      </c>
      <c r="C493" s="1">
        <v>45748</v>
      </c>
      <c r="D493" s="1">
        <v>45748</v>
      </c>
      <c r="E493" s="1">
        <v>45796</v>
      </c>
      <c r="F493" s="1">
        <v>45750</v>
      </c>
      <c r="G493" s="22">
        <v>45720</v>
      </c>
      <c r="H493" s="22">
        <v>45748</v>
      </c>
      <c r="I493" s="22">
        <v>45748</v>
      </c>
      <c r="J493" s="22">
        <v>45796</v>
      </c>
      <c r="K493" s="22">
        <v>45799</v>
      </c>
    </row>
    <row r="494" spans="1:17" hidden="1" outlineLevel="1">
      <c r="A494" s="14" t="s">
        <v>326</v>
      </c>
      <c r="B494" s="1">
        <v>45824</v>
      </c>
      <c r="C494" s="1">
        <v>45839</v>
      </c>
      <c r="D494" s="1">
        <v>45839</v>
      </c>
      <c r="E494" s="1">
        <v>45880</v>
      </c>
      <c r="F494" s="1">
        <v>45841</v>
      </c>
      <c r="G494" s="22">
        <v>45807</v>
      </c>
      <c r="H494" s="22">
        <v>45839</v>
      </c>
      <c r="I494" s="22">
        <v>45839</v>
      </c>
      <c r="J494" s="22">
        <v>45880</v>
      </c>
      <c r="K494" s="22">
        <v>45883</v>
      </c>
    </row>
    <row r="495" spans="1:17" hidden="1" outlineLevel="1">
      <c r="A495" s="14" t="s">
        <v>327</v>
      </c>
      <c r="B495" s="1">
        <v>45917</v>
      </c>
      <c r="C495" s="1">
        <v>45931</v>
      </c>
      <c r="D495" s="1">
        <v>45931</v>
      </c>
      <c r="E495" s="1">
        <v>45972</v>
      </c>
      <c r="F495" s="1">
        <v>45933</v>
      </c>
      <c r="G495" s="22">
        <v>45903</v>
      </c>
      <c r="H495" s="22">
        <v>45931</v>
      </c>
      <c r="I495" s="22">
        <v>45931</v>
      </c>
      <c r="J495" s="22">
        <v>45972</v>
      </c>
      <c r="K495" s="22">
        <v>45975</v>
      </c>
    </row>
    <row r="496" spans="1:17" hidden="1" outlineLevel="1">
      <c r="A496" s="14" t="s">
        <v>328</v>
      </c>
      <c r="B496" s="1">
        <v>46007</v>
      </c>
      <c r="C496" s="1">
        <v>46024</v>
      </c>
      <c r="D496" s="1">
        <v>46024</v>
      </c>
      <c r="E496" s="1">
        <v>46093</v>
      </c>
      <c r="F496" s="1">
        <v>46028</v>
      </c>
      <c r="G496" s="22">
        <v>45993</v>
      </c>
      <c r="H496" s="22">
        <v>46024</v>
      </c>
      <c r="I496" s="22">
        <v>46024</v>
      </c>
      <c r="J496" s="22">
        <v>46093</v>
      </c>
      <c r="K496" s="22">
        <v>46098</v>
      </c>
    </row>
    <row r="497" spans="1:17" hidden="1" outlineLevel="1">
      <c r="A497" s="14" t="s">
        <v>329</v>
      </c>
      <c r="B497" s="1">
        <v>46099</v>
      </c>
      <c r="C497" s="1">
        <v>46113</v>
      </c>
      <c r="D497" s="1">
        <v>46113</v>
      </c>
      <c r="E497" s="1">
        <v>46161</v>
      </c>
      <c r="F497" s="1">
        <v>46119</v>
      </c>
      <c r="G497" s="22">
        <v>46085</v>
      </c>
      <c r="H497" s="22">
        <v>46113</v>
      </c>
      <c r="I497" s="22">
        <v>46113</v>
      </c>
      <c r="J497" s="22">
        <v>46161</v>
      </c>
      <c r="K497" s="22">
        <v>46168</v>
      </c>
    </row>
    <row r="498" spans="1:17" hidden="1" outlineLevel="1">
      <c r="A498" s="14" t="s">
        <v>330</v>
      </c>
      <c r="B498" s="1">
        <v>46189</v>
      </c>
      <c r="C498" s="1">
        <v>46204</v>
      </c>
      <c r="D498" s="1">
        <v>46204</v>
      </c>
      <c r="E498" s="1">
        <v>46245</v>
      </c>
      <c r="F498" s="1">
        <v>46206</v>
      </c>
      <c r="G498" s="22">
        <v>46175</v>
      </c>
      <c r="H498" s="22">
        <v>46204</v>
      </c>
      <c r="I498" s="22">
        <v>46204</v>
      </c>
      <c r="J498" s="22">
        <v>46245</v>
      </c>
      <c r="K498" s="22">
        <v>46251</v>
      </c>
    </row>
    <row r="499" spans="1:17" hidden="1" outlineLevel="1">
      <c r="A499" s="14" t="s">
        <v>331</v>
      </c>
      <c r="B499" s="1">
        <v>46282</v>
      </c>
      <c r="C499" s="1">
        <v>46296</v>
      </c>
      <c r="D499" s="1">
        <v>46296</v>
      </c>
      <c r="E499" s="1">
        <v>46337</v>
      </c>
      <c r="F499" s="1">
        <v>46300</v>
      </c>
      <c r="G499" s="22">
        <v>46268</v>
      </c>
      <c r="H499" s="22">
        <v>46296</v>
      </c>
      <c r="I499" s="22">
        <v>46296</v>
      </c>
      <c r="J499" s="22">
        <v>46337</v>
      </c>
      <c r="K499" s="22">
        <v>46343</v>
      </c>
    </row>
    <row r="500" spans="1:17" hidden="1" outlineLevel="1">
      <c r="A500" s="14" t="s">
        <v>332</v>
      </c>
      <c r="B500" s="1">
        <v>46372</v>
      </c>
      <c r="C500" s="1">
        <v>46391</v>
      </c>
      <c r="D500" s="1">
        <v>46391</v>
      </c>
      <c r="E500" s="1">
        <v>46458</v>
      </c>
      <c r="F500" s="1">
        <v>46393</v>
      </c>
      <c r="G500" s="22">
        <v>46358</v>
      </c>
      <c r="H500" s="22">
        <v>46391</v>
      </c>
      <c r="I500" s="22">
        <v>46391</v>
      </c>
      <c r="J500" s="22">
        <v>46458</v>
      </c>
      <c r="K500" s="22">
        <v>46464</v>
      </c>
    </row>
    <row r="501" spans="1:17" ht="75.75" collapsed="1">
      <c r="A501" s="33" t="s">
        <v>333</v>
      </c>
      <c r="B501" s="34" t="s">
        <v>334</v>
      </c>
      <c r="C501" s="35" t="s">
        <v>306</v>
      </c>
      <c r="D501" s="35"/>
      <c r="E501" s="35"/>
      <c r="F501" s="36">
        <v>4</v>
      </c>
      <c r="G501" s="35"/>
      <c r="H501" s="37"/>
      <c r="I501" s="35" t="s">
        <v>25</v>
      </c>
      <c r="J501" s="43" t="str">
        <f ca="1">IF(MAX(B503:B506,G503:G506)=0,"—",IF(MAX(B503:B506,G503:G506)&lt;TODAY(),"À renouveler","À jour"))</f>
        <v>À jour</v>
      </c>
      <c r="K501" s="44" t="str">
        <f ca="1">IFERROR(IF(_xlfn.MINIFS(B503:B506,B503:B506,"&gt;="&amp;TODAY())=0,"",_xlfn.MINIFS(B503:B506,B503:B506,"&gt;="&amp;TODAY())),"")</f>
        <v/>
      </c>
      <c r="L501" s="44">
        <f ca="1">IFERROR(IF(_xlfn.MINIFS(G503:G506,G503:G506,"&gt;="&amp;TODAY())=0,"",_xlfn.MINIFS(G503:G506,G503:G506,"&gt;="&amp;TODAY())),"")</f>
        <v>46267</v>
      </c>
      <c r="M501" s="44">
        <f ca="1">IFERROR(IF(_xlfn.MINIFS(K503:K506,G503:G506,"&gt;="&amp;TODAY())=0,"",_xlfn.MINIFS(K503:K506,G503:G506,"&gt;="&amp;TODAY())),"")</f>
        <v>46302</v>
      </c>
      <c r="N501" s="50"/>
      <c r="O501" s="13" t="s">
        <v>129</v>
      </c>
      <c r="P501" s="39" t="s">
        <v>335</v>
      </c>
      <c r="Q501" s="98" t="s">
        <v>336</v>
      </c>
    </row>
    <row r="502" spans="1:17" hidden="1" outlineLevel="1">
      <c r="A502" s="42" t="s">
        <v>131</v>
      </c>
      <c r="B502" s="42" t="s">
        <v>132</v>
      </c>
      <c r="C502" s="42" t="s">
        <v>133</v>
      </c>
      <c r="D502" s="42" t="s">
        <v>134</v>
      </c>
      <c r="E502" s="42" t="s">
        <v>135</v>
      </c>
      <c r="F502" s="42" t="s">
        <v>136</v>
      </c>
      <c r="G502" s="42" t="s">
        <v>137</v>
      </c>
      <c r="H502" s="42" t="s">
        <v>138</v>
      </c>
      <c r="I502" s="42" t="s">
        <v>139</v>
      </c>
      <c r="J502" s="42" t="s">
        <v>140</v>
      </c>
      <c r="K502" s="42" t="s">
        <v>141</v>
      </c>
    </row>
    <row r="503" spans="1:17" hidden="1" outlineLevel="1">
      <c r="A503" s="14" t="s">
        <v>154</v>
      </c>
      <c r="G503" s="22">
        <v>46078</v>
      </c>
      <c r="H503" s="22">
        <v>46106</v>
      </c>
      <c r="I503" s="22">
        <v>46106</v>
      </c>
      <c r="J503" s="25"/>
      <c r="K503" s="22">
        <v>46113</v>
      </c>
    </row>
    <row r="504" spans="1:17" hidden="1" outlineLevel="1">
      <c r="A504" s="14" t="s">
        <v>157</v>
      </c>
      <c r="G504" s="22">
        <v>46169</v>
      </c>
      <c r="H504" s="22">
        <v>46197</v>
      </c>
      <c r="I504" s="22">
        <v>46197</v>
      </c>
      <c r="J504" s="25"/>
      <c r="K504" s="22">
        <v>46204</v>
      </c>
    </row>
    <row r="505" spans="1:17" hidden="1" outlineLevel="1">
      <c r="A505" s="14" t="s">
        <v>160</v>
      </c>
      <c r="G505" s="22">
        <v>46267</v>
      </c>
      <c r="H505" s="22">
        <v>46295</v>
      </c>
      <c r="I505" s="22">
        <v>46295</v>
      </c>
      <c r="J505" s="25"/>
      <c r="K505" s="22">
        <v>46302</v>
      </c>
    </row>
    <row r="506" spans="1:17" hidden="1" outlineLevel="1">
      <c r="A506" s="14" t="s">
        <v>163</v>
      </c>
      <c r="G506" s="22">
        <v>46358</v>
      </c>
      <c r="H506" s="22">
        <v>46386</v>
      </c>
      <c r="I506" s="22">
        <v>46386</v>
      </c>
      <c r="J506" s="25"/>
      <c r="K506" s="22">
        <v>46394</v>
      </c>
    </row>
    <row r="507" spans="1:17" ht="88.5" collapsed="1">
      <c r="A507" s="33" t="s">
        <v>337</v>
      </c>
      <c r="B507" s="34" t="s">
        <v>338</v>
      </c>
      <c r="C507" s="35" t="s">
        <v>306</v>
      </c>
      <c r="D507" s="35"/>
      <c r="E507" s="35"/>
      <c r="F507" s="36">
        <v>6</v>
      </c>
      <c r="G507" s="35"/>
      <c r="H507" s="37"/>
      <c r="I507" s="35" t="s">
        <v>25</v>
      </c>
      <c r="J507" s="43" t="str">
        <f ca="1">IF(MAX(B509:B522,G509:G522)=0,"—",IF(MAX(B509:B522,G509:G522)&lt;TODAY(),"À renouveler","À jour"))</f>
        <v>À jour</v>
      </c>
      <c r="K507" s="44">
        <f ca="1">IFERROR(IF(_xlfn.MINIFS(B509:B522,B509:B522,"&gt;="&amp;TODAY())=0,"",_xlfn.MINIFS(B509:B522,B509:B522,"&gt;="&amp;TODAY())),"")</f>
        <v>46288</v>
      </c>
      <c r="L507" s="44">
        <f ca="1">IFERROR(IF(_xlfn.MINIFS(G509:G522,G509:G522,"&gt;="&amp;TODAY())=0,"",_xlfn.MINIFS(G509:G522,G509:G522,"&gt;="&amp;TODAY())),"")</f>
        <v>46266</v>
      </c>
      <c r="M507" s="44">
        <f ca="1">IFERROR(IF(_xlfn.MINIFS(K509:K522,G509:G522,"&gt;="&amp;TODAY())=0,"",_xlfn.MINIFS(K509:K522,G509:G522,"&gt;="&amp;TODAY())),"")</f>
        <v>46335</v>
      </c>
      <c r="N507" s="50"/>
      <c r="O507" s="13" t="s">
        <v>129</v>
      </c>
      <c r="P507" s="39" t="s">
        <v>212</v>
      </c>
      <c r="Q507" s="98" t="s">
        <v>339</v>
      </c>
    </row>
    <row r="508" spans="1:17" hidden="1" outlineLevel="1">
      <c r="A508" s="42" t="s">
        <v>131</v>
      </c>
      <c r="B508" s="42" t="s">
        <v>132</v>
      </c>
      <c r="C508" s="42" t="s">
        <v>133</v>
      </c>
      <c r="D508" s="42" t="s">
        <v>134</v>
      </c>
      <c r="E508" s="42" t="s">
        <v>135</v>
      </c>
      <c r="F508" s="42" t="s">
        <v>136</v>
      </c>
      <c r="G508" s="42" t="s">
        <v>137</v>
      </c>
      <c r="H508" s="42" t="s">
        <v>138</v>
      </c>
      <c r="I508" s="42" t="s">
        <v>139</v>
      </c>
      <c r="J508" s="42" t="s">
        <v>140</v>
      </c>
      <c r="K508" s="42" t="s">
        <v>141</v>
      </c>
    </row>
    <row r="509" spans="1:17" hidden="1" outlineLevel="1">
      <c r="A509" s="14" t="s">
        <v>151</v>
      </c>
      <c r="B509" s="23">
        <v>46013</v>
      </c>
      <c r="C509" s="23">
        <v>46022</v>
      </c>
      <c r="D509" s="23">
        <v>46022</v>
      </c>
      <c r="E509" s="24"/>
      <c r="F509" s="23">
        <v>46015</v>
      </c>
    </row>
    <row r="510" spans="1:17" hidden="1" outlineLevel="1">
      <c r="A510" s="14" t="s">
        <v>152</v>
      </c>
      <c r="B510" s="23">
        <v>46045</v>
      </c>
      <c r="C510" s="23">
        <v>46052</v>
      </c>
      <c r="D510" s="23">
        <v>46052</v>
      </c>
      <c r="E510" s="24"/>
      <c r="F510" s="23">
        <v>46049</v>
      </c>
    </row>
    <row r="511" spans="1:17" hidden="1" outlineLevel="1">
      <c r="A511" s="14" t="s">
        <v>153</v>
      </c>
      <c r="B511" s="23">
        <v>46073</v>
      </c>
      <c r="C511" s="23">
        <v>46080</v>
      </c>
      <c r="D511" s="23">
        <v>46080</v>
      </c>
      <c r="E511" s="24"/>
      <c r="F511" s="23">
        <v>46077</v>
      </c>
    </row>
    <row r="512" spans="1:17" ht="137.25" collapsed="1">
      <c r="A512" s="28" t="s">
        <v>340</v>
      </c>
      <c r="B512" s="29" t="s">
        <v>341</v>
      </c>
      <c r="C512" s="30" t="s">
        <v>306</v>
      </c>
      <c r="D512" s="30"/>
      <c r="E512" s="30"/>
      <c r="F512" s="31">
        <v>6</v>
      </c>
      <c r="G512" s="30"/>
      <c r="H512" s="32"/>
      <c r="I512" s="30" t="s">
        <v>25</v>
      </c>
      <c r="J512" s="79" t="s">
        <v>199</v>
      </c>
      <c r="K512" s="20"/>
      <c r="L512" s="20"/>
      <c r="M512" s="20"/>
      <c r="N512" s="49"/>
      <c r="O512" s="20"/>
      <c r="P512" s="20" t="s">
        <v>342</v>
      </c>
      <c r="Q512" s="101" t="s">
        <v>343</v>
      </c>
    </row>
    <row r="513" spans="1:22" hidden="1" outlineLevel="1">
      <c r="A513" s="14" t="s">
        <v>154</v>
      </c>
      <c r="B513" s="23">
        <v>46105</v>
      </c>
      <c r="C513" s="23">
        <v>46112</v>
      </c>
      <c r="D513" s="23">
        <v>46112</v>
      </c>
      <c r="E513" s="24"/>
      <c r="F513" s="23">
        <v>46107</v>
      </c>
      <c r="G513" s="22">
        <v>46084</v>
      </c>
      <c r="H513" s="22">
        <v>46112</v>
      </c>
      <c r="I513" s="22">
        <v>46112</v>
      </c>
      <c r="J513" s="25"/>
      <c r="K513" s="22">
        <v>46156</v>
      </c>
    </row>
    <row r="514" spans="1:22" hidden="1" outlineLevel="1">
      <c r="A514" s="14" t="s">
        <v>155</v>
      </c>
      <c r="B514" s="23">
        <v>46135</v>
      </c>
      <c r="C514" s="23">
        <v>46142</v>
      </c>
      <c r="D514" s="23">
        <v>46142</v>
      </c>
      <c r="E514" s="24"/>
      <c r="F514" s="23">
        <v>46139</v>
      </c>
    </row>
    <row r="515" spans="1:22" hidden="1" outlineLevel="1">
      <c r="A515" s="14" t="s">
        <v>156</v>
      </c>
      <c r="B515" s="23">
        <v>46163</v>
      </c>
      <c r="C515" s="23">
        <v>46171</v>
      </c>
      <c r="D515" s="23">
        <v>46171</v>
      </c>
      <c r="E515" s="24"/>
      <c r="F515" s="23">
        <v>46168</v>
      </c>
    </row>
    <row r="516" spans="1:22" hidden="1" outlineLevel="1">
      <c r="A516" s="14" t="s">
        <v>157</v>
      </c>
      <c r="B516" s="23">
        <v>46196</v>
      </c>
      <c r="C516" s="23">
        <v>46203</v>
      </c>
      <c r="D516" s="23">
        <v>46203</v>
      </c>
      <c r="E516" s="24"/>
      <c r="F516" s="23">
        <v>46198</v>
      </c>
      <c r="G516" s="22">
        <v>46174</v>
      </c>
      <c r="H516" s="22">
        <v>46203</v>
      </c>
      <c r="I516" s="22">
        <v>46203</v>
      </c>
      <c r="J516" s="25"/>
      <c r="K516" s="22">
        <v>46244</v>
      </c>
    </row>
    <row r="517" spans="1:22" hidden="1" outlineLevel="1">
      <c r="A517" s="14" t="s">
        <v>158</v>
      </c>
      <c r="B517" s="23">
        <v>46227</v>
      </c>
      <c r="C517" s="23">
        <v>46234</v>
      </c>
      <c r="D517" s="23">
        <v>46234</v>
      </c>
      <c r="E517" s="24"/>
      <c r="F517" s="23">
        <v>46231</v>
      </c>
    </row>
    <row r="518" spans="1:22" hidden="1" outlineLevel="1">
      <c r="A518" s="14" t="s">
        <v>159</v>
      </c>
      <c r="B518" s="23">
        <v>46255</v>
      </c>
      <c r="C518" s="23">
        <v>46262</v>
      </c>
      <c r="D518" s="23">
        <v>46262</v>
      </c>
      <c r="E518" s="24"/>
      <c r="F518" s="23">
        <v>46259</v>
      </c>
    </row>
    <row r="519" spans="1:22" hidden="1" outlineLevel="1">
      <c r="A519" s="14" t="s">
        <v>160</v>
      </c>
      <c r="B519" s="23">
        <v>46288</v>
      </c>
      <c r="C519" s="23">
        <v>46295</v>
      </c>
      <c r="D519" s="23">
        <v>46295</v>
      </c>
      <c r="E519" s="24"/>
      <c r="F519" s="23">
        <v>46290</v>
      </c>
      <c r="G519" s="22">
        <v>46266</v>
      </c>
      <c r="H519" s="22">
        <v>46295</v>
      </c>
      <c r="I519" s="22">
        <v>46295</v>
      </c>
      <c r="J519" s="25"/>
      <c r="K519" s="22">
        <v>46335</v>
      </c>
    </row>
    <row r="520" spans="1:22" hidden="1" outlineLevel="1">
      <c r="A520" s="14" t="s">
        <v>161</v>
      </c>
      <c r="B520" s="23">
        <v>46318</v>
      </c>
      <c r="C520" s="23">
        <v>46325</v>
      </c>
      <c r="D520" s="23">
        <v>46325</v>
      </c>
      <c r="E520" s="24"/>
      <c r="F520" s="23">
        <v>46322</v>
      </c>
    </row>
    <row r="521" spans="1:22" hidden="1" outlineLevel="1">
      <c r="A521" s="14" t="s">
        <v>162</v>
      </c>
      <c r="B521" s="23">
        <v>46346</v>
      </c>
      <c r="C521" s="23">
        <v>46356</v>
      </c>
      <c r="D521" s="23">
        <v>46356</v>
      </c>
      <c r="E521" s="24"/>
      <c r="F521" s="23">
        <v>46350</v>
      </c>
    </row>
    <row r="522" spans="1:22" hidden="1" outlineLevel="1">
      <c r="A522" s="14" t="s">
        <v>163</v>
      </c>
      <c r="B522" s="23">
        <v>46378</v>
      </c>
      <c r="C522" s="23">
        <v>46387</v>
      </c>
      <c r="D522" s="23">
        <v>46387</v>
      </c>
      <c r="E522" s="24"/>
      <c r="F522" s="23">
        <v>46380</v>
      </c>
      <c r="G522" s="22">
        <v>46357</v>
      </c>
      <c r="H522" s="22">
        <v>46387</v>
      </c>
      <c r="I522" s="22">
        <v>46387</v>
      </c>
      <c r="J522" s="25"/>
      <c r="K522" s="22">
        <v>46427</v>
      </c>
    </row>
    <row r="523" spans="1:22" ht="106.5">
      <c r="A523" s="71" t="s">
        <v>344</v>
      </c>
      <c r="B523" s="72" t="s">
        <v>345</v>
      </c>
      <c r="C523" s="30" t="s">
        <v>306</v>
      </c>
      <c r="D523" s="30"/>
      <c r="E523" s="30"/>
      <c r="F523" s="31">
        <v>4</v>
      </c>
      <c r="G523" s="30"/>
      <c r="H523" s="32"/>
      <c r="I523" s="30" t="s">
        <v>25</v>
      </c>
      <c r="J523" s="73" t="s">
        <v>346</v>
      </c>
      <c r="K523" s="20"/>
      <c r="L523" s="20"/>
      <c r="M523" s="20"/>
      <c r="N523" s="49"/>
      <c r="O523" s="20"/>
      <c r="P523" s="20" t="s">
        <v>347</v>
      </c>
      <c r="Q523" s="101" t="s">
        <v>348</v>
      </c>
    </row>
    <row r="524" spans="1:22" ht="15.75" collapsed="1">
      <c r="A524" s="76" t="s">
        <v>349</v>
      </c>
      <c r="B524" s="77" t="s">
        <v>350</v>
      </c>
      <c r="C524" s="35" t="s">
        <v>306</v>
      </c>
      <c r="D524" s="35"/>
      <c r="E524" s="35"/>
      <c r="F524" s="36">
        <v>4</v>
      </c>
      <c r="G524" s="35"/>
      <c r="H524" s="37"/>
      <c r="I524" s="35" t="s">
        <v>25</v>
      </c>
      <c r="J524" s="78" t="s">
        <v>351</v>
      </c>
      <c r="K524" s="75">
        <v>46258</v>
      </c>
      <c r="L524" s="75">
        <v>46281</v>
      </c>
      <c r="M524" s="75">
        <v>46339</v>
      </c>
      <c r="N524" s="50" t="s">
        <v>128</v>
      </c>
      <c r="O524" s="19"/>
      <c r="P524" s="21"/>
      <c r="Q524" s="69"/>
      <c r="V524" t="s">
        <v>215</v>
      </c>
    </row>
    <row r="525" spans="1:22" hidden="1" outlineLevel="2" collapsed="1">
      <c r="A525" s="42" t="s">
        <v>131</v>
      </c>
      <c r="B525" s="42" t="s">
        <v>132</v>
      </c>
      <c r="C525" s="42" t="s">
        <v>133</v>
      </c>
      <c r="D525" s="42" t="s">
        <v>134</v>
      </c>
      <c r="E525" s="42" t="s">
        <v>135</v>
      </c>
      <c r="F525" s="42" t="s">
        <v>136</v>
      </c>
      <c r="G525" s="42" t="s">
        <v>137</v>
      </c>
      <c r="H525" s="42" t="s">
        <v>138</v>
      </c>
      <c r="I525" s="42" t="s">
        <v>139</v>
      </c>
      <c r="J525" s="42" t="s">
        <v>140</v>
      </c>
      <c r="K525" s="42" t="s">
        <v>141</v>
      </c>
    </row>
    <row r="526" spans="1:22" hidden="1" outlineLevel="1">
      <c r="A526" s="14" t="s">
        <v>148</v>
      </c>
      <c r="B526" s="23">
        <v>45924</v>
      </c>
      <c r="C526" s="23">
        <v>45930</v>
      </c>
      <c r="D526" s="23">
        <v>45931</v>
      </c>
      <c r="E526" s="23">
        <v>45959</v>
      </c>
      <c r="F526" s="23">
        <v>45925</v>
      </c>
      <c r="G526" s="1"/>
      <c r="H526" s="1"/>
      <c r="I526" s="1"/>
      <c r="J526" s="1"/>
      <c r="K526" s="1"/>
    </row>
    <row r="527" spans="1:22" hidden="1" outlineLevel="1">
      <c r="A527" s="14" t="s">
        <v>149</v>
      </c>
      <c r="B527" s="23">
        <v>45957</v>
      </c>
      <c r="C527" s="23">
        <v>45961</v>
      </c>
      <c r="D527" s="23">
        <v>45964</v>
      </c>
      <c r="E527" s="23">
        <v>45993</v>
      </c>
      <c r="F527" s="23">
        <v>45958</v>
      </c>
      <c r="G527" s="1"/>
      <c r="H527" s="1"/>
      <c r="I527" s="1"/>
      <c r="J527" s="1"/>
      <c r="K527" s="1"/>
    </row>
    <row r="528" spans="1:22" hidden="1" outlineLevel="1">
      <c r="A528" s="14" t="s">
        <v>150</v>
      </c>
      <c r="B528" s="23">
        <v>45982</v>
      </c>
      <c r="C528" s="23">
        <v>45991</v>
      </c>
      <c r="D528" s="23">
        <v>45992</v>
      </c>
      <c r="E528" s="23">
        <v>46021</v>
      </c>
      <c r="F528" s="23">
        <v>45985</v>
      </c>
      <c r="G528" s="1"/>
      <c r="H528" s="1"/>
      <c r="I528" s="1"/>
      <c r="J528" s="1"/>
      <c r="K528" s="1"/>
    </row>
    <row r="529" spans="1:17" hidden="1" outlineLevel="1">
      <c r="A529" s="14" t="s">
        <v>151</v>
      </c>
      <c r="B529" s="23">
        <v>46014</v>
      </c>
      <c r="C529" s="23">
        <v>46022</v>
      </c>
      <c r="D529" s="23">
        <v>46024</v>
      </c>
      <c r="E529" s="23">
        <v>46052</v>
      </c>
      <c r="F529" s="23">
        <v>46015</v>
      </c>
      <c r="G529" s="1">
        <v>46006</v>
      </c>
      <c r="H529" s="1">
        <v>46022</v>
      </c>
      <c r="I529" s="1">
        <v>46022</v>
      </c>
      <c r="J529" s="1">
        <v>46052</v>
      </c>
      <c r="K529" s="1">
        <v>46066</v>
      </c>
    </row>
    <row r="530" spans="1:17" hidden="1" outlineLevel="1">
      <c r="A530" s="14" t="s">
        <v>152</v>
      </c>
      <c r="B530" s="23">
        <v>46048</v>
      </c>
      <c r="C530" s="23">
        <v>46053</v>
      </c>
      <c r="D530" s="23">
        <v>46055</v>
      </c>
      <c r="E530" s="23">
        <v>46083</v>
      </c>
      <c r="F530" s="23">
        <v>46049</v>
      </c>
      <c r="G530" s="1"/>
      <c r="H530" s="1"/>
      <c r="I530" s="1"/>
      <c r="J530" s="1"/>
      <c r="K530" s="1"/>
    </row>
    <row r="531" spans="1:17" hidden="1" outlineLevel="1">
      <c r="A531" s="14" t="s">
        <v>153</v>
      </c>
      <c r="B531" s="23">
        <v>46076</v>
      </c>
      <c r="C531" s="23">
        <v>46081</v>
      </c>
      <c r="D531" s="23">
        <v>46083</v>
      </c>
      <c r="E531" s="23">
        <v>46108</v>
      </c>
      <c r="F531" s="23">
        <v>46077</v>
      </c>
      <c r="G531" s="1"/>
      <c r="H531" s="1"/>
      <c r="I531" s="1"/>
      <c r="J531" s="1"/>
      <c r="K531" s="1"/>
    </row>
    <row r="532" spans="1:17" hidden="1" outlineLevel="1">
      <c r="A532" s="14" t="s">
        <v>154</v>
      </c>
      <c r="B532" s="23">
        <v>46106</v>
      </c>
      <c r="C532" s="23">
        <v>46112</v>
      </c>
      <c r="D532" s="23">
        <v>46113</v>
      </c>
      <c r="E532" s="23">
        <v>46142</v>
      </c>
      <c r="F532" s="23">
        <v>46107</v>
      </c>
      <c r="G532" s="1">
        <v>46098</v>
      </c>
      <c r="H532" s="1">
        <v>46112</v>
      </c>
      <c r="I532" s="1">
        <v>46112</v>
      </c>
      <c r="J532" s="1">
        <v>46142</v>
      </c>
      <c r="K532" s="1">
        <v>46161</v>
      </c>
    </row>
    <row r="533" spans="1:17" hidden="1" outlineLevel="1">
      <c r="A533" s="14" t="s">
        <v>155</v>
      </c>
      <c r="B533" s="23">
        <v>46136</v>
      </c>
      <c r="C533" s="23">
        <v>46142</v>
      </c>
      <c r="D533" s="23">
        <v>46147</v>
      </c>
      <c r="E533" s="23">
        <v>46176</v>
      </c>
      <c r="F533" s="23">
        <v>46139</v>
      </c>
      <c r="G533" s="1"/>
      <c r="H533" s="1"/>
      <c r="I533" s="1"/>
      <c r="J533" s="1"/>
      <c r="K533" s="1"/>
    </row>
    <row r="534" spans="1:17" hidden="1" outlineLevel="1">
      <c r="A534" s="14" t="s">
        <v>156</v>
      </c>
      <c r="B534" s="23">
        <v>46164</v>
      </c>
      <c r="C534" s="23">
        <v>46173</v>
      </c>
      <c r="D534" s="23">
        <v>46174</v>
      </c>
      <c r="E534" s="23">
        <v>46203</v>
      </c>
      <c r="F534" s="23">
        <v>46168</v>
      </c>
      <c r="G534" s="1"/>
      <c r="H534" s="1"/>
      <c r="I534" s="1"/>
      <c r="J534" s="1"/>
      <c r="K534" s="1"/>
    </row>
    <row r="535" spans="1:17" hidden="1" outlineLevel="1">
      <c r="A535" s="14" t="s">
        <v>157</v>
      </c>
      <c r="B535" s="23">
        <v>46197</v>
      </c>
      <c r="C535" s="23">
        <v>46203</v>
      </c>
      <c r="D535" s="23">
        <v>46204</v>
      </c>
      <c r="E535" s="23">
        <v>46232</v>
      </c>
      <c r="F535" s="23">
        <v>46198</v>
      </c>
      <c r="G535" s="1">
        <v>46185</v>
      </c>
      <c r="H535" s="1">
        <v>46203</v>
      </c>
      <c r="I535" s="1">
        <v>46203</v>
      </c>
      <c r="J535" s="1">
        <v>46232</v>
      </c>
      <c r="K535" s="1">
        <v>46246</v>
      </c>
    </row>
    <row r="536" spans="1:17" hidden="1" outlineLevel="1">
      <c r="A536" s="14" t="s">
        <v>158</v>
      </c>
      <c r="B536" s="23">
        <v>46230</v>
      </c>
      <c r="C536" s="23">
        <v>46234</v>
      </c>
      <c r="D536" s="23">
        <v>46237</v>
      </c>
      <c r="E536" s="23">
        <v>46262</v>
      </c>
      <c r="F536" s="23">
        <v>46231</v>
      </c>
      <c r="G536" s="1"/>
      <c r="H536" s="1"/>
      <c r="I536" s="1"/>
      <c r="J536" s="1"/>
      <c r="K536" s="1"/>
    </row>
    <row r="537" spans="1:17" hidden="1" outlineLevel="1">
      <c r="A537" s="14" t="s">
        <v>159</v>
      </c>
      <c r="B537" s="23">
        <v>46258</v>
      </c>
      <c r="C537" s="23">
        <v>46265</v>
      </c>
      <c r="D537" s="23">
        <v>46266</v>
      </c>
      <c r="E537" s="23">
        <v>46294</v>
      </c>
      <c r="F537" s="23">
        <v>46259</v>
      </c>
      <c r="G537" s="1"/>
      <c r="H537" s="1"/>
      <c r="I537" s="1"/>
      <c r="J537" s="1"/>
      <c r="K537" s="1"/>
    </row>
    <row r="538" spans="1:17" hidden="1" outlineLevel="1">
      <c r="A538" s="14" t="s">
        <v>160</v>
      </c>
      <c r="B538" s="23">
        <v>46289</v>
      </c>
      <c r="C538" s="23">
        <v>46295</v>
      </c>
      <c r="D538" s="23">
        <v>46296</v>
      </c>
      <c r="E538" s="23">
        <v>46324</v>
      </c>
      <c r="F538" s="23">
        <v>46290</v>
      </c>
      <c r="G538" s="1">
        <v>46281</v>
      </c>
      <c r="H538" s="1">
        <v>46295</v>
      </c>
      <c r="I538" s="1">
        <v>46295</v>
      </c>
      <c r="J538" s="1">
        <v>46324</v>
      </c>
      <c r="K538" s="1">
        <v>46339</v>
      </c>
    </row>
    <row r="539" spans="1:17" hidden="1" outlineLevel="1">
      <c r="A539" s="14" t="s">
        <v>161</v>
      </c>
      <c r="B539" s="23">
        <v>46321</v>
      </c>
      <c r="C539" s="23">
        <v>46326</v>
      </c>
      <c r="D539" s="23">
        <v>46328</v>
      </c>
      <c r="E539" s="23">
        <v>46357</v>
      </c>
      <c r="F539" s="23">
        <v>46322</v>
      </c>
      <c r="G539" s="1"/>
      <c r="H539" s="1"/>
      <c r="I539" s="1"/>
      <c r="J539" s="1"/>
      <c r="K539" s="1"/>
    </row>
    <row r="540" spans="1:17" hidden="1" outlineLevel="1">
      <c r="A540" s="14" t="s">
        <v>162</v>
      </c>
      <c r="B540" s="23">
        <v>46349</v>
      </c>
      <c r="C540" s="23">
        <v>46356</v>
      </c>
      <c r="D540" s="23">
        <v>46357</v>
      </c>
      <c r="E540" s="23">
        <v>46386</v>
      </c>
      <c r="F540" s="23">
        <v>46350</v>
      </c>
      <c r="G540" s="1"/>
      <c r="H540" s="1"/>
      <c r="I540" s="1"/>
      <c r="J540" s="1"/>
      <c r="K540" s="1"/>
    </row>
    <row r="541" spans="1:17" hidden="1" outlineLevel="1">
      <c r="A541" s="14" t="s">
        <v>163</v>
      </c>
      <c r="B541" s="23">
        <v>46379</v>
      </c>
      <c r="C541" s="23">
        <v>46387</v>
      </c>
      <c r="D541" s="23">
        <v>46391</v>
      </c>
      <c r="E541" s="23">
        <v>46419</v>
      </c>
      <c r="F541" s="23">
        <v>46380</v>
      </c>
      <c r="G541" s="1">
        <v>46371</v>
      </c>
      <c r="H541" s="1">
        <v>46387</v>
      </c>
      <c r="I541" s="1">
        <v>46387</v>
      </c>
      <c r="J541" s="1">
        <v>46419</v>
      </c>
      <c r="K541" s="1">
        <v>46434</v>
      </c>
    </row>
    <row r="542" spans="1:17" ht="88.5" collapsed="1">
      <c r="A542" s="28" t="s">
        <v>352</v>
      </c>
      <c r="B542" s="29" t="s">
        <v>353</v>
      </c>
      <c r="C542" s="30" t="s">
        <v>306</v>
      </c>
      <c r="D542" s="30"/>
      <c r="E542" s="30"/>
      <c r="F542" s="31">
        <v>5</v>
      </c>
      <c r="G542" s="30"/>
      <c r="H542" s="32"/>
      <c r="I542" s="30" t="s">
        <v>25</v>
      </c>
      <c r="J542" s="40" t="str">
        <f ca="1">IF(MAX(B544:B556,G544:G556)=0,"—",IF(MAX(B544:B556,G544:G556)&lt;TODAY(),"À renouveler","À jour"))</f>
        <v>À jour</v>
      </c>
      <c r="K542" s="41">
        <f ca="1">IFERROR(IF(_xlfn.MINIFS(B544:B556,B544:B556,"&gt;="&amp;TODAY())=0,"",_xlfn.MINIFS(B544:B556,B544:B556,"&gt;="&amp;TODAY())),"")</f>
        <v>46286</v>
      </c>
      <c r="L542" s="41">
        <f ca="1">IFERROR(IF(_xlfn.MINIFS(G544:G556,G544:G556,"&gt;="&amp;TODAY())=0,"",_xlfn.MINIFS(G544:G556,G544:G556,"&gt;="&amp;TODAY())),"")</f>
        <v>46357</v>
      </c>
      <c r="M542" s="41" t="str">
        <f ca="1">IFERROR(IF(_xlfn.MINIFS(K544:K556,G544:G556,"&gt;="&amp;TODAY())=0,"",_xlfn.MINIFS(K544:K556,G544:G556,"&gt;="&amp;TODAY())),"")</f>
        <v/>
      </c>
      <c r="N542" s="49"/>
      <c r="O542" s="13" t="s">
        <v>129</v>
      </c>
      <c r="P542" s="38" t="s">
        <v>203</v>
      </c>
      <c r="Q542" s="97" t="s">
        <v>354</v>
      </c>
    </row>
    <row r="543" spans="1:17" hidden="1" outlineLevel="3">
      <c r="A543" s="42" t="s">
        <v>131</v>
      </c>
      <c r="B543" s="42" t="s">
        <v>132</v>
      </c>
      <c r="C543" s="42" t="s">
        <v>133</v>
      </c>
      <c r="D543" s="42" t="s">
        <v>134</v>
      </c>
      <c r="E543" s="42" t="s">
        <v>135</v>
      </c>
      <c r="F543" s="42" t="s">
        <v>136</v>
      </c>
      <c r="G543" s="42" t="s">
        <v>137</v>
      </c>
      <c r="H543" s="42" t="s">
        <v>138</v>
      </c>
      <c r="I543" s="42" t="s">
        <v>139</v>
      </c>
      <c r="J543" s="42" t="s">
        <v>140</v>
      </c>
      <c r="K543" s="42" t="s">
        <v>141</v>
      </c>
    </row>
    <row r="544" spans="1:17" hidden="1" outlineLevel="2">
      <c r="A544" s="14" t="s">
        <v>152</v>
      </c>
      <c r="B544" s="23">
        <v>46009</v>
      </c>
      <c r="C544" s="23">
        <v>46022</v>
      </c>
      <c r="D544" s="23">
        <v>46024</v>
      </c>
      <c r="E544" s="24"/>
      <c r="F544" s="23">
        <v>46020</v>
      </c>
    </row>
    <row r="545" spans="1:17" hidden="1" outlineLevel="2">
      <c r="A545" s="14" t="s">
        <v>153</v>
      </c>
      <c r="B545" s="23">
        <v>46044</v>
      </c>
      <c r="C545" s="23">
        <v>46053</v>
      </c>
      <c r="D545" s="23">
        <v>46055</v>
      </c>
      <c r="E545" s="24"/>
      <c r="F545" s="23">
        <v>46050</v>
      </c>
    </row>
    <row r="546" spans="1:17" hidden="1" outlineLevel="2">
      <c r="A546" s="14" t="s">
        <v>154</v>
      </c>
      <c r="B546" s="23">
        <v>46072</v>
      </c>
      <c r="C546" s="23">
        <v>46081</v>
      </c>
      <c r="D546" s="23">
        <v>46083</v>
      </c>
      <c r="E546" s="24"/>
      <c r="F546" s="23">
        <v>46078</v>
      </c>
      <c r="G546" s="22">
        <v>46082</v>
      </c>
      <c r="H546" s="22">
        <v>46112</v>
      </c>
      <c r="I546" s="22">
        <v>46112</v>
      </c>
      <c r="J546" s="25"/>
      <c r="K546" s="25"/>
    </row>
    <row r="547" spans="1:17" hidden="1" outlineLevel="2">
      <c r="A547" s="14" t="s">
        <v>155</v>
      </c>
      <c r="B547" s="23">
        <v>46101</v>
      </c>
      <c r="C547" s="23">
        <v>46112</v>
      </c>
      <c r="D547" s="23">
        <v>46113</v>
      </c>
      <c r="E547" s="24"/>
      <c r="F547" s="23">
        <v>46108</v>
      </c>
    </row>
    <row r="548" spans="1:17" hidden="1" outlineLevel="2">
      <c r="A548" s="14" t="s">
        <v>156</v>
      </c>
      <c r="B548" s="23">
        <v>46133</v>
      </c>
      <c r="C548" s="23">
        <v>46142</v>
      </c>
      <c r="D548" s="23">
        <v>46146</v>
      </c>
      <c r="E548" s="24"/>
      <c r="F548" s="23">
        <v>46140</v>
      </c>
    </row>
    <row r="549" spans="1:17" hidden="1" outlineLevel="2">
      <c r="A549" s="14" t="s">
        <v>157</v>
      </c>
      <c r="B549" s="23">
        <v>46162</v>
      </c>
      <c r="C549" s="23">
        <v>46173</v>
      </c>
      <c r="D549" s="23">
        <v>46174</v>
      </c>
      <c r="E549" s="24"/>
      <c r="F549" s="23">
        <v>46169</v>
      </c>
      <c r="G549" s="22">
        <v>46173</v>
      </c>
      <c r="H549" s="22">
        <v>46203</v>
      </c>
      <c r="I549" s="22">
        <v>46203</v>
      </c>
      <c r="J549" s="25"/>
      <c r="K549" s="25"/>
    </row>
    <row r="550" spans="1:17" hidden="1" outlineLevel="2">
      <c r="A550" s="14" t="s">
        <v>158</v>
      </c>
      <c r="B550" s="23">
        <v>46191</v>
      </c>
      <c r="C550" s="23">
        <v>46203</v>
      </c>
      <c r="D550" s="23">
        <v>46204</v>
      </c>
      <c r="E550" s="24"/>
      <c r="F550" s="23">
        <v>46199</v>
      </c>
    </row>
    <row r="551" spans="1:17" hidden="1" outlineLevel="2">
      <c r="A551" s="14" t="s">
        <v>159</v>
      </c>
      <c r="B551" s="23">
        <v>46225</v>
      </c>
      <c r="C551" s="23">
        <v>46234</v>
      </c>
      <c r="D551" s="23">
        <v>46237</v>
      </c>
      <c r="E551" s="24"/>
      <c r="F551" s="23">
        <v>46232</v>
      </c>
    </row>
    <row r="552" spans="1:17" hidden="1" outlineLevel="2">
      <c r="A552" s="14" t="s">
        <v>160</v>
      </c>
      <c r="B552" s="23">
        <v>46254</v>
      </c>
      <c r="C552" s="23">
        <v>46265</v>
      </c>
      <c r="D552" s="23">
        <v>46266</v>
      </c>
      <c r="E552" s="24"/>
      <c r="F552" s="23">
        <v>46261</v>
      </c>
      <c r="G552" s="22">
        <v>46265</v>
      </c>
      <c r="H552" s="22">
        <v>46295</v>
      </c>
      <c r="I552" s="22">
        <v>46295</v>
      </c>
      <c r="J552" s="25"/>
      <c r="K552" s="25"/>
    </row>
    <row r="553" spans="1:17" hidden="1" outlineLevel="2">
      <c r="A553" s="14" t="s">
        <v>161</v>
      </c>
      <c r="B553" s="23">
        <v>46286</v>
      </c>
      <c r="C553" s="23">
        <v>46295</v>
      </c>
      <c r="D553" s="23">
        <v>46296</v>
      </c>
      <c r="E553" s="24"/>
      <c r="F553" s="23">
        <v>46293</v>
      </c>
    </row>
    <row r="554" spans="1:17" hidden="1" outlineLevel="2">
      <c r="A554" s="14" t="s">
        <v>162</v>
      </c>
      <c r="B554" s="23">
        <v>46317</v>
      </c>
      <c r="C554" s="23">
        <v>46326</v>
      </c>
      <c r="D554" s="23">
        <v>46328</v>
      </c>
      <c r="E554" s="24"/>
      <c r="F554" s="23">
        <v>46323</v>
      </c>
    </row>
    <row r="555" spans="1:17" hidden="1" outlineLevel="2">
      <c r="A555" s="14" t="s">
        <v>163</v>
      </c>
      <c r="B555" s="23">
        <v>46345</v>
      </c>
      <c r="C555" s="23">
        <v>46356</v>
      </c>
      <c r="D555" s="23">
        <v>46357</v>
      </c>
      <c r="E555" s="24"/>
      <c r="F555" s="23">
        <v>46352</v>
      </c>
      <c r="G555" s="22">
        <v>46357</v>
      </c>
      <c r="H555" s="22">
        <v>46387</v>
      </c>
      <c r="I555" s="22">
        <v>46387</v>
      </c>
      <c r="J555" s="25"/>
      <c r="K555" s="25"/>
    </row>
    <row r="556" spans="1:17" hidden="1" outlineLevel="2">
      <c r="A556" s="14" t="s">
        <v>204</v>
      </c>
      <c r="B556" s="23">
        <v>46377</v>
      </c>
      <c r="C556" s="23">
        <v>46387</v>
      </c>
      <c r="D556" s="23">
        <v>46391</v>
      </c>
      <c r="E556" s="24"/>
      <c r="F556" s="23">
        <v>46385</v>
      </c>
    </row>
    <row r="557" spans="1:17" ht="121.5">
      <c r="A557" s="33" t="s">
        <v>355</v>
      </c>
      <c r="B557" s="34" t="s">
        <v>356</v>
      </c>
      <c r="C557" s="35" t="s">
        <v>306</v>
      </c>
      <c r="D557" s="35"/>
      <c r="E557" s="35"/>
      <c r="F557" s="36">
        <v>6</v>
      </c>
      <c r="G557" s="35"/>
      <c r="H557" s="37"/>
      <c r="I557" s="35" t="s">
        <v>25</v>
      </c>
      <c r="J557" s="21" t="s">
        <v>227</v>
      </c>
      <c r="K557" s="21"/>
      <c r="L557" s="21"/>
      <c r="M557" s="21"/>
      <c r="N557" s="50"/>
      <c r="O557" s="21"/>
      <c r="P557" s="21" t="s">
        <v>357</v>
      </c>
      <c r="Q557" s="104" t="s">
        <v>358</v>
      </c>
    </row>
    <row r="558" spans="1:17" ht="137.25">
      <c r="A558" s="28"/>
      <c r="B558" s="29" t="s">
        <v>359</v>
      </c>
      <c r="C558" s="30" t="s">
        <v>306</v>
      </c>
      <c r="D558" s="30"/>
      <c r="E558" s="30"/>
      <c r="F558" s="31">
        <v>6</v>
      </c>
      <c r="G558" s="30"/>
      <c r="H558" s="32"/>
      <c r="I558" s="30" t="s">
        <v>25</v>
      </c>
      <c r="J558" s="49" t="s">
        <v>108</v>
      </c>
      <c r="K558" s="20"/>
      <c r="L558" s="20"/>
      <c r="M558" s="20"/>
      <c r="N558" s="49"/>
      <c r="O558" s="20"/>
      <c r="P558" s="20" t="s">
        <v>357</v>
      </c>
      <c r="Q558" s="101" t="s">
        <v>360</v>
      </c>
    </row>
    <row r="559" spans="1:17" ht="106.5">
      <c r="A559" s="33" t="s">
        <v>361</v>
      </c>
      <c r="B559" s="34" t="s">
        <v>362</v>
      </c>
      <c r="C559" s="35" t="s">
        <v>306</v>
      </c>
      <c r="D559" s="35"/>
      <c r="E559" s="35"/>
      <c r="F559" s="36">
        <v>6</v>
      </c>
      <c r="G559" s="35"/>
      <c r="H559" s="37"/>
      <c r="I559" s="35" t="s">
        <v>25</v>
      </c>
      <c r="J559" s="50" t="s">
        <v>108</v>
      </c>
      <c r="K559" s="21"/>
      <c r="L559" s="21"/>
      <c r="M559" s="21"/>
      <c r="N559" s="50"/>
      <c r="O559" s="21"/>
      <c r="P559" s="21" t="s">
        <v>363</v>
      </c>
      <c r="Q559" s="104" t="s">
        <v>364</v>
      </c>
    </row>
    <row r="560" spans="1:17" ht="121.5">
      <c r="A560" s="28" t="s">
        <v>365</v>
      </c>
      <c r="B560" s="29" t="s">
        <v>366</v>
      </c>
      <c r="C560" s="30" t="s">
        <v>306</v>
      </c>
      <c r="D560" s="30"/>
      <c r="E560" s="30"/>
      <c r="F560" s="31">
        <v>6</v>
      </c>
      <c r="G560" s="30"/>
      <c r="H560" s="32"/>
      <c r="I560" s="30" t="s">
        <v>25</v>
      </c>
      <c r="J560" s="49" t="s">
        <v>108</v>
      </c>
      <c r="K560" s="20"/>
      <c r="L560" s="20"/>
      <c r="M560" s="20"/>
      <c r="N560" s="49"/>
      <c r="O560" s="20"/>
      <c r="P560" s="20" t="s">
        <v>357</v>
      </c>
      <c r="Q560" s="101" t="s">
        <v>367</v>
      </c>
    </row>
    <row r="561" spans="1:22">
      <c r="A561" s="33"/>
      <c r="B561" s="34" t="s">
        <v>368</v>
      </c>
      <c r="C561" s="35" t="s">
        <v>306</v>
      </c>
      <c r="D561" s="35"/>
      <c r="E561" s="35"/>
      <c r="F561" s="36">
        <v>7</v>
      </c>
      <c r="G561" s="35"/>
      <c r="H561" s="37"/>
      <c r="I561" s="35" t="s">
        <v>25</v>
      </c>
      <c r="J561" s="50" t="s">
        <v>108</v>
      </c>
      <c r="K561" s="21"/>
      <c r="L561" s="21"/>
      <c r="M561" s="21"/>
      <c r="N561" s="50"/>
      <c r="O561" s="21"/>
      <c r="P561" s="21"/>
      <c r="Q561" s="103" t="s">
        <v>108</v>
      </c>
      <c r="V561" t="s">
        <v>369</v>
      </c>
    </row>
    <row r="562" spans="1:22">
      <c r="A562" s="28"/>
      <c r="B562" s="29" t="s">
        <v>370</v>
      </c>
      <c r="C562" s="30" t="s">
        <v>306</v>
      </c>
      <c r="D562" s="30"/>
      <c r="E562" s="30"/>
      <c r="F562" s="31">
        <v>6</v>
      </c>
      <c r="G562" s="30"/>
      <c r="H562" s="32"/>
      <c r="I562" s="30" t="s">
        <v>25</v>
      </c>
      <c r="J562" s="49" t="s">
        <v>108</v>
      </c>
      <c r="K562" s="20"/>
      <c r="L562" s="20"/>
      <c r="M562" s="20"/>
      <c r="N562" s="49"/>
      <c r="O562" s="20"/>
      <c r="P562" s="20"/>
      <c r="Q562" s="102" t="s">
        <v>108</v>
      </c>
      <c r="V562" t="s">
        <v>369</v>
      </c>
    </row>
    <row r="563" spans="1:22">
      <c r="A563" s="33"/>
      <c r="B563" s="34" t="s">
        <v>371</v>
      </c>
      <c r="C563" s="35" t="s">
        <v>306</v>
      </c>
      <c r="D563" s="35"/>
      <c r="E563" s="35"/>
      <c r="F563" s="36">
        <v>6</v>
      </c>
      <c r="G563" s="35"/>
      <c r="H563" s="37" t="s">
        <v>372</v>
      </c>
      <c r="I563" s="35" t="s">
        <v>25</v>
      </c>
      <c r="J563" s="50" t="s">
        <v>108</v>
      </c>
      <c r="K563" s="21"/>
      <c r="L563" s="21"/>
      <c r="M563" s="21"/>
      <c r="N563" s="50"/>
      <c r="O563" s="21"/>
      <c r="P563" s="21"/>
      <c r="Q563" s="103" t="s">
        <v>108</v>
      </c>
      <c r="V563" t="s">
        <v>369</v>
      </c>
    </row>
    <row r="564" spans="1:22" collapsed="1">
      <c r="A564" s="28" t="s">
        <v>373</v>
      </c>
      <c r="B564" s="29" t="s">
        <v>374</v>
      </c>
      <c r="C564" s="30" t="s">
        <v>306</v>
      </c>
      <c r="D564" s="30"/>
      <c r="E564" s="30"/>
      <c r="F564" s="31">
        <v>4</v>
      </c>
      <c r="G564" s="30"/>
      <c r="H564" s="32"/>
      <c r="I564" s="30" t="s">
        <v>25</v>
      </c>
      <c r="J564" s="40" t="str">
        <f ca="1">IF(MAX(B566:B587,G566:G587)=0,"—",IF(MAX(B566:B587,G566:G587)&lt;TODAY(),"À renouveler","À jour"))</f>
        <v>À jour</v>
      </c>
      <c r="K564" s="41" t="str">
        <f ca="1">IFERROR(IF(_xlfn.MINIFS(B566:B587,B566:B587,"&gt;="&amp;TODAY())=0,"",_xlfn.MINIFS(B566:B587,B566:B587,"&gt;="&amp;TODAY())),"")</f>
        <v/>
      </c>
      <c r="L564" s="41">
        <f ca="1">IFERROR(IF(_xlfn.MINIFS(G566:G587,G566:G587,"&gt;="&amp;TODAY())=0,"",_xlfn.MINIFS(G566:G587,G566:G587,"&gt;="&amp;TODAY())),"")</f>
        <v>46295</v>
      </c>
      <c r="M564" s="41">
        <f ca="1">IFERROR(IF(_xlfn.MINIFS(K566:K587,G566:G587,"&gt;="&amp;TODAY())=0,"",_xlfn.MINIFS(K566:K587,G566:G587,"&gt;="&amp;TODAY())),"")</f>
        <v>46386</v>
      </c>
      <c r="N564" s="49"/>
      <c r="O564" s="13" t="s">
        <v>129</v>
      </c>
      <c r="P564" s="38"/>
      <c r="Q564" s="97"/>
      <c r="V564" t="s">
        <v>215</v>
      </c>
    </row>
    <row r="565" spans="1:22" hidden="1" outlineLevel="1">
      <c r="A565" s="42" t="s">
        <v>131</v>
      </c>
      <c r="B565" s="42" t="s">
        <v>132</v>
      </c>
      <c r="C565" s="42" t="s">
        <v>133</v>
      </c>
      <c r="D565" s="42" t="s">
        <v>134</v>
      </c>
      <c r="E565" s="42" t="s">
        <v>135</v>
      </c>
      <c r="F565" s="42" t="s">
        <v>136</v>
      </c>
      <c r="G565" s="42" t="s">
        <v>137</v>
      </c>
      <c r="H565" s="42" t="s">
        <v>138</v>
      </c>
      <c r="I565" s="42" t="s">
        <v>139</v>
      </c>
      <c r="J565" s="42" t="s">
        <v>140</v>
      </c>
      <c r="K565" s="42" t="s">
        <v>141</v>
      </c>
    </row>
    <row r="566" spans="1:22" hidden="1" outlineLevel="1">
      <c r="A566" s="14" t="s">
        <v>142</v>
      </c>
      <c r="G566" s="22">
        <v>45688</v>
      </c>
      <c r="H566" s="22">
        <v>45747</v>
      </c>
      <c r="I566" s="22">
        <v>45747</v>
      </c>
      <c r="J566" s="22">
        <v>45775</v>
      </c>
      <c r="K566" s="22">
        <v>45779</v>
      </c>
    </row>
    <row r="567" spans="1:22" hidden="1" outlineLevel="1">
      <c r="A567" s="14" t="s">
        <v>143</v>
      </c>
      <c r="G567" s="22">
        <v>45716</v>
      </c>
      <c r="H567" s="22">
        <v>45777</v>
      </c>
      <c r="I567" s="22">
        <v>45777</v>
      </c>
      <c r="J567" s="22">
        <v>45805</v>
      </c>
      <c r="K567" s="22">
        <v>45811</v>
      </c>
    </row>
    <row r="568" spans="1:22" hidden="1" outlineLevel="1">
      <c r="A568" s="14" t="s">
        <v>144</v>
      </c>
      <c r="G568" s="22">
        <v>45747</v>
      </c>
      <c r="H568" s="22">
        <v>45807</v>
      </c>
      <c r="I568" s="22">
        <v>45807</v>
      </c>
      <c r="J568" s="22">
        <v>45835</v>
      </c>
      <c r="K568" s="22">
        <v>45840</v>
      </c>
    </row>
    <row r="569" spans="1:22" hidden="1" outlineLevel="1">
      <c r="A569" s="14" t="s">
        <v>145</v>
      </c>
      <c r="G569" s="22">
        <v>45777</v>
      </c>
      <c r="H569" s="22">
        <v>45838</v>
      </c>
      <c r="I569" s="22">
        <v>45838</v>
      </c>
      <c r="J569" s="22">
        <v>45862</v>
      </c>
      <c r="K569" s="22">
        <v>45867</v>
      </c>
    </row>
    <row r="570" spans="1:22" hidden="1" outlineLevel="1">
      <c r="A570" s="14" t="s">
        <v>146</v>
      </c>
      <c r="G570" s="22">
        <v>45807</v>
      </c>
      <c r="H570" s="22">
        <v>45869</v>
      </c>
      <c r="I570" s="22">
        <v>45869</v>
      </c>
      <c r="J570" s="22">
        <v>45896</v>
      </c>
      <c r="K570" s="22">
        <v>45901</v>
      </c>
    </row>
    <row r="571" spans="1:22" hidden="1" outlineLevel="1" collapsed="1">
      <c r="A571" s="14" t="s">
        <v>147</v>
      </c>
      <c r="G571" s="22">
        <v>45838</v>
      </c>
      <c r="H571" s="22">
        <v>45898</v>
      </c>
      <c r="I571" s="22">
        <v>45898</v>
      </c>
      <c r="J571" s="22">
        <v>45924</v>
      </c>
      <c r="K571" s="22">
        <v>45929</v>
      </c>
    </row>
    <row r="572" spans="1:22" hidden="1" outlineLevel="1">
      <c r="A572" s="14" t="s">
        <v>148</v>
      </c>
      <c r="G572" s="22">
        <v>45869</v>
      </c>
      <c r="H572" s="22">
        <v>45930</v>
      </c>
      <c r="I572" s="22">
        <v>45930</v>
      </c>
      <c r="J572" s="22">
        <v>45954</v>
      </c>
      <c r="K572" s="22">
        <v>45959</v>
      </c>
    </row>
    <row r="573" spans="1:22" hidden="1" outlineLevel="1">
      <c r="A573" s="14" t="s">
        <v>149</v>
      </c>
      <c r="G573" s="22">
        <v>45898</v>
      </c>
      <c r="H573" s="22">
        <v>45961</v>
      </c>
      <c r="I573" s="22">
        <v>45961</v>
      </c>
      <c r="J573" s="22">
        <v>45987</v>
      </c>
      <c r="K573" s="22">
        <v>45992</v>
      </c>
    </row>
    <row r="574" spans="1:22" hidden="1" outlineLevel="1">
      <c r="A574" s="14" t="s">
        <v>150</v>
      </c>
      <c r="G574" s="22">
        <v>45930</v>
      </c>
      <c r="H574" s="22">
        <v>45989</v>
      </c>
      <c r="I574" s="22">
        <v>45989</v>
      </c>
      <c r="J574" s="22">
        <v>46020</v>
      </c>
      <c r="K574" s="22">
        <v>46024</v>
      </c>
    </row>
    <row r="575" spans="1:22" hidden="1" outlineLevel="1">
      <c r="A575" s="14" t="s">
        <v>151</v>
      </c>
      <c r="G575" s="22">
        <v>45961</v>
      </c>
      <c r="H575" s="22">
        <v>46022</v>
      </c>
      <c r="I575" s="22">
        <v>46022</v>
      </c>
      <c r="J575" s="22">
        <v>46049</v>
      </c>
      <c r="K575" s="22">
        <v>46052</v>
      </c>
    </row>
    <row r="576" spans="1:22" hidden="1" outlineLevel="1">
      <c r="A576" s="14" t="s">
        <v>152</v>
      </c>
      <c r="G576" s="22">
        <v>45989</v>
      </c>
      <c r="H576" s="22">
        <v>46052</v>
      </c>
      <c r="I576" s="22">
        <v>46052</v>
      </c>
      <c r="J576" s="22">
        <v>46078</v>
      </c>
      <c r="K576" s="22">
        <v>46083</v>
      </c>
    </row>
    <row r="577" spans="1:17" hidden="1" outlineLevel="1">
      <c r="A577" s="14" t="s">
        <v>153</v>
      </c>
      <c r="G577" s="22">
        <v>46022</v>
      </c>
      <c r="H577" s="22">
        <v>46080</v>
      </c>
      <c r="I577" s="22">
        <v>46080</v>
      </c>
      <c r="J577" s="22">
        <v>46106</v>
      </c>
      <c r="K577" s="22">
        <v>46111</v>
      </c>
    </row>
    <row r="578" spans="1:17" hidden="1" outlineLevel="1">
      <c r="A578" s="14" t="s">
        <v>154</v>
      </c>
      <c r="G578" s="22">
        <v>46052</v>
      </c>
      <c r="H578" s="22">
        <v>46112</v>
      </c>
      <c r="I578" s="22">
        <v>46112</v>
      </c>
      <c r="J578" s="22">
        <v>46140</v>
      </c>
      <c r="K578" s="22">
        <v>46146</v>
      </c>
    </row>
    <row r="579" spans="1:17" hidden="1" outlineLevel="1">
      <c r="A579" s="14" t="s">
        <v>155</v>
      </c>
      <c r="G579" s="22">
        <v>46080</v>
      </c>
      <c r="H579" s="22">
        <v>46142</v>
      </c>
      <c r="I579" s="22">
        <v>46142</v>
      </c>
      <c r="J579" s="22">
        <v>46171</v>
      </c>
      <c r="K579" s="22">
        <v>46176</v>
      </c>
    </row>
    <row r="580" spans="1:17" hidden="1" outlineLevel="1">
      <c r="A580" s="14" t="s">
        <v>156</v>
      </c>
      <c r="G580" s="22">
        <v>46112</v>
      </c>
      <c r="H580" s="22">
        <v>46171</v>
      </c>
      <c r="I580" s="22">
        <v>46171</v>
      </c>
      <c r="J580" s="22">
        <v>46198</v>
      </c>
      <c r="K580" s="22">
        <v>46203</v>
      </c>
    </row>
    <row r="581" spans="1:17" hidden="1" outlineLevel="1">
      <c r="A581" s="14" t="s">
        <v>157</v>
      </c>
      <c r="G581" s="22">
        <v>46142</v>
      </c>
      <c r="H581" s="22">
        <v>46203</v>
      </c>
      <c r="I581" s="22">
        <v>46203</v>
      </c>
      <c r="J581" s="22">
        <v>46227</v>
      </c>
      <c r="K581" s="22">
        <v>46232</v>
      </c>
    </row>
    <row r="582" spans="1:17" hidden="1" outlineLevel="1">
      <c r="A582" s="14" t="s">
        <v>158</v>
      </c>
      <c r="G582" s="22">
        <v>46171</v>
      </c>
      <c r="H582" s="22">
        <v>46234</v>
      </c>
      <c r="I582" s="22">
        <v>46234</v>
      </c>
      <c r="J582" s="22">
        <v>46260</v>
      </c>
      <c r="K582" s="22">
        <v>46265</v>
      </c>
    </row>
    <row r="583" spans="1:17" hidden="1" outlineLevel="1">
      <c r="A583" s="14" t="s">
        <v>159</v>
      </c>
      <c r="G583" s="22">
        <v>46203</v>
      </c>
      <c r="H583" s="22">
        <v>46265</v>
      </c>
      <c r="I583" s="22">
        <v>46265</v>
      </c>
      <c r="J583" s="22">
        <v>46289</v>
      </c>
      <c r="K583" s="22">
        <v>46294</v>
      </c>
    </row>
    <row r="584" spans="1:17" hidden="1" outlineLevel="1">
      <c r="A584" s="14" t="s">
        <v>160</v>
      </c>
      <c r="G584" s="22">
        <v>46234</v>
      </c>
      <c r="H584" s="22">
        <v>46295</v>
      </c>
      <c r="I584" s="22">
        <v>46295</v>
      </c>
      <c r="J584" s="22">
        <v>46321</v>
      </c>
      <c r="K584" s="22">
        <v>46324</v>
      </c>
    </row>
    <row r="585" spans="1:17" hidden="1" outlineLevel="1">
      <c r="A585" s="14" t="s">
        <v>161</v>
      </c>
      <c r="G585" s="22">
        <v>46265</v>
      </c>
      <c r="H585" s="22">
        <v>46325</v>
      </c>
      <c r="I585" s="22">
        <v>46325</v>
      </c>
      <c r="J585" s="22">
        <v>46351</v>
      </c>
      <c r="K585" s="22">
        <v>46356</v>
      </c>
    </row>
    <row r="586" spans="1:17" hidden="1" outlineLevel="1">
      <c r="A586" s="14" t="s">
        <v>162</v>
      </c>
      <c r="G586" s="22">
        <v>46295</v>
      </c>
      <c r="H586" s="22">
        <v>46356</v>
      </c>
      <c r="I586" s="22">
        <v>46356</v>
      </c>
      <c r="J586" s="22">
        <v>46380</v>
      </c>
      <c r="K586" s="22">
        <v>46386</v>
      </c>
    </row>
    <row r="587" spans="1:17" hidden="1" outlineLevel="1">
      <c r="A587" s="14" t="s">
        <v>163</v>
      </c>
      <c r="G587" s="22">
        <v>46325</v>
      </c>
      <c r="H587" s="22">
        <v>46387</v>
      </c>
      <c r="I587" s="22">
        <v>46387</v>
      </c>
      <c r="J587" s="22">
        <v>46414</v>
      </c>
      <c r="K587" s="22">
        <v>46419</v>
      </c>
    </row>
    <row r="588" spans="1:17" ht="100.5" collapsed="1">
      <c r="A588" s="33" t="s">
        <v>375</v>
      </c>
      <c r="B588" s="34" t="s">
        <v>376</v>
      </c>
      <c r="C588" s="35" t="s">
        <v>306</v>
      </c>
      <c r="D588" s="35"/>
      <c r="E588" s="35"/>
      <c r="F588" s="36">
        <v>4</v>
      </c>
      <c r="G588" s="35"/>
      <c r="H588" s="37"/>
      <c r="I588" s="35" t="s">
        <v>25</v>
      </c>
      <c r="J588" s="43" t="str">
        <f ca="1">IF(MAX(B590:B611,G590:G611)=0,"—",IF(MAX(B590:B611,G590:G611)&lt;TODAY(),"À renouveler","À jour"))</f>
        <v>À jour</v>
      </c>
      <c r="K588" s="44" t="str">
        <f ca="1">IFERROR(IF(_xlfn.MINIFS(B590:B611,B590:B611,"&gt;="&amp;TODAY())=0,"",_xlfn.MINIFS(B590:B611,B590:B611,"&gt;="&amp;TODAY())),"")</f>
        <v/>
      </c>
      <c r="L588" s="44">
        <f ca="1">IFERROR(IF(_xlfn.MINIFS(G590:G611,G590:G611,"&gt;="&amp;TODAY())=0,"",_xlfn.MINIFS(G590:G611,G590:G611,"&gt;="&amp;TODAY())),"")</f>
        <v>46295</v>
      </c>
      <c r="M588" s="44">
        <f ca="1">IFERROR(IF(_xlfn.MINIFS(K590:K611,G590:G611,"&gt;="&amp;TODAY())=0,"",_xlfn.MINIFS(K590:K611,G590:G611,"&gt;="&amp;TODAY())),"")</f>
        <v>46386</v>
      </c>
      <c r="N588" s="50"/>
      <c r="O588" s="13" t="s">
        <v>129</v>
      </c>
      <c r="P588" s="111" t="s">
        <v>270</v>
      </c>
      <c r="Q588" s="100" t="s">
        <v>377</v>
      </c>
    </row>
    <row r="589" spans="1:17" hidden="1" outlineLevel="1">
      <c r="A589" s="42" t="s">
        <v>131</v>
      </c>
      <c r="B589" s="42" t="s">
        <v>132</v>
      </c>
      <c r="C589" s="42" t="s">
        <v>133</v>
      </c>
      <c r="D589" s="42" t="s">
        <v>134</v>
      </c>
      <c r="E589" s="42" t="s">
        <v>135</v>
      </c>
      <c r="F589" s="42" t="s">
        <v>136</v>
      </c>
      <c r="G589" s="42" t="s">
        <v>137</v>
      </c>
      <c r="H589" s="42" t="s">
        <v>138</v>
      </c>
      <c r="I589" s="42" t="s">
        <v>139</v>
      </c>
      <c r="J589" s="42" t="s">
        <v>140</v>
      </c>
      <c r="K589" s="42" t="s">
        <v>141</v>
      </c>
    </row>
    <row r="590" spans="1:17" hidden="1" outlineLevel="1">
      <c r="A590" s="14" t="s">
        <v>142</v>
      </c>
      <c r="G590" s="22">
        <v>45688</v>
      </c>
      <c r="H590" s="22">
        <v>45747</v>
      </c>
      <c r="I590" s="22">
        <v>45747</v>
      </c>
      <c r="J590" s="22">
        <v>45775</v>
      </c>
      <c r="K590" s="22">
        <v>45779</v>
      </c>
    </row>
    <row r="591" spans="1:17" hidden="1" outlineLevel="1">
      <c r="A591" s="14" t="s">
        <v>143</v>
      </c>
      <c r="G591" s="22">
        <v>45716</v>
      </c>
      <c r="H591" s="22">
        <v>45777</v>
      </c>
      <c r="I591" s="22">
        <v>45777</v>
      </c>
      <c r="J591" s="22">
        <v>45805</v>
      </c>
      <c r="K591" s="22">
        <v>45811</v>
      </c>
    </row>
    <row r="592" spans="1:17" hidden="1" outlineLevel="1">
      <c r="A592" s="14" t="s">
        <v>144</v>
      </c>
      <c r="G592" s="22">
        <v>45747</v>
      </c>
      <c r="H592" s="22">
        <v>45807</v>
      </c>
      <c r="I592" s="22">
        <v>45807</v>
      </c>
      <c r="J592" s="22">
        <v>45835</v>
      </c>
      <c r="K592" s="22">
        <v>45840</v>
      </c>
    </row>
    <row r="593" spans="1:11" hidden="1" outlineLevel="1">
      <c r="A593" s="14" t="s">
        <v>145</v>
      </c>
      <c r="G593" s="22">
        <v>45777</v>
      </c>
      <c r="H593" s="22">
        <v>45838</v>
      </c>
      <c r="I593" s="22">
        <v>45838</v>
      </c>
      <c r="J593" s="22">
        <v>45862</v>
      </c>
      <c r="K593" s="22">
        <v>45867</v>
      </c>
    </row>
    <row r="594" spans="1:11" hidden="1" outlineLevel="1">
      <c r="A594" s="14" t="s">
        <v>146</v>
      </c>
      <c r="G594" s="22">
        <v>45807</v>
      </c>
      <c r="H594" s="22">
        <v>45869</v>
      </c>
      <c r="I594" s="22">
        <v>45869</v>
      </c>
      <c r="J594" s="22">
        <v>45896</v>
      </c>
      <c r="K594" s="22">
        <v>45901</v>
      </c>
    </row>
    <row r="595" spans="1:11" hidden="1" outlineLevel="1" collapsed="1">
      <c r="A595" s="14" t="s">
        <v>147</v>
      </c>
      <c r="G595" s="22">
        <v>45838</v>
      </c>
      <c r="H595" s="22">
        <v>45898</v>
      </c>
      <c r="I595" s="22">
        <v>45898</v>
      </c>
      <c r="J595" s="22">
        <v>45924</v>
      </c>
      <c r="K595" s="22">
        <v>45929</v>
      </c>
    </row>
    <row r="596" spans="1:11" hidden="1" outlineLevel="1">
      <c r="A596" s="14" t="s">
        <v>148</v>
      </c>
      <c r="G596" s="22">
        <v>45869</v>
      </c>
      <c r="H596" s="22">
        <v>45930</v>
      </c>
      <c r="I596" s="22">
        <v>45930</v>
      </c>
      <c r="J596" s="22">
        <v>45954</v>
      </c>
      <c r="K596" s="22">
        <v>45959</v>
      </c>
    </row>
    <row r="597" spans="1:11" hidden="1" outlineLevel="1">
      <c r="A597" s="14" t="s">
        <v>149</v>
      </c>
      <c r="G597" s="22">
        <v>45898</v>
      </c>
      <c r="H597" s="22">
        <v>45961</v>
      </c>
      <c r="I597" s="22">
        <v>45961</v>
      </c>
      <c r="J597" s="22">
        <v>45987</v>
      </c>
      <c r="K597" s="22">
        <v>45992</v>
      </c>
    </row>
    <row r="598" spans="1:11" hidden="1" outlineLevel="1">
      <c r="A598" s="14" t="s">
        <v>150</v>
      </c>
      <c r="G598" s="22">
        <v>45930</v>
      </c>
      <c r="H598" s="22">
        <v>45989</v>
      </c>
      <c r="I598" s="22">
        <v>45989</v>
      </c>
      <c r="J598" s="22">
        <v>46020</v>
      </c>
      <c r="K598" s="22">
        <v>46024</v>
      </c>
    </row>
    <row r="599" spans="1:11" hidden="1" outlineLevel="1">
      <c r="A599" s="14" t="s">
        <v>151</v>
      </c>
      <c r="G599" s="22">
        <v>45961</v>
      </c>
      <c r="H599" s="22">
        <v>46022</v>
      </c>
      <c r="I599" s="22">
        <v>46022</v>
      </c>
      <c r="J599" s="22">
        <v>46049</v>
      </c>
      <c r="K599" s="22">
        <v>46052</v>
      </c>
    </row>
    <row r="600" spans="1:11" hidden="1" outlineLevel="1">
      <c r="A600" s="14" t="s">
        <v>152</v>
      </c>
      <c r="G600" s="22">
        <v>45989</v>
      </c>
      <c r="H600" s="22">
        <v>46052</v>
      </c>
      <c r="I600" s="22">
        <v>46052</v>
      </c>
      <c r="J600" s="22">
        <v>46078</v>
      </c>
      <c r="K600" s="22">
        <v>46083</v>
      </c>
    </row>
    <row r="601" spans="1:11" hidden="1" outlineLevel="1">
      <c r="A601" s="14" t="s">
        <v>153</v>
      </c>
      <c r="G601" s="22">
        <v>46022</v>
      </c>
      <c r="H601" s="22">
        <v>46080</v>
      </c>
      <c r="I601" s="22">
        <v>46080</v>
      </c>
      <c r="J601" s="22">
        <v>46106</v>
      </c>
      <c r="K601" s="22">
        <v>46111</v>
      </c>
    </row>
    <row r="602" spans="1:11" hidden="1" outlineLevel="1">
      <c r="A602" s="14" t="s">
        <v>154</v>
      </c>
      <c r="G602" s="22">
        <v>46052</v>
      </c>
      <c r="H602" s="22">
        <v>46112</v>
      </c>
      <c r="I602" s="22">
        <v>46112</v>
      </c>
      <c r="J602" s="22">
        <v>46140</v>
      </c>
      <c r="K602" s="22">
        <v>46146</v>
      </c>
    </row>
    <row r="603" spans="1:11" hidden="1" outlineLevel="1">
      <c r="A603" s="14" t="s">
        <v>155</v>
      </c>
      <c r="G603" s="22">
        <v>46080</v>
      </c>
      <c r="H603" s="22">
        <v>46142</v>
      </c>
      <c r="I603" s="22">
        <v>46142</v>
      </c>
      <c r="J603" s="22">
        <v>46171</v>
      </c>
      <c r="K603" s="22">
        <v>46176</v>
      </c>
    </row>
    <row r="604" spans="1:11" hidden="1" outlineLevel="1">
      <c r="A604" s="14" t="s">
        <v>156</v>
      </c>
      <c r="G604" s="22">
        <v>46112</v>
      </c>
      <c r="H604" s="22">
        <v>46171</v>
      </c>
      <c r="I604" s="22">
        <v>46171</v>
      </c>
      <c r="J604" s="22">
        <v>46198</v>
      </c>
      <c r="K604" s="22">
        <v>46203</v>
      </c>
    </row>
    <row r="605" spans="1:11" hidden="1" outlineLevel="1">
      <c r="A605" s="14" t="s">
        <v>157</v>
      </c>
      <c r="G605" s="22">
        <v>46142</v>
      </c>
      <c r="H605" s="22">
        <v>46203</v>
      </c>
      <c r="I605" s="22">
        <v>46203</v>
      </c>
      <c r="J605" s="22">
        <v>46227</v>
      </c>
      <c r="K605" s="22">
        <v>46232</v>
      </c>
    </row>
    <row r="606" spans="1:11" hidden="1" outlineLevel="1">
      <c r="A606" s="14" t="s">
        <v>158</v>
      </c>
      <c r="G606" s="22">
        <v>46171</v>
      </c>
      <c r="H606" s="22">
        <v>46234</v>
      </c>
      <c r="I606" s="22">
        <v>46234</v>
      </c>
      <c r="J606" s="22">
        <v>46260</v>
      </c>
      <c r="K606" s="22">
        <v>46265</v>
      </c>
    </row>
    <row r="607" spans="1:11" hidden="1" outlineLevel="1">
      <c r="A607" s="14" t="s">
        <v>159</v>
      </c>
      <c r="G607" s="22">
        <v>46203</v>
      </c>
      <c r="H607" s="22">
        <v>46265</v>
      </c>
      <c r="I607" s="22">
        <v>46265</v>
      </c>
      <c r="J607" s="22">
        <v>46289</v>
      </c>
      <c r="K607" s="22">
        <v>46294</v>
      </c>
    </row>
    <row r="608" spans="1:11" hidden="1" outlineLevel="1">
      <c r="A608" s="14" t="s">
        <v>160</v>
      </c>
      <c r="G608" s="22">
        <v>46234</v>
      </c>
      <c r="H608" s="22">
        <v>46295</v>
      </c>
      <c r="I608" s="22">
        <v>46295</v>
      </c>
      <c r="J608" s="22">
        <v>46321</v>
      </c>
      <c r="K608" s="22">
        <v>46324</v>
      </c>
    </row>
    <row r="609" spans="1:17" hidden="1" outlineLevel="1">
      <c r="A609" s="14" t="s">
        <v>161</v>
      </c>
      <c r="G609" s="22">
        <v>46265</v>
      </c>
      <c r="H609" s="22">
        <v>46325</v>
      </c>
      <c r="I609" s="22">
        <v>46325</v>
      </c>
      <c r="J609" s="22">
        <v>46351</v>
      </c>
      <c r="K609" s="22">
        <v>46356</v>
      </c>
    </row>
    <row r="610" spans="1:17" hidden="1" outlineLevel="1">
      <c r="A610" s="14" t="s">
        <v>162</v>
      </c>
      <c r="G610" s="22">
        <v>46295</v>
      </c>
      <c r="H610" s="22">
        <v>46356</v>
      </c>
      <c r="I610" s="22">
        <v>46356</v>
      </c>
      <c r="J610" s="22">
        <v>46380</v>
      </c>
      <c r="K610" s="22">
        <v>46386</v>
      </c>
    </row>
    <row r="611" spans="1:17" hidden="1" outlineLevel="1">
      <c r="A611" s="14" t="s">
        <v>163</v>
      </c>
      <c r="G611" s="22">
        <v>46325</v>
      </c>
      <c r="H611" s="22">
        <v>46387</v>
      </c>
      <c r="I611" s="22">
        <v>46387</v>
      </c>
      <c r="J611" s="22">
        <v>46414</v>
      </c>
      <c r="K611" s="22">
        <v>46419</v>
      </c>
    </row>
    <row r="612" spans="1:17" ht="88.5" collapsed="1">
      <c r="A612" s="28" t="s">
        <v>378</v>
      </c>
      <c r="B612" s="29" t="s">
        <v>379</v>
      </c>
      <c r="C612" s="30" t="s">
        <v>306</v>
      </c>
      <c r="D612" s="30"/>
      <c r="E612" s="30"/>
      <c r="F612" s="31">
        <v>5</v>
      </c>
      <c r="G612" s="30"/>
      <c r="H612" s="32"/>
      <c r="I612" s="30" t="s">
        <v>25</v>
      </c>
      <c r="J612" s="40" t="str">
        <f ca="1">IF(MAX(B614:B626,G614:G626)=0,"—",IF(MAX(B614:B626,G614:G626)&lt;TODAY(),"À renouveler","À jour"))</f>
        <v>À jour</v>
      </c>
      <c r="K612" s="41">
        <f ca="1">IFERROR(IF(_xlfn.MINIFS(B614:B626,B614:B626,"&gt;="&amp;TODAY())=0,"",_xlfn.MINIFS(B614:B626,B614:B626,"&gt;="&amp;TODAY())),"")</f>
        <v>46287</v>
      </c>
      <c r="L612" s="41">
        <f ca="1">IFERROR(IF(_xlfn.MINIFS(G614:G626,G614:G626,"&gt;="&amp;TODAY())=0,"",_xlfn.MINIFS(G614:G626,G614:G626,"&gt;="&amp;TODAY())),"")</f>
        <v>46356</v>
      </c>
      <c r="M612" s="41">
        <f ca="1">IFERROR(IF(_xlfn.MINIFS(K614:K626,G614:G626,"&gt;="&amp;TODAY())=0,"",_xlfn.MINIFS(K614:K626,G614:G626,"&gt;="&amp;TODAY())),"")</f>
        <v>46427</v>
      </c>
      <c r="N612" s="49"/>
      <c r="O612" s="13" t="s">
        <v>129</v>
      </c>
      <c r="P612" s="110" t="s">
        <v>212</v>
      </c>
      <c r="Q612" s="97" t="s">
        <v>380</v>
      </c>
    </row>
    <row r="613" spans="1:17" hidden="1" outlineLevel="2">
      <c r="A613" s="42" t="s">
        <v>131</v>
      </c>
      <c r="B613" s="42" t="s">
        <v>132</v>
      </c>
      <c r="C613" s="42" t="s">
        <v>133</v>
      </c>
      <c r="D613" s="42" t="s">
        <v>134</v>
      </c>
      <c r="E613" s="42" t="s">
        <v>135</v>
      </c>
      <c r="F613" s="42" t="s">
        <v>136</v>
      </c>
      <c r="G613" s="42" t="s">
        <v>137</v>
      </c>
      <c r="H613" s="42" t="s">
        <v>138</v>
      </c>
      <c r="I613" s="42" t="s">
        <v>139</v>
      </c>
      <c r="J613" s="42" t="s">
        <v>140</v>
      </c>
      <c r="K613" s="42" t="s">
        <v>141</v>
      </c>
    </row>
    <row r="614" spans="1:17" hidden="1" outlineLevel="1">
      <c r="A614" s="14" t="s">
        <v>152</v>
      </c>
      <c r="B614" s="23">
        <v>46010</v>
      </c>
      <c r="C614" s="23">
        <v>46022</v>
      </c>
      <c r="D614" s="23">
        <v>46023</v>
      </c>
      <c r="E614" s="23">
        <v>46052</v>
      </c>
      <c r="F614" s="23">
        <v>46015</v>
      </c>
    </row>
    <row r="615" spans="1:17" hidden="1" outlineLevel="1">
      <c r="A615" s="14" t="s">
        <v>153</v>
      </c>
      <c r="B615" s="23">
        <v>46045</v>
      </c>
      <c r="C615" s="23">
        <v>46053</v>
      </c>
      <c r="D615" s="23">
        <v>46054</v>
      </c>
      <c r="E615" s="23">
        <v>46084</v>
      </c>
      <c r="F615" s="23">
        <v>46050</v>
      </c>
    </row>
    <row r="616" spans="1:17" hidden="1" outlineLevel="1">
      <c r="A616" s="14" t="s">
        <v>154</v>
      </c>
      <c r="B616" s="23">
        <v>46073</v>
      </c>
      <c r="C616" s="23">
        <v>46081</v>
      </c>
      <c r="D616" s="23">
        <v>46082</v>
      </c>
      <c r="E616" s="23">
        <v>46111</v>
      </c>
      <c r="F616" s="23">
        <v>46078</v>
      </c>
      <c r="G616" s="22">
        <v>46081</v>
      </c>
      <c r="H616" s="22">
        <v>46112</v>
      </c>
      <c r="I616" s="22">
        <v>46112</v>
      </c>
      <c r="J616" s="22">
        <v>46142</v>
      </c>
      <c r="K616" s="22">
        <v>46153</v>
      </c>
    </row>
    <row r="617" spans="1:17" hidden="1" outlineLevel="1" collapsed="1">
      <c r="A617" s="14" t="s">
        <v>155</v>
      </c>
      <c r="B617" s="23">
        <v>46104</v>
      </c>
      <c r="C617" s="23">
        <v>46112</v>
      </c>
      <c r="D617" s="23">
        <v>46113</v>
      </c>
      <c r="E617" s="23">
        <v>46142</v>
      </c>
      <c r="F617" s="23">
        <v>46107</v>
      </c>
    </row>
    <row r="618" spans="1:17" hidden="1" outlineLevel="1">
      <c r="A618" s="14" t="s">
        <v>156</v>
      </c>
      <c r="B618" s="23">
        <v>46134</v>
      </c>
      <c r="C618" s="23">
        <v>46142</v>
      </c>
      <c r="D618" s="23">
        <v>46143</v>
      </c>
      <c r="E618" s="23">
        <v>46177</v>
      </c>
      <c r="F618" s="23">
        <v>46139</v>
      </c>
    </row>
    <row r="619" spans="1:17" hidden="1" outlineLevel="1">
      <c r="A619" s="14" t="s">
        <v>157</v>
      </c>
      <c r="B619" s="23">
        <v>46163</v>
      </c>
      <c r="C619" s="23">
        <v>46173</v>
      </c>
      <c r="D619" s="23">
        <v>46174</v>
      </c>
      <c r="E619" s="23">
        <v>46204</v>
      </c>
      <c r="F619" s="23">
        <v>46169</v>
      </c>
      <c r="G619" s="22">
        <v>46172</v>
      </c>
      <c r="H619" s="22">
        <v>46203</v>
      </c>
      <c r="I619" s="22">
        <v>46203</v>
      </c>
      <c r="J619" s="22">
        <v>46232</v>
      </c>
      <c r="K619" s="22">
        <v>46240</v>
      </c>
    </row>
    <row r="620" spans="1:17" hidden="1" outlineLevel="1">
      <c r="A620" s="14" t="s">
        <v>158</v>
      </c>
      <c r="B620" s="23">
        <v>46191</v>
      </c>
      <c r="C620" s="23">
        <v>46203</v>
      </c>
      <c r="D620" s="23">
        <v>46204</v>
      </c>
      <c r="E620" s="23">
        <v>46232</v>
      </c>
      <c r="F620" s="23">
        <v>46198</v>
      </c>
    </row>
    <row r="621" spans="1:17" hidden="1" outlineLevel="1">
      <c r="A621" s="14" t="s">
        <v>159</v>
      </c>
      <c r="B621" s="23">
        <v>46226</v>
      </c>
      <c r="C621" s="23">
        <v>46234</v>
      </c>
      <c r="D621" s="23">
        <v>46235</v>
      </c>
      <c r="E621" s="23">
        <v>46266</v>
      </c>
      <c r="F621" s="23">
        <v>46231</v>
      </c>
    </row>
    <row r="622" spans="1:17" hidden="1" outlineLevel="1">
      <c r="A622" s="14" t="s">
        <v>160</v>
      </c>
      <c r="B622" s="23">
        <v>46255</v>
      </c>
      <c r="C622" s="23">
        <v>46265</v>
      </c>
      <c r="D622" s="23">
        <v>46266</v>
      </c>
      <c r="E622" s="23">
        <v>46294</v>
      </c>
      <c r="F622" s="23">
        <v>46260</v>
      </c>
      <c r="G622" s="22">
        <v>46264</v>
      </c>
      <c r="H622" s="22">
        <v>46295</v>
      </c>
      <c r="I622" s="22">
        <v>46295</v>
      </c>
      <c r="J622" s="22">
        <v>46325</v>
      </c>
      <c r="K622" s="22">
        <v>46332</v>
      </c>
    </row>
    <row r="623" spans="1:17" hidden="1" outlineLevel="1">
      <c r="A623" s="14" t="s">
        <v>161</v>
      </c>
      <c r="B623" s="23">
        <v>46287</v>
      </c>
      <c r="C623" s="23">
        <v>46295</v>
      </c>
      <c r="D623" s="23">
        <v>46296</v>
      </c>
      <c r="E623" s="23">
        <v>46325</v>
      </c>
      <c r="F623" s="23">
        <v>46290</v>
      </c>
    </row>
    <row r="624" spans="1:17" hidden="1" outlineLevel="1">
      <c r="A624" s="14" t="s">
        <v>162</v>
      </c>
      <c r="B624" s="23">
        <v>46317</v>
      </c>
      <c r="C624" s="23">
        <v>46326</v>
      </c>
      <c r="D624" s="23">
        <v>46327</v>
      </c>
      <c r="E624" s="23">
        <v>46357</v>
      </c>
      <c r="F624" s="23">
        <v>46323</v>
      </c>
    </row>
    <row r="625" spans="1:22" hidden="1" outlineLevel="1">
      <c r="A625" s="14" t="s">
        <v>163</v>
      </c>
      <c r="B625" s="23">
        <v>46345</v>
      </c>
      <c r="C625" s="23">
        <v>46356</v>
      </c>
      <c r="D625" s="23">
        <v>46357</v>
      </c>
      <c r="E625" s="23">
        <v>46386</v>
      </c>
      <c r="F625" s="23">
        <v>46350</v>
      </c>
      <c r="G625" s="22">
        <v>46356</v>
      </c>
      <c r="H625" s="22">
        <v>46387</v>
      </c>
      <c r="I625" s="22">
        <v>46387</v>
      </c>
      <c r="J625" s="22">
        <v>46420</v>
      </c>
      <c r="K625" s="22">
        <v>46427</v>
      </c>
    </row>
    <row r="626" spans="1:22" hidden="1" outlineLevel="1">
      <c r="A626" s="14" t="s">
        <v>204</v>
      </c>
      <c r="B626" s="23">
        <v>46377</v>
      </c>
      <c r="C626" s="23">
        <v>46387</v>
      </c>
      <c r="D626" s="23">
        <v>46388</v>
      </c>
      <c r="E626" s="23">
        <v>46419</v>
      </c>
      <c r="F626" s="23">
        <v>46380</v>
      </c>
    </row>
    <row r="627" spans="1:22">
      <c r="A627" s="33" t="s">
        <v>381</v>
      </c>
      <c r="B627" s="34" t="s">
        <v>382</v>
      </c>
      <c r="C627" s="35" t="s">
        <v>306</v>
      </c>
      <c r="D627" s="35"/>
      <c r="E627" s="35"/>
      <c r="F627" s="36">
        <v>4</v>
      </c>
      <c r="G627" s="35"/>
      <c r="H627" s="37"/>
      <c r="I627" s="35" t="s">
        <v>25</v>
      </c>
      <c r="J627" s="21" t="s">
        <v>383</v>
      </c>
      <c r="K627" s="21"/>
      <c r="L627" s="21"/>
      <c r="M627" s="21"/>
      <c r="N627" s="50"/>
      <c r="O627" s="21"/>
      <c r="P627" s="21"/>
      <c r="Q627" s="69"/>
      <c r="V627" t="s">
        <v>215</v>
      </c>
    </row>
    <row r="628" spans="1:22">
      <c r="A628" s="28" t="s">
        <v>384</v>
      </c>
      <c r="B628" s="29" t="s">
        <v>385</v>
      </c>
      <c r="C628" s="30" t="s">
        <v>306</v>
      </c>
      <c r="D628" s="30"/>
      <c r="E628" s="30"/>
      <c r="F628" s="31">
        <v>4</v>
      </c>
      <c r="G628" s="30"/>
      <c r="H628" s="32"/>
      <c r="I628" s="30" t="s">
        <v>25</v>
      </c>
      <c r="J628" s="20" t="s">
        <v>383</v>
      </c>
      <c r="K628" s="20"/>
      <c r="L628" s="20"/>
      <c r="M628" s="20"/>
      <c r="N628" s="49"/>
      <c r="O628" s="20"/>
      <c r="P628" s="20"/>
      <c r="Q628" s="92"/>
      <c r="V628" t="s">
        <v>215</v>
      </c>
    </row>
    <row r="629" spans="1:22">
      <c r="A629" s="33" t="s">
        <v>386</v>
      </c>
      <c r="B629" s="34" t="s">
        <v>387</v>
      </c>
      <c r="C629" s="35" t="s">
        <v>306</v>
      </c>
      <c r="D629" s="35"/>
      <c r="E629" s="35"/>
      <c r="F629" s="36">
        <v>6</v>
      </c>
      <c r="G629" s="35"/>
      <c r="H629" s="37"/>
      <c r="I629" s="35" t="s">
        <v>25</v>
      </c>
      <c r="J629" s="21" t="s">
        <v>383</v>
      </c>
      <c r="K629" s="21"/>
      <c r="L629" s="21"/>
      <c r="M629" s="21"/>
      <c r="N629" s="50"/>
      <c r="O629" s="21"/>
      <c r="P629" s="21"/>
      <c r="Q629" s="69"/>
      <c r="V629" t="s">
        <v>388</v>
      </c>
    </row>
    <row r="630" spans="1:22" ht="121.5">
      <c r="A630" s="28" t="s">
        <v>389</v>
      </c>
      <c r="B630" s="29" t="s">
        <v>390</v>
      </c>
      <c r="C630" s="30" t="s">
        <v>306</v>
      </c>
      <c r="D630" s="30"/>
      <c r="E630" s="30"/>
      <c r="F630" s="31">
        <v>7</v>
      </c>
      <c r="G630" s="30"/>
      <c r="H630" s="32"/>
      <c r="I630" s="30" t="s">
        <v>25</v>
      </c>
      <c r="J630" s="49" t="s">
        <v>108</v>
      </c>
      <c r="K630" s="20"/>
      <c r="L630" s="20"/>
      <c r="M630" s="20"/>
      <c r="N630" s="49"/>
      <c r="O630" s="20"/>
      <c r="P630" s="20" t="s">
        <v>109</v>
      </c>
      <c r="Q630" s="101" t="s">
        <v>391</v>
      </c>
    </row>
    <row r="631" spans="1:22" ht="121.5">
      <c r="A631" s="33" t="s">
        <v>392</v>
      </c>
      <c r="B631" s="34" t="s">
        <v>393</v>
      </c>
      <c r="C631" s="35" t="s">
        <v>306</v>
      </c>
      <c r="D631" s="35"/>
      <c r="E631" s="35"/>
      <c r="F631" s="36">
        <v>7</v>
      </c>
      <c r="G631" s="35"/>
      <c r="H631" s="37"/>
      <c r="I631" s="35" t="s">
        <v>25</v>
      </c>
      <c r="J631" s="50" t="s">
        <v>108</v>
      </c>
      <c r="K631" s="21"/>
      <c r="L631" s="21"/>
      <c r="M631" s="21"/>
      <c r="N631" s="50"/>
      <c r="O631" s="21"/>
      <c r="P631" s="21" t="s">
        <v>357</v>
      </c>
      <c r="Q631" s="104" t="s">
        <v>394</v>
      </c>
    </row>
    <row r="632" spans="1:22" ht="106.5">
      <c r="A632" s="28" t="s">
        <v>395</v>
      </c>
      <c r="B632" s="29" t="s">
        <v>396</v>
      </c>
      <c r="C632" s="30" t="s">
        <v>306</v>
      </c>
      <c r="D632" s="30"/>
      <c r="E632" s="30"/>
      <c r="F632" s="31">
        <v>7</v>
      </c>
      <c r="G632" s="30"/>
      <c r="H632" s="32"/>
      <c r="I632" s="30" t="s">
        <v>25</v>
      </c>
      <c r="J632" s="49" t="s">
        <v>108</v>
      </c>
      <c r="K632" s="20"/>
      <c r="L632" s="20"/>
      <c r="M632" s="20"/>
      <c r="N632" s="49"/>
      <c r="O632" s="20"/>
      <c r="P632" s="94" t="s">
        <v>397</v>
      </c>
      <c r="Q632" s="87" t="s">
        <v>398</v>
      </c>
    </row>
    <row r="633" spans="1:22">
      <c r="A633" s="33" t="s">
        <v>399</v>
      </c>
      <c r="B633" s="34" t="s">
        <v>400</v>
      </c>
      <c r="C633" s="35" t="s">
        <v>306</v>
      </c>
      <c r="D633" s="35"/>
      <c r="E633" s="35"/>
      <c r="F633" s="36">
        <v>7</v>
      </c>
      <c r="G633" s="35"/>
      <c r="H633" s="37"/>
      <c r="I633" s="35" t="s">
        <v>25</v>
      </c>
      <c r="J633" s="21" t="s">
        <v>227</v>
      </c>
      <c r="K633" s="21"/>
      <c r="L633" s="21"/>
      <c r="M633" s="21"/>
      <c r="N633" s="50"/>
      <c r="O633" s="21"/>
      <c r="P633" s="94" t="s">
        <v>401</v>
      </c>
      <c r="V633" t="s">
        <v>402</v>
      </c>
    </row>
    <row r="634" spans="1:22" ht="137.25" collapsed="1">
      <c r="A634" s="28" t="s">
        <v>403</v>
      </c>
      <c r="B634" s="29" t="s">
        <v>404</v>
      </c>
      <c r="C634" s="30" t="s">
        <v>306</v>
      </c>
      <c r="D634" s="30"/>
      <c r="E634" s="30"/>
      <c r="F634" s="31">
        <v>4</v>
      </c>
      <c r="G634" s="30"/>
      <c r="H634" s="32"/>
      <c r="I634" s="30" t="s">
        <v>25</v>
      </c>
      <c r="J634" s="80" t="s">
        <v>265</v>
      </c>
      <c r="K634" s="54">
        <v>46258</v>
      </c>
      <c r="L634" s="54">
        <v>46297</v>
      </c>
      <c r="M634" s="54">
        <v>46325</v>
      </c>
      <c r="N634" s="49" t="s">
        <v>405</v>
      </c>
      <c r="O634" s="20"/>
      <c r="P634" s="20" t="s">
        <v>406</v>
      </c>
      <c r="Q634" s="101" t="s">
        <v>407</v>
      </c>
    </row>
    <row r="635" spans="1:22" hidden="1" outlineLevel="1">
      <c r="A635" s="56" t="s">
        <v>131</v>
      </c>
      <c r="B635" s="56" t="s">
        <v>132</v>
      </c>
      <c r="C635" s="56" t="s">
        <v>133</v>
      </c>
      <c r="D635" s="56" t="s">
        <v>134</v>
      </c>
      <c r="E635" s="56" t="s">
        <v>135</v>
      </c>
      <c r="F635" s="57" t="s">
        <v>136</v>
      </c>
      <c r="G635" s="56" t="s">
        <v>137</v>
      </c>
      <c r="H635" s="58" t="s">
        <v>138</v>
      </c>
      <c r="I635" s="56" t="s">
        <v>139</v>
      </c>
      <c r="J635" s="59" t="s">
        <v>140</v>
      </c>
      <c r="K635" s="59" t="s">
        <v>141</v>
      </c>
      <c r="L635" s="20"/>
      <c r="M635" s="20"/>
      <c r="N635" s="49"/>
      <c r="O635" s="20"/>
      <c r="P635" s="20"/>
      <c r="Q635" s="92"/>
    </row>
    <row r="636" spans="1:22" hidden="1" outlineLevel="1">
      <c r="A636" s="28" t="s">
        <v>152</v>
      </c>
      <c r="B636" s="41">
        <v>46045</v>
      </c>
      <c r="C636" s="55"/>
      <c r="D636" s="55">
        <v>46052</v>
      </c>
      <c r="E636" s="55">
        <v>46080</v>
      </c>
      <c r="F636" s="55">
        <v>46084</v>
      </c>
      <c r="G636" s="55"/>
      <c r="H636" s="55"/>
      <c r="I636" s="55"/>
      <c r="J636" s="54"/>
      <c r="K636" s="54"/>
      <c r="L636" s="20"/>
      <c r="M636" s="20"/>
      <c r="N636" s="49"/>
      <c r="O636" s="20"/>
      <c r="P636" s="20"/>
      <c r="Q636" s="92"/>
    </row>
    <row r="637" spans="1:22" hidden="1" outlineLevel="1">
      <c r="A637" s="28" t="s">
        <v>153</v>
      </c>
      <c r="B637" s="41">
        <v>46073</v>
      </c>
      <c r="C637" s="55"/>
      <c r="D637" s="55">
        <v>46080</v>
      </c>
      <c r="E637" s="55">
        <v>46108</v>
      </c>
      <c r="F637" s="55">
        <v>46112</v>
      </c>
      <c r="G637" s="55"/>
      <c r="H637" s="55"/>
      <c r="I637" s="55"/>
      <c r="J637" s="54"/>
      <c r="K637" s="54"/>
      <c r="L637" s="20"/>
      <c r="M637" s="20"/>
      <c r="N637" s="49"/>
      <c r="O637" s="20"/>
      <c r="P637" s="20"/>
      <c r="Q637" s="92"/>
    </row>
    <row r="638" spans="1:22" hidden="1" outlineLevel="1">
      <c r="A638" s="28" t="s">
        <v>154</v>
      </c>
      <c r="B638" s="41">
        <v>46105</v>
      </c>
      <c r="C638" s="55"/>
      <c r="D638" s="55">
        <v>46112</v>
      </c>
      <c r="E638" s="55">
        <v>46142</v>
      </c>
      <c r="F638" s="55">
        <v>46147</v>
      </c>
      <c r="G638" s="55">
        <v>46022</v>
      </c>
      <c r="H638" s="55"/>
      <c r="I638" s="55">
        <v>46112</v>
      </c>
      <c r="J638" s="54">
        <v>46142</v>
      </c>
      <c r="K638" s="54">
        <v>46147</v>
      </c>
      <c r="L638" s="20"/>
      <c r="M638" s="20"/>
      <c r="N638" s="49"/>
      <c r="O638" s="20"/>
      <c r="P638" s="20"/>
      <c r="Q638" s="92"/>
    </row>
    <row r="639" spans="1:22" hidden="1" outlineLevel="1">
      <c r="A639" s="28" t="s">
        <v>155</v>
      </c>
      <c r="B639" s="41">
        <v>46135</v>
      </c>
      <c r="C639" s="55"/>
      <c r="D639" s="55">
        <v>46142</v>
      </c>
      <c r="E639" s="55">
        <v>46171</v>
      </c>
      <c r="F639" s="55">
        <v>46175</v>
      </c>
      <c r="G639" s="55"/>
      <c r="H639" s="55"/>
      <c r="I639" s="55"/>
      <c r="J639" s="54"/>
      <c r="K639" s="54"/>
      <c r="L639" s="20"/>
      <c r="M639" s="20"/>
      <c r="N639" s="49"/>
      <c r="O639" s="20"/>
      <c r="P639" s="20"/>
      <c r="Q639" s="92"/>
    </row>
    <row r="640" spans="1:22" hidden="1" outlineLevel="1">
      <c r="A640" s="28" t="s">
        <v>156</v>
      </c>
      <c r="B640" s="41">
        <v>46164</v>
      </c>
      <c r="C640" s="55"/>
      <c r="D640" s="55">
        <v>46171</v>
      </c>
      <c r="E640" s="55">
        <v>46199</v>
      </c>
      <c r="F640" s="55">
        <v>46203</v>
      </c>
      <c r="G640" s="55"/>
      <c r="H640" s="55"/>
      <c r="I640" s="55"/>
      <c r="J640" s="54"/>
      <c r="K640" s="54"/>
      <c r="L640" s="20"/>
      <c r="M640" s="20"/>
      <c r="N640" s="49"/>
      <c r="O640" s="20"/>
      <c r="P640" s="20"/>
      <c r="Q640" s="92"/>
    </row>
    <row r="641" spans="1:17" hidden="1" outlineLevel="1">
      <c r="A641" s="28" t="s">
        <v>157</v>
      </c>
      <c r="B641" s="41">
        <v>46196</v>
      </c>
      <c r="C641" s="55"/>
      <c r="D641" s="55">
        <v>46203</v>
      </c>
      <c r="E641" s="55">
        <v>46231</v>
      </c>
      <c r="F641" s="55">
        <v>46233</v>
      </c>
      <c r="G641" s="55">
        <v>46113</v>
      </c>
      <c r="H641" s="55"/>
      <c r="I641" s="55">
        <v>46203</v>
      </c>
      <c r="J641" s="54">
        <v>46231</v>
      </c>
      <c r="K641" s="54">
        <v>46233</v>
      </c>
      <c r="L641" s="20"/>
      <c r="M641" s="20"/>
      <c r="N641" s="49"/>
      <c r="O641" s="20"/>
      <c r="P641" s="20"/>
      <c r="Q641" s="92"/>
    </row>
    <row r="642" spans="1:17" hidden="1" outlineLevel="1">
      <c r="A642" s="28" t="s">
        <v>158</v>
      </c>
      <c r="B642" s="41">
        <v>46227</v>
      </c>
      <c r="C642" s="55"/>
      <c r="D642" s="55">
        <v>46234</v>
      </c>
      <c r="E642" s="55">
        <v>46262</v>
      </c>
      <c r="F642" s="55">
        <v>46266</v>
      </c>
      <c r="G642" s="55"/>
      <c r="H642" s="55"/>
      <c r="I642" s="55"/>
      <c r="J642" s="54"/>
      <c r="K642" s="54"/>
      <c r="L642" s="20"/>
      <c r="M642" s="20"/>
      <c r="N642" s="49"/>
      <c r="O642" s="20"/>
      <c r="P642" s="20"/>
      <c r="Q642" s="92"/>
    </row>
    <row r="643" spans="1:17" hidden="1" outlineLevel="1">
      <c r="A643" s="28" t="s">
        <v>159</v>
      </c>
      <c r="B643" s="41">
        <v>46258</v>
      </c>
      <c r="C643" s="55"/>
      <c r="D643" s="55">
        <v>46265</v>
      </c>
      <c r="E643" s="55">
        <v>46293</v>
      </c>
      <c r="F643" s="55">
        <v>46295</v>
      </c>
      <c r="G643" s="55"/>
      <c r="H643" s="55"/>
      <c r="I643" s="55"/>
      <c r="J643" s="54"/>
      <c r="K643" s="54"/>
      <c r="L643" s="20"/>
      <c r="M643" s="20"/>
      <c r="N643" s="49"/>
      <c r="O643" s="20"/>
      <c r="P643" s="20"/>
      <c r="Q643" s="92"/>
    </row>
    <row r="644" spans="1:17" hidden="1" outlineLevel="1">
      <c r="A644" s="28" t="s">
        <v>160</v>
      </c>
      <c r="B644" s="41">
        <v>46288</v>
      </c>
      <c r="C644" s="55"/>
      <c r="D644" s="55">
        <v>46295</v>
      </c>
      <c r="E644" s="55">
        <v>46323</v>
      </c>
      <c r="F644" s="55">
        <v>46325</v>
      </c>
      <c r="G644" s="55">
        <v>46205</v>
      </c>
      <c r="H644" s="55"/>
      <c r="I644" s="55">
        <v>46295</v>
      </c>
      <c r="J644" s="54">
        <v>46323</v>
      </c>
      <c r="K644" s="54">
        <v>46325</v>
      </c>
      <c r="L644" s="20"/>
      <c r="M644" s="20"/>
      <c r="N644" s="49"/>
      <c r="O644" s="20"/>
      <c r="P644" s="20"/>
      <c r="Q644" s="92"/>
    </row>
    <row r="645" spans="1:17" hidden="1" outlineLevel="1">
      <c r="A645" s="28" t="s">
        <v>161</v>
      </c>
      <c r="B645" s="41">
        <v>46318</v>
      </c>
      <c r="C645" s="55"/>
      <c r="D645" s="55">
        <v>46325</v>
      </c>
      <c r="E645" s="55">
        <v>46353</v>
      </c>
      <c r="F645" s="55">
        <v>46357</v>
      </c>
      <c r="G645" s="55"/>
      <c r="H645" s="55"/>
      <c r="I645" s="55"/>
      <c r="J645" s="54"/>
      <c r="K645" s="54"/>
      <c r="L645" s="20"/>
      <c r="M645" s="20"/>
      <c r="N645" s="49"/>
      <c r="O645" s="20"/>
      <c r="P645" s="20"/>
      <c r="Q645" s="92"/>
    </row>
    <row r="646" spans="1:17" hidden="1" outlineLevel="1">
      <c r="A646" s="28" t="s">
        <v>162</v>
      </c>
      <c r="B646" s="41">
        <v>46349</v>
      </c>
      <c r="C646" s="55"/>
      <c r="D646" s="55">
        <v>46356</v>
      </c>
      <c r="E646" s="55">
        <v>46386</v>
      </c>
      <c r="F646" s="55">
        <v>46391</v>
      </c>
      <c r="G646" s="55"/>
      <c r="H646" s="55"/>
      <c r="I646" s="55"/>
      <c r="J646" s="54"/>
      <c r="K646" s="54"/>
      <c r="L646" s="20"/>
      <c r="M646" s="20"/>
      <c r="N646" s="49"/>
      <c r="O646" s="20"/>
      <c r="P646" s="20"/>
      <c r="Q646" s="92"/>
    </row>
    <row r="647" spans="1:17" hidden="1" outlineLevel="1">
      <c r="A647" s="60" t="s">
        <v>163</v>
      </c>
      <c r="B647" s="61">
        <v>46378</v>
      </c>
      <c r="C647" s="62"/>
      <c r="D647" s="62">
        <v>46387</v>
      </c>
      <c r="E647" s="62">
        <v>46416</v>
      </c>
      <c r="F647" s="62">
        <v>46420</v>
      </c>
      <c r="G647" s="62">
        <v>46297</v>
      </c>
      <c r="H647" s="62"/>
      <c r="I647" s="62">
        <v>46387</v>
      </c>
      <c r="J647" s="63">
        <v>46416</v>
      </c>
      <c r="K647" s="63">
        <v>46420</v>
      </c>
      <c r="L647" s="20"/>
      <c r="M647" s="20"/>
      <c r="N647" s="49"/>
      <c r="O647" s="20"/>
      <c r="P647" s="20"/>
      <c r="Q647" s="92"/>
    </row>
    <row r="648" spans="1:17" ht="137.25">
      <c r="A648" s="64" t="s">
        <v>408</v>
      </c>
      <c r="B648" s="65" t="s">
        <v>409</v>
      </c>
      <c r="C648" s="66" t="s">
        <v>306</v>
      </c>
      <c r="D648" s="66"/>
      <c r="E648" s="66"/>
      <c r="F648" s="67">
        <v>4</v>
      </c>
      <c r="G648" s="66"/>
      <c r="H648" s="68"/>
      <c r="I648" s="66" t="s">
        <v>25</v>
      </c>
      <c r="J648" s="50" t="s">
        <v>108</v>
      </c>
      <c r="K648" s="69"/>
      <c r="L648" s="21"/>
      <c r="M648" s="21"/>
      <c r="N648" s="50"/>
      <c r="O648" s="21"/>
      <c r="P648" s="21" t="s">
        <v>406</v>
      </c>
      <c r="Q648" s="104" t="s">
        <v>410</v>
      </c>
    </row>
    <row r="649" spans="1:17" collapsed="1">
      <c r="A649" s="95" t="s">
        <v>411</v>
      </c>
      <c r="B649" s="96" t="s">
        <v>412</v>
      </c>
      <c r="C649" s="30" t="s">
        <v>306</v>
      </c>
      <c r="D649" s="30"/>
      <c r="E649" s="30"/>
      <c r="F649" s="31">
        <v>4</v>
      </c>
      <c r="G649" s="30"/>
      <c r="H649" s="32"/>
      <c r="I649" s="30" t="s">
        <v>25</v>
      </c>
      <c r="J649" s="93" t="s">
        <v>199</v>
      </c>
      <c r="K649" s="20"/>
      <c r="L649" s="54">
        <v>46261</v>
      </c>
      <c r="M649" s="54">
        <v>46289</v>
      </c>
      <c r="N649" s="49" t="s">
        <v>266</v>
      </c>
      <c r="O649" s="20" t="s">
        <v>129</v>
      </c>
      <c r="P649" s="38" t="s">
        <v>40</v>
      </c>
      <c r="Q649" s="97"/>
    </row>
    <row r="650" spans="1:17" hidden="1" outlineLevel="1">
      <c r="A650" s="42" t="s">
        <v>131</v>
      </c>
      <c r="B650" s="42" t="s">
        <v>132</v>
      </c>
      <c r="C650" s="42" t="s">
        <v>133</v>
      </c>
      <c r="D650" s="42" t="s">
        <v>134</v>
      </c>
      <c r="E650" s="42" t="s">
        <v>135</v>
      </c>
      <c r="F650" s="42" t="s">
        <v>136</v>
      </c>
      <c r="G650" s="42" t="s">
        <v>137</v>
      </c>
      <c r="H650" s="42" t="s">
        <v>138</v>
      </c>
      <c r="I650" s="42" t="s">
        <v>139</v>
      </c>
      <c r="J650" s="42"/>
      <c r="K650" s="42" t="s">
        <v>141</v>
      </c>
    </row>
    <row r="651" spans="1:17" hidden="1" outlineLevel="1">
      <c r="A651" s="14" t="s">
        <v>151</v>
      </c>
      <c r="B651" s="23"/>
      <c r="C651" s="23"/>
      <c r="D651" s="23"/>
      <c r="E651" s="23"/>
      <c r="F651" s="23"/>
      <c r="G651" s="1">
        <v>46020</v>
      </c>
      <c r="H651" s="1">
        <v>46022</v>
      </c>
      <c r="I651" s="1">
        <v>46022</v>
      </c>
      <c r="J651" s="1">
        <v>46044</v>
      </c>
      <c r="K651" s="1">
        <v>46049</v>
      </c>
    </row>
    <row r="652" spans="1:17" hidden="1" outlineLevel="1">
      <c r="A652" s="14" t="s">
        <v>152</v>
      </c>
      <c r="B652" s="23"/>
      <c r="C652" s="23"/>
      <c r="D652" s="23"/>
      <c r="E652" s="23"/>
      <c r="F652" s="23"/>
      <c r="G652" s="1">
        <v>46050</v>
      </c>
      <c r="H652" s="1">
        <v>46052</v>
      </c>
      <c r="I652" s="1">
        <v>46052</v>
      </c>
      <c r="J652" s="1">
        <v>46073</v>
      </c>
      <c r="K652" s="1">
        <v>46078</v>
      </c>
    </row>
    <row r="653" spans="1:17" hidden="1" outlineLevel="1">
      <c r="A653" s="14" t="s">
        <v>153</v>
      </c>
      <c r="B653" s="23"/>
      <c r="C653" s="23"/>
      <c r="D653" s="23"/>
      <c r="E653" s="23"/>
      <c r="F653" s="23"/>
      <c r="G653" s="1">
        <v>46078</v>
      </c>
      <c r="H653" s="1">
        <v>46080</v>
      </c>
      <c r="I653" s="1">
        <v>46080</v>
      </c>
      <c r="J653" s="1">
        <v>46101</v>
      </c>
      <c r="K653" s="1">
        <v>46106</v>
      </c>
    </row>
    <row r="654" spans="1:17" hidden="1" outlineLevel="1">
      <c r="A654" s="14" t="s">
        <v>154</v>
      </c>
      <c r="B654" s="23"/>
      <c r="C654" s="23"/>
      <c r="D654" s="23"/>
      <c r="E654" s="23"/>
      <c r="F654" s="23"/>
      <c r="G654" s="1">
        <v>46108</v>
      </c>
      <c r="H654" s="1">
        <v>46112</v>
      </c>
      <c r="I654" s="1">
        <v>46112</v>
      </c>
      <c r="J654" s="1">
        <v>46135</v>
      </c>
      <c r="K654" s="1">
        <v>46140</v>
      </c>
    </row>
    <row r="655" spans="1:17" hidden="1" outlineLevel="1">
      <c r="A655" s="14" t="s">
        <v>155</v>
      </c>
      <c r="B655" s="23"/>
      <c r="C655" s="23"/>
      <c r="D655" s="23"/>
      <c r="E655" s="23"/>
      <c r="F655" s="23"/>
      <c r="G655" s="1">
        <v>46140</v>
      </c>
      <c r="H655" s="1">
        <v>46142</v>
      </c>
      <c r="I655" s="1">
        <v>46142</v>
      </c>
      <c r="J655" s="1">
        <v>46168</v>
      </c>
      <c r="K655" s="1">
        <v>46171</v>
      </c>
    </row>
    <row r="656" spans="1:17" hidden="1" outlineLevel="1">
      <c r="A656" s="14" t="s">
        <v>156</v>
      </c>
      <c r="B656" s="23"/>
      <c r="C656" s="23"/>
      <c r="D656" s="23"/>
      <c r="E656" s="23"/>
      <c r="F656" s="23"/>
      <c r="G656" s="1">
        <v>46169</v>
      </c>
      <c r="H656" s="1">
        <v>46171</v>
      </c>
      <c r="I656" s="1">
        <v>46171</v>
      </c>
      <c r="J656" s="1">
        <v>46192</v>
      </c>
      <c r="K656" s="1">
        <v>46198</v>
      </c>
    </row>
    <row r="657" spans="1:22" hidden="1" outlineLevel="1">
      <c r="A657" s="14" t="s">
        <v>157</v>
      </c>
      <c r="B657" s="23"/>
      <c r="C657" s="23"/>
      <c r="D657" s="23"/>
      <c r="E657" s="23"/>
      <c r="F657" s="23"/>
      <c r="G657" s="1">
        <v>46199</v>
      </c>
      <c r="H657" s="1">
        <v>46203</v>
      </c>
      <c r="I657" s="1">
        <v>46203</v>
      </c>
      <c r="J657" s="1">
        <v>46224</v>
      </c>
      <c r="K657" s="1">
        <v>46227</v>
      </c>
    </row>
    <row r="658" spans="1:22" hidden="1" outlineLevel="1">
      <c r="A658" s="14" t="s">
        <v>158</v>
      </c>
      <c r="B658" s="23"/>
      <c r="C658" s="23"/>
      <c r="D658" s="23"/>
      <c r="E658" s="23"/>
      <c r="F658" s="23"/>
      <c r="G658" s="1">
        <v>46232</v>
      </c>
      <c r="H658" s="1">
        <v>46234</v>
      </c>
      <c r="I658" s="1">
        <v>46234</v>
      </c>
      <c r="J658" s="1">
        <v>46255</v>
      </c>
      <c r="K658" s="1">
        <v>46260</v>
      </c>
    </row>
    <row r="659" spans="1:22" hidden="1" outlineLevel="1">
      <c r="A659" s="14" t="s">
        <v>159</v>
      </c>
      <c r="B659" s="23"/>
      <c r="C659" s="23"/>
      <c r="D659" s="23"/>
      <c r="E659" s="23"/>
      <c r="F659" s="23"/>
      <c r="G659" s="1">
        <v>46261</v>
      </c>
      <c r="H659" s="1">
        <v>46265</v>
      </c>
      <c r="I659" s="1">
        <v>46265</v>
      </c>
      <c r="J659" s="1">
        <v>46286</v>
      </c>
      <c r="K659" s="1">
        <v>46289</v>
      </c>
    </row>
    <row r="660" spans="1:22" hidden="1" outlineLevel="1">
      <c r="A660" s="14" t="s">
        <v>160</v>
      </c>
      <c r="B660" s="23"/>
      <c r="C660" s="23"/>
      <c r="D660" s="23"/>
      <c r="E660" s="23"/>
      <c r="F660" s="23"/>
      <c r="G660" s="1">
        <v>46293</v>
      </c>
      <c r="H660" s="1">
        <v>46295</v>
      </c>
      <c r="I660" s="1">
        <v>46295</v>
      </c>
      <c r="J660" s="1">
        <v>46316</v>
      </c>
      <c r="K660" s="1">
        <v>46321</v>
      </c>
    </row>
    <row r="661" spans="1:22" hidden="1" outlineLevel="1">
      <c r="A661" s="14" t="s">
        <v>161</v>
      </c>
      <c r="B661" s="23"/>
      <c r="C661" s="23"/>
      <c r="D661" s="23"/>
      <c r="E661" s="23"/>
      <c r="F661" s="23"/>
      <c r="G661" s="1">
        <v>46323</v>
      </c>
      <c r="H661" s="1">
        <v>46325</v>
      </c>
      <c r="I661" s="1">
        <v>46325</v>
      </c>
      <c r="J661" s="1">
        <v>46346</v>
      </c>
      <c r="K661" s="1">
        <v>46351</v>
      </c>
    </row>
    <row r="662" spans="1:22" hidden="1" outlineLevel="1">
      <c r="A662" s="14" t="s">
        <v>162</v>
      </c>
      <c r="B662" s="23"/>
      <c r="C662" s="23"/>
      <c r="D662" s="23"/>
      <c r="E662" s="23"/>
      <c r="F662" s="23"/>
      <c r="G662" s="1">
        <v>46352</v>
      </c>
      <c r="H662" s="1">
        <v>46356</v>
      </c>
      <c r="I662" s="1">
        <v>46356</v>
      </c>
      <c r="J662" s="1">
        <v>46377</v>
      </c>
      <c r="K662" s="1">
        <v>46384</v>
      </c>
    </row>
    <row r="663" spans="1:22" hidden="1" outlineLevel="1">
      <c r="A663" s="14" t="s">
        <v>163</v>
      </c>
      <c r="B663" s="23"/>
      <c r="C663" s="23"/>
      <c r="D663" s="23"/>
      <c r="E663" s="23"/>
      <c r="F663" s="23"/>
      <c r="G663" s="1">
        <v>46385</v>
      </c>
      <c r="H663" s="1">
        <v>46387</v>
      </c>
      <c r="I663" s="1">
        <v>46387</v>
      </c>
      <c r="J663" s="1">
        <v>46409</v>
      </c>
      <c r="K663" s="1">
        <v>46414</v>
      </c>
    </row>
    <row r="664" spans="1:22">
      <c r="A664" s="33" t="s">
        <v>413</v>
      </c>
      <c r="B664" s="34" t="s">
        <v>414</v>
      </c>
      <c r="C664" s="35" t="s">
        <v>306</v>
      </c>
      <c r="D664" s="35"/>
      <c r="E664" s="35"/>
      <c r="F664" s="36">
        <v>6</v>
      </c>
      <c r="G664" s="35"/>
      <c r="H664" s="37"/>
      <c r="I664" s="35" t="s">
        <v>25</v>
      </c>
      <c r="J664" s="21" t="s">
        <v>227</v>
      </c>
      <c r="K664" s="21"/>
      <c r="L664" s="21"/>
      <c r="M664" s="21"/>
      <c r="N664" s="50"/>
      <c r="O664" s="21"/>
      <c r="P664" s="21"/>
      <c r="Q664" s="69"/>
      <c r="V664" t="s">
        <v>402</v>
      </c>
    </row>
    <row r="665" spans="1:22" collapsed="1">
      <c r="A665" s="28" t="s">
        <v>415</v>
      </c>
      <c r="B665" s="29" t="s">
        <v>416</v>
      </c>
      <c r="C665" s="30" t="s">
        <v>306</v>
      </c>
      <c r="D665" s="30"/>
      <c r="E665" s="30"/>
      <c r="F665" s="31">
        <v>4</v>
      </c>
      <c r="G665" s="30"/>
      <c r="H665" s="32"/>
      <c r="I665" s="30" t="s">
        <v>25</v>
      </c>
      <c r="J665" s="40" t="str">
        <f ca="1">IF(MAX(B667:B690,G667:G690)=0,"—",IF(MAX(B667:B690,G667:G690)&lt;TODAY(),"À renouveler","À jour"))</f>
        <v>À jour</v>
      </c>
      <c r="K665" s="41">
        <f ca="1">IFERROR(IF(_xlfn.MINIFS(B667:B690,B667:B690,"&gt;="&amp;TODAY())=0,"",_xlfn.MINIFS(B667:B690,B667:B690,"&gt;="&amp;TODAY())),"")</f>
        <v>46288</v>
      </c>
      <c r="L665" s="41">
        <f ca="1">IFERROR(IF(_xlfn.MINIFS(G667:G690,G667:G690,"&gt;="&amp;TODAY())=0,"",_xlfn.MINIFS(G667:G690,G667:G690,"&gt;="&amp;TODAY())),"")</f>
        <v>46295</v>
      </c>
      <c r="M665" s="41">
        <f ca="1">IFERROR(IF(_xlfn.MINIFS(K667:K690,G667:G690,"&gt;="&amp;TODAY())=0,"",_xlfn.MINIFS(K667:K690,G667:G690,"&gt;="&amp;TODAY())),"")</f>
        <v>46420</v>
      </c>
      <c r="N665" s="49"/>
      <c r="O665" s="13" t="s">
        <v>129</v>
      </c>
      <c r="P665" s="20" t="s">
        <v>406</v>
      </c>
      <c r="Q665" s="92"/>
      <c r="V665" t="s">
        <v>215</v>
      </c>
    </row>
    <row r="666" spans="1:22" hidden="1" outlineLevel="2">
      <c r="A666" s="42" t="s">
        <v>131</v>
      </c>
      <c r="B666" s="42" t="s">
        <v>132</v>
      </c>
      <c r="C666" s="42" t="s">
        <v>133</v>
      </c>
      <c r="D666" s="42" t="s">
        <v>134</v>
      </c>
      <c r="E666" s="42" t="s">
        <v>135</v>
      </c>
      <c r="F666" s="42" t="s">
        <v>136</v>
      </c>
      <c r="G666" s="42" t="s">
        <v>137</v>
      </c>
      <c r="H666" s="42" t="s">
        <v>138</v>
      </c>
      <c r="I666" s="42" t="s">
        <v>139</v>
      </c>
      <c r="J666" s="42" t="s">
        <v>140</v>
      </c>
      <c r="K666" s="42" t="s">
        <v>141</v>
      </c>
    </row>
    <row r="667" spans="1:22" hidden="1" outlineLevel="1">
      <c r="A667" s="14" t="s">
        <v>286</v>
      </c>
      <c r="B667" s="23">
        <v>45681</v>
      </c>
      <c r="C667" s="23">
        <v>45688</v>
      </c>
      <c r="D667" s="23">
        <v>45688</v>
      </c>
      <c r="E667" s="23">
        <v>45713</v>
      </c>
      <c r="F667" s="23">
        <v>45716</v>
      </c>
    </row>
    <row r="668" spans="1:22" hidden="1" outlineLevel="1">
      <c r="A668" s="14" t="s">
        <v>287</v>
      </c>
      <c r="B668" s="23">
        <v>45709</v>
      </c>
      <c r="C668" s="23">
        <v>45716</v>
      </c>
      <c r="D668" s="23">
        <v>45716</v>
      </c>
      <c r="E668" s="23">
        <v>45741</v>
      </c>
      <c r="F668" s="23">
        <v>45744</v>
      </c>
    </row>
    <row r="669" spans="1:22" hidden="1" outlineLevel="1">
      <c r="A669" s="14" t="s">
        <v>142</v>
      </c>
      <c r="B669" s="23">
        <v>45740</v>
      </c>
      <c r="C669" s="23">
        <v>45747</v>
      </c>
      <c r="D669" s="23">
        <v>45747</v>
      </c>
      <c r="E669" s="23">
        <v>45772</v>
      </c>
      <c r="F669" s="23">
        <v>45777</v>
      </c>
    </row>
    <row r="670" spans="1:22" hidden="1" outlineLevel="1">
      <c r="A670" s="14" t="s">
        <v>143</v>
      </c>
      <c r="B670" s="23">
        <v>45770</v>
      </c>
      <c r="C670" s="23">
        <v>45777</v>
      </c>
      <c r="D670" s="23">
        <v>45777</v>
      </c>
      <c r="E670" s="23">
        <v>45804</v>
      </c>
      <c r="F670" s="23">
        <v>45810</v>
      </c>
      <c r="G670" s="22">
        <v>45688</v>
      </c>
      <c r="H670" s="22">
        <v>45777</v>
      </c>
      <c r="I670" s="22">
        <v>45777</v>
      </c>
      <c r="J670" s="22">
        <v>45804</v>
      </c>
      <c r="K670" s="22">
        <v>45812</v>
      </c>
    </row>
    <row r="671" spans="1:22" hidden="1" outlineLevel="1">
      <c r="A671" s="14" t="s">
        <v>144</v>
      </c>
      <c r="B671" s="23">
        <v>45799</v>
      </c>
      <c r="C671" s="23">
        <v>45807</v>
      </c>
      <c r="D671" s="23">
        <v>45807</v>
      </c>
      <c r="E671" s="23">
        <v>45834</v>
      </c>
      <c r="F671" s="23">
        <v>45839</v>
      </c>
      <c r="G671" s="22">
        <v>45716</v>
      </c>
      <c r="H671" s="22">
        <v>45807</v>
      </c>
      <c r="I671" s="22">
        <v>45807</v>
      </c>
      <c r="J671" s="22">
        <v>45834</v>
      </c>
      <c r="K671" s="22">
        <v>45841</v>
      </c>
    </row>
    <row r="672" spans="1:22" hidden="1" outlineLevel="1">
      <c r="A672" s="14" t="s">
        <v>145</v>
      </c>
      <c r="B672" s="23">
        <v>45828</v>
      </c>
      <c r="C672" s="23">
        <v>45838</v>
      </c>
      <c r="D672" s="23">
        <v>45838</v>
      </c>
      <c r="E672" s="23">
        <v>45861</v>
      </c>
      <c r="F672" s="23">
        <v>45866</v>
      </c>
      <c r="G672" s="22">
        <v>45747</v>
      </c>
      <c r="H672" s="22">
        <v>45838</v>
      </c>
      <c r="I672" s="22">
        <v>45838</v>
      </c>
      <c r="J672" s="22">
        <v>45861</v>
      </c>
      <c r="K672" s="22">
        <v>45868</v>
      </c>
    </row>
    <row r="673" spans="1:11" hidden="1" outlineLevel="1">
      <c r="A673" s="14" t="s">
        <v>146</v>
      </c>
      <c r="B673" s="23">
        <v>45862</v>
      </c>
      <c r="C673" s="23">
        <v>45869</v>
      </c>
      <c r="D673" s="23">
        <v>45869</v>
      </c>
      <c r="E673" s="23">
        <v>45895</v>
      </c>
      <c r="F673" s="23">
        <v>45898</v>
      </c>
      <c r="G673" s="22">
        <v>45777</v>
      </c>
      <c r="H673" s="22">
        <v>45869</v>
      </c>
      <c r="I673" s="22">
        <v>45869</v>
      </c>
      <c r="J673" s="22">
        <v>45895</v>
      </c>
      <c r="K673" s="22">
        <v>45902</v>
      </c>
    </row>
    <row r="674" spans="1:11" hidden="1" outlineLevel="1" collapsed="1">
      <c r="A674" s="14" t="s">
        <v>147</v>
      </c>
      <c r="B674" s="23">
        <v>45891</v>
      </c>
      <c r="C674" s="23">
        <v>45898</v>
      </c>
      <c r="D674" s="23">
        <v>45898</v>
      </c>
      <c r="E674" s="23">
        <v>45923</v>
      </c>
      <c r="F674" s="23">
        <v>45926</v>
      </c>
      <c r="G674" s="22">
        <v>45807</v>
      </c>
      <c r="H674" s="22">
        <v>45898</v>
      </c>
      <c r="I674" s="22">
        <v>45898</v>
      </c>
      <c r="J674" s="22">
        <v>45923</v>
      </c>
      <c r="K674" s="22">
        <v>45930</v>
      </c>
    </row>
    <row r="675" spans="1:11" hidden="1" outlineLevel="1">
      <c r="A675" s="14" t="s">
        <v>148</v>
      </c>
      <c r="B675" s="23">
        <v>45923</v>
      </c>
      <c r="C675" s="23">
        <v>45930</v>
      </c>
      <c r="D675" s="23">
        <v>45930</v>
      </c>
      <c r="E675" s="23">
        <v>45953</v>
      </c>
      <c r="F675" s="23">
        <v>45958</v>
      </c>
      <c r="G675" s="22">
        <v>45838</v>
      </c>
      <c r="H675" s="22">
        <v>45930</v>
      </c>
      <c r="I675" s="22">
        <v>45930</v>
      </c>
      <c r="J675" s="22">
        <v>45953</v>
      </c>
      <c r="K675" s="22">
        <v>45960</v>
      </c>
    </row>
    <row r="676" spans="1:11" hidden="1" outlineLevel="1">
      <c r="A676" s="14" t="s">
        <v>149</v>
      </c>
      <c r="B676" s="23">
        <v>45954</v>
      </c>
      <c r="C676" s="23">
        <v>45961</v>
      </c>
      <c r="D676" s="23">
        <v>45961</v>
      </c>
      <c r="E676" s="23">
        <v>45986</v>
      </c>
      <c r="F676" s="23">
        <v>45989</v>
      </c>
      <c r="G676" s="22">
        <v>45869</v>
      </c>
      <c r="H676" s="22">
        <v>45961</v>
      </c>
      <c r="I676" s="22">
        <v>45961</v>
      </c>
      <c r="J676" s="22">
        <v>45986</v>
      </c>
      <c r="K676" s="22">
        <v>45993</v>
      </c>
    </row>
    <row r="677" spans="1:11" hidden="1" outlineLevel="1">
      <c r="A677" s="14" t="s">
        <v>150</v>
      </c>
      <c r="B677" s="23">
        <v>45982</v>
      </c>
      <c r="C677" s="23">
        <v>45989</v>
      </c>
      <c r="D677" s="23">
        <v>45989</v>
      </c>
      <c r="E677" s="23">
        <v>46014</v>
      </c>
      <c r="F677" s="23">
        <v>46022</v>
      </c>
      <c r="G677" s="22">
        <v>45898</v>
      </c>
      <c r="H677" s="22">
        <v>45989</v>
      </c>
      <c r="I677" s="22">
        <v>45989</v>
      </c>
      <c r="J677" s="22">
        <v>46014</v>
      </c>
      <c r="K677" s="22">
        <v>46027</v>
      </c>
    </row>
    <row r="678" spans="1:11" hidden="1" outlineLevel="1">
      <c r="A678" s="14" t="s">
        <v>151</v>
      </c>
      <c r="B678" s="23">
        <v>46010</v>
      </c>
      <c r="C678" s="23">
        <v>46022</v>
      </c>
      <c r="D678" s="23">
        <v>46022</v>
      </c>
      <c r="E678" s="23">
        <v>46048</v>
      </c>
      <c r="F678" s="23">
        <v>46051</v>
      </c>
      <c r="G678" s="22">
        <v>45930</v>
      </c>
      <c r="H678" s="22">
        <v>46022</v>
      </c>
      <c r="I678" s="22">
        <v>46022</v>
      </c>
      <c r="J678" s="22">
        <v>46048</v>
      </c>
      <c r="K678" s="22">
        <v>46055</v>
      </c>
    </row>
    <row r="679" spans="1:11" hidden="1" outlineLevel="1">
      <c r="A679" s="14" t="s">
        <v>152</v>
      </c>
      <c r="B679" s="23">
        <v>46045</v>
      </c>
      <c r="C679" s="23">
        <v>46052</v>
      </c>
      <c r="D679" s="23">
        <v>46052</v>
      </c>
      <c r="E679" s="23">
        <v>46077</v>
      </c>
      <c r="F679" s="23">
        <v>46080</v>
      </c>
      <c r="G679" s="22">
        <v>45961</v>
      </c>
      <c r="H679" s="22">
        <v>46052</v>
      </c>
      <c r="I679" s="22">
        <v>46052</v>
      </c>
      <c r="J679" s="22">
        <v>46077</v>
      </c>
      <c r="K679" s="22">
        <v>46084</v>
      </c>
    </row>
    <row r="680" spans="1:11" hidden="1" outlineLevel="1">
      <c r="A680" s="14" t="s">
        <v>153</v>
      </c>
      <c r="B680" s="23">
        <v>46073</v>
      </c>
      <c r="C680" s="23">
        <v>46080</v>
      </c>
      <c r="D680" s="23">
        <v>46080</v>
      </c>
      <c r="E680" s="23">
        <v>46105</v>
      </c>
      <c r="F680" s="23">
        <v>46108</v>
      </c>
      <c r="G680" s="22">
        <v>45989</v>
      </c>
      <c r="H680" s="22">
        <v>46080</v>
      </c>
      <c r="I680" s="22">
        <v>46080</v>
      </c>
      <c r="J680" s="22">
        <v>46105</v>
      </c>
      <c r="K680" s="22">
        <v>46112</v>
      </c>
    </row>
    <row r="681" spans="1:11" hidden="1" outlineLevel="1">
      <c r="A681" s="14" t="s">
        <v>154</v>
      </c>
      <c r="B681" s="23">
        <v>46105</v>
      </c>
      <c r="C681" s="23">
        <v>46112</v>
      </c>
      <c r="D681" s="23">
        <v>46112</v>
      </c>
      <c r="E681" s="23">
        <v>46139</v>
      </c>
      <c r="F681" s="23">
        <v>46142</v>
      </c>
      <c r="G681" s="22">
        <v>46022</v>
      </c>
      <c r="H681" s="22">
        <v>46112</v>
      </c>
      <c r="I681" s="22">
        <v>46112</v>
      </c>
      <c r="J681" s="22">
        <v>46139</v>
      </c>
      <c r="K681" s="22">
        <v>46147</v>
      </c>
    </row>
    <row r="682" spans="1:11" hidden="1" outlineLevel="1">
      <c r="A682" s="14" t="s">
        <v>155</v>
      </c>
      <c r="B682" s="23">
        <v>46135</v>
      </c>
      <c r="C682" s="23">
        <v>46142</v>
      </c>
      <c r="D682" s="23">
        <v>46142</v>
      </c>
      <c r="E682" s="23">
        <v>46170</v>
      </c>
      <c r="F682" s="23">
        <v>46175</v>
      </c>
      <c r="G682" s="22">
        <v>46052</v>
      </c>
      <c r="H682" s="22">
        <v>46142</v>
      </c>
      <c r="I682" s="22">
        <v>46142</v>
      </c>
      <c r="J682" s="22">
        <v>46170</v>
      </c>
      <c r="K682" s="22">
        <v>46177</v>
      </c>
    </row>
    <row r="683" spans="1:11" hidden="1" outlineLevel="1">
      <c r="A683" s="14" t="s">
        <v>156</v>
      </c>
      <c r="B683" s="23">
        <v>46163</v>
      </c>
      <c r="C683" s="23">
        <v>46171</v>
      </c>
      <c r="D683" s="23">
        <v>46171</v>
      </c>
      <c r="E683" s="23">
        <v>46197</v>
      </c>
      <c r="F683" s="23">
        <v>46202</v>
      </c>
      <c r="G683" s="22">
        <v>46080</v>
      </c>
      <c r="H683" s="22">
        <v>46171</v>
      </c>
      <c r="I683" s="22">
        <v>46171</v>
      </c>
      <c r="J683" s="22">
        <v>46197</v>
      </c>
      <c r="K683" s="22">
        <v>46204</v>
      </c>
    </row>
    <row r="684" spans="1:11" hidden="1" outlineLevel="1">
      <c r="A684" s="14" t="s">
        <v>157</v>
      </c>
      <c r="B684" s="23">
        <v>46195</v>
      </c>
      <c r="C684" s="23">
        <v>46203</v>
      </c>
      <c r="D684" s="23">
        <v>46203</v>
      </c>
      <c r="E684" s="23">
        <v>46226</v>
      </c>
      <c r="F684" s="23">
        <v>46231</v>
      </c>
      <c r="G684" s="22">
        <v>46112</v>
      </c>
      <c r="H684" s="22">
        <v>46203</v>
      </c>
      <c r="I684" s="22">
        <v>46203</v>
      </c>
      <c r="J684" s="22">
        <v>46226</v>
      </c>
      <c r="K684" s="22">
        <v>46233</v>
      </c>
    </row>
    <row r="685" spans="1:11" hidden="1" outlineLevel="1">
      <c r="A685" s="14" t="s">
        <v>158</v>
      </c>
      <c r="B685" s="23">
        <v>46227</v>
      </c>
      <c r="C685" s="23">
        <v>46234</v>
      </c>
      <c r="D685" s="23">
        <v>46234</v>
      </c>
      <c r="E685" s="23">
        <v>46259</v>
      </c>
      <c r="F685" s="23">
        <v>46262</v>
      </c>
      <c r="G685" s="22">
        <v>46142</v>
      </c>
      <c r="H685" s="22">
        <v>46234</v>
      </c>
      <c r="I685" s="22">
        <v>46234</v>
      </c>
      <c r="J685" s="22">
        <v>46259</v>
      </c>
      <c r="K685" s="22">
        <v>46266</v>
      </c>
    </row>
    <row r="686" spans="1:11" hidden="1" outlineLevel="1">
      <c r="A686" s="14" t="s">
        <v>159</v>
      </c>
      <c r="B686" s="23">
        <v>46258</v>
      </c>
      <c r="C686" s="23">
        <v>46265</v>
      </c>
      <c r="D686" s="23">
        <v>46265</v>
      </c>
      <c r="E686" s="23">
        <v>46288</v>
      </c>
      <c r="F686" s="23">
        <v>46293</v>
      </c>
      <c r="G686" s="22">
        <v>46171</v>
      </c>
      <c r="H686" s="22">
        <v>46265</v>
      </c>
      <c r="I686" s="22">
        <v>46265</v>
      </c>
      <c r="J686" s="22">
        <v>46288</v>
      </c>
      <c r="K686" s="22">
        <v>46295</v>
      </c>
    </row>
    <row r="687" spans="1:11" hidden="1" outlineLevel="1">
      <c r="A687" s="14" t="s">
        <v>160</v>
      </c>
      <c r="B687" s="23">
        <v>46288</v>
      </c>
      <c r="C687" s="23">
        <v>46295</v>
      </c>
      <c r="D687" s="23">
        <v>46295</v>
      </c>
      <c r="E687" s="23">
        <v>46318</v>
      </c>
      <c r="F687" s="23">
        <v>46323</v>
      </c>
      <c r="G687" s="22">
        <v>46203</v>
      </c>
      <c r="H687" s="22">
        <v>46295</v>
      </c>
      <c r="I687" s="22">
        <v>46295</v>
      </c>
      <c r="J687" s="22">
        <v>46318</v>
      </c>
      <c r="K687" s="22">
        <v>46325</v>
      </c>
    </row>
    <row r="688" spans="1:11" hidden="1" outlineLevel="1">
      <c r="A688" s="14" t="s">
        <v>161</v>
      </c>
      <c r="B688" s="23">
        <v>46318</v>
      </c>
      <c r="C688" s="23">
        <v>46325</v>
      </c>
      <c r="D688" s="23">
        <v>46325</v>
      </c>
      <c r="E688" s="23">
        <v>46350</v>
      </c>
      <c r="F688" s="23">
        <v>46353</v>
      </c>
      <c r="G688" s="22">
        <v>46234</v>
      </c>
      <c r="H688" s="22">
        <v>46325</v>
      </c>
      <c r="I688" s="22">
        <v>46325</v>
      </c>
      <c r="J688" s="22">
        <v>46350</v>
      </c>
      <c r="K688" s="22">
        <v>46357</v>
      </c>
    </row>
    <row r="689" spans="1:17" hidden="1" outlineLevel="1">
      <c r="A689" s="14" t="s">
        <v>162</v>
      </c>
      <c r="B689" s="23">
        <v>46349</v>
      </c>
      <c r="C689" s="23">
        <v>46356</v>
      </c>
      <c r="D689" s="23">
        <v>46356</v>
      </c>
      <c r="E689" s="23">
        <v>46379</v>
      </c>
      <c r="F689" s="23">
        <v>46385</v>
      </c>
      <c r="G689" s="22">
        <v>46265</v>
      </c>
      <c r="H689" s="22">
        <v>46356</v>
      </c>
      <c r="I689" s="22">
        <v>46356</v>
      </c>
      <c r="J689" s="22">
        <v>46379</v>
      </c>
      <c r="K689" s="22">
        <v>46387</v>
      </c>
    </row>
    <row r="690" spans="1:17" hidden="1" outlineLevel="1">
      <c r="A690" s="14" t="s">
        <v>163</v>
      </c>
      <c r="B690" s="23">
        <v>46379</v>
      </c>
      <c r="C690" s="23">
        <v>46387</v>
      </c>
      <c r="D690" s="23">
        <v>46387</v>
      </c>
      <c r="E690" s="23">
        <v>46413</v>
      </c>
      <c r="F690" s="23">
        <v>46416</v>
      </c>
      <c r="G690" s="22">
        <v>46295</v>
      </c>
      <c r="H690" s="22">
        <v>46387</v>
      </c>
      <c r="I690" s="22">
        <v>46387</v>
      </c>
      <c r="J690" s="22">
        <v>46413</v>
      </c>
      <c r="K690" s="22">
        <v>46420</v>
      </c>
    </row>
    <row r="691" spans="1:17" ht="213" collapsed="1">
      <c r="A691" s="33" t="s">
        <v>417</v>
      </c>
      <c r="B691" s="34" t="s">
        <v>418</v>
      </c>
      <c r="C691" s="35" t="s">
        <v>306</v>
      </c>
      <c r="D691" s="35"/>
      <c r="E691" s="35"/>
      <c r="F691" s="36">
        <v>6</v>
      </c>
      <c r="G691" s="35"/>
      <c r="H691" s="37"/>
      <c r="I691" s="35" t="s">
        <v>25</v>
      </c>
      <c r="J691" s="43" t="str">
        <f ca="1">IF(MAX(B693:B705,G693:G705)=0,"—",IF(MAX(B693:B705,G693:G705)&lt;TODAY(),"À renouveler","À jour"))</f>
        <v>À jour</v>
      </c>
      <c r="K691" s="44">
        <f ca="1">IFERROR(IF(_xlfn.MINIFS(B693:B705,B693:B705,"&gt;="&amp;TODAY())=0,"",_xlfn.MINIFS(B693:B705,B693:B705,"&gt;="&amp;TODAY())),"")</f>
        <v>46288</v>
      </c>
      <c r="L691" s="44">
        <f ca="1">IFERROR(IF(_xlfn.MINIFS(G693:G705,G693:G705,"&gt;="&amp;TODAY())=0,"",_xlfn.MINIFS(G693:G705,G693:G705,"&gt;="&amp;TODAY())),"")</f>
        <v>46288</v>
      </c>
      <c r="M691" s="44" t="str">
        <f ca="1">IFERROR(IF(_xlfn.MINIFS(K693:K705,G693:G705,"&gt;="&amp;TODAY())=0,"",_xlfn.MINIFS(K693:K705,G693:G705,"&gt;="&amp;TODAY())),"")</f>
        <v/>
      </c>
      <c r="N691" s="50"/>
      <c r="O691" s="13" t="s">
        <v>129</v>
      </c>
      <c r="P691" s="39" t="s">
        <v>419</v>
      </c>
      <c r="Q691" s="109" t="s">
        <v>420</v>
      </c>
    </row>
    <row r="692" spans="1:17" hidden="1" outlineLevel="2" collapsed="1">
      <c r="A692" s="42" t="s">
        <v>131</v>
      </c>
      <c r="B692" s="42" t="s">
        <v>132</v>
      </c>
      <c r="C692" s="42" t="s">
        <v>133</v>
      </c>
      <c r="D692" s="42" t="s">
        <v>134</v>
      </c>
      <c r="E692" s="42" t="s">
        <v>135</v>
      </c>
      <c r="F692" s="42" t="s">
        <v>136</v>
      </c>
      <c r="G692" s="42" t="s">
        <v>137</v>
      </c>
      <c r="H692" s="42" t="s">
        <v>138</v>
      </c>
      <c r="I692" s="42" t="s">
        <v>139</v>
      </c>
      <c r="J692" s="42" t="s">
        <v>140</v>
      </c>
      <c r="K692" s="42" t="s">
        <v>141</v>
      </c>
    </row>
    <row r="693" spans="1:17" hidden="1" outlineLevel="1">
      <c r="A693" s="14" t="s">
        <v>151</v>
      </c>
      <c r="B693" s="23">
        <v>46015</v>
      </c>
      <c r="C693" s="23">
        <v>46022</v>
      </c>
      <c r="D693" s="23">
        <v>46024</v>
      </c>
      <c r="E693" s="23">
        <v>46044</v>
      </c>
      <c r="F693" s="24"/>
      <c r="G693" s="22">
        <v>46015</v>
      </c>
      <c r="H693" s="22">
        <v>46022</v>
      </c>
      <c r="I693" s="22">
        <v>46024</v>
      </c>
      <c r="J693" s="22">
        <v>46044</v>
      </c>
      <c r="K693" s="25"/>
    </row>
    <row r="694" spans="1:17" hidden="1" outlineLevel="1">
      <c r="A694" s="14" t="s">
        <v>152</v>
      </c>
      <c r="B694" s="23">
        <v>46048</v>
      </c>
      <c r="C694" s="23">
        <v>46053</v>
      </c>
      <c r="D694" s="23">
        <v>46055</v>
      </c>
      <c r="E694" s="23">
        <v>46073</v>
      </c>
      <c r="F694" s="24"/>
      <c r="G694" s="22">
        <v>46048</v>
      </c>
      <c r="H694" s="22">
        <v>46053</v>
      </c>
      <c r="I694" s="22">
        <v>46055</v>
      </c>
      <c r="J694" s="22">
        <v>46073</v>
      </c>
      <c r="K694" s="25"/>
    </row>
    <row r="695" spans="1:17" hidden="1" outlineLevel="1">
      <c r="A695" s="14" t="s">
        <v>153</v>
      </c>
      <c r="B695" s="23">
        <v>46076</v>
      </c>
      <c r="C695" s="23">
        <v>46081</v>
      </c>
      <c r="D695" s="23">
        <v>46083</v>
      </c>
      <c r="E695" s="23">
        <v>46101</v>
      </c>
      <c r="F695" s="24"/>
      <c r="G695" s="22">
        <v>46076</v>
      </c>
      <c r="H695" s="22">
        <v>46081</v>
      </c>
      <c r="I695" s="22">
        <v>46083</v>
      </c>
      <c r="J695" s="22">
        <v>46101</v>
      </c>
      <c r="K695" s="25"/>
    </row>
    <row r="696" spans="1:17" hidden="1" outlineLevel="1">
      <c r="A696" s="14" t="s">
        <v>154</v>
      </c>
      <c r="B696" s="23">
        <v>46105</v>
      </c>
      <c r="C696" s="23">
        <v>46112</v>
      </c>
      <c r="D696" s="23">
        <v>46113</v>
      </c>
      <c r="E696" s="23">
        <v>46135</v>
      </c>
      <c r="F696" s="24"/>
      <c r="G696" s="22">
        <v>46105</v>
      </c>
      <c r="H696" s="22">
        <v>46112</v>
      </c>
      <c r="I696" s="22">
        <v>46113</v>
      </c>
      <c r="J696" s="22">
        <v>46135</v>
      </c>
      <c r="K696" s="25"/>
    </row>
    <row r="697" spans="1:17" hidden="1" outlineLevel="1">
      <c r="A697" s="14" t="s">
        <v>155</v>
      </c>
      <c r="B697" s="23">
        <v>46135</v>
      </c>
      <c r="C697" s="23">
        <v>46142</v>
      </c>
      <c r="D697" s="23">
        <v>46146</v>
      </c>
      <c r="E697" s="23">
        <v>46168</v>
      </c>
      <c r="F697" s="24"/>
      <c r="G697" s="22">
        <v>46135</v>
      </c>
      <c r="H697" s="22">
        <v>46142</v>
      </c>
      <c r="I697" s="22">
        <v>46146</v>
      </c>
      <c r="J697" s="22">
        <v>46168</v>
      </c>
      <c r="K697" s="25"/>
    </row>
    <row r="698" spans="1:17" hidden="1" outlineLevel="1">
      <c r="A698" s="14" t="s">
        <v>156</v>
      </c>
      <c r="B698" s="23">
        <v>46168</v>
      </c>
      <c r="C698" s="23">
        <v>46173</v>
      </c>
      <c r="D698" s="23">
        <v>46174</v>
      </c>
      <c r="E698" s="23">
        <v>46192</v>
      </c>
      <c r="F698" s="24"/>
      <c r="G698" s="22">
        <v>46168</v>
      </c>
      <c r="H698" s="22">
        <v>46173</v>
      </c>
      <c r="I698" s="22">
        <v>46174</v>
      </c>
      <c r="J698" s="22">
        <v>46192</v>
      </c>
      <c r="K698" s="25"/>
    </row>
    <row r="699" spans="1:17" hidden="1" outlineLevel="1">
      <c r="A699" s="14" t="s">
        <v>157</v>
      </c>
      <c r="B699" s="23">
        <v>46197</v>
      </c>
      <c r="C699" s="23">
        <v>46203</v>
      </c>
      <c r="D699" s="23">
        <v>46204</v>
      </c>
      <c r="E699" s="23">
        <v>46224</v>
      </c>
      <c r="F699" s="24"/>
      <c r="G699" s="22">
        <v>46197</v>
      </c>
      <c r="H699" s="22">
        <v>46203</v>
      </c>
      <c r="I699" s="22">
        <v>46204</v>
      </c>
      <c r="J699" s="22">
        <v>46224</v>
      </c>
      <c r="K699" s="25"/>
    </row>
    <row r="700" spans="1:17" hidden="1" outlineLevel="1">
      <c r="A700" s="14" t="s">
        <v>158</v>
      </c>
      <c r="B700" s="23">
        <v>46227</v>
      </c>
      <c r="C700" s="23">
        <v>46234</v>
      </c>
      <c r="D700" s="23">
        <v>46237</v>
      </c>
      <c r="E700" s="23">
        <v>46255</v>
      </c>
      <c r="F700" s="24"/>
      <c r="G700" s="22">
        <v>46227</v>
      </c>
      <c r="H700" s="22">
        <v>46234</v>
      </c>
      <c r="I700" s="22">
        <v>46237</v>
      </c>
      <c r="J700" s="22">
        <v>46255</v>
      </c>
      <c r="K700" s="25"/>
    </row>
    <row r="701" spans="1:17" hidden="1" outlineLevel="1">
      <c r="A701" s="14" t="s">
        <v>159</v>
      </c>
      <c r="B701" s="23">
        <v>46258</v>
      </c>
      <c r="C701" s="23">
        <v>46265</v>
      </c>
      <c r="D701" s="23">
        <v>46266</v>
      </c>
      <c r="E701" s="23">
        <v>46286</v>
      </c>
      <c r="F701" s="24"/>
      <c r="G701" s="22">
        <v>46258</v>
      </c>
      <c r="H701" s="22">
        <v>46265</v>
      </c>
      <c r="I701" s="22">
        <v>46266</v>
      </c>
      <c r="J701" s="22">
        <v>46286</v>
      </c>
      <c r="K701" s="25"/>
    </row>
    <row r="702" spans="1:17" hidden="1" outlineLevel="1">
      <c r="A702" s="14" t="s">
        <v>160</v>
      </c>
      <c r="B702" s="23">
        <v>46288</v>
      </c>
      <c r="C702" s="23">
        <v>46295</v>
      </c>
      <c r="D702" s="23">
        <v>46296</v>
      </c>
      <c r="E702" s="23">
        <v>46316</v>
      </c>
      <c r="F702" s="24"/>
      <c r="G702" s="22">
        <v>46288</v>
      </c>
      <c r="H702" s="22">
        <v>46295</v>
      </c>
      <c r="I702" s="22">
        <v>46296</v>
      </c>
      <c r="J702" s="22">
        <v>46316</v>
      </c>
      <c r="K702" s="25"/>
    </row>
    <row r="703" spans="1:17" hidden="1" outlineLevel="1">
      <c r="A703" s="14" t="s">
        <v>161</v>
      </c>
      <c r="B703" s="23">
        <v>46321</v>
      </c>
      <c r="C703" s="23">
        <v>46326</v>
      </c>
      <c r="D703" s="23">
        <v>46328</v>
      </c>
      <c r="E703" s="23">
        <v>46346</v>
      </c>
      <c r="F703" s="24"/>
      <c r="G703" s="22">
        <v>46321</v>
      </c>
      <c r="H703" s="22">
        <v>46326</v>
      </c>
      <c r="I703" s="22">
        <v>46328</v>
      </c>
      <c r="J703" s="22">
        <v>46346</v>
      </c>
      <c r="K703" s="25"/>
    </row>
    <row r="704" spans="1:17" hidden="1" outlineLevel="1">
      <c r="A704" s="14" t="s">
        <v>162</v>
      </c>
      <c r="B704" s="23">
        <v>46349</v>
      </c>
      <c r="C704" s="23">
        <v>46356</v>
      </c>
      <c r="D704" s="23">
        <v>46357</v>
      </c>
      <c r="E704" s="23">
        <v>46377</v>
      </c>
      <c r="F704" s="24"/>
      <c r="G704" s="22">
        <v>46349</v>
      </c>
      <c r="H704" s="22">
        <v>46356</v>
      </c>
      <c r="I704" s="22">
        <v>46357</v>
      </c>
      <c r="J704" s="22">
        <v>46377</v>
      </c>
      <c r="K704" s="25"/>
    </row>
    <row r="705" spans="1:22" hidden="1" outlineLevel="1">
      <c r="A705" s="14" t="s">
        <v>163</v>
      </c>
      <c r="B705" s="23">
        <v>46380</v>
      </c>
      <c r="C705" s="23">
        <v>46387</v>
      </c>
      <c r="D705" s="23">
        <v>46391</v>
      </c>
      <c r="E705" s="23">
        <v>46409</v>
      </c>
      <c r="F705" s="24"/>
      <c r="G705" s="22">
        <v>46380</v>
      </c>
      <c r="H705" s="22">
        <v>46387</v>
      </c>
      <c r="I705" s="22">
        <v>46391</v>
      </c>
      <c r="J705" s="22">
        <v>46409</v>
      </c>
      <c r="K705" s="25"/>
    </row>
    <row r="706" spans="1:22">
      <c r="A706" s="71" t="s">
        <v>421</v>
      </c>
      <c r="B706" s="72" t="s">
        <v>422</v>
      </c>
      <c r="C706" s="30" t="s">
        <v>306</v>
      </c>
      <c r="D706" s="30"/>
      <c r="E706" s="30"/>
      <c r="F706" s="31">
        <v>4</v>
      </c>
      <c r="G706" s="30"/>
      <c r="H706" s="32"/>
      <c r="I706" s="30" t="s">
        <v>25</v>
      </c>
      <c r="J706" s="73" t="s">
        <v>423</v>
      </c>
      <c r="K706" s="20"/>
      <c r="L706" s="20"/>
      <c r="M706" s="20"/>
      <c r="N706" s="49"/>
      <c r="O706" s="20"/>
      <c r="P706" s="20" t="s">
        <v>27</v>
      </c>
      <c r="Q706" s="92"/>
    </row>
    <row r="707" spans="1:22" ht="137.25">
      <c r="A707" s="33" t="s">
        <v>424</v>
      </c>
      <c r="B707" s="34" t="s">
        <v>425</v>
      </c>
      <c r="C707" s="35" t="s">
        <v>306</v>
      </c>
      <c r="D707" s="35"/>
      <c r="E707" s="35"/>
      <c r="F707" s="36">
        <v>7</v>
      </c>
      <c r="G707" s="35"/>
      <c r="H707" s="37"/>
      <c r="I707" s="35" t="s">
        <v>25</v>
      </c>
      <c r="J707" s="50" t="s">
        <v>108</v>
      </c>
      <c r="K707" s="21"/>
      <c r="L707" s="21"/>
      <c r="M707" s="21"/>
      <c r="N707" s="50"/>
      <c r="O707" s="21"/>
      <c r="P707" s="21" t="s">
        <v>397</v>
      </c>
      <c r="Q707" s="104" t="s">
        <v>426</v>
      </c>
    </row>
    <row r="708" spans="1:22" ht="121.5">
      <c r="A708" s="28" t="s">
        <v>427</v>
      </c>
      <c r="B708" s="29" t="s">
        <v>428</v>
      </c>
      <c r="C708" s="30" t="s">
        <v>306</v>
      </c>
      <c r="D708" s="30"/>
      <c r="E708" s="30"/>
      <c r="F708" s="31">
        <v>6</v>
      </c>
      <c r="G708" s="30"/>
      <c r="H708" s="32"/>
      <c r="I708" s="30" t="s">
        <v>25</v>
      </c>
      <c r="J708" s="105" t="s">
        <v>108</v>
      </c>
      <c r="K708" s="113"/>
      <c r="L708" s="113"/>
      <c r="M708" s="113"/>
      <c r="N708" s="49"/>
      <c r="O708" s="20"/>
      <c r="P708" s="20" t="s">
        <v>397</v>
      </c>
      <c r="Q708" s="101" t="s">
        <v>429</v>
      </c>
      <c r="V708" s="87"/>
    </row>
    <row r="709" spans="1:22" collapsed="1">
      <c r="A709" s="33" t="s">
        <v>430</v>
      </c>
      <c r="B709" s="34" t="s">
        <v>431</v>
      </c>
      <c r="C709" s="35" t="s">
        <v>306</v>
      </c>
      <c r="D709" s="35"/>
      <c r="E709" s="35"/>
      <c r="F709" s="36">
        <v>4</v>
      </c>
      <c r="G709" s="35"/>
      <c r="H709" s="37"/>
      <c r="I709" s="35" t="s">
        <v>25</v>
      </c>
      <c r="J709" s="43" t="str">
        <f ca="1">IF(MAX(B711:B734,G711:G734)=0,"—",IF(MAX(B711:B734,G711:G734)&lt;TODAY(),"À renouveler","À jour"))</f>
        <v>À jour</v>
      </c>
      <c r="K709" s="44">
        <f ca="1">IFERROR(IF(_xlfn.MINIFS(B711:B734,B711:B734,"&gt;="&amp;TODAY())=0,"",_xlfn.MINIFS(B711:B734,B711:B734,"&gt;="&amp;TODAY())),"")</f>
        <v>46288</v>
      </c>
      <c r="L709" s="44">
        <f ca="1">IFERROR(IF(_xlfn.MINIFS(G711:G734,G711:G734,"&gt;="&amp;TODAY())=0,"",_xlfn.MINIFS(G711:G734,G711:G734,"&gt;="&amp;TODAY())),"")</f>
        <v>46295</v>
      </c>
      <c r="M709" s="44">
        <f ca="1">IFERROR(IF(_xlfn.MINIFS(K711:K734,G711:G734,"&gt;="&amp;TODAY())=0,"",_xlfn.MINIFS(K711:K734,G711:G734,"&gt;="&amp;TODAY())),"")</f>
        <v>46420</v>
      </c>
      <c r="N709" s="50"/>
      <c r="O709" s="13" t="s">
        <v>129</v>
      </c>
      <c r="P709" s="39" t="s">
        <v>270</v>
      </c>
      <c r="Q709" s="98"/>
      <c r="V709" t="s">
        <v>215</v>
      </c>
    </row>
    <row r="710" spans="1:22" hidden="1" outlineLevel="2">
      <c r="A710" s="42" t="s">
        <v>131</v>
      </c>
      <c r="B710" s="42" t="s">
        <v>132</v>
      </c>
      <c r="C710" s="42" t="s">
        <v>133</v>
      </c>
      <c r="D710" s="42" t="s">
        <v>134</v>
      </c>
      <c r="E710" s="42" t="s">
        <v>135</v>
      </c>
      <c r="F710" s="42" t="s">
        <v>136</v>
      </c>
      <c r="G710" s="42" t="s">
        <v>137</v>
      </c>
      <c r="H710" s="42" t="s">
        <v>138</v>
      </c>
      <c r="I710" s="42" t="s">
        <v>139</v>
      </c>
      <c r="J710" s="42" t="s">
        <v>140</v>
      </c>
      <c r="K710" s="42" t="s">
        <v>141</v>
      </c>
    </row>
    <row r="711" spans="1:22" hidden="1" outlineLevel="1">
      <c r="A711" s="14" t="s">
        <v>286</v>
      </c>
      <c r="B711" s="23">
        <v>45681</v>
      </c>
      <c r="C711" s="23">
        <v>45688</v>
      </c>
      <c r="D711" s="23">
        <v>45688</v>
      </c>
      <c r="E711" s="23">
        <v>45713</v>
      </c>
      <c r="F711" s="23">
        <v>45716</v>
      </c>
    </row>
    <row r="712" spans="1:22" hidden="1" outlineLevel="1">
      <c r="A712" s="14" t="s">
        <v>287</v>
      </c>
      <c r="B712" s="23">
        <v>45709</v>
      </c>
      <c r="C712" s="23">
        <v>45716</v>
      </c>
      <c r="D712" s="23">
        <v>45716</v>
      </c>
      <c r="E712" s="23">
        <v>45741</v>
      </c>
      <c r="F712" s="23">
        <v>45744</v>
      </c>
    </row>
    <row r="713" spans="1:22" hidden="1" outlineLevel="1">
      <c r="A713" s="14" t="s">
        <v>142</v>
      </c>
      <c r="B713" s="23">
        <v>45740</v>
      </c>
      <c r="C713" s="23">
        <v>45747</v>
      </c>
      <c r="D713" s="23">
        <v>45747</v>
      </c>
      <c r="E713" s="23">
        <v>45772</v>
      </c>
      <c r="F713" s="23">
        <v>45777</v>
      </c>
    </row>
    <row r="714" spans="1:22" hidden="1" outlineLevel="1">
      <c r="A714" s="14" t="s">
        <v>143</v>
      </c>
      <c r="B714" s="23">
        <v>45770</v>
      </c>
      <c r="C714" s="23">
        <v>45777</v>
      </c>
      <c r="D714" s="23">
        <v>45777</v>
      </c>
      <c r="E714" s="23">
        <v>45804</v>
      </c>
      <c r="F714" s="23">
        <v>45810</v>
      </c>
      <c r="G714" s="22">
        <v>45688</v>
      </c>
      <c r="H714" s="22">
        <v>45777</v>
      </c>
      <c r="I714" s="22">
        <v>45777</v>
      </c>
      <c r="J714" s="22">
        <v>45804</v>
      </c>
      <c r="K714" s="22">
        <v>45812</v>
      </c>
    </row>
    <row r="715" spans="1:22" hidden="1" outlineLevel="1">
      <c r="A715" s="14" t="s">
        <v>144</v>
      </c>
      <c r="B715" s="23">
        <v>45799</v>
      </c>
      <c r="C715" s="23">
        <v>45807</v>
      </c>
      <c r="D715" s="23">
        <v>45807</v>
      </c>
      <c r="E715" s="23">
        <v>45834</v>
      </c>
      <c r="F715" s="23">
        <v>45839</v>
      </c>
      <c r="G715" s="22">
        <v>45716</v>
      </c>
      <c r="H715" s="22">
        <v>45807</v>
      </c>
      <c r="I715" s="22">
        <v>45807</v>
      </c>
      <c r="J715" s="22">
        <v>45834</v>
      </c>
      <c r="K715" s="22">
        <v>45841</v>
      </c>
    </row>
    <row r="716" spans="1:22" hidden="1" outlineLevel="1">
      <c r="A716" s="14" t="s">
        <v>145</v>
      </c>
      <c r="B716" s="23">
        <v>45828</v>
      </c>
      <c r="C716" s="23">
        <v>45838</v>
      </c>
      <c r="D716" s="23">
        <v>45838</v>
      </c>
      <c r="E716" s="23">
        <v>45861</v>
      </c>
      <c r="F716" s="23">
        <v>45866</v>
      </c>
      <c r="G716" s="22">
        <v>45747</v>
      </c>
      <c r="H716" s="22">
        <v>45838</v>
      </c>
      <c r="I716" s="22">
        <v>45838</v>
      </c>
      <c r="J716" s="22">
        <v>45861</v>
      </c>
      <c r="K716" s="22">
        <v>45868</v>
      </c>
    </row>
    <row r="717" spans="1:22" hidden="1" outlineLevel="1">
      <c r="A717" s="14" t="s">
        <v>146</v>
      </c>
      <c r="B717" s="23">
        <v>45862</v>
      </c>
      <c r="C717" s="23">
        <v>45869</v>
      </c>
      <c r="D717" s="23">
        <v>45869</v>
      </c>
      <c r="E717" s="23">
        <v>45895</v>
      </c>
      <c r="F717" s="23">
        <v>45898</v>
      </c>
      <c r="G717" s="22">
        <v>45777</v>
      </c>
      <c r="H717" s="22">
        <v>45869</v>
      </c>
      <c r="I717" s="22">
        <v>45869</v>
      </c>
      <c r="J717" s="22">
        <v>45895</v>
      </c>
      <c r="K717" s="22">
        <v>45902</v>
      </c>
    </row>
    <row r="718" spans="1:22" hidden="1" outlineLevel="1">
      <c r="A718" s="14" t="s">
        <v>147</v>
      </c>
      <c r="B718" s="23">
        <v>45891</v>
      </c>
      <c r="C718" s="23">
        <v>45898</v>
      </c>
      <c r="D718" s="23">
        <v>45898</v>
      </c>
      <c r="E718" s="23">
        <v>45923</v>
      </c>
      <c r="F718" s="23">
        <v>45926</v>
      </c>
      <c r="G718" s="22">
        <v>45807</v>
      </c>
      <c r="H718" s="22">
        <v>45898</v>
      </c>
      <c r="I718" s="22">
        <v>45898</v>
      </c>
      <c r="J718" s="22">
        <v>45923</v>
      </c>
      <c r="K718" s="22">
        <v>45930</v>
      </c>
    </row>
    <row r="719" spans="1:22" hidden="1" outlineLevel="1">
      <c r="A719" s="14" t="s">
        <v>148</v>
      </c>
      <c r="B719" s="23">
        <v>45923</v>
      </c>
      <c r="C719" s="23">
        <v>45930</v>
      </c>
      <c r="D719" s="23">
        <v>45930</v>
      </c>
      <c r="E719" s="23">
        <v>45953</v>
      </c>
      <c r="F719" s="23">
        <v>45958</v>
      </c>
      <c r="G719" s="22">
        <v>45838</v>
      </c>
      <c r="H719" s="22">
        <v>45930</v>
      </c>
      <c r="I719" s="22">
        <v>45930</v>
      </c>
      <c r="J719" s="22">
        <v>45953</v>
      </c>
      <c r="K719" s="22">
        <v>45960</v>
      </c>
    </row>
    <row r="720" spans="1:22" hidden="1" outlineLevel="1">
      <c r="A720" s="14" t="s">
        <v>149</v>
      </c>
      <c r="B720" s="23">
        <v>45954</v>
      </c>
      <c r="C720" s="23">
        <v>45961</v>
      </c>
      <c r="D720" s="23">
        <v>45961</v>
      </c>
      <c r="E720" s="23">
        <v>45986</v>
      </c>
      <c r="F720" s="23">
        <v>45989</v>
      </c>
      <c r="G720" s="22">
        <v>45869</v>
      </c>
      <c r="H720" s="22">
        <v>45961</v>
      </c>
      <c r="I720" s="22">
        <v>45961</v>
      </c>
      <c r="J720" s="22">
        <v>45986</v>
      </c>
      <c r="K720" s="22">
        <v>45993</v>
      </c>
    </row>
    <row r="721" spans="1:17" hidden="1" outlineLevel="1">
      <c r="A721" s="14" t="s">
        <v>150</v>
      </c>
      <c r="B721" s="23">
        <v>45982</v>
      </c>
      <c r="C721" s="23">
        <v>45989</v>
      </c>
      <c r="D721" s="23">
        <v>45989</v>
      </c>
      <c r="E721" s="23">
        <v>46014</v>
      </c>
      <c r="F721" s="23">
        <v>46022</v>
      </c>
      <c r="G721" s="22">
        <v>45898</v>
      </c>
      <c r="H721" s="22">
        <v>45989</v>
      </c>
      <c r="I721" s="22">
        <v>45989</v>
      </c>
      <c r="J721" s="22">
        <v>46014</v>
      </c>
      <c r="K721" s="22">
        <v>46027</v>
      </c>
    </row>
    <row r="722" spans="1:17" hidden="1" outlineLevel="1">
      <c r="A722" s="14" t="s">
        <v>151</v>
      </c>
      <c r="B722" s="23">
        <v>46010</v>
      </c>
      <c r="C722" s="23">
        <v>46022</v>
      </c>
      <c r="D722" s="23">
        <v>46022</v>
      </c>
      <c r="E722" s="23">
        <v>46048</v>
      </c>
      <c r="F722" s="23">
        <v>46051</v>
      </c>
      <c r="G722" s="22">
        <v>45930</v>
      </c>
      <c r="H722" s="22">
        <v>46022</v>
      </c>
      <c r="I722" s="22">
        <v>46022</v>
      </c>
      <c r="J722" s="22">
        <v>46048</v>
      </c>
      <c r="K722" s="22">
        <v>46055</v>
      </c>
    </row>
    <row r="723" spans="1:17" hidden="1" outlineLevel="1">
      <c r="A723" s="14" t="s">
        <v>152</v>
      </c>
      <c r="B723" s="23">
        <v>46045</v>
      </c>
      <c r="C723" s="23">
        <v>46052</v>
      </c>
      <c r="D723" s="23">
        <v>46052</v>
      </c>
      <c r="E723" s="23">
        <v>46077</v>
      </c>
      <c r="F723" s="23">
        <v>46080</v>
      </c>
      <c r="G723" s="22">
        <v>45961</v>
      </c>
      <c r="H723" s="22">
        <v>46052</v>
      </c>
      <c r="I723" s="22">
        <v>46052</v>
      </c>
      <c r="J723" s="22">
        <v>46077</v>
      </c>
      <c r="K723" s="22">
        <v>46084</v>
      </c>
    </row>
    <row r="724" spans="1:17" hidden="1" outlineLevel="1" collapsed="1">
      <c r="A724" s="14" t="s">
        <v>153</v>
      </c>
      <c r="B724" s="23">
        <v>46073</v>
      </c>
      <c r="C724" s="23">
        <v>46080</v>
      </c>
      <c r="D724" s="23">
        <v>46080</v>
      </c>
      <c r="E724" s="23">
        <v>46105</v>
      </c>
      <c r="F724" s="23">
        <v>46108</v>
      </c>
      <c r="G724" s="22">
        <v>45989</v>
      </c>
      <c r="H724" s="22">
        <v>46080</v>
      </c>
      <c r="I724" s="22">
        <v>46080</v>
      </c>
      <c r="J724" s="22">
        <v>46105</v>
      </c>
      <c r="K724" s="22">
        <v>46112</v>
      </c>
    </row>
    <row r="725" spans="1:17" hidden="1" outlineLevel="1">
      <c r="A725" s="14" t="s">
        <v>154</v>
      </c>
      <c r="B725" s="23">
        <v>46105</v>
      </c>
      <c r="C725" s="23">
        <v>46112</v>
      </c>
      <c r="D725" s="23">
        <v>46112</v>
      </c>
      <c r="E725" s="23">
        <v>46139</v>
      </c>
      <c r="F725" s="23">
        <v>46142</v>
      </c>
      <c r="G725" s="22">
        <v>46022</v>
      </c>
      <c r="H725" s="22">
        <v>46112</v>
      </c>
      <c r="I725" s="22">
        <v>46112</v>
      </c>
      <c r="J725" s="22">
        <v>46139</v>
      </c>
      <c r="K725" s="22">
        <v>46147</v>
      </c>
    </row>
    <row r="726" spans="1:17" hidden="1" outlineLevel="1">
      <c r="A726" s="14" t="s">
        <v>155</v>
      </c>
      <c r="B726" s="23">
        <v>46135</v>
      </c>
      <c r="C726" s="23">
        <v>46142</v>
      </c>
      <c r="D726" s="23">
        <v>46142</v>
      </c>
      <c r="E726" s="23">
        <v>46170</v>
      </c>
      <c r="F726" s="23">
        <v>46175</v>
      </c>
      <c r="G726" s="22">
        <v>46052</v>
      </c>
      <c r="H726" s="22">
        <v>46142</v>
      </c>
      <c r="I726" s="22">
        <v>46142</v>
      </c>
      <c r="J726" s="22">
        <v>46170</v>
      </c>
      <c r="K726" s="22">
        <v>46177</v>
      </c>
    </row>
    <row r="727" spans="1:17" hidden="1" outlineLevel="1">
      <c r="A727" s="14" t="s">
        <v>156</v>
      </c>
      <c r="B727" s="23">
        <v>46163</v>
      </c>
      <c r="C727" s="23">
        <v>46171</v>
      </c>
      <c r="D727" s="23">
        <v>46171</v>
      </c>
      <c r="E727" s="23">
        <v>46197</v>
      </c>
      <c r="F727" s="23">
        <v>46202</v>
      </c>
      <c r="G727" s="22">
        <v>46080</v>
      </c>
      <c r="H727" s="22">
        <v>46171</v>
      </c>
      <c r="I727" s="22">
        <v>46171</v>
      </c>
      <c r="J727" s="22">
        <v>46197</v>
      </c>
      <c r="K727" s="22">
        <v>46204</v>
      </c>
    </row>
    <row r="728" spans="1:17" hidden="1" outlineLevel="1">
      <c r="A728" s="14" t="s">
        <v>157</v>
      </c>
      <c r="B728" s="23">
        <v>46195</v>
      </c>
      <c r="C728" s="23">
        <v>46203</v>
      </c>
      <c r="D728" s="23">
        <v>46203</v>
      </c>
      <c r="E728" s="23">
        <v>46226</v>
      </c>
      <c r="F728" s="23">
        <v>46231</v>
      </c>
      <c r="G728" s="22">
        <v>46112</v>
      </c>
      <c r="H728" s="22">
        <v>46203</v>
      </c>
      <c r="I728" s="22">
        <v>46203</v>
      </c>
      <c r="J728" s="22">
        <v>46226</v>
      </c>
      <c r="K728" s="22">
        <v>46233</v>
      </c>
    </row>
    <row r="729" spans="1:17" hidden="1" outlineLevel="1">
      <c r="A729" s="14" t="s">
        <v>158</v>
      </c>
      <c r="B729" s="23">
        <v>46227</v>
      </c>
      <c r="C729" s="23">
        <v>46234</v>
      </c>
      <c r="D729" s="23">
        <v>46234</v>
      </c>
      <c r="E729" s="23">
        <v>46259</v>
      </c>
      <c r="F729" s="23">
        <v>46262</v>
      </c>
      <c r="G729" s="22">
        <v>46142</v>
      </c>
      <c r="H729" s="22">
        <v>46234</v>
      </c>
      <c r="I729" s="22">
        <v>46234</v>
      </c>
      <c r="J729" s="22">
        <v>46259</v>
      </c>
      <c r="K729" s="22">
        <v>46266</v>
      </c>
    </row>
    <row r="730" spans="1:17" hidden="1" outlineLevel="1">
      <c r="A730" s="14" t="s">
        <v>159</v>
      </c>
      <c r="B730" s="23">
        <v>46258</v>
      </c>
      <c r="C730" s="23">
        <v>46265</v>
      </c>
      <c r="D730" s="23">
        <v>46265</v>
      </c>
      <c r="E730" s="23">
        <v>46288</v>
      </c>
      <c r="F730" s="23">
        <v>46293</v>
      </c>
      <c r="G730" s="22">
        <v>46171</v>
      </c>
      <c r="H730" s="22">
        <v>46265</v>
      </c>
      <c r="I730" s="22">
        <v>46265</v>
      </c>
      <c r="J730" s="22">
        <v>46288</v>
      </c>
      <c r="K730" s="22">
        <v>46295</v>
      </c>
    </row>
    <row r="731" spans="1:17" hidden="1" outlineLevel="1">
      <c r="A731" s="14" t="s">
        <v>160</v>
      </c>
      <c r="B731" s="23">
        <v>46288</v>
      </c>
      <c r="C731" s="23">
        <v>46295</v>
      </c>
      <c r="D731" s="23">
        <v>46295</v>
      </c>
      <c r="E731" s="23">
        <v>46318</v>
      </c>
      <c r="F731" s="23">
        <v>46323</v>
      </c>
      <c r="G731" s="22">
        <v>46203</v>
      </c>
      <c r="H731" s="22">
        <v>46295</v>
      </c>
      <c r="I731" s="22">
        <v>46295</v>
      </c>
      <c r="J731" s="22">
        <v>46318</v>
      </c>
      <c r="K731" s="22">
        <v>46325</v>
      </c>
    </row>
    <row r="732" spans="1:17" hidden="1" outlineLevel="1">
      <c r="A732" s="14" t="s">
        <v>161</v>
      </c>
      <c r="B732" s="23">
        <v>46318</v>
      </c>
      <c r="C732" s="23">
        <v>46325</v>
      </c>
      <c r="D732" s="23">
        <v>46325</v>
      </c>
      <c r="E732" s="23">
        <v>46350</v>
      </c>
      <c r="F732" s="23">
        <v>46353</v>
      </c>
      <c r="G732" s="22">
        <v>46234</v>
      </c>
      <c r="H732" s="22">
        <v>46325</v>
      </c>
      <c r="I732" s="22">
        <v>46325</v>
      </c>
      <c r="J732" s="22">
        <v>46350</v>
      </c>
      <c r="K732" s="22">
        <v>46357</v>
      </c>
    </row>
    <row r="733" spans="1:17" hidden="1" outlineLevel="1">
      <c r="A733" s="14" t="s">
        <v>162</v>
      </c>
      <c r="B733" s="23">
        <v>46349</v>
      </c>
      <c r="C733" s="23">
        <v>46356</v>
      </c>
      <c r="D733" s="23">
        <v>46356</v>
      </c>
      <c r="E733" s="23">
        <v>46379</v>
      </c>
      <c r="F733" s="23">
        <v>46385</v>
      </c>
      <c r="G733" s="22">
        <v>46265</v>
      </c>
      <c r="H733" s="22">
        <v>46356</v>
      </c>
      <c r="I733" s="22">
        <v>46356</v>
      </c>
      <c r="J733" s="22">
        <v>46379</v>
      </c>
      <c r="K733" s="22">
        <v>46387</v>
      </c>
    </row>
    <row r="734" spans="1:17" hidden="1" outlineLevel="1">
      <c r="A734" s="14" t="s">
        <v>163</v>
      </c>
      <c r="B734" s="23">
        <v>46379</v>
      </c>
      <c r="C734" s="23">
        <v>46387</v>
      </c>
      <c r="D734" s="23">
        <v>46387</v>
      </c>
      <c r="E734" s="23">
        <v>46413</v>
      </c>
      <c r="F734" s="23">
        <v>46416</v>
      </c>
      <c r="G734" s="22">
        <v>46295</v>
      </c>
      <c r="H734" s="22">
        <v>46387</v>
      </c>
      <c r="I734" s="22">
        <v>46387</v>
      </c>
      <c r="J734" s="22">
        <v>46413</v>
      </c>
      <c r="K734" s="22">
        <v>46420</v>
      </c>
    </row>
    <row r="735" spans="1:17" ht="91.5">
      <c r="A735" s="28" t="s">
        <v>432</v>
      </c>
      <c r="B735" s="29" t="s">
        <v>433</v>
      </c>
      <c r="C735" s="30" t="s">
        <v>306</v>
      </c>
      <c r="D735" s="30"/>
      <c r="E735" s="30"/>
      <c r="F735" s="31">
        <v>6</v>
      </c>
      <c r="G735" s="30"/>
      <c r="H735" s="32"/>
      <c r="I735" s="30" t="s">
        <v>25</v>
      </c>
      <c r="J735" s="105" t="s">
        <v>108</v>
      </c>
      <c r="K735" s="20"/>
      <c r="L735" s="20"/>
      <c r="M735" s="20"/>
      <c r="N735" s="49"/>
      <c r="O735" s="20"/>
      <c r="P735" s="20" t="s">
        <v>397</v>
      </c>
      <c r="Q735" s="101" t="s">
        <v>434</v>
      </c>
    </row>
    <row r="736" spans="1:17" ht="91.5">
      <c r="A736" s="33" t="s">
        <v>435</v>
      </c>
      <c r="B736" s="34" t="s">
        <v>436</v>
      </c>
      <c r="C736" s="35" t="s">
        <v>306</v>
      </c>
      <c r="D736" s="35"/>
      <c r="E736" s="35"/>
      <c r="F736" s="36">
        <v>6</v>
      </c>
      <c r="G736" s="35"/>
      <c r="H736" s="37"/>
      <c r="I736" s="35" t="s">
        <v>25</v>
      </c>
      <c r="J736" s="50" t="s">
        <v>108</v>
      </c>
      <c r="K736" s="21"/>
      <c r="L736" s="21"/>
      <c r="M736" s="21"/>
      <c r="N736" s="50"/>
      <c r="O736" s="21"/>
      <c r="P736" s="21" t="s">
        <v>397</v>
      </c>
      <c r="Q736" s="104" t="s">
        <v>437</v>
      </c>
    </row>
    <row r="737" spans="1:22" ht="91.5">
      <c r="A737" s="28" t="s">
        <v>438</v>
      </c>
      <c r="B737" s="29" t="s">
        <v>439</v>
      </c>
      <c r="C737" s="30" t="s">
        <v>306</v>
      </c>
      <c r="D737" s="30"/>
      <c r="E737" s="30"/>
      <c r="F737" s="31">
        <v>6</v>
      </c>
      <c r="G737" s="30"/>
      <c r="H737" s="32"/>
      <c r="I737" s="30" t="s">
        <v>25</v>
      </c>
      <c r="J737" s="105" t="s">
        <v>108</v>
      </c>
      <c r="K737" s="20"/>
      <c r="L737" s="20"/>
      <c r="M737" s="20"/>
      <c r="N737" s="49"/>
      <c r="O737" s="20"/>
      <c r="P737" s="20" t="s">
        <v>109</v>
      </c>
      <c r="Q737" s="101" t="s">
        <v>440</v>
      </c>
    </row>
    <row r="738" spans="1:22" ht="76.5">
      <c r="A738" s="33" t="s">
        <v>441</v>
      </c>
      <c r="B738" s="34" t="s">
        <v>442</v>
      </c>
      <c r="C738" s="35" t="s">
        <v>306</v>
      </c>
      <c r="D738" s="35"/>
      <c r="E738" s="35"/>
      <c r="F738" s="36">
        <v>6</v>
      </c>
      <c r="G738" s="35"/>
      <c r="H738" s="37"/>
      <c r="I738" s="35" t="s">
        <v>25</v>
      </c>
      <c r="J738" s="50" t="s">
        <v>108</v>
      </c>
      <c r="K738" s="21"/>
      <c r="L738" s="21"/>
      <c r="M738" s="21"/>
      <c r="N738" s="50"/>
      <c r="O738" s="21"/>
      <c r="P738" s="21" t="s">
        <v>443</v>
      </c>
      <c r="Q738" s="104" t="s">
        <v>444</v>
      </c>
    </row>
    <row r="739" spans="1:22" ht="76.5">
      <c r="A739" s="28" t="s">
        <v>445</v>
      </c>
      <c r="B739" s="29" t="s">
        <v>446</v>
      </c>
      <c r="C739" s="30" t="s">
        <v>306</v>
      </c>
      <c r="D739" s="30"/>
      <c r="E739" s="30"/>
      <c r="F739" s="31">
        <v>7</v>
      </c>
      <c r="G739" s="30"/>
      <c r="H739" s="32"/>
      <c r="I739" s="30" t="s">
        <v>25</v>
      </c>
      <c r="J739" s="105" t="s">
        <v>108</v>
      </c>
      <c r="K739" s="20"/>
      <c r="L739" s="20"/>
      <c r="M739" s="20"/>
      <c r="N739" s="49"/>
      <c r="O739" s="20"/>
      <c r="P739" s="20" t="s">
        <v>397</v>
      </c>
      <c r="Q739" s="101" t="s">
        <v>447</v>
      </c>
    </row>
    <row r="740" spans="1:22">
      <c r="A740" s="33" t="s">
        <v>448</v>
      </c>
      <c r="B740" s="34" t="s">
        <v>449</v>
      </c>
      <c r="C740" s="35" t="s">
        <v>306</v>
      </c>
      <c r="D740" s="35"/>
      <c r="E740" s="35"/>
      <c r="F740" s="36">
        <v>6</v>
      </c>
      <c r="G740" s="35"/>
      <c r="H740" s="37"/>
      <c r="I740" s="35" t="s">
        <v>25</v>
      </c>
      <c r="J740" s="21"/>
      <c r="K740" s="21"/>
      <c r="L740" s="21"/>
      <c r="M740" s="21"/>
      <c r="N740" s="50"/>
      <c r="O740" s="21"/>
      <c r="P740" s="21"/>
      <c r="Q740" s="69"/>
      <c r="V740" t="s">
        <v>215</v>
      </c>
    </row>
    <row r="741" spans="1:22" ht="60.75">
      <c r="A741" s="28" t="s">
        <v>450</v>
      </c>
      <c r="B741" s="29" t="s">
        <v>451</v>
      </c>
      <c r="C741" s="30" t="s">
        <v>306</v>
      </c>
      <c r="D741" s="30"/>
      <c r="E741" s="30"/>
      <c r="F741" s="31">
        <v>7</v>
      </c>
      <c r="G741" s="30"/>
      <c r="H741" s="32"/>
      <c r="I741" s="30" t="s">
        <v>25</v>
      </c>
      <c r="J741" s="105" t="s">
        <v>108</v>
      </c>
      <c r="K741" s="41" t="str">
        <f ca="1">IFERROR(IF(_xlfn.MINIFS(#REF!,#REF!,"&gt;="&amp;TODAY())=0,"",_xlfn.MINIFS(#REF!,#REF!,"&gt;="&amp;TODAY())),"")</f>
        <v/>
      </c>
      <c r="L741" s="41" t="str">
        <f ca="1">IFERROR(IF(_xlfn.MINIFS(#REF!,#REF!,"&gt;="&amp;TODAY())=0,"",_xlfn.MINIFS(#REF!,#REF!,"&gt;="&amp;TODAY())),"")</f>
        <v/>
      </c>
      <c r="M741" s="41" t="str">
        <f ca="1">IFERROR(IF(_xlfn.MINIFS(#REF!,#REF!,"&gt;="&amp;TODAY())=0,"",_xlfn.MINIFS(#REF!,#REF!,"&gt;="&amp;TODAY())),"")</f>
        <v/>
      </c>
      <c r="N741" s="49"/>
      <c r="O741" s="13" t="s">
        <v>129</v>
      </c>
      <c r="P741" s="20" t="s">
        <v>397</v>
      </c>
      <c r="Q741" s="101" t="s">
        <v>452</v>
      </c>
    </row>
    <row r="742" spans="1:22" ht="30.75">
      <c r="A742" s="33" t="s">
        <v>453</v>
      </c>
      <c r="B742" s="34" t="s">
        <v>454</v>
      </c>
      <c r="C742" s="35" t="s">
        <v>306</v>
      </c>
      <c r="D742" s="35"/>
      <c r="E742" s="35"/>
      <c r="F742" s="36">
        <v>6</v>
      </c>
      <c r="G742" s="35"/>
      <c r="H742" s="37"/>
      <c r="I742" s="35" t="s">
        <v>25</v>
      </c>
      <c r="J742" s="50" t="s">
        <v>108</v>
      </c>
      <c r="K742" s="21"/>
      <c r="L742" s="21"/>
      <c r="M742" s="21"/>
      <c r="N742" s="50"/>
      <c r="O742" s="21"/>
      <c r="P742" s="21" t="s">
        <v>397</v>
      </c>
      <c r="Q742" s="104" t="s">
        <v>455</v>
      </c>
    </row>
    <row r="743" spans="1:22" ht="30.75">
      <c r="A743" s="28" t="s">
        <v>456</v>
      </c>
      <c r="B743" s="29" t="s">
        <v>457</v>
      </c>
      <c r="C743" s="30" t="s">
        <v>306</v>
      </c>
      <c r="D743" s="30"/>
      <c r="E743" s="30"/>
      <c r="F743" s="31">
        <v>6</v>
      </c>
      <c r="G743" s="30"/>
      <c r="H743" s="32"/>
      <c r="I743" s="30" t="s">
        <v>25</v>
      </c>
      <c r="J743" s="49" t="s">
        <v>108</v>
      </c>
      <c r="K743" s="20"/>
      <c r="L743" s="20"/>
      <c r="M743" s="20"/>
      <c r="N743" s="49"/>
      <c r="O743" s="20"/>
      <c r="P743" s="20" t="s">
        <v>109</v>
      </c>
      <c r="Q743" s="101" t="s">
        <v>458</v>
      </c>
    </row>
    <row r="744" spans="1:22">
      <c r="A744" s="33" t="s">
        <v>459</v>
      </c>
      <c r="B744" s="34" t="s">
        <v>460</v>
      </c>
      <c r="C744" s="35" t="s">
        <v>306</v>
      </c>
      <c r="D744" s="35"/>
      <c r="E744" s="35"/>
      <c r="F744" s="36">
        <v>6</v>
      </c>
      <c r="G744" s="35"/>
      <c r="H744" s="37"/>
      <c r="I744" s="35" t="s">
        <v>25</v>
      </c>
      <c r="J744" s="50" t="s">
        <v>108</v>
      </c>
      <c r="K744" s="21"/>
      <c r="L744" s="21"/>
      <c r="M744" s="21"/>
      <c r="N744" s="50"/>
      <c r="O744" s="21"/>
      <c r="P744" s="21" t="s">
        <v>397</v>
      </c>
      <c r="Q744" s="69" t="s">
        <v>461</v>
      </c>
    </row>
    <row r="745" spans="1:22" ht="30.75">
      <c r="A745" s="28" t="s">
        <v>462</v>
      </c>
      <c r="B745" s="29" t="s">
        <v>463</v>
      </c>
      <c r="C745" s="30" t="s">
        <v>306</v>
      </c>
      <c r="D745" s="30"/>
      <c r="E745" s="30"/>
      <c r="F745" s="31">
        <v>6</v>
      </c>
      <c r="G745" s="30"/>
      <c r="H745" s="32"/>
      <c r="I745" s="30" t="s">
        <v>25</v>
      </c>
      <c r="J745" s="49" t="s">
        <v>108</v>
      </c>
      <c r="K745" s="20"/>
      <c r="L745" s="20"/>
      <c r="M745" s="20"/>
      <c r="N745" s="49"/>
      <c r="O745" s="20"/>
      <c r="P745" s="20" t="s">
        <v>397</v>
      </c>
      <c r="Q745" s="101" t="s">
        <v>464</v>
      </c>
    </row>
    <row r="746" spans="1:22">
      <c r="A746" s="33" t="s">
        <v>465</v>
      </c>
      <c r="B746" s="34" t="s">
        <v>466</v>
      </c>
      <c r="C746" s="35" t="s">
        <v>306</v>
      </c>
      <c r="D746" s="35"/>
      <c r="E746" s="35"/>
      <c r="F746" s="36">
        <v>6</v>
      </c>
      <c r="G746" s="35"/>
      <c r="H746" s="37"/>
      <c r="I746" s="35" t="s">
        <v>25</v>
      </c>
      <c r="J746" s="50" t="s">
        <v>108</v>
      </c>
      <c r="K746" s="21"/>
      <c r="L746" s="21"/>
      <c r="M746" s="21"/>
      <c r="N746" s="50"/>
      <c r="O746" s="21"/>
      <c r="P746" s="21" t="s">
        <v>397</v>
      </c>
      <c r="Q746" s="69"/>
      <c r="V746" t="s">
        <v>467</v>
      </c>
    </row>
    <row r="747" spans="1:22" ht="121.5">
      <c r="A747" s="28" t="s">
        <v>468</v>
      </c>
      <c r="B747" s="29" t="s">
        <v>469</v>
      </c>
      <c r="C747" s="30" t="s">
        <v>306</v>
      </c>
      <c r="D747" s="30"/>
      <c r="E747" s="30"/>
      <c r="F747" s="31">
        <v>5</v>
      </c>
      <c r="G747" s="30"/>
      <c r="H747" s="32"/>
      <c r="I747" s="30" t="s">
        <v>25</v>
      </c>
      <c r="J747" s="49" t="s">
        <v>108</v>
      </c>
      <c r="K747" s="20"/>
      <c r="L747" s="20"/>
      <c r="M747" s="20"/>
      <c r="N747" s="49"/>
      <c r="O747" s="20"/>
      <c r="P747" s="20" t="s">
        <v>186</v>
      </c>
      <c r="Q747" s="107" t="s">
        <v>470</v>
      </c>
    </row>
    <row r="748" spans="1:22" ht="152.25" collapsed="1">
      <c r="A748" s="33" t="s">
        <v>471</v>
      </c>
      <c r="B748" s="34" t="s">
        <v>472</v>
      </c>
      <c r="C748" s="35" t="s">
        <v>306</v>
      </c>
      <c r="D748" s="35"/>
      <c r="E748" s="35"/>
      <c r="F748" s="36">
        <v>4</v>
      </c>
      <c r="G748" s="35"/>
      <c r="H748" s="37"/>
      <c r="I748" s="35" t="s">
        <v>25</v>
      </c>
      <c r="J748" s="21" t="s">
        <v>265</v>
      </c>
      <c r="K748" s="75">
        <v>46258</v>
      </c>
      <c r="L748" s="75">
        <v>46281</v>
      </c>
      <c r="M748" s="75">
        <v>46339</v>
      </c>
      <c r="N748" s="50" t="s">
        <v>128</v>
      </c>
      <c r="O748" s="21" t="s">
        <v>129</v>
      </c>
      <c r="P748" s="21" t="s">
        <v>473</v>
      </c>
      <c r="Q748" s="108" t="s">
        <v>474</v>
      </c>
    </row>
    <row r="749" spans="1:22" hidden="1" outlineLevel="1">
      <c r="A749" s="42" t="s">
        <v>131</v>
      </c>
      <c r="B749" s="42" t="s">
        <v>132</v>
      </c>
      <c r="C749" s="42" t="s">
        <v>133</v>
      </c>
      <c r="D749" s="42" t="s">
        <v>134</v>
      </c>
      <c r="E749" s="42" t="s">
        <v>135</v>
      </c>
      <c r="F749" s="42" t="s">
        <v>136</v>
      </c>
      <c r="G749" s="42" t="s">
        <v>137</v>
      </c>
      <c r="H749" s="42" t="s">
        <v>138</v>
      </c>
      <c r="I749" s="42" t="s">
        <v>139</v>
      </c>
      <c r="J749" s="42" t="s">
        <v>140</v>
      </c>
      <c r="K749" s="42" t="s">
        <v>141</v>
      </c>
    </row>
    <row r="750" spans="1:22" hidden="1" outlineLevel="1">
      <c r="A750" s="14" t="s">
        <v>148</v>
      </c>
      <c r="B750" s="23">
        <v>45924</v>
      </c>
      <c r="C750" s="23">
        <v>45930</v>
      </c>
      <c r="D750" s="23">
        <v>45931</v>
      </c>
      <c r="E750" s="23">
        <v>45959</v>
      </c>
      <c r="F750" s="23">
        <v>45925</v>
      </c>
      <c r="G750" s="1"/>
      <c r="H750" s="1"/>
      <c r="I750" s="1"/>
      <c r="J750" s="1"/>
      <c r="K750" s="1"/>
    </row>
    <row r="751" spans="1:22" hidden="1" outlineLevel="1">
      <c r="A751" s="14" t="s">
        <v>149</v>
      </c>
      <c r="B751" s="23">
        <v>45957</v>
      </c>
      <c r="C751" s="23">
        <v>45961</v>
      </c>
      <c r="D751" s="23">
        <v>45964</v>
      </c>
      <c r="E751" s="23">
        <v>45993</v>
      </c>
      <c r="F751" s="23">
        <v>45958</v>
      </c>
      <c r="G751" s="1"/>
      <c r="H751" s="1"/>
      <c r="I751" s="1"/>
      <c r="J751" s="1"/>
      <c r="K751" s="1"/>
    </row>
    <row r="752" spans="1:22" hidden="1" outlineLevel="1">
      <c r="A752" s="14" t="s">
        <v>150</v>
      </c>
      <c r="B752" s="23">
        <v>45982</v>
      </c>
      <c r="C752" s="23">
        <v>45991</v>
      </c>
      <c r="D752" s="23">
        <v>45992</v>
      </c>
      <c r="E752" s="23">
        <v>46021</v>
      </c>
      <c r="F752" s="23">
        <v>45985</v>
      </c>
      <c r="G752" s="1"/>
      <c r="H752" s="1"/>
      <c r="I752" s="1"/>
      <c r="J752" s="1"/>
      <c r="K752" s="1"/>
    </row>
    <row r="753" spans="1:17" hidden="1" outlineLevel="1">
      <c r="A753" s="14" t="s">
        <v>151</v>
      </c>
      <c r="B753" s="23">
        <v>46014</v>
      </c>
      <c r="C753" s="23">
        <v>46022</v>
      </c>
      <c r="D753" s="23">
        <v>46024</v>
      </c>
      <c r="E753" s="23">
        <v>46052</v>
      </c>
      <c r="F753" s="23">
        <v>46015</v>
      </c>
      <c r="G753" s="1">
        <v>46006</v>
      </c>
      <c r="H753" s="1">
        <v>46022</v>
      </c>
      <c r="I753" s="1">
        <v>46022</v>
      </c>
      <c r="J753" s="1">
        <v>46052</v>
      </c>
      <c r="K753" s="1">
        <v>46066</v>
      </c>
    </row>
    <row r="754" spans="1:17" hidden="1" outlineLevel="1">
      <c r="A754" s="14" t="s">
        <v>152</v>
      </c>
      <c r="B754" s="23">
        <v>46048</v>
      </c>
      <c r="C754" s="23">
        <v>46053</v>
      </c>
      <c r="D754" s="23">
        <v>46055</v>
      </c>
      <c r="E754" s="23">
        <v>46083</v>
      </c>
      <c r="F754" s="23">
        <v>46049</v>
      </c>
      <c r="G754" s="1"/>
      <c r="H754" s="1"/>
      <c r="I754" s="1"/>
      <c r="J754" s="1"/>
      <c r="K754" s="1"/>
    </row>
    <row r="755" spans="1:17" hidden="1" outlineLevel="1">
      <c r="A755" s="14" t="s">
        <v>153</v>
      </c>
      <c r="B755" s="23">
        <v>46076</v>
      </c>
      <c r="C755" s="23">
        <v>46081</v>
      </c>
      <c r="D755" s="23">
        <v>46083</v>
      </c>
      <c r="E755" s="23">
        <v>46108</v>
      </c>
      <c r="F755" s="23">
        <v>46077</v>
      </c>
      <c r="G755" s="1"/>
      <c r="H755" s="1"/>
      <c r="I755" s="1"/>
      <c r="J755" s="1"/>
      <c r="K755" s="1"/>
    </row>
    <row r="756" spans="1:17" hidden="1" outlineLevel="1">
      <c r="A756" s="14" t="s">
        <v>154</v>
      </c>
      <c r="B756" s="23">
        <v>46106</v>
      </c>
      <c r="C756" s="23">
        <v>46112</v>
      </c>
      <c r="D756" s="23">
        <v>46113</v>
      </c>
      <c r="E756" s="23">
        <v>46142</v>
      </c>
      <c r="F756" s="23">
        <v>46107</v>
      </c>
      <c r="G756" s="1">
        <v>46098</v>
      </c>
      <c r="H756" s="1">
        <v>46112</v>
      </c>
      <c r="I756" s="1">
        <v>46112</v>
      </c>
      <c r="J756" s="1">
        <v>46142</v>
      </c>
      <c r="K756" s="1">
        <v>46161</v>
      </c>
    </row>
    <row r="757" spans="1:17" hidden="1" outlineLevel="1">
      <c r="A757" s="14" t="s">
        <v>155</v>
      </c>
      <c r="B757" s="23">
        <v>46136</v>
      </c>
      <c r="C757" s="23">
        <v>46142</v>
      </c>
      <c r="D757" s="23">
        <v>46147</v>
      </c>
      <c r="E757" s="23">
        <v>46176</v>
      </c>
      <c r="F757" s="23">
        <v>46139</v>
      </c>
      <c r="G757" s="1"/>
      <c r="H757" s="1"/>
      <c r="I757" s="1"/>
      <c r="J757" s="1"/>
      <c r="K757" s="1"/>
    </row>
    <row r="758" spans="1:17" hidden="1" outlineLevel="1">
      <c r="A758" s="14" t="s">
        <v>156</v>
      </c>
      <c r="B758" s="23">
        <v>46164</v>
      </c>
      <c r="C758" s="23">
        <v>46173</v>
      </c>
      <c r="D758" s="23">
        <v>46174</v>
      </c>
      <c r="E758" s="23">
        <v>46203</v>
      </c>
      <c r="F758" s="23">
        <v>46168</v>
      </c>
      <c r="G758" s="1"/>
      <c r="H758" s="1"/>
      <c r="I758" s="1"/>
      <c r="J758" s="1"/>
      <c r="K758" s="1"/>
    </row>
    <row r="759" spans="1:17" hidden="1" outlineLevel="1">
      <c r="A759" s="14" t="s">
        <v>157</v>
      </c>
      <c r="B759" s="23">
        <v>46197</v>
      </c>
      <c r="C759" s="23">
        <v>46203</v>
      </c>
      <c r="D759" s="23">
        <v>46204</v>
      </c>
      <c r="E759" s="23">
        <v>46232</v>
      </c>
      <c r="F759" s="23">
        <v>46198</v>
      </c>
      <c r="G759" s="1">
        <v>46185</v>
      </c>
      <c r="H759" s="1">
        <v>46203</v>
      </c>
      <c r="I759" s="1">
        <v>46203</v>
      </c>
      <c r="J759" s="1">
        <v>46232</v>
      </c>
      <c r="K759" s="1">
        <v>46246</v>
      </c>
    </row>
    <row r="760" spans="1:17" hidden="1" outlineLevel="1">
      <c r="A760" s="14" t="s">
        <v>158</v>
      </c>
      <c r="B760" s="23">
        <v>46230</v>
      </c>
      <c r="C760" s="23">
        <v>46234</v>
      </c>
      <c r="D760" s="23">
        <v>46237</v>
      </c>
      <c r="E760" s="23">
        <v>46262</v>
      </c>
      <c r="F760" s="23">
        <v>46231</v>
      </c>
      <c r="G760" s="1"/>
      <c r="H760" s="1"/>
      <c r="I760" s="1"/>
      <c r="J760" s="1"/>
      <c r="K760" s="1"/>
    </row>
    <row r="761" spans="1:17" hidden="1" outlineLevel="1">
      <c r="A761" s="14" t="s">
        <v>159</v>
      </c>
      <c r="B761" s="23">
        <v>46258</v>
      </c>
      <c r="C761" s="23">
        <v>46265</v>
      </c>
      <c r="D761" s="23">
        <v>46266</v>
      </c>
      <c r="E761" s="23">
        <v>46294</v>
      </c>
      <c r="F761" s="23">
        <v>46259</v>
      </c>
      <c r="G761" s="1"/>
      <c r="H761" s="1"/>
      <c r="I761" s="1"/>
      <c r="J761" s="1"/>
      <c r="K761" s="1"/>
    </row>
    <row r="762" spans="1:17" hidden="1" outlineLevel="1">
      <c r="A762" s="14" t="s">
        <v>160</v>
      </c>
      <c r="B762" s="23">
        <v>46289</v>
      </c>
      <c r="C762" s="23">
        <v>46295</v>
      </c>
      <c r="D762" s="23">
        <v>46296</v>
      </c>
      <c r="E762" s="23">
        <v>46324</v>
      </c>
      <c r="F762" s="23">
        <v>46290</v>
      </c>
      <c r="G762" s="1">
        <v>46281</v>
      </c>
      <c r="H762" s="1">
        <v>46295</v>
      </c>
      <c r="I762" s="1">
        <v>46295</v>
      </c>
      <c r="J762" s="1">
        <v>46324</v>
      </c>
      <c r="K762" s="1">
        <v>46339</v>
      </c>
    </row>
    <row r="763" spans="1:17" hidden="1" outlineLevel="1">
      <c r="A763" s="14" t="s">
        <v>161</v>
      </c>
      <c r="B763" s="23">
        <v>46321</v>
      </c>
      <c r="C763" s="23">
        <v>46326</v>
      </c>
      <c r="D763" s="23">
        <v>46328</v>
      </c>
      <c r="E763" s="23">
        <v>46357</v>
      </c>
      <c r="F763" s="23">
        <v>46322</v>
      </c>
      <c r="G763" s="1"/>
      <c r="H763" s="1"/>
      <c r="I763" s="1"/>
      <c r="J763" s="1"/>
      <c r="K763" s="1"/>
    </row>
    <row r="764" spans="1:17" hidden="1" outlineLevel="1">
      <c r="A764" s="14" t="s">
        <v>162</v>
      </c>
      <c r="B764" s="23">
        <v>46349</v>
      </c>
      <c r="C764" s="23">
        <v>46356</v>
      </c>
      <c r="D764" s="23">
        <v>46357</v>
      </c>
      <c r="E764" s="23">
        <v>46386</v>
      </c>
      <c r="F764" s="23">
        <v>46350</v>
      </c>
      <c r="G764" s="1"/>
      <c r="H764" s="1"/>
      <c r="I764" s="1"/>
      <c r="J764" s="1"/>
      <c r="K764" s="1"/>
    </row>
    <row r="765" spans="1:17" hidden="1" outlineLevel="1">
      <c r="A765" s="14" t="s">
        <v>163</v>
      </c>
      <c r="B765" s="23">
        <v>46379</v>
      </c>
      <c r="C765" s="23">
        <v>46387</v>
      </c>
      <c r="D765" s="23">
        <v>46391</v>
      </c>
      <c r="E765" s="23">
        <v>46419</v>
      </c>
      <c r="F765" s="23">
        <v>46380</v>
      </c>
      <c r="G765" s="1">
        <v>46371</v>
      </c>
      <c r="H765" s="1">
        <v>46387</v>
      </c>
      <c r="I765" s="1">
        <v>46387</v>
      </c>
      <c r="J765" s="1">
        <v>46419</v>
      </c>
      <c r="K765" s="1">
        <v>46434</v>
      </c>
    </row>
    <row r="766" spans="1:17" ht="137.25">
      <c r="A766" s="28" t="s">
        <v>475</v>
      </c>
      <c r="B766" s="29" t="s">
        <v>476</v>
      </c>
      <c r="C766" s="30" t="s">
        <v>306</v>
      </c>
      <c r="D766" s="30"/>
      <c r="E766" s="30"/>
      <c r="F766" s="31">
        <v>6</v>
      </c>
      <c r="G766" s="30"/>
      <c r="H766" s="32"/>
      <c r="I766" s="30" t="s">
        <v>25</v>
      </c>
      <c r="J766" s="49" t="s">
        <v>108</v>
      </c>
      <c r="K766" s="20"/>
      <c r="L766" s="20"/>
      <c r="M766" s="20"/>
      <c r="N766" s="49"/>
      <c r="O766" s="20"/>
      <c r="P766" s="20" t="s">
        <v>186</v>
      </c>
      <c r="Q766" s="107" t="s">
        <v>477</v>
      </c>
    </row>
    <row r="767" spans="1:17">
      <c r="A767" s="33" t="s">
        <v>478</v>
      </c>
      <c r="B767" s="34" t="s">
        <v>479</v>
      </c>
      <c r="C767" s="35" t="s">
        <v>306</v>
      </c>
      <c r="D767" s="35"/>
      <c r="E767" s="35"/>
      <c r="F767" s="36">
        <v>6</v>
      </c>
      <c r="G767" s="35"/>
      <c r="H767" s="37"/>
      <c r="I767" s="35" t="s">
        <v>25</v>
      </c>
      <c r="J767" s="50" t="s">
        <v>108</v>
      </c>
      <c r="K767" s="21"/>
      <c r="L767" s="21"/>
      <c r="M767" s="21"/>
      <c r="N767" s="50"/>
      <c r="O767" s="21"/>
      <c r="P767" s="21" t="s">
        <v>397</v>
      </c>
      <c r="Q767" s="69" t="s">
        <v>480</v>
      </c>
    </row>
    <row r="768" spans="1:17">
      <c r="A768" s="28"/>
      <c r="B768" s="29" t="s">
        <v>481</v>
      </c>
      <c r="C768" s="30" t="s">
        <v>306</v>
      </c>
      <c r="D768" s="30"/>
      <c r="E768" s="30"/>
      <c r="F768" s="31">
        <v>6</v>
      </c>
      <c r="G768" s="30"/>
      <c r="H768" s="32"/>
      <c r="I768" s="30" t="s">
        <v>25</v>
      </c>
      <c r="J768" s="49" t="s">
        <v>108</v>
      </c>
      <c r="K768" s="20"/>
      <c r="L768" s="20"/>
      <c r="M768" s="20"/>
      <c r="N768" s="49"/>
      <c r="O768" s="20"/>
      <c r="P768" s="20" t="s">
        <v>109</v>
      </c>
      <c r="Q768" s="92" t="s">
        <v>482</v>
      </c>
    </row>
    <row r="769" spans="1:22">
      <c r="A769" s="33"/>
      <c r="B769" s="34" t="s">
        <v>368</v>
      </c>
      <c r="C769" s="35" t="s">
        <v>306</v>
      </c>
      <c r="D769" s="35"/>
      <c r="E769" s="35"/>
      <c r="F769" s="36">
        <v>7</v>
      </c>
      <c r="G769" s="35"/>
      <c r="H769" s="37"/>
      <c r="I769" s="35" t="s">
        <v>25</v>
      </c>
      <c r="J769" s="50"/>
      <c r="K769" s="21"/>
      <c r="L769" s="21"/>
      <c r="M769" s="21"/>
      <c r="N769" s="50"/>
      <c r="O769" s="21"/>
      <c r="P769" s="21"/>
      <c r="Q769" s="69"/>
      <c r="V769" t="s">
        <v>483</v>
      </c>
    </row>
    <row r="770" spans="1:22" ht="91.5">
      <c r="A770" s="28" t="s">
        <v>484</v>
      </c>
      <c r="B770" s="29" t="s">
        <v>485</v>
      </c>
      <c r="C770" s="30" t="s">
        <v>306</v>
      </c>
      <c r="D770" s="30"/>
      <c r="E770" s="30"/>
      <c r="F770" s="31">
        <v>7</v>
      </c>
      <c r="G770" s="30"/>
      <c r="H770" s="32"/>
      <c r="I770" s="30" t="s">
        <v>25</v>
      </c>
      <c r="J770" s="49" t="s">
        <v>108</v>
      </c>
      <c r="K770" s="20"/>
      <c r="L770" s="20"/>
      <c r="M770" s="20"/>
      <c r="N770" s="49"/>
      <c r="O770" s="20"/>
      <c r="P770" s="20" t="s">
        <v>397</v>
      </c>
      <c r="Q770" s="101" t="s">
        <v>486</v>
      </c>
    </row>
    <row r="771" spans="1:22">
      <c r="A771" s="33" t="s">
        <v>487</v>
      </c>
      <c r="B771" s="34" t="s">
        <v>488</v>
      </c>
      <c r="C771" s="35" t="s">
        <v>306</v>
      </c>
      <c r="D771" s="35"/>
      <c r="E771" s="35"/>
      <c r="F771" s="36">
        <v>6</v>
      </c>
      <c r="G771" s="35"/>
      <c r="H771" s="37"/>
      <c r="I771" s="35" t="s">
        <v>25</v>
      </c>
      <c r="J771" s="50" t="s">
        <v>108</v>
      </c>
      <c r="K771" s="21"/>
      <c r="L771" s="21"/>
      <c r="M771" s="21"/>
      <c r="N771" s="50"/>
      <c r="O771" s="21"/>
      <c r="P771" s="21" t="s">
        <v>397</v>
      </c>
      <c r="Q771" s="69" t="s">
        <v>489</v>
      </c>
    </row>
    <row r="772" spans="1:22">
      <c r="A772" s="28"/>
      <c r="B772" s="29" t="s">
        <v>490</v>
      </c>
      <c r="C772" s="30" t="s">
        <v>306</v>
      </c>
      <c r="D772" s="30"/>
      <c r="E772" s="30"/>
      <c r="F772" s="31">
        <v>6</v>
      </c>
      <c r="G772" s="30"/>
      <c r="H772" s="32"/>
      <c r="I772" s="30" t="s">
        <v>25</v>
      </c>
      <c r="J772" s="49" t="s">
        <v>108</v>
      </c>
      <c r="K772" s="20"/>
      <c r="L772" s="20"/>
      <c r="M772" s="20"/>
      <c r="N772" s="49"/>
      <c r="O772" s="20"/>
      <c r="P772" s="20" t="s">
        <v>109</v>
      </c>
      <c r="Q772" s="92"/>
      <c r="V772" t="s">
        <v>491</v>
      </c>
    </row>
    <row r="773" spans="1:22"/>
    <row r="774" spans="1:22"/>
  </sheetData>
  <mergeCells count="4">
    <mergeCell ref="A330:K330"/>
    <mergeCell ref="A300:K300"/>
    <mergeCell ref="A315:K315"/>
    <mergeCell ref="K708:M708"/>
  </mergeCells>
  <conditionalFormatting sqref="B39:F60 B720:F720">
    <cfRule type="expression" dxfId="263" priority="413">
      <formula>AND($B39&lt;&gt;"",$B39=_xlfn.MINIFS(B39:B60,B39:B60,"&gt;="&amp;TODAY()))</formula>
    </cfRule>
    <cfRule type="expression" dxfId="262" priority="415">
      <formula>AND($B39&lt;&gt;"",$B39&lt;TODAY())</formula>
    </cfRule>
  </conditionalFormatting>
  <conditionalFormatting sqref="B73:F84 B101:F102 B730:F730">
    <cfRule type="expression" dxfId="261" priority="417">
      <formula>AND($B73&lt;&gt;"",$B73=_xlfn.MINIFS(B73:B84,B73:B84,"&gt;="&amp;TODAY()))</formula>
    </cfRule>
    <cfRule type="expression" dxfId="260" priority="419">
      <formula>AND($B73&lt;&gt;"",$B73&lt;TODAY())</formula>
    </cfRule>
  </conditionalFormatting>
  <conditionalFormatting sqref="B87:F98">
    <cfRule type="expression" dxfId="259" priority="421">
      <formula>AND($B87&lt;&gt;"",$B87=_xlfn.MINIFS(B87:B98,B87:B98,"&gt;="&amp;TODAY()))</formula>
    </cfRule>
    <cfRule type="expression" dxfId="258" priority="423">
      <formula>AND($B87&lt;&gt;"",$B87&lt;TODAY())</formula>
    </cfRule>
  </conditionalFormatting>
  <conditionalFormatting sqref="B121:F133 B271:F272 B478:F479 B614:F622 B693:F705 B729:F729">
    <cfRule type="expression" dxfId="257" priority="429">
      <formula>AND($B121&lt;&gt;"",$B121=_xlfn.MINIFS(B121:B133,B121:B133,"&gt;="&amp;TODAY()))</formula>
    </cfRule>
    <cfRule type="expression" dxfId="256" priority="431">
      <formula>AND($B121&lt;&gt;"",$B121&lt;TODAY())</formula>
    </cfRule>
  </conditionalFormatting>
  <conditionalFormatting sqref="B136:F154 B723:F723">
    <cfRule type="expression" dxfId="255" priority="433">
      <formula>AND($B136&lt;&gt;"",$B136=_xlfn.MINIFS(B136:B154,B136:B154,"&gt;="&amp;TODAY()))</formula>
    </cfRule>
    <cfRule type="expression" dxfId="254" priority="435">
      <formula>AND($B136&lt;&gt;"",$B136&lt;TODAY())</formula>
    </cfRule>
  </conditionalFormatting>
  <conditionalFormatting sqref="B158:F161 B503:F503 B493:F497">
    <cfRule type="expression" dxfId="253" priority="437">
      <formula>AND($B158&lt;&gt;"",$B158=_xlfn.MINIFS(B158:B161,B158:B161,"&gt;="&amp;TODAY()))</formula>
    </cfRule>
    <cfRule type="expression" dxfId="252" priority="439">
      <formula>AND($B158&lt;&gt;"",$B158&lt;TODAY())</formula>
    </cfRule>
  </conditionalFormatting>
  <conditionalFormatting sqref="B165:F167 B505:F506 B498:F500">
    <cfRule type="expression" dxfId="251" priority="441">
      <formula>AND($B165&lt;&gt;"",$B165=_xlfn.MINIFS(B165:B167,B165:B167,"&gt;="&amp;TODAY()))</formula>
    </cfRule>
    <cfRule type="expression" dxfId="250" priority="443">
      <formula>AND($B165&lt;&gt;"",$B165&lt;TODAY())</formula>
    </cfRule>
  </conditionalFormatting>
  <conditionalFormatting sqref="B172:F174">
    <cfRule type="expression" dxfId="249" priority="445">
      <formula>AND($B172&lt;&gt;"",$B172=_xlfn.MINIFS(B172:B174,B172:B174,"&gt;="&amp;TODAY()))</formula>
    </cfRule>
    <cfRule type="expression" dxfId="248" priority="447">
      <formula>AND($B172&lt;&gt;"",$B172&lt;TODAY())</formula>
    </cfRule>
  </conditionalFormatting>
  <conditionalFormatting sqref="B177:F179">
    <cfRule type="expression" dxfId="247" priority="449">
      <formula>AND($B177&lt;&gt;"",$B177=_xlfn.MINIFS(B177:B179,B177:B179,"&gt;="&amp;TODAY()))</formula>
    </cfRule>
    <cfRule type="expression" dxfId="246" priority="451">
      <formula>AND($B177&lt;&gt;"",$B177&lt;TODAY())</formula>
    </cfRule>
  </conditionalFormatting>
  <conditionalFormatting sqref="B182:F193">
    <cfRule type="expression" dxfId="245" priority="453">
      <formula>AND($B182&lt;&gt;"",$B182=_xlfn.MINIFS(B182:B193,B182:B193,"&gt;="&amp;TODAY()))</formula>
    </cfRule>
    <cfRule type="expression" dxfId="244" priority="455">
      <formula>AND($B182&lt;&gt;"",$B182&lt;TODAY())</formula>
    </cfRule>
  </conditionalFormatting>
  <conditionalFormatting sqref="B196:F207">
    <cfRule type="expression" dxfId="243" priority="457">
      <formula>AND($B196&lt;&gt;"",$B196=_xlfn.MINIFS(B196:B207,B196:B207,"&gt;="&amp;TODAY()))</formula>
    </cfRule>
    <cfRule type="expression" dxfId="242" priority="459">
      <formula>AND($B196&lt;&gt;"",$B196&lt;TODAY())</formula>
    </cfRule>
  </conditionalFormatting>
  <conditionalFormatting sqref="B210:F221">
    <cfRule type="expression" dxfId="241" priority="461">
      <formula>AND($B210&lt;&gt;"",$B210=_xlfn.MINIFS(B210:B221,B210:B221,"&gt;="&amp;TODAY()))</formula>
    </cfRule>
    <cfRule type="expression" dxfId="240" priority="463">
      <formula>AND($B210&lt;&gt;"",$B210&lt;TODAY())</formula>
    </cfRule>
  </conditionalFormatting>
  <conditionalFormatting sqref="B224:F235">
    <cfRule type="expression" dxfId="239" priority="465">
      <formula>AND($B224&lt;&gt;"",$B224=_xlfn.MINIFS(B224:B235,B224:B235,"&gt;="&amp;TODAY()))</formula>
    </cfRule>
    <cfRule type="expression" dxfId="238" priority="467">
      <formula>AND($B224&lt;&gt;"",$B224&lt;TODAY())</formula>
    </cfRule>
  </conditionalFormatting>
  <conditionalFormatting sqref="B238:F249">
    <cfRule type="expression" dxfId="237" priority="469">
      <formula>AND($B238&lt;&gt;"",$B238=_xlfn.MINIFS(B238:B249,B238:B249,"&gt;="&amp;TODAY()))</formula>
    </cfRule>
    <cfRule type="expression" dxfId="236" priority="471">
      <formula>AND($B238&lt;&gt;"",$B238&lt;TODAY())</formula>
    </cfRule>
  </conditionalFormatting>
  <conditionalFormatting sqref="B252:F264">
    <cfRule type="expression" dxfId="235" priority="473">
      <formula>AND($B252&lt;&gt;"",$B252=_xlfn.MINIFS(B252:B264,B252:B264,"&gt;="&amp;TODAY()))</formula>
    </cfRule>
    <cfRule type="expression" dxfId="234" priority="475">
      <formula>AND($B252&lt;&gt;"",$B252&lt;TODAY())</formula>
    </cfRule>
  </conditionalFormatting>
  <conditionalFormatting sqref="B273:F274">
    <cfRule type="expression" dxfId="233" priority="593">
      <formula>AND($B273&lt;&gt;"",$B273=_xlfn.MINIFS(B273:B299,B273:B299,"&gt;="&amp;TODAY()))</formula>
    </cfRule>
    <cfRule type="expression" dxfId="232" priority="594">
      <formula>AND($B273&lt;&gt;"",$B273&lt;TODAY())</formula>
    </cfRule>
  </conditionalFormatting>
  <conditionalFormatting sqref="B275:F276 B625:F626">
    <cfRule type="expression" dxfId="231" priority="613">
      <formula>AND($B275&lt;&gt;"",$B275=_xlfn.MINIFS(B275:B314,B275:B314,"&gt;="&amp;TODAY()))</formula>
    </cfRule>
    <cfRule type="expression" dxfId="230" priority="614">
      <formula>AND($B275&lt;&gt;"",$B275&lt;TODAY())</formula>
    </cfRule>
  </conditionalFormatting>
  <conditionalFormatting sqref="B277:F278">
    <cfRule type="expression" dxfId="229" priority="667">
      <formula>AND($B277&lt;&gt;"",$B277=_xlfn.MINIFS(B277:B329,B277:B329,"&gt;="&amp;TODAY()))</formula>
    </cfRule>
    <cfRule type="expression" dxfId="228" priority="668">
      <formula>AND($B277&lt;&gt;"",$B277&lt;TODAY())</formula>
    </cfRule>
  </conditionalFormatting>
  <conditionalFormatting sqref="B279:F283">
    <cfRule type="expression" dxfId="227" priority="671">
      <formula>AND($B279&lt;&gt;"",$B279=_xlfn.MINIFS(B279:B344,B279:B344,"&gt;="&amp;TODAY()))</formula>
    </cfRule>
    <cfRule type="expression" dxfId="226" priority="672">
      <formula>AND($B279&lt;&gt;"",$B279&lt;TODAY())</formula>
    </cfRule>
  </conditionalFormatting>
  <conditionalFormatting sqref="B286:F298">
    <cfRule type="expression" dxfId="225" priority="69">
      <formula>AND($B286&lt;&gt;"",$B286=_xlfn.MINIFS(B286:B297,B286:B297,"&gt;="&amp;TODAY()))</formula>
    </cfRule>
    <cfRule type="expression" dxfId="224" priority="71">
      <formula>AND($B286&lt;&gt;"",$B286&lt;TODAY())</formula>
    </cfRule>
  </conditionalFormatting>
  <conditionalFormatting sqref="B302:F313">
    <cfRule type="expression" dxfId="223" priority="249">
      <formula>AND($B302&lt;&gt;"",$B302=_xlfn.MINIFS(B302:B313,B302:B313,"&gt;="&amp;TODAY()))</formula>
    </cfRule>
    <cfRule type="expression" dxfId="222" priority="251">
      <formula>AND($B302&lt;&gt;"",$B302&lt;TODAY())</formula>
    </cfRule>
  </conditionalFormatting>
  <conditionalFormatting sqref="B317:F328">
    <cfRule type="expression" dxfId="221" priority="201">
      <formula>AND($B317&lt;&gt;"",$B317=_xlfn.MINIFS(B317:B328,B317:B328,"&gt;="&amp;TODAY()))</formula>
    </cfRule>
    <cfRule type="expression" dxfId="220" priority="203">
      <formula>AND($B317&lt;&gt;"",$B317&lt;TODAY())</formula>
    </cfRule>
  </conditionalFormatting>
  <conditionalFormatting sqref="B332:F343">
    <cfRule type="expression" dxfId="219" priority="153">
      <formula>AND($B332&lt;&gt;"",$B332=_xlfn.MINIFS(B332:B343,B332:B343,"&gt;="&amp;TODAY()))</formula>
    </cfRule>
    <cfRule type="expression" dxfId="218" priority="155">
      <formula>AND($B332&lt;&gt;"",$B332&lt;TODAY())</formula>
    </cfRule>
  </conditionalFormatting>
  <conditionalFormatting sqref="B346:F357">
    <cfRule type="expression" dxfId="217" priority="481">
      <formula>AND($B346&lt;&gt;"",$B346=_xlfn.MINIFS(B346:B357,B346:B357,"&gt;="&amp;TODAY()))</formula>
    </cfRule>
    <cfRule type="expression" dxfId="216" priority="483">
      <formula>AND($B346&lt;&gt;"",$B346&lt;TODAY())</formula>
    </cfRule>
  </conditionalFormatting>
  <conditionalFormatting sqref="B360:F372">
    <cfRule type="expression" dxfId="215" priority="485">
      <formula>AND($B360&lt;&gt;"",$B360=_xlfn.MINIFS(B360:B372,B360:B372,"&gt;="&amp;TODAY()))</formula>
    </cfRule>
    <cfRule type="expression" dxfId="214" priority="487">
      <formula>AND($B360&lt;&gt;"",$B360&lt;TODAY())</formula>
    </cfRule>
  </conditionalFormatting>
  <conditionalFormatting sqref="B375:F387">
    <cfRule type="expression" dxfId="213" priority="489">
      <formula>AND($B375&lt;&gt;"",$B375=_xlfn.MINIFS(B375:B387,B375:B387,"&gt;="&amp;TODAY()))</formula>
    </cfRule>
    <cfRule type="expression" dxfId="212" priority="491">
      <formula>AND($B375&lt;&gt;"",$B375&lt;TODAY())</formula>
    </cfRule>
  </conditionalFormatting>
  <conditionalFormatting sqref="B394:F405">
    <cfRule type="expression" dxfId="211" priority="493">
      <formula>AND($B394&lt;&gt;"",$B394=_xlfn.MINIFS(B394:B405,B394:B405,"&gt;="&amp;TODAY()))</formula>
    </cfRule>
    <cfRule type="expression" dxfId="210" priority="495">
      <formula>AND($B394&lt;&gt;"",$B394&lt;TODAY())</formula>
    </cfRule>
  </conditionalFormatting>
  <conditionalFormatting sqref="B408:F419">
    <cfRule type="expression" dxfId="209" priority="497">
      <formula>AND($B408&lt;&gt;"",$B408=_xlfn.MINIFS(B408:B419,B408:B419,"&gt;="&amp;TODAY()))</formula>
    </cfRule>
    <cfRule type="expression" dxfId="208" priority="499">
      <formula>AND($B408&lt;&gt;"",$B408&lt;TODAY())</formula>
    </cfRule>
  </conditionalFormatting>
  <conditionalFormatting sqref="B422:F433">
    <cfRule type="expression" dxfId="207" priority="501">
      <formula>AND($B422&lt;&gt;"",$B422=_xlfn.MINIFS(B422:B433,B422:B433,"&gt;="&amp;TODAY()))</formula>
    </cfRule>
    <cfRule type="expression" dxfId="206" priority="503">
      <formula>AND($B422&lt;&gt;"",$B422&lt;TODAY())</formula>
    </cfRule>
  </conditionalFormatting>
  <conditionalFormatting sqref="B436:F447">
    <cfRule type="expression" dxfId="205" priority="505">
      <formula>AND($B436&lt;&gt;"",$B436=_xlfn.MINIFS(B436:B447,B436:B447,"&gt;="&amp;TODAY()))</formula>
    </cfRule>
    <cfRule type="expression" dxfId="204" priority="507">
      <formula>AND($B436&lt;&gt;"",$B436&lt;TODAY())</formula>
    </cfRule>
  </conditionalFormatting>
  <conditionalFormatting sqref="B450:F461">
    <cfRule type="expression" dxfId="203" priority="509">
      <formula>AND($B450&lt;&gt;"",$B450=_xlfn.MINIFS(B450:B461,B450:B461,"&gt;="&amp;TODAY()))</formula>
    </cfRule>
    <cfRule type="expression" dxfId="202" priority="511">
      <formula>AND($B450&lt;&gt;"",$B450&lt;TODAY())</formula>
    </cfRule>
  </conditionalFormatting>
  <conditionalFormatting sqref="B464:F475">
    <cfRule type="expression" dxfId="201" priority="513">
      <formula>AND($B464&lt;&gt;"",$B464=_xlfn.MINIFS(B464:B475,B464:B475,"&gt;="&amp;TODAY()))</formula>
    </cfRule>
    <cfRule type="expression" dxfId="200" priority="515">
      <formula>AND($B464&lt;&gt;"",$B464&lt;TODAY())</formula>
    </cfRule>
  </conditionalFormatting>
  <conditionalFormatting sqref="B721:F721 B480:F486">
    <cfRule type="expression" dxfId="199" priority="647">
      <formula>AND($B480&lt;&gt;"",$B480=_xlfn.MINIFS(B480:B500,B480:B500,"&gt;="&amp;TODAY()))</formula>
    </cfRule>
    <cfRule type="expression" dxfId="198" priority="648">
      <formula>AND($B480&lt;&gt;"",$B480&lt;TODAY())</formula>
    </cfRule>
  </conditionalFormatting>
  <conditionalFormatting sqref="B504:F504">
    <cfRule type="expression" dxfId="197" priority="603">
      <formula>AND($B504&lt;&gt;"",$B504=_xlfn.MINIFS(B504:B512,B504:B512,"&gt;="&amp;TODAY()))</formula>
    </cfRule>
    <cfRule type="expression" dxfId="196" priority="604">
      <formula>AND($B504&lt;&gt;"",$B504&lt;TODAY())</formula>
    </cfRule>
  </conditionalFormatting>
  <conditionalFormatting sqref="B509:F511 B728:F728">
    <cfRule type="expression" dxfId="195" priority="569">
      <formula>AND($B509&lt;&gt;"",$B509=_xlfn.MINIFS(B509:B522,B509:B522,"&gt;="&amp;TODAY()))</formula>
    </cfRule>
    <cfRule type="expression" dxfId="194" priority="570">
      <formula>AND($B509&lt;&gt;"",$B509&lt;TODAY())</formula>
    </cfRule>
  </conditionalFormatting>
  <conditionalFormatting sqref="B513:F522">
    <cfRule type="expression" dxfId="193" priority="607">
      <formula>AND($B513&lt;&gt;"",$B513=_xlfn.MINIFS(B513:B542,B513:B542,"&gt;="&amp;TODAY()))</formula>
    </cfRule>
    <cfRule type="expression" dxfId="192" priority="608">
      <formula>AND($B513&lt;&gt;"",$B513&lt;TODAY())</formula>
    </cfRule>
  </conditionalFormatting>
  <conditionalFormatting sqref="B526:F541">
    <cfRule type="expression" dxfId="191" priority="349">
      <formula>AND($B526&lt;&gt;"",$B526=_xlfn.MINIFS(B526:B538,B526:B538,"&gt;="&amp;TODAY()))</formula>
    </cfRule>
    <cfRule type="expression" dxfId="190" priority="351">
      <formula>AND($B526&lt;&gt;"",$B526&lt;TODAY())</formula>
    </cfRule>
  </conditionalFormatting>
  <conditionalFormatting sqref="B544:F556">
    <cfRule type="expression" dxfId="189" priority="529">
      <formula>AND($B544&lt;&gt;"",$B544=_xlfn.MINIFS(B544:B556,B544:B556,"&gt;="&amp;TODAY()))</formula>
    </cfRule>
    <cfRule type="expression" dxfId="188" priority="531">
      <formula>AND($B544&lt;&gt;"",$B544&lt;TODAY())</formula>
    </cfRule>
  </conditionalFormatting>
  <conditionalFormatting sqref="B566:F587">
    <cfRule type="expression" dxfId="187" priority="533">
      <formula>AND($B566&lt;&gt;"",$B566=_xlfn.MINIFS(B566:B587,B566:B587,"&gt;="&amp;TODAY()))</formula>
    </cfRule>
    <cfRule type="expression" dxfId="186" priority="535">
      <formula>AND($B566&lt;&gt;"",$B566&lt;TODAY())</formula>
    </cfRule>
  </conditionalFormatting>
  <conditionalFormatting sqref="B590:F611">
    <cfRule type="expression" dxfId="185" priority="537">
      <formula>AND($B590&lt;&gt;"",$B590=_xlfn.MINIFS(B590:B611,B590:B611,"&gt;="&amp;TODAY()))</formula>
    </cfRule>
    <cfRule type="expression" dxfId="184" priority="539">
      <formula>AND($B590&lt;&gt;"",$B590&lt;TODAY())</formula>
    </cfRule>
  </conditionalFormatting>
  <conditionalFormatting sqref="B623:F624 B487:F487">
    <cfRule type="expression" dxfId="183" priority="563">
      <formula>AND($B487&lt;&gt;"",$B487=_xlfn.MINIFS(B487:B512,B487:B512,"&gt;="&amp;TODAY()))</formula>
    </cfRule>
    <cfRule type="expression" dxfId="182" priority="564">
      <formula>AND($B487&lt;&gt;"",$B487&lt;TODAY())</formula>
    </cfRule>
  </conditionalFormatting>
  <conditionalFormatting sqref="B651:F663 B667:F690 B711:F718">
    <cfRule type="expression" dxfId="181" priority="297">
      <formula>AND($B651&lt;&gt;"",$B651=_xlfn.MINIFS(B651:B674,B651:B674,"&gt;="&amp;TODAY()))</formula>
    </cfRule>
    <cfRule type="expression" dxfId="180" priority="299">
      <formula>AND($B651&lt;&gt;"",$B651&lt;TODAY())</formula>
    </cfRule>
  </conditionalFormatting>
  <conditionalFormatting sqref="G39:K60 G720:K720">
    <cfRule type="expression" dxfId="179" priority="414">
      <formula>AND($G39&lt;&gt;"",$G39=_xlfn.MINIFS(G39:G60,G39:G60,"&gt;="&amp;TODAY()))</formula>
    </cfRule>
    <cfRule type="expression" dxfId="178" priority="416">
      <formula>AND($G39&lt;&gt;"",$G39&lt;TODAY())</formula>
    </cfRule>
  </conditionalFormatting>
  <conditionalFormatting sqref="G73:K84 G101:K102 G730:K730">
    <cfRule type="expression" dxfId="177" priority="418">
      <formula>AND($G73&lt;&gt;"",$G73=_xlfn.MINIFS(G73:G84,G73:G84,"&gt;="&amp;TODAY()))</formula>
    </cfRule>
    <cfRule type="expression" dxfId="176" priority="420">
      <formula>AND($G73&lt;&gt;"",$G73&lt;TODAY())</formula>
    </cfRule>
  </conditionalFormatting>
  <conditionalFormatting sqref="G87:K98">
    <cfRule type="expression" dxfId="175" priority="422">
      <formula>AND($G87&lt;&gt;"",$G87=_xlfn.MINIFS(G87:G98,G87:G98,"&gt;="&amp;TODAY()))</formula>
    </cfRule>
    <cfRule type="expression" dxfId="174" priority="424">
      <formula>AND($G87&lt;&gt;"",$G87&lt;TODAY())</formula>
    </cfRule>
  </conditionalFormatting>
  <conditionalFormatting sqref="G121:K133 G271:K272 G478:K479 G614:K622 G693:K705 G729:K729">
    <cfRule type="expression" dxfId="173" priority="430">
      <formula>AND($G121&lt;&gt;"",$G121=_xlfn.MINIFS(G121:G133,G121:G133,"&gt;="&amp;TODAY()))</formula>
    </cfRule>
    <cfRule type="expression" dxfId="172" priority="432">
      <formula>AND($G121&lt;&gt;"",$G121&lt;TODAY())</formula>
    </cfRule>
  </conditionalFormatting>
  <conditionalFormatting sqref="G136:K154 G723:K723">
    <cfRule type="expression" dxfId="171" priority="434">
      <formula>AND($G136&lt;&gt;"",$G136=_xlfn.MINIFS(G136:G154,G136:G154,"&gt;="&amp;TODAY()))</formula>
    </cfRule>
    <cfRule type="expression" dxfId="170" priority="436">
      <formula>AND($G136&lt;&gt;"",$G136&lt;TODAY())</formula>
    </cfRule>
  </conditionalFormatting>
  <conditionalFormatting sqref="G158:K161 G503:K503 G493:K497">
    <cfRule type="expression" dxfId="169" priority="438">
      <formula>AND($G158&lt;&gt;"",$G158=_xlfn.MINIFS(G158:G161,G158:G161,"&gt;="&amp;TODAY()))</formula>
    </cfRule>
    <cfRule type="expression" dxfId="168" priority="440">
      <formula>AND($G158&lt;&gt;"",$G158&lt;TODAY())</formula>
    </cfRule>
  </conditionalFormatting>
  <conditionalFormatting sqref="G165:K167 G505:K506 G498:K500">
    <cfRule type="expression" dxfId="167" priority="442">
      <formula>AND($G165&lt;&gt;"",$G165=_xlfn.MINIFS(G165:G167,G165:G167,"&gt;="&amp;TODAY()))</formula>
    </cfRule>
    <cfRule type="expression" dxfId="166" priority="444">
      <formula>AND($G165&lt;&gt;"",$G165&lt;TODAY())</formula>
    </cfRule>
  </conditionalFormatting>
  <conditionalFormatting sqref="G172:K174">
    <cfRule type="expression" dxfId="165" priority="446">
      <formula>AND($G172&lt;&gt;"",$G172=_xlfn.MINIFS(G172:G174,G172:G174,"&gt;="&amp;TODAY()))</formula>
    </cfRule>
    <cfRule type="expression" dxfId="164" priority="448">
      <formula>AND($G172&lt;&gt;"",$G172&lt;TODAY())</formula>
    </cfRule>
  </conditionalFormatting>
  <conditionalFormatting sqref="G177:K179">
    <cfRule type="expression" dxfId="163" priority="450">
      <formula>AND($G177&lt;&gt;"",$G177=_xlfn.MINIFS(G177:G179,G177:G179,"&gt;="&amp;TODAY()))</formula>
    </cfRule>
    <cfRule type="expression" dxfId="162" priority="452">
      <formula>AND($G177&lt;&gt;"",$G177&lt;TODAY())</formula>
    </cfRule>
  </conditionalFormatting>
  <conditionalFormatting sqref="G182:K193">
    <cfRule type="expression" dxfId="161" priority="454">
      <formula>AND($G182&lt;&gt;"",$G182=_xlfn.MINIFS(G182:G193,G182:G193,"&gt;="&amp;TODAY()))</formula>
    </cfRule>
    <cfRule type="expression" dxfId="160" priority="456">
      <formula>AND($G182&lt;&gt;"",$G182&lt;TODAY())</formula>
    </cfRule>
  </conditionalFormatting>
  <conditionalFormatting sqref="G196:K207">
    <cfRule type="expression" dxfId="159" priority="458">
      <formula>AND($G196&lt;&gt;"",$G196=_xlfn.MINIFS(G196:G207,G196:G207,"&gt;="&amp;TODAY()))</formula>
    </cfRule>
    <cfRule type="expression" dxfId="158" priority="460">
      <formula>AND($G196&lt;&gt;"",$G196&lt;TODAY())</formula>
    </cfRule>
  </conditionalFormatting>
  <conditionalFormatting sqref="G210:K221">
    <cfRule type="expression" dxfId="157" priority="462">
      <formula>AND($G210&lt;&gt;"",$G210=_xlfn.MINIFS(G210:G221,G210:G221,"&gt;="&amp;TODAY()))</formula>
    </cfRule>
    <cfRule type="expression" dxfId="156" priority="464">
      <formula>AND($G210&lt;&gt;"",$G210&lt;TODAY())</formula>
    </cfRule>
  </conditionalFormatting>
  <conditionalFormatting sqref="G224:K235">
    <cfRule type="expression" dxfId="155" priority="466">
      <formula>AND($G224&lt;&gt;"",$G224=_xlfn.MINIFS(G224:G235,G224:G235,"&gt;="&amp;TODAY()))</formula>
    </cfRule>
    <cfRule type="expression" dxfId="154" priority="468">
      <formula>AND($G224&lt;&gt;"",$G224&lt;TODAY())</formula>
    </cfRule>
  </conditionalFormatting>
  <conditionalFormatting sqref="G238:K249">
    <cfRule type="expression" dxfId="153" priority="470">
      <formula>AND($G238&lt;&gt;"",$G238=_xlfn.MINIFS(G238:G249,G238:G249,"&gt;="&amp;TODAY()))</formula>
    </cfRule>
    <cfRule type="expression" dxfId="152" priority="472">
      <formula>AND($G238&lt;&gt;"",$G238&lt;TODAY())</formula>
    </cfRule>
  </conditionalFormatting>
  <conditionalFormatting sqref="G252:K264">
    <cfRule type="expression" dxfId="151" priority="474">
      <formula>AND($G252&lt;&gt;"",$G252=_xlfn.MINIFS(G252:G264,G252:G264,"&gt;="&amp;TODAY()))</formula>
    </cfRule>
    <cfRule type="expression" dxfId="150" priority="476">
      <formula>AND($G252&lt;&gt;"",$G252&lt;TODAY())</formula>
    </cfRule>
  </conditionalFormatting>
  <conditionalFormatting sqref="G273:K274">
    <cfRule type="expression" dxfId="149" priority="599">
      <formula>AND($G273&lt;&gt;"",$G273=_xlfn.MINIFS(G273:G299,G273:G299,"&gt;="&amp;TODAY()))</formula>
    </cfRule>
    <cfRule type="expression" dxfId="148" priority="600">
      <formula>AND($G273&lt;&gt;"",$G273&lt;TODAY())</formula>
    </cfRule>
  </conditionalFormatting>
  <conditionalFormatting sqref="G275:K276 G625:K626">
    <cfRule type="expression" dxfId="147" priority="617">
      <formula>AND($G275&lt;&gt;"",$G275=_xlfn.MINIFS(G275:G314,G275:G314,"&gt;="&amp;TODAY()))</formula>
    </cfRule>
    <cfRule type="expression" dxfId="146" priority="618">
      <formula>AND($G275&lt;&gt;"",$G275&lt;TODAY())</formula>
    </cfRule>
  </conditionalFormatting>
  <conditionalFormatting sqref="G277:K278">
    <cfRule type="expression" dxfId="145" priority="669">
      <formula>AND($G277&lt;&gt;"",$G277=_xlfn.MINIFS(G277:G329,G277:G329,"&gt;="&amp;TODAY()))</formula>
    </cfRule>
    <cfRule type="expression" dxfId="144" priority="670">
      <formula>AND($G277&lt;&gt;"",$G277&lt;TODAY())</formula>
    </cfRule>
  </conditionalFormatting>
  <conditionalFormatting sqref="G279:K283">
    <cfRule type="expression" dxfId="143" priority="673">
      <formula>AND($G279&lt;&gt;"",$G279=_xlfn.MINIFS(G279:G344,G279:G344,"&gt;="&amp;TODAY()))</formula>
    </cfRule>
    <cfRule type="expression" dxfId="142" priority="674">
      <formula>AND($G279&lt;&gt;"",$G279&lt;TODAY())</formula>
    </cfRule>
  </conditionalFormatting>
  <conditionalFormatting sqref="G286:K298">
    <cfRule type="expression" dxfId="141" priority="70">
      <formula>AND($G286&lt;&gt;"",$G286=_xlfn.MINIFS(G286:G297,G286:G297,"&gt;="&amp;TODAY()))</formula>
    </cfRule>
    <cfRule type="expression" dxfId="140" priority="72">
      <formula>AND($G286&lt;&gt;"",$G286&lt;TODAY())</formula>
    </cfRule>
  </conditionalFormatting>
  <conditionalFormatting sqref="G302:K313">
    <cfRule type="expression" dxfId="139" priority="250">
      <formula>AND($G302&lt;&gt;"",$G302=_xlfn.MINIFS(G302:G313,G302:G313,"&gt;="&amp;TODAY()))</formula>
    </cfRule>
    <cfRule type="expression" dxfId="138" priority="252">
      <formula>AND($G302&lt;&gt;"",$G302&lt;TODAY())</formula>
    </cfRule>
  </conditionalFormatting>
  <conditionalFormatting sqref="G317:K328">
    <cfRule type="expression" dxfId="137" priority="202">
      <formula>AND($G317&lt;&gt;"",$G317=_xlfn.MINIFS(G317:G328,G317:G328,"&gt;="&amp;TODAY()))</formula>
    </cfRule>
    <cfRule type="expression" dxfId="136" priority="204">
      <formula>AND($G317&lt;&gt;"",$G317&lt;TODAY())</formula>
    </cfRule>
  </conditionalFormatting>
  <conditionalFormatting sqref="G332:K343">
    <cfRule type="expression" dxfId="135" priority="154">
      <formula>AND($G332&lt;&gt;"",$G332=_xlfn.MINIFS(G332:G343,G332:G343,"&gt;="&amp;TODAY()))</formula>
    </cfRule>
    <cfRule type="expression" dxfId="134" priority="156">
      <formula>AND($G332&lt;&gt;"",$G332&lt;TODAY())</formula>
    </cfRule>
  </conditionalFormatting>
  <conditionalFormatting sqref="G346:K357">
    <cfRule type="expression" dxfId="133" priority="482">
      <formula>AND($G346&lt;&gt;"",$G346=_xlfn.MINIFS(G346:G357,G346:G357,"&gt;="&amp;TODAY()))</formula>
    </cfRule>
    <cfRule type="expression" dxfId="132" priority="484">
      <formula>AND($G346&lt;&gt;"",$G346&lt;TODAY())</formula>
    </cfRule>
  </conditionalFormatting>
  <conditionalFormatting sqref="G360:K372">
    <cfRule type="expression" dxfId="131" priority="486">
      <formula>AND($G360&lt;&gt;"",$G360=_xlfn.MINIFS(G360:G372,G360:G372,"&gt;="&amp;TODAY()))</formula>
    </cfRule>
    <cfRule type="expression" dxfId="130" priority="488">
      <formula>AND($G360&lt;&gt;"",$G360&lt;TODAY())</formula>
    </cfRule>
  </conditionalFormatting>
  <conditionalFormatting sqref="G375:K387">
    <cfRule type="expression" dxfId="129" priority="490">
      <formula>AND($G375&lt;&gt;"",$G375=_xlfn.MINIFS(G375:G387,G375:G387,"&gt;="&amp;TODAY()))</formula>
    </cfRule>
    <cfRule type="expression" dxfId="128" priority="492">
      <formula>AND($G375&lt;&gt;"",$G375&lt;TODAY())</formula>
    </cfRule>
  </conditionalFormatting>
  <conditionalFormatting sqref="G394:K405">
    <cfRule type="expression" dxfId="127" priority="494">
      <formula>AND($G394&lt;&gt;"",$G394=_xlfn.MINIFS(G394:G405,G394:G405,"&gt;="&amp;TODAY()))</formula>
    </cfRule>
    <cfRule type="expression" dxfId="126" priority="496">
      <formula>AND($G394&lt;&gt;"",$G394&lt;TODAY())</formula>
    </cfRule>
  </conditionalFormatting>
  <conditionalFormatting sqref="G408:K419">
    <cfRule type="expression" dxfId="125" priority="498">
      <formula>AND($G408&lt;&gt;"",$G408=_xlfn.MINIFS(G408:G419,G408:G419,"&gt;="&amp;TODAY()))</formula>
    </cfRule>
    <cfRule type="expression" dxfId="124" priority="500">
      <formula>AND($G408&lt;&gt;"",$G408&lt;TODAY())</formula>
    </cfRule>
  </conditionalFormatting>
  <conditionalFormatting sqref="G422:K433">
    <cfRule type="expression" dxfId="123" priority="502">
      <formula>AND($G422&lt;&gt;"",$G422=_xlfn.MINIFS(G422:G433,G422:G433,"&gt;="&amp;TODAY()))</formula>
    </cfRule>
    <cfRule type="expression" dxfId="122" priority="504">
      <formula>AND($G422&lt;&gt;"",$G422&lt;TODAY())</formula>
    </cfRule>
  </conditionalFormatting>
  <conditionalFormatting sqref="G436:K447">
    <cfRule type="expression" dxfId="121" priority="506">
      <formula>AND($G436&lt;&gt;"",$G436=_xlfn.MINIFS(G436:G447,G436:G447,"&gt;="&amp;TODAY()))</formula>
    </cfRule>
    <cfRule type="expression" dxfId="120" priority="508">
      <formula>AND($G436&lt;&gt;"",$G436&lt;TODAY())</formula>
    </cfRule>
  </conditionalFormatting>
  <conditionalFormatting sqref="G450:K461">
    <cfRule type="expression" dxfId="119" priority="510">
      <formula>AND($G450&lt;&gt;"",$G450=_xlfn.MINIFS(G450:G461,G450:G461,"&gt;="&amp;TODAY()))</formula>
    </cfRule>
    <cfRule type="expression" dxfId="118" priority="512">
      <formula>AND($G450&lt;&gt;"",$G450&lt;TODAY())</formula>
    </cfRule>
  </conditionalFormatting>
  <conditionalFormatting sqref="G464:K475">
    <cfRule type="expression" dxfId="117" priority="514">
      <formula>AND($G464&lt;&gt;"",$G464=_xlfn.MINIFS(G464:G475,G464:G475,"&gt;="&amp;TODAY()))</formula>
    </cfRule>
    <cfRule type="expression" dxfId="116" priority="516">
      <formula>AND($G464&lt;&gt;"",$G464&lt;TODAY())</formula>
    </cfRule>
  </conditionalFormatting>
  <conditionalFormatting sqref="G721:K721 G480:K486">
    <cfRule type="expression" dxfId="115" priority="653">
      <formula>AND($G480&lt;&gt;"",$G480=_xlfn.MINIFS(G480:G500,G480:G500,"&gt;="&amp;TODAY()))</formula>
    </cfRule>
    <cfRule type="expression" dxfId="114" priority="654">
      <formula>AND($G480&lt;&gt;"",$G480&lt;TODAY())</formula>
    </cfRule>
  </conditionalFormatting>
  <conditionalFormatting sqref="G504:K504">
    <cfRule type="expression" dxfId="113" priority="605">
      <formula>AND($G504&lt;&gt;"",$G504=_xlfn.MINIFS(G504:G512,G504:G512,"&gt;="&amp;TODAY()))</formula>
    </cfRule>
    <cfRule type="expression" dxfId="112" priority="606">
      <formula>AND($G504&lt;&gt;"",$G504&lt;TODAY())</formula>
    </cfRule>
  </conditionalFormatting>
  <conditionalFormatting sqref="G509:K511 G728:K728">
    <cfRule type="expression" dxfId="111" priority="573">
      <formula>AND($G509&lt;&gt;"",$G509=_xlfn.MINIFS(G509:G522,G509:G522,"&gt;="&amp;TODAY()))</formula>
    </cfRule>
    <cfRule type="expression" dxfId="110" priority="574">
      <formula>AND($G509&lt;&gt;"",$G509&lt;TODAY())</formula>
    </cfRule>
  </conditionalFormatting>
  <conditionalFormatting sqref="G513:K522">
    <cfRule type="expression" dxfId="109" priority="609">
      <formula>AND($G513&lt;&gt;"",$G513=_xlfn.MINIFS(G513:G542,G513:G542,"&gt;="&amp;TODAY()))</formula>
    </cfRule>
    <cfRule type="expression" dxfId="108" priority="610">
      <formula>AND($G513&lt;&gt;"",$G513&lt;TODAY())</formula>
    </cfRule>
  </conditionalFormatting>
  <conditionalFormatting sqref="G526:K541">
    <cfRule type="expression" dxfId="107" priority="350">
      <formula>AND($G526&lt;&gt;"",$G526=_xlfn.MINIFS(G526:G538,G526:G538,"&gt;="&amp;TODAY()))</formula>
    </cfRule>
    <cfRule type="expression" dxfId="106" priority="352">
      <formula>AND($G526&lt;&gt;"",$G526&lt;TODAY())</formula>
    </cfRule>
  </conditionalFormatting>
  <conditionalFormatting sqref="G544:K556">
    <cfRule type="expression" dxfId="105" priority="530">
      <formula>AND($G544&lt;&gt;"",$G544=_xlfn.MINIFS(G544:G556,G544:G556,"&gt;="&amp;TODAY()))</formula>
    </cfRule>
    <cfRule type="expression" dxfId="104" priority="532">
      <formula>AND($G544&lt;&gt;"",$G544&lt;TODAY())</formula>
    </cfRule>
  </conditionalFormatting>
  <conditionalFormatting sqref="G566:K587">
    <cfRule type="expression" dxfId="103" priority="534">
      <formula>AND($G566&lt;&gt;"",$G566=_xlfn.MINIFS(G566:G587,G566:G587,"&gt;="&amp;TODAY()))</formula>
    </cfRule>
    <cfRule type="expression" dxfId="102" priority="536">
      <formula>AND($G566&lt;&gt;"",$G566&lt;TODAY())</formula>
    </cfRule>
  </conditionalFormatting>
  <conditionalFormatting sqref="G590:K611">
    <cfRule type="expression" dxfId="101" priority="538">
      <formula>AND($G590&lt;&gt;"",$G590=_xlfn.MINIFS(G590:G611,G590:G611,"&gt;="&amp;TODAY()))</formula>
    </cfRule>
    <cfRule type="expression" dxfId="100" priority="540">
      <formula>AND($G590&lt;&gt;"",$G590&lt;TODAY())</formula>
    </cfRule>
  </conditionalFormatting>
  <conditionalFormatting sqref="G623:K624 G487:K487">
    <cfRule type="expression" dxfId="99" priority="567">
      <formula>AND($G487&lt;&gt;"",$G487=_xlfn.MINIFS(G487:G512,G487:G512,"&gt;="&amp;TODAY()))</formula>
    </cfRule>
    <cfRule type="expression" dxfId="98" priority="568">
      <formula>AND($G487&lt;&gt;"",$G487&lt;TODAY())</formula>
    </cfRule>
  </conditionalFormatting>
  <conditionalFormatting sqref="G651:K663 G667:K690 G711:K718">
    <cfRule type="expression" dxfId="97" priority="298">
      <formula>AND($G651&lt;&gt;"",$G651=_xlfn.MINIFS(G651:G674,G651:G674,"&gt;="&amp;TODAY()))</formula>
    </cfRule>
    <cfRule type="expression" dxfId="96" priority="300">
      <formula>AND($G651&lt;&gt;"",$G651&lt;TODAY())</formula>
    </cfRule>
  </conditionalFormatting>
  <conditionalFormatting sqref="B750:F750">
    <cfRule type="expression" dxfId="95" priority="65">
      <formula>AND($B750&lt;&gt;"",$B750=_xlfn.MINIFS(B750:B762,B750:B762,"&gt;="&amp;TODAY()))</formula>
    </cfRule>
    <cfRule type="expression" dxfId="94" priority="67">
      <formula>AND($B750&lt;&gt;"",$B750&lt;TODAY())</formula>
    </cfRule>
  </conditionalFormatting>
  <conditionalFormatting sqref="G750:K750">
    <cfRule type="expression" dxfId="93" priority="66">
      <formula>AND($G750&lt;&gt;"",$G750=_xlfn.MINIFS(G750:G762,G750:G762,"&gt;="&amp;TODAY()))</formula>
    </cfRule>
    <cfRule type="expression" dxfId="92" priority="68">
      <formula>AND($G750&lt;&gt;"",$G750&lt;TODAY())</formula>
    </cfRule>
  </conditionalFormatting>
  <conditionalFormatting sqref="B751:F751">
    <cfRule type="expression" dxfId="91" priority="61">
      <formula>AND($B751&lt;&gt;"",$B751=_xlfn.MINIFS(B751:B763,B751:B763,"&gt;="&amp;TODAY()))</formula>
    </cfRule>
    <cfRule type="expression" dxfId="90" priority="63">
      <formula>AND($B751&lt;&gt;"",$B751&lt;TODAY())</formula>
    </cfRule>
  </conditionalFormatting>
  <conditionalFormatting sqref="G751:K751">
    <cfRule type="expression" dxfId="89" priority="62">
      <formula>AND($G751&lt;&gt;"",$G751=_xlfn.MINIFS(G751:G763,G751:G763,"&gt;="&amp;TODAY()))</formula>
    </cfRule>
    <cfRule type="expression" dxfId="88" priority="64">
      <formula>AND($G751&lt;&gt;"",$G751&lt;TODAY())</formula>
    </cfRule>
  </conditionalFormatting>
  <conditionalFormatting sqref="B752:F752">
    <cfRule type="expression" dxfId="87" priority="57">
      <formula>AND($B752&lt;&gt;"",$B752=_xlfn.MINIFS(B752:B764,B752:B764,"&gt;="&amp;TODAY()))</formula>
    </cfRule>
    <cfRule type="expression" dxfId="86" priority="59">
      <formula>AND($B752&lt;&gt;"",$B752&lt;TODAY())</formula>
    </cfRule>
  </conditionalFormatting>
  <conditionalFormatting sqref="G752:K752">
    <cfRule type="expression" dxfId="85" priority="58">
      <formula>AND($G752&lt;&gt;"",$G752=_xlfn.MINIFS(G752:G764,G752:G764,"&gt;="&amp;TODAY()))</formula>
    </cfRule>
    <cfRule type="expression" dxfId="84" priority="60">
      <formula>AND($G752&lt;&gt;"",$G752&lt;TODAY())</formula>
    </cfRule>
  </conditionalFormatting>
  <conditionalFormatting sqref="B753:F753">
    <cfRule type="expression" dxfId="83" priority="53">
      <formula>AND($B753&lt;&gt;"",$B753=_xlfn.MINIFS(B753:B765,B753:B765,"&gt;="&amp;TODAY()))</formula>
    </cfRule>
    <cfRule type="expression" dxfId="82" priority="55">
      <formula>AND($B753&lt;&gt;"",$B753&lt;TODAY())</formula>
    </cfRule>
  </conditionalFormatting>
  <conditionalFormatting sqref="G753:K753">
    <cfRule type="expression" dxfId="81" priority="54">
      <formula>AND($G753&lt;&gt;"",$G753=_xlfn.MINIFS(G753:G765,G753:G765,"&gt;="&amp;TODAY()))</formula>
    </cfRule>
    <cfRule type="expression" dxfId="80" priority="56">
      <formula>AND($G753&lt;&gt;"",$G753&lt;TODAY())</formula>
    </cfRule>
  </conditionalFormatting>
  <conditionalFormatting sqref="B754:F754">
    <cfRule type="expression" dxfId="79" priority="49">
      <formula>AND($B754&lt;&gt;"",$B754=_xlfn.MINIFS(B754:B766,B754:B766,"&gt;="&amp;TODAY()))</formula>
    </cfRule>
    <cfRule type="expression" dxfId="78" priority="51">
      <formula>AND($B754&lt;&gt;"",$B754&lt;TODAY())</formula>
    </cfRule>
  </conditionalFormatting>
  <conditionalFormatting sqref="G754:K754">
    <cfRule type="expression" dxfId="77" priority="50">
      <formula>AND($G754&lt;&gt;"",$G754=_xlfn.MINIFS(G754:G766,G754:G766,"&gt;="&amp;TODAY()))</formula>
    </cfRule>
    <cfRule type="expression" dxfId="76" priority="52">
      <formula>AND($G754&lt;&gt;"",$G754&lt;TODAY())</formula>
    </cfRule>
  </conditionalFormatting>
  <conditionalFormatting sqref="B755:F755">
    <cfRule type="expression" dxfId="75" priority="45">
      <formula>AND($B755&lt;&gt;"",$B755=_xlfn.MINIFS(B755:B767,B755:B767,"&gt;="&amp;TODAY()))</formula>
    </cfRule>
    <cfRule type="expression" dxfId="74" priority="47">
      <formula>AND($B755&lt;&gt;"",$B755&lt;TODAY())</formula>
    </cfRule>
  </conditionalFormatting>
  <conditionalFormatting sqref="G755:K755">
    <cfRule type="expression" dxfId="73" priority="46">
      <formula>AND($G755&lt;&gt;"",$G755=_xlfn.MINIFS(G755:G767,G755:G767,"&gt;="&amp;TODAY()))</formula>
    </cfRule>
    <cfRule type="expression" dxfId="72" priority="48">
      <formula>AND($G755&lt;&gt;"",$G755&lt;TODAY())</formula>
    </cfRule>
  </conditionalFormatting>
  <conditionalFormatting sqref="B756:F756">
    <cfRule type="expression" dxfId="71" priority="41">
      <formula>AND($B756&lt;&gt;"",$B756=_xlfn.MINIFS(B756:B768,B756:B768,"&gt;="&amp;TODAY()))</formula>
    </cfRule>
    <cfRule type="expression" dxfId="70" priority="43">
      <formula>AND($B756&lt;&gt;"",$B756&lt;TODAY())</formula>
    </cfRule>
  </conditionalFormatting>
  <conditionalFormatting sqref="G756:K756">
    <cfRule type="expression" dxfId="69" priority="42">
      <formula>AND($G756&lt;&gt;"",$G756=_xlfn.MINIFS(G756:G768,G756:G768,"&gt;="&amp;TODAY()))</formula>
    </cfRule>
    <cfRule type="expression" dxfId="68" priority="44">
      <formula>AND($G756&lt;&gt;"",$G756&lt;TODAY())</formula>
    </cfRule>
  </conditionalFormatting>
  <conditionalFormatting sqref="B757:F757">
    <cfRule type="expression" dxfId="67" priority="37">
      <formula>AND($B757&lt;&gt;"",$B757=_xlfn.MINIFS(B757:B769,B757:B769,"&gt;="&amp;TODAY()))</formula>
    </cfRule>
    <cfRule type="expression" dxfId="66" priority="39">
      <formula>AND($B757&lt;&gt;"",$B757&lt;TODAY())</formula>
    </cfRule>
  </conditionalFormatting>
  <conditionalFormatting sqref="G757:K757">
    <cfRule type="expression" dxfId="65" priority="38">
      <formula>AND($G757&lt;&gt;"",$G757=_xlfn.MINIFS(G757:G769,G757:G769,"&gt;="&amp;TODAY()))</formula>
    </cfRule>
    <cfRule type="expression" dxfId="64" priority="40">
      <formula>AND($G757&lt;&gt;"",$G757&lt;TODAY())</formula>
    </cfRule>
  </conditionalFormatting>
  <conditionalFormatting sqref="B758:F758">
    <cfRule type="expression" dxfId="63" priority="33">
      <formula>AND($B758&lt;&gt;"",$B758=_xlfn.MINIFS(B758:B770,B758:B770,"&gt;="&amp;TODAY()))</formula>
    </cfRule>
    <cfRule type="expression" dxfId="62" priority="35">
      <formula>AND($B758&lt;&gt;"",$B758&lt;TODAY())</formula>
    </cfRule>
  </conditionalFormatting>
  <conditionalFormatting sqref="G758:K758">
    <cfRule type="expression" dxfId="61" priority="34">
      <formula>AND($G758&lt;&gt;"",$G758=_xlfn.MINIFS(G758:G770,G758:G770,"&gt;="&amp;TODAY()))</formula>
    </cfRule>
    <cfRule type="expression" dxfId="60" priority="36">
      <formula>AND($G758&lt;&gt;"",$G758&lt;TODAY())</formula>
    </cfRule>
  </conditionalFormatting>
  <conditionalFormatting sqref="B759:F759">
    <cfRule type="expression" dxfId="59" priority="29">
      <formula>AND($B759&lt;&gt;"",$B759=_xlfn.MINIFS(B759:B771,B759:B771,"&gt;="&amp;TODAY()))</formula>
    </cfRule>
    <cfRule type="expression" dxfId="58" priority="31">
      <formula>AND($B759&lt;&gt;"",$B759&lt;TODAY())</formula>
    </cfRule>
  </conditionalFormatting>
  <conditionalFormatting sqref="G759:K759">
    <cfRule type="expression" dxfId="57" priority="30">
      <formula>AND($G759&lt;&gt;"",$G759=_xlfn.MINIFS(G759:G771,G759:G771,"&gt;="&amp;TODAY()))</formula>
    </cfRule>
    <cfRule type="expression" dxfId="56" priority="32">
      <formula>AND($G759&lt;&gt;"",$G759&lt;TODAY())</formula>
    </cfRule>
  </conditionalFormatting>
  <conditionalFormatting sqref="B760:F760">
    <cfRule type="expression" dxfId="55" priority="25">
      <formula>AND($B760&lt;&gt;"",$B760=_xlfn.MINIFS(B760:B772,B760:B772,"&gt;="&amp;TODAY()))</formula>
    </cfRule>
    <cfRule type="expression" dxfId="54" priority="27">
      <formula>AND($B760&lt;&gt;"",$B760&lt;TODAY())</formula>
    </cfRule>
  </conditionalFormatting>
  <conditionalFormatting sqref="G760:K760">
    <cfRule type="expression" dxfId="53" priority="26">
      <formula>AND($G760&lt;&gt;"",$G760=_xlfn.MINIFS(G760:G772,G760:G772,"&gt;="&amp;TODAY()))</formula>
    </cfRule>
    <cfRule type="expression" dxfId="52" priority="28">
      <formula>AND($G760&lt;&gt;"",$G760&lt;TODAY())</formula>
    </cfRule>
  </conditionalFormatting>
  <conditionalFormatting sqref="B761:F761">
    <cfRule type="expression" dxfId="51" priority="21">
      <formula>AND($B761&lt;&gt;"",$B761=_xlfn.MINIFS(B761:B773,B761:B773,"&gt;="&amp;TODAY()))</formula>
    </cfRule>
    <cfRule type="expression" dxfId="50" priority="23">
      <formula>AND($B761&lt;&gt;"",$B761&lt;TODAY())</formula>
    </cfRule>
  </conditionalFormatting>
  <conditionalFormatting sqref="G761:K761">
    <cfRule type="expression" dxfId="49" priority="22">
      <formula>AND($G761&lt;&gt;"",$G761=_xlfn.MINIFS(G761:G773,G761:G773,"&gt;="&amp;TODAY()))</formula>
    </cfRule>
    <cfRule type="expression" dxfId="48" priority="24">
      <formula>AND($G761&lt;&gt;"",$G761&lt;TODAY())</formula>
    </cfRule>
  </conditionalFormatting>
  <conditionalFormatting sqref="B762:F762">
    <cfRule type="expression" dxfId="47" priority="17">
      <formula>AND($B762&lt;&gt;"",$B762=_xlfn.MINIFS(B762:B774,B762:B774,"&gt;="&amp;TODAY()))</formula>
    </cfRule>
    <cfRule type="expression" dxfId="46" priority="19">
      <formula>AND($B762&lt;&gt;"",$B762&lt;TODAY())</formula>
    </cfRule>
  </conditionalFormatting>
  <conditionalFormatting sqref="G762:K762">
    <cfRule type="expression" dxfId="45" priority="18">
      <formula>AND($G762&lt;&gt;"",$G762=_xlfn.MINIFS(G762:G774,G762:G774,"&gt;="&amp;TODAY()))</formula>
    </cfRule>
    <cfRule type="expression" dxfId="44" priority="20">
      <formula>AND($G762&lt;&gt;"",$G762&lt;TODAY())</formula>
    </cfRule>
  </conditionalFormatting>
  <conditionalFormatting sqref="B763:F763">
    <cfRule type="expression" dxfId="43" priority="13">
      <formula>AND($B763&lt;&gt;"",$B763=_xlfn.MINIFS(B763:B775,B763:B775,"&gt;="&amp;TODAY()))</formula>
    </cfRule>
    <cfRule type="expression" dxfId="42" priority="15">
      <formula>AND($B763&lt;&gt;"",$B763&lt;TODAY())</formula>
    </cfRule>
  </conditionalFormatting>
  <conditionalFormatting sqref="G763:K763">
    <cfRule type="expression" dxfId="41" priority="14">
      <formula>AND($G763&lt;&gt;"",$G763=_xlfn.MINIFS(G763:G775,G763:G775,"&gt;="&amp;TODAY()))</formula>
    </cfRule>
    <cfRule type="expression" dxfId="40" priority="16">
      <formula>AND($G763&lt;&gt;"",$G763&lt;TODAY())</formula>
    </cfRule>
  </conditionalFormatting>
  <conditionalFormatting sqref="B764:F764">
    <cfRule type="expression" dxfId="39" priority="9">
      <formula>AND($B764&lt;&gt;"",$B764=_xlfn.MINIFS(B764:B776,B764:B776,"&gt;="&amp;TODAY()))</formula>
    </cfRule>
    <cfRule type="expression" dxfId="38" priority="11">
      <formula>AND($B764&lt;&gt;"",$B764&lt;TODAY())</formula>
    </cfRule>
  </conditionalFormatting>
  <conditionalFormatting sqref="G764:K764">
    <cfRule type="expression" dxfId="37" priority="10">
      <formula>AND($G764&lt;&gt;"",$G764=_xlfn.MINIFS(G764:G776,G764:G776,"&gt;="&amp;TODAY()))</formula>
    </cfRule>
    <cfRule type="expression" dxfId="36" priority="12">
      <formula>AND($G764&lt;&gt;"",$G764&lt;TODAY())</formula>
    </cfRule>
  </conditionalFormatting>
  <conditionalFormatting sqref="B765:F765">
    <cfRule type="expression" dxfId="35" priority="5">
      <formula>AND($B765&lt;&gt;"",$B765=_xlfn.MINIFS(B765:B777,B765:B777,"&gt;="&amp;TODAY()))</formula>
    </cfRule>
    <cfRule type="expression" dxfId="34" priority="7">
      <formula>AND($B765&lt;&gt;"",$B765&lt;TODAY())</formula>
    </cfRule>
  </conditionalFormatting>
  <conditionalFormatting sqref="G765:K765">
    <cfRule type="expression" dxfId="33" priority="6">
      <formula>AND($G765&lt;&gt;"",$G765=_xlfn.MINIFS(G765:G777,G765:G777,"&gt;="&amp;TODAY()))</formula>
    </cfRule>
    <cfRule type="expression" dxfId="32" priority="8">
      <formula>AND($G765&lt;&gt;"",$G765&lt;TODAY())</formula>
    </cfRule>
  </conditionalFormatting>
  <conditionalFormatting sqref="B103:F112 B725:F725">
    <cfRule type="expression" dxfId="31" priority="687">
      <formula>AND($B103&lt;&gt;"",$B103=_xlfn.MINIFS(B103:B119,B103:B119,"&gt;="&amp;TODAY()))</formula>
    </cfRule>
    <cfRule type="expression" dxfId="30" priority="688">
      <formula>AND($B103&lt;&gt;"",$B103&lt;TODAY())</formula>
    </cfRule>
  </conditionalFormatting>
  <conditionalFormatting sqref="G103:K112 G725:K725">
    <cfRule type="expression" dxfId="29" priority="689">
      <formula>AND($G103&lt;&gt;"",$G103=_xlfn.MINIFS(G103:G119,G103:G119,"&gt;="&amp;TODAY()))</formula>
    </cfRule>
    <cfRule type="expression" dxfId="28" priority="690">
      <formula>AND($G103&lt;&gt;"",$G103&lt;TODAY())</formula>
    </cfRule>
  </conditionalFormatting>
  <conditionalFormatting sqref="B115:F118">
    <cfRule type="expression" dxfId="27" priority="1">
      <formula>AND($B115&lt;&gt;"",$B115=_xlfn.MINIFS(B115:B118,B115:B118,"&gt;="&amp;TODAY()))</formula>
    </cfRule>
    <cfRule type="expression" dxfId="26" priority="3">
      <formula>AND($B115&lt;&gt;"",$B115&lt;TODAY())</formula>
    </cfRule>
  </conditionalFormatting>
  <conditionalFormatting sqref="G115:K118">
    <cfRule type="expression" dxfId="25" priority="2">
      <formula>AND($G115&lt;&gt;"",$G115=_xlfn.MINIFS(G115:G118,G115:G118,"&gt;="&amp;TODAY()))</formula>
    </cfRule>
    <cfRule type="expression" dxfId="24" priority="4">
      <formula>AND($G115&lt;&gt;"",$G115&lt;TODAY())</formula>
    </cfRule>
  </conditionalFormatting>
  <conditionalFormatting sqref="B731:F734">
    <cfRule type="expression" dxfId="23" priority="693">
      <formula>AND($B731&lt;&gt;"",$B731=_xlfn.MINIFS(B731:B741,B731:B741,"&gt;="&amp;TODAY()))</formula>
    </cfRule>
    <cfRule type="expression" dxfId="22" priority="694">
      <formula>AND($B731&lt;&gt;"",$B731&lt;TODAY())</formula>
    </cfRule>
  </conditionalFormatting>
  <conditionalFormatting sqref="B719:F719">
    <cfRule type="expression" dxfId="21" priority="695">
      <formula>AND($B719&lt;&gt;"",$B719=_xlfn.MINIFS(B719:B741,B719:B741,"&gt;="&amp;TODAY()))</formula>
    </cfRule>
    <cfRule type="expression" dxfId="20" priority="696">
      <formula>AND($B719&lt;&gt;"",$B719&lt;TODAY())</formula>
    </cfRule>
  </conditionalFormatting>
  <conditionalFormatting sqref="B722:F722 B488:F490">
    <cfRule type="expression" dxfId="19" priority="701">
      <formula>AND($B488&lt;&gt;"",$B488=_xlfn.MINIFS(B488:B507,B488:B507,"&gt;="&amp;TODAY()))</formula>
    </cfRule>
    <cfRule type="expression" dxfId="18" priority="702">
      <formula>AND($B488&lt;&gt;"",$B488&lt;TODAY())</formula>
    </cfRule>
  </conditionalFormatting>
  <conditionalFormatting sqref="B724:F724">
    <cfRule type="expression" dxfId="17" priority="705">
      <formula>AND($B724&lt;&gt;"",$B724=_xlfn.MINIFS(B724:B741,B724:B741,"&gt;="&amp;TODAY()))</formula>
    </cfRule>
    <cfRule type="expression" dxfId="16" priority="706">
      <formula>AND($B724&lt;&gt;"",$B724&lt;TODAY())</formula>
    </cfRule>
  </conditionalFormatting>
  <conditionalFormatting sqref="B726:F726">
    <cfRule type="expression" dxfId="15" priority="709">
      <formula>AND($B726&lt;&gt;"",$B726=_xlfn.MINIFS(B726:B741,B726:B741,"&gt;="&amp;TODAY()))</formula>
    </cfRule>
    <cfRule type="expression" dxfId="14" priority="710">
      <formula>AND($B726&lt;&gt;"",$B726&lt;TODAY())</formula>
    </cfRule>
  </conditionalFormatting>
  <conditionalFormatting sqref="B727:F727">
    <cfRule type="expression" dxfId="13" priority="711">
      <formula>AND($B727&lt;&gt;"",$B727=_xlfn.MINIFS(B727:B741,B727:B741,"&gt;="&amp;TODAY()))</formula>
    </cfRule>
    <cfRule type="expression" dxfId="12" priority="712">
      <formula>AND($B727&lt;&gt;"",$B727&lt;TODAY())</formula>
    </cfRule>
  </conditionalFormatting>
  <conditionalFormatting sqref="G731:K734">
    <cfRule type="expression" dxfId="11" priority="723">
      <formula>AND($G731&lt;&gt;"",$G731=_xlfn.MINIFS(G731:G741,G731:G741,"&gt;="&amp;TODAY()))</formula>
    </cfRule>
    <cfRule type="expression" dxfId="10" priority="724">
      <formula>AND($G731&lt;&gt;"",$G731&lt;TODAY())</formula>
    </cfRule>
  </conditionalFormatting>
  <conditionalFormatting sqref="G719:K719">
    <cfRule type="expression" dxfId="9" priority="725">
      <formula>AND($G719&lt;&gt;"",$G719=_xlfn.MINIFS(G719:G741,G719:G741,"&gt;="&amp;TODAY()))</formula>
    </cfRule>
    <cfRule type="expression" dxfId="8" priority="726">
      <formula>AND($G719&lt;&gt;"",$G719&lt;TODAY())</formula>
    </cfRule>
  </conditionalFormatting>
  <conditionalFormatting sqref="G722:K722 G488:K490">
    <cfRule type="expression" dxfId="7" priority="731">
      <formula>AND($G488&lt;&gt;"",$G488=_xlfn.MINIFS(G488:G507,G488:G507,"&gt;="&amp;TODAY()))</formula>
    </cfRule>
    <cfRule type="expression" dxfId="6" priority="732">
      <formula>AND($G488&lt;&gt;"",$G488&lt;TODAY())</formula>
    </cfRule>
  </conditionalFormatting>
  <conditionalFormatting sqref="G724:K724">
    <cfRule type="expression" dxfId="5" priority="735">
      <formula>AND($G724&lt;&gt;"",$G724=_xlfn.MINIFS(G724:G741,G724:G741,"&gt;="&amp;TODAY()))</formula>
    </cfRule>
    <cfRule type="expression" dxfId="4" priority="736">
      <formula>AND($G724&lt;&gt;"",$G724&lt;TODAY())</formula>
    </cfRule>
  </conditionalFormatting>
  <conditionalFormatting sqref="G726:K726">
    <cfRule type="expression" dxfId="3" priority="739">
      <formula>AND($G726&lt;&gt;"",$G726=_xlfn.MINIFS(G726:G741,G726:G741,"&gt;="&amp;TODAY()))</formula>
    </cfRule>
    <cfRule type="expression" dxfId="2" priority="740">
      <formula>AND($G726&lt;&gt;"",$G726&lt;TODAY())</formula>
    </cfRule>
  </conditionalFormatting>
  <conditionalFormatting sqref="G727:K727">
    <cfRule type="expression" dxfId="1" priority="741">
      <formula>AND($G727&lt;&gt;"",$G727=_xlfn.MINIFS(G727:G741,G727:G741,"&gt;="&amp;TODAY()))</formula>
    </cfRule>
    <cfRule type="expression" dxfId="0" priority="742">
      <formula>AND($G727&lt;&gt;"",$G727&lt;TODAY())</formula>
    </cfRule>
  </conditionalFormatting>
  <hyperlinks>
    <hyperlink ref="O37" r:id="rId1" xr:uid="{00000000-0004-0000-0000-000000000000}"/>
    <hyperlink ref="O71" r:id="rId2" xr:uid="{00000000-0004-0000-0000-000001000000}"/>
    <hyperlink ref="O85" r:id="rId3" xr:uid="{00000000-0004-0000-0000-000002000000}"/>
    <hyperlink ref="O99" r:id="rId4" xr:uid="{00000000-0004-0000-0000-000003000000}"/>
    <hyperlink ref="O119" r:id="rId5" xr:uid="{00000000-0004-0000-0000-000004000000}"/>
    <hyperlink ref="O134" r:id="rId6" xr:uid="{00000000-0004-0000-0000-000005000000}"/>
    <hyperlink ref="O163" r:id="rId7" xr:uid="{00000000-0004-0000-0000-000007000000}"/>
    <hyperlink ref="O170" r:id="rId8" xr:uid="{00000000-0004-0000-0000-000008000000}"/>
    <hyperlink ref="O175" r:id="rId9" xr:uid="{00000000-0004-0000-0000-000009000000}"/>
    <hyperlink ref="O180" r:id="rId10" xr:uid="{00000000-0004-0000-0000-00000A000000}"/>
    <hyperlink ref="O194" r:id="rId11" xr:uid="{00000000-0004-0000-0000-00000B000000}"/>
    <hyperlink ref="O208" r:id="rId12" xr:uid="{00000000-0004-0000-0000-00000C000000}"/>
    <hyperlink ref="O222" r:id="rId13" xr:uid="{00000000-0004-0000-0000-00000D000000}"/>
    <hyperlink ref="O236" r:id="rId14" xr:uid="{00000000-0004-0000-0000-00000E000000}"/>
    <hyperlink ref="O250" r:id="rId15" xr:uid="{00000000-0004-0000-0000-00000F000000}"/>
    <hyperlink ref="O269" r:id="rId16" xr:uid="{00000000-0004-0000-0000-000010000000}"/>
    <hyperlink ref="O344" r:id="rId17" xr:uid="{00000000-0004-0000-0000-000011000000}"/>
    <hyperlink ref="O358" r:id="rId18" xr:uid="{00000000-0004-0000-0000-000012000000}"/>
    <hyperlink ref="O373" r:id="rId19" xr:uid="{00000000-0004-0000-0000-000013000000}"/>
    <hyperlink ref="O392" r:id="rId20" xr:uid="{00000000-0004-0000-0000-000014000000}"/>
    <hyperlink ref="O406" r:id="rId21" xr:uid="{00000000-0004-0000-0000-000015000000}"/>
    <hyperlink ref="O420" r:id="rId22" xr:uid="{00000000-0004-0000-0000-000016000000}"/>
    <hyperlink ref="O434" r:id="rId23" xr:uid="{00000000-0004-0000-0000-000017000000}"/>
    <hyperlink ref="O448" r:id="rId24" xr:uid="{00000000-0004-0000-0000-000018000000}"/>
    <hyperlink ref="O462" r:id="rId25" xr:uid="{00000000-0004-0000-0000-000019000000}"/>
    <hyperlink ref="O476" r:id="rId26" xr:uid="{00000000-0004-0000-0000-00001A000000}"/>
    <hyperlink ref="O501" r:id="rId27" xr:uid="{00000000-0004-0000-0000-00001B000000}"/>
    <hyperlink ref="O507" r:id="rId28" xr:uid="{00000000-0004-0000-0000-00001C000000}"/>
    <hyperlink ref="O542" r:id="rId29" xr:uid="{00000000-0004-0000-0000-00001D000000}"/>
    <hyperlink ref="O564" r:id="rId30" xr:uid="{00000000-0004-0000-0000-00001E000000}"/>
    <hyperlink ref="O588" r:id="rId31" xr:uid="{00000000-0004-0000-0000-00001F000000}"/>
    <hyperlink ref="O612" r:id="rId32" xr:uid="{00000000-0004-0000-0000-000020000000}"/>
    <hyperlink ref="O665" r:id="rId33" xr:uid="{00000000-0004-0000-0000-000021000000}"/>
    <hyperlink ref="O691" r:id="rId34" xr:uid="{00000000-0004-0000-0000-000022000000}"/>
    <hyperlink ref="O709" r:id="rId35" xr:uid="{00000000-0004-0000-0000-000023000000}"/>
    <hyperlink ref="O741" r:id="rId36" xr:uid="{00000000-0004-0000-0000-000024000000}"/>
  </hyperlinks>
  <pageMargins left="0.75" right="0.75" top="1" bottom="1" header="0.5" footer="0.5"/>
  <legacyDrawing r:id="rId3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15"/>
  <sheetViews>
    <sheetView workbookViewId="0">
      <pane ySplit="1" topLeftCell="A159" activePane="bottomLeft" state="frozen"/>
      <selection pane="bottomLeft"/>
    </sheetView>
  </sheetViews>
  <sheetFormatPr defaultColWidth="8.7109375" defaultRowHeight="14.45"/>
  <cols>
    <col min="1" max="1" width="26" customWidth="1"/>
    <col min="2" max="2" width="14" customWidth="1"/>
    <col min="3" max="3" width="40" customWidth="1"/>
    <col min="4" max="4" width="16" customWidth="1"/>
    <col min="5" max="5" width="7" customWidth="1"/>
    <col min="6" max="6" width="20" customWidth="1"/>
    <col min="7" max="7" width="16" customWidth="1"/>
    <col min="8" max="8" width="15" customWidth="1"/>
    <col min="9" max="9" width="20" customWidth="1"/>
    <col min="10" max="11" width="15" customWidth="1"/>
    <col min="12" max="12" width="22" customWidth="1"/>
    <col min="13" max="13" width="34" customWidth="1"/>
    <col min="14" max="14" width="22" customWidth="1"/>
    <col min="15" max="15" width="9" customWidth="1"/>
    <col min="16" max="16" width="26" customWidth="1"/>
    <col min="17" max="17" width="16" customWidth="1"/>
    <col min="18" max="18" width="14" customWidth="1"/>
  </cols>
  <sheetData>
    <row r="1" spans="1:18" ht="29.1" customHeight="1">
      <c r="A1" s="45" t="s">
        <v>492</v>
      </c>
      <c r="B1" s="45" t="s">
        <v>0</v>
      </c>
      <c r="C1" s="45" t="s">
        <v>1</v>
      </c>
      <c r="D1" s="45" t="s">
        <v>493</v>
      </c>
      <c r="E1" s="45" t="s">
        <v>494</v>
      </c>
      <c r="F1" s="45" t="s">
        <v>495</v>
      </c>
      <c r="G1" s="45" t="s">
        <v>324</v>
      </c>
      <c r="H1" s="45" t="s">
        <v>496</v>
      </c>
      <c r="I1" s="45" t="s">
        <v>497</v>
      </c>
      <c r="J1" s="45" t="s">
        <v>498</v>
      </c>
      <c r="K1" s="45" t="s">
        <v>499</v>
      </c>
      <c r="L1" s="45" t="s">
        <v>500</v>
      </c>
      <c r="M1" s="45" t="s">
        <v>501</v>
      </c>
      <c r="N1" s="45" t="s">
        <v>502</v>
      </c>
      <c r="O1" s="45" t="s">
        <v>8</v>
      </c>
      <c r="P1" s="45" t="s">
        <v>503</v>
      </c>
      <c r="Q1" s="45" t="s">
        <v>504</v>
      </c>
      <c r="R1" s="45" t="s">
        <v>505</v>
      </c>
    </row>
    <row r="2" spans="1:18" ht="15.6" customHeight="1">
      <c r="A2" s="15" t="s">
        <v>506</v>
      </c>
      <c r="B2" s="15" t="s">
        <v>283</v>
      </c>
      <c r="C2" s="15" t="s">
        <v>284</v>
      </c>
      <c r="D2" s="15" t="s">
        <v>507</v>
      </c>
      <c r="E2" s="15">
        <v>2025</v>
      </c>
      <c r="F2" s="15" t="s">
        <v>508</v>
      </c>
      <c r="G2" s="15" t="s">
        <v>286</v>
      </c>
      <c r="H2" s="16">
        <v>45649</v>
      </c>
      <c r="I2" s="16">
        <v>45657</v>
      </c>
      <c r="J2" s="16">
        <v>45658</v>
      </c>
      <c r="K2" s="16">
        <v>45680</v>
      </c>
      <c r="L2" s="16">
        <v>45653</v>
      </c>
      <c r="M2" s="15"/>
      <c r="N2" s="15" t="s">
        <v>509</v>
      </c>
      <c r="O2" s="15" t="s">
        <v>510</v>
      </c>
      <c r="P2" s="19" t="s">
        <v>511</v>
      </c>
      <c r="Q2" s="15" t="s">
        <v>512</v>
      </c>
      <c r="R2" s="15" t="str">
        <f t="shared" ref="R2:R65" ca="1" si="0">IF(H2&gt;=TODAY(),"À venir","Passée")</f>
        <v>Passée</v>
      </c>
    </row>
    <row r="3" spans="1:18" ht="15.6" customHeight="1">
      <c r="A3" t="s">
        <v>513</v>
      </c>
      <c r="B3" t="s">
        <v>283</v>
      </c>
      <c r="C3" t="s">
        <v>284</v>
      </c>
      <c r="D3" t="s">
        <v>507</v>
      </c>
      <c r="E3">
        <v>2025</v>
      </c>
      <c r="F3" t="s">
        <v>508</v>
      </c>
      <c r="G3" t="s">
        <v>287</v>
      </c>
      <c r="H3" s="1">
        <v>45684</v>
      </c>
      <c r="I3" s="1">
        <v>45688</v>
      </c>
      <c r="J3" s="1">
        <v>45689</v>
      </c>
      <c r="K3" s="1">
        <v>45712</v>
      </c>
      <c r="L3" s="1">
        <v>45686</v>
      </c>
      <c r="N3" t="s">
        <v>509</v>
      </c>
      <c r="O3" t="s">
        <v>510</v>
      </c>
      <c r="P3" s="19" t="s">
        <v>511</v>
      </c>
      <c r="Q3" t="s">
        <v>512</v>
      </c>
      <c r="R3" t="str">
        <f t="shared" ca="1" si="0"/>
        <v>Passée</v>
      </c>
    </row>
    <row r="4" spans="1:18" ht="15.6" customHeight="1">
      <c r="A4" s="15" t="s">
        <v>514</v>
      </c>
      <c r="B4" s="15" t="s">
        <v>283</v>
      </c>
      <c r="C4" s="15" t="s">
        <v>284</v>
      </c>
      <c r="D4" s="15" t="s">
        <v>507</v>
      </c>
      <c r="E4" s="15">
        <v>2025</v>
      </c>
      <c r="F4" s="15" t="s">
        <v>508</v>
      </c>
      <c r="G4" s="15" t="s">
        <v>142</v>
      </c>
      <c r="H4" s="16">
        <v>45712</v>
      </c>
      <c r="I4" s="16">
        <v>45716</v>
      </c>
      <c r="J4" s="16">
        <v>45717</v>
      </c>
      <c r="K4" s="16">
        <v>45737</v>
      </c>
      <c r="L4" s="16">
        <v>45714</v>
      </c>
      <c r="M4" s="15"/>
      <c r="N4" s="15" t="s">
        <v>509</v>
      </c>
      <c r="O4" s="15" t="s">
        <v>510</v>
      </c>
      <c r="P4" s="19" t="s">
        <v>511</v>
      </c>
      <c r="Q4" s="15" t="s">
        <v>512</v>
      </c>
      <c r="R4" s="15" t="str">
        <f t="shared" ca="1" si="0"/>
        <v>Passée</v>
      </c>
    </row>
    <row r="5" spans="1:18" ht="15.6" customHeight="1">
      <c r="A5" t="s">
        <v>515</v>
      </c>
      <c r="B5" t="s">
        <v>283</v>
      </c>
      <c r="C5" t="s">
        <v>284</v>
      </c>
      <c r="D5" t="s">
        <v>507</v>
      </c>
      <c r="E5">
        <v>2025</v>
      </c>
      <c r="F5" t="s">
        <v>508</v>
      </c>
      <c r="G5" t="s">
        <v>143</v>
      </c>
      <c r="H5" s="1">
        <v>45741</v>
      </c>
      <c r="I5" s="1">
        <v>45747</v>
      </c>
      <c r="J5" s="1">
        <v>45748</v>
      </c>
      <c r="K5" s="1">
        <v>45770</v>
      </c>
      <c r="L5" s="1">
        <v>45743</v>
      </c>
      <c r="N5" t="s">
        <v>509</v>
      </c>
      <c r="O5" t="s">
        <v>510</v>
      </c>
      <c r="P5" s="19" t="s">
        <v>511</v>
      </c>
      <c r="Q5" t="s">
        <v>512</v>
      </c>
      <c r="R5" t="str">
        <f t="shared" ca="1" si="0"/>
        <v>Passée</v>
      </c>
    </row>
    <row r="6" spans="1:18" ht="15.6" customHeight="1">
      <c r="A6" s="15" t="s">
        <v>516</v>
      </c>
      <c r="B6" s="15" t="s">
        <v>283</v>
      </c>
      <c r="C6" s="15" t="s">
        <v>284</v>
      </c>
      <c r="D6" s="15" t="s">
        <v>507</v>
      </c>
      <c r="E6" s="15">
        <v>2025</v>
      </c>
      <c r="F6" s="15" t="s">
        <v>508</v>
      </c>
      <c r="G6" s="15" t="s">
        <v>144</v>
      </c>
      <c r="H6" s="16">
        <v>45771</v>
      </c>
      <c r="I6" s="16">
        <v>45777</v>
      </c>
      <c r="J6" s="16">
        <v>45778</v>
      </c>
      <c r="K6" s="16">
        <v>45804</v>
      </c>
      <c r="L6" s="16">
        <v>45775</v>
      </c>
      <c r="M6" s="15"/>
      <c r="N6" s="15" t="s">
        <v>509</v>
      </c>
      <c r="O6" s="15" t="s">
        <v>510</v>
      </c>
      <c r="P6" s="19" t="s">
        <v>511</v>
      </c>
      <c r="Q6" s="15" t="s">
        <v>512</v>
      </c>
      <c r="R6" s="15" t="str">
        <f t="shared" ca="1" si="0"/>
        <v>Passée</v>
      </c>
    </row>
    <row r="7" spans="1:18" ht="15.6" customHeight="1">
      <c r="A7" t="s">
        <v>517</v>
      </c>
      <c r="B7" t="s">
        <v>283</v>
      </c>
      <c r="C7" t="s">
        <v>284</v>
      </c>
      <c r="D7" t="s">
        <v>507</v>
      </c>
      <c r="E7">
        <v>2025</v>
      </c>
      <c r="F7" t="s">
        <v>508</v>
      </c>
      <c r="G7" t="s">
        <v>145</v>
      </c>
      <c r="H7" s="1">
        <v>45799</v>
      </c>
      <c r="I7" s="1">
        <v>45808</v>
      </c>
      <c r="J7" s="1">
        <v>45809</v>
      </c>
      <c r="K7" s="1">
        <v>45832</v>
      </c>
      <c r="L7" s="1">
        <v>45804</v>
      </c>
      <c r="N7" t="s">
        <v>509</v>
      </c>
      <c r="O7" t="s">
        <v>510</v>
      </c>
      <c r="P7" s="19" t="s">
        <v>511</v>
      </c>
      <c r="Q7" t="s">
        <v>512</v>
      </c>
      <c r="R7" t="str">
        <f t="shared" ca="1" si="0"/>
        <v>Passée</v>
      </c>
    </row>
    <row r="8" spans="1:18" ht="15.6" customHeight="1">
      <c r="A8" s="15" t="s">
        <v>518</v>
      </c>
      <c r="B8" s="15" t="s">
        <v>283</v>
      </c>
      <c r="C8" s="15" t="s">
        <v>284</v>
      </c>
      <c r="D8" s="15" t="s">
        <v>507</v>
      </c>
      <c r="E8" s="15">
        <v>2025</v>
      </c>
      <c r="F8" s="15" t="s">
        <v>508</v>
      </c>
      <c r="G8" s="15" t="s">
        <v>146</v>
      </c>
      <c r="H8" s="16">
        <v>45832</v>
      </c>
      <c r="I8" s="16">
        <v>45838</v>
      </c>
      <c r="J8" s="16">
        <v>45839</v>
      </c>
      <c r="K8" s="16">
        <v>45860</v>
      </c>
      <c r="L8" s="16">
        <v>45834</v>
      </c>
      <c r="M8" s="15"/>
      <c r="N8" s="15" t="s">
        <v>509</v>
      </c>
      <c r="O8" s="15" t="s">
        <v>510</v>
      </c>
      <c r="P8" s="19" t="s">
        <v>511</v>
      </c>
      <c r="Q8" s="15" t="s">
        <v>512</v>
      </c>
      <c r="R8" s="15" t="str">
        <f t="shared" ca="1" si="0"/>
        <v>Passée</v>
      </c>
    </row>
    <row r="9" spans="1:18" ht="15.6" customHeight="1">
      <c r="A9" t="s">
        <v>519</v>
      </c>
      <c r="B9" t="s">
        <v>283</v>
      </c>
      <c r="C9" t="s">
        <v>284</v>
      </c>
      <c r="D9" t="s">
        <v>507</v>
      </c>
      <c r="E9">
        <v>2025</v>
      </c>
      <c r="F9" t="s">
        <v>508</v>
      </c>
      <c r="G9" t="s">
        <v>147</v>
      </c>
      <c r="H9" s="1">
        <v>45863</v>
      </c>
      <c r="I9" s="1">
        <v>45869</v>
      </c>
      <c r="J9" s="1">
        <v>45870</v>
      </c>
      <c r="K9" s="1">
        <v>45891</v>
      </c>
      <c r="L9" s="1">
        <v>45867</v>
      </c>
      <c r="N9" t="s">
        <v>509</v>
      </c>
      <c r="O9" t="s">
        <v>510</v>
      </c>
      <c r="P9" s="19" t="s">
        <v>511</v>
      </c>
      <c r="Q9" t="s">
        <v>512</v>
      </c>
      <c r="R9" t="str">
        <f t="shared" ca="1" si="0"/>
        <v>Passée</v>
      </c>
    </row>
    <row r="10" spans="1:18" ht="15.6" customHeight="1">
      <c r="A10" s="15" t="s">
        <v>520</v>
      </c>
      <c r="B10" s="15" t="s">
        <v>283</v>
      </c>
      <c r="C10" s="15" t="s">
        <v>284</v>
      </c>
      <c r="D10" s="15" t="s">
        <v>507</v>
      </c>
      <c r="E10" s="15">
        <v>2025</v>
      </c>
      <c r="F10" s="15" t="s">
        <v>508</v>
      </c>
      <c r="G10" s="15" t="s">
        <v>148</v>
      </c>
      <c r="H10" s="16">
        <v>45891</v>
      </c>
      <c r="I10" s="16">
        <v>45900</v>
      </c>
      <c r="J10" s="16">
        <v>45901</v>
      </c>
      <c r="K10" s="16">
        <v>45922</v>
      </c>
      <c r="L10" s="16">
        <v>45896</v>
      </c>
      <c r="M10" s="15"/>
      <c r="N10" s="15" t="s">
        <v>509</v>
      </c>
      <c r="O10" s="15" t="s">
        <v>510</v>
      </c>
      <c r="P10" s="19" t="s">
        <v>511</v>
      </c>
      <c r="Q10" s="15" t="s">
        <v>512</v>
      </c>
      <c r="R10" s="15" t="str">
        <f t="shared" ca="1" si="0"/>
        <v>Passée</v>
      </c>
    </row>
    <row r="11" spans="1:18" ht="15.6" customHeight="1">
      <c r="A11" t="s">
        <v>521</v>
      </c>
      <c r="B11" t="s">
        <v>283</v>
      </c>
      <c r="C11" t="s">
        <v>284</v>
      </c>
      <c r="D11" t="s">
        <v>507</v>
      </c>
      <c r="E11">
        <v>2025</v>
      </c>
      <c r="F11" t="s">
        <v>508</v>
      </c>
      <c r="G11" t="s">
        <v>149</v>
      </c>
      <c r="H11" s="1">
        <v>45924</v>
      </c>
      <c r="I11" s="1">
        <v>45930</v>
      </c>
      <c r="J11" s="1">
        <v>45931</v>
      </c>
      <c r="K11" s="1">
        <v>45952</v>
      </c>
      <c r="L11" s="1">
        <v>45926</v>
      </c>
      <c r="N11" t="s">
        <v>509</v>
      </c>
      <c r="O11" t="s">
        <v>510</v>
      </c>
      <c r="P11" s="19" t="s">
        <v>511</v>
      </c>
      <c r="Q11" t="s">
        <v>512</v>
      </c>
      <c r="R11" t="str">
        <f t="shared" ca="1" si="0"/>
        <v>Passée</v>
      </c>
    </row>
    <row r="12" spans="1:18" ht="15.6" customHeight="1">
      <c r="A12" s="15" t="s">
        <v>522</v>
      </c>
      <c r="B12" s="15" t="s">
        <v>283</v>
      </c>
      <c r="C12" s="15" t="s">
        <v>284</v>
      </c>
      <c r="D12" s="15" t="s">
        <v>507</v>
      </c>
      <c r="E12" s="15">
        <v>2025</v>
      </c>
      <c r="F12" s="15" t="s">
        <v>508</v>
      </c>
      <c r="G12" s="15" t="s">
        <v>150</v>
      </c>
      <c r="H12" s="16">
        <v>45957</v>
      </c>
      <c r="I12" s="16">
        <v>45961</v>
      </c>
      <c r="J12" s="16">
        <v>45962</v>
      </c>
      <c r="K12" s="16">
        <v>45985</v>
      </c>
      <c r="L12" s="16">
        <v>45959</v>
      </c>
      <c r="M12" s="15"/>
      <c r="N12" s="15" t="s">
        <v>509</v>
      </c>
      <c r="O12" s="15" t="s">
        <v>510</v>
      </c>
      <c r="P12" s="19" t="s">
        <v>511</v>
      </c>
      <c r="Q12" s="15" t="s">
        <v>512</v>
      </c>
      <c r="R12" s="15" t="str">
        <f t="shared" ca="1" si="0"/>
        <v>Passée</v>
      </c>
    </row>
    <row r="13" spans="1:18" ht="15.6" customHeight="1">
      <c r="A13" t="s">
        <v>523</v>
      </c>
      <c r="B13" t="s">
        <v>283</v>
      </c>
      <c r="C13" t="s">
        <v>284</v>
      </c>
      <c r="D13" t="s">
        <v>507</v>
      </c>
      <c r="E13">
        <v>2025</v>
      </c>
      <c r="F13" t="s">
        <v>508</v>
      </c>
      <c r="G13" t="s">
        <v>151</v>
      </c>
      <c r="H13" s="1">
        <v>45982</v>
      </c>
      <c r="I13" s="1">
        <v>45991</v>
      </c>
      <c r="J13" s="1">
        <v>45992</v>
      </c>
      <c r="K13" s="1">
        <v>46010</v>
      </c>
      <c r="L13" s="1">
        <v>45986</v>
      </c>
      <c r="N13" t="s">
        <v>509</v>
      </c>
      <c r="O13" t="s">
        <v>510</v>
      </c>
      <c r="P13" s="19" t="s">
        <v>511</v>
      </c>
      <c r="Q13" t="s">
        <v>512</v>
      </c>
      <c r="R13" t="str">
        <f t="shared" ca="1" si="0"/>
        <v>Passée</v>
      </c>
    </row>
    <row r="14" spans="1:18" ht="15.6" customHeight="1">
      <c r="A14" s="15" t="s">
        <v>524</v>
      </c>
      <c r="B14" s="15" t="s">
        <v>283</v>
      </c>
      <c r="C14" s="15" t="s">
        <v>284</v>
      </c>
      <c r="D14" s="15" t="s">
        <v>507</v>
      </c>
      <c r="E14" s="15">
        <v>2025</v>
      </c>
      <c r="F14" s="15" t="s">
        <v>508</v>
      </c>
      <c r="G14" s="15" t="s">
        <v>152</v>
      </c>
      <c r="H14" s="16">
        <v>46013</v>
      </c>
      <c r="I14" s="16">
        <v>46022</v>
      </c>
      <c r="J14" s="16">
        <v>46023</v>
      </c>
      <c r="K14" s="16">
        <v>46043</v>
      </c>
      <c r="L14" s="16">
        <v>46020</v>
      </c>
      <c r="M14" s="15"/>
      <c r="N14" s="15" t="s">
        <v>509</v>
      </c>
      <c r="O14" s="15" t="s">
        <v>510</v>
      </c>
      <c r="P14" s="19" t="s">
        <v>511</v>
      </c>
      <c r="Q14" s="15" t="s">
        <v>512</v>
      </c>
      <c r="R14" s="15" t="str">
        <f t="shared" ca="1" si="0"/>
        <v>Passée</v>
      </c>
    </row>
    <row r="15" spans="1:18" ht="15.6" customHeight="1">
      <c r="A15" t="s">
        <v>525</v>
      </c>
      <c r="B15" t="s">
        <v>283</v>
      </c>
      <c r="C15" t="s">
        <v>284</v>
      </c>
      <c r="D15" t="s">
        <v>507</v>
      </c>
      <c r="E15">
        <v>2025</v>
      </c>
      <c r="F15" t="s">
        <v>526</v>
      </c>
      <c r="G15" t="s">
        <v>286</v>
      </c>
      <c r="H15" s="1">
        <v>45659</v>
      </c>
      <c r="I15" s="1">
        <v>45688</v>
      </c>
      <c r="J15" s="1">
        <v>45688</v>
      </c>
      <c r="K15" s="1">
        <v>45712</v>
      </c>
      <c r="L15" s="1">
        <v>45714</v>
      </c>
      <c r="N15" t="s">
        <v>509</v>
      </c>
      <c r="O15" t="s">
        <v>510</v>
      </c>
      <c r="P15" s="19" t="s">
        <v>511</v>
      </c>
      <c r="Q15" t="s">
        <v>512</v>
      </c>
      <c r="R15" t="str">
        <f t="shared" ca="1" si="0"/>
        <v>Passée</v>
      </c>
    </row>
    <row r="16" spans="1:18" ht="15.6" customHeight="1">
      <c r="A16" s="15" t="s">
        <v>527</v>
      </c>
      <c r="B16" s="15" t="s">
        <v>283</v>
      </c>
      <c r="C16" s="15" t="s">
        <v>284</v>
      </c>
      <c r="D16" s="15" t="s">
        <v>507</v>
      </c>
      <c r="E16" s="15">
        <v>2025</v>
      </c>
      <c r="F16" s="15" t="s">
        <v>526</v>
      </c>
      <c r="G16" s="15" t="s">
        <v>287</v>
      </c>
      <c r="H16" s="16">
        <v>45691</v>
      </c>
      <c r="I16" s="16">
        <v>45716</v>
      </c>
      <c r="J16" s="16">
        <v>45716</v>
      </c>
      <c r="K16" s="16">
        <v>45737</v>
      </c>
      <c r="L16" s="16">
        <v>45741</v>
      </c>
      <c r="M16" s="15"/>
      <c r="N16" s="15" t="s">
        <v>509</v>
      </c>
      <c r="O16" s="15" t="s">
        <v>510</v>
      </c>
      <c r="P16" s="19" t="s">
        <v>511</v>
      </c>
      <c r="Q16" s="15" t="s">
        <v>512</v>
      </c>
      <c r="R16" s="15" t="str">
        <f t="shared" ca="1" si="0"/>
        <v>Passée</v>
      </c>
    </row>
    <row r="17" spans="1:18" ht="15.6" customHeight="1">
      <c r="A17" t="s">
        <v>528</v>
      </c>
      <c r="B17" t="s">
        <v>283</v>
      </c>
      <c r="C17" t="s">
        <v>284</v>
      </c>
      <c r="D17" t="s">
        <v>507</v>
      </c>
      <c r="E17">
        <v>2025</v>
      </c>
      <c r="F17" t="s">
        <v>526</v>
      </c>
      <c r="G17" t="s">
        <v>142</v>
      </c>
      <c r="H17" s="1">
        <v>45719</v>
      </c>
      <c r="I17" s="1">
        <v>45747</v>
      </c>
      <c r="J17" s="1">
        <v>45747</v>
      </c>
      <c r="K17" s="1">
        <v>45770</v>
      </c>
      <c r="L17" s="1">
        <v>45772</v>
      </c>
      <c r="N17" t="s">
        <v>509</v>
      </c>
      <c r="O17" t="s">
        <v>510</v>
      </c>
      <c r="P17" s="19" t="s">
        <v>511</v>
      </c>
      <c r="Q17" t="s">
        <v>512</v>
      </c>
      <c r="R17" t="str">
        <f t="shared" ca="1" si="0"/>
        <v>Passée</v>
      </c>
    </row>
    <row r="18" spans="1:18" ht="15.6" customHeight="1">
      <c r="A18" s="15" t="s">
        <v>529</v>
      </c>
      <c r="B18" s="15" t="s">
        <v>283</v>
      </c>
      <c r="C18" s="15" t="s">
        <v>284</v>
      </c>
      <c r="D18" s="15" t="s">
        <v>507</v>
      </c>
      <c r="E18" s="15">
        <v>2025</v>
      </c>
      <c r="F18" s="15" t="s">
        <v>526</v>
      </c>
      <c r="G18" s="15" t="s">
        <v>143</v>
      </c>
      <c r="H18" s="16">
        <v>45748</v>
      </c>
      <c r="I18" s="16">
        <v>45777</v>
      </c>
      <c r="J18" s="16">
        <v>45777</v>
      </c>
      <c r="K18" s="16">
        <v>45804</v>
      </c>
      <c r="L18" s="16">
        <v>45806</v>
      </c>
      <c r="M18" s="15"/>
      <c r="N18" s="15" t="s">
        <v>509</v>
      </c>
      <c r="O18" s="15" t="s">
        <v>510</v>
      </c>
      <c r="P18" s="19" t="s">
        <v>511</v>
      </c>
      <c r="Q18" s="15" t="s">
        <v>512</v>
      </c>
      <c r="R18" s="15" t="str">
        <f t="shared" ca="1" si="0"/>
        <v>Passée</v>
      </c>
    </row>
    <row r="19" spans="1:18" ht="15.6" customHeight="1">
      <c r="A19" t="s">
        <v>530</v>
      </c>
      <c r="B19" t="s">
        <v>283</v>
      </c>
      <c r="C19" t="s">
        <v>284</v>
      </c>
      <c r="D19" t="s">
        <v>507</v>
      </c>
      <c r="E19">
        <v>2025</v>
      </c>
      <c r="F19" t="s">
        <v>526</v>
      </c>
      <c r="G19" t="s">
        <v>144</v>
      </c>
      <c r="H19" s="1">
        <v>45779</v>
      </c>
      <c r="I19" s="1">
        <v>45808</v>
      </c>
      <c r="J19" s="1">
        <v>45808</v>
      </c>
      <c r="K19" s="1">
        <v>45832</v>
      </c>
      <c r="L19" s="1">
        <v>45834</v>
      </c>
      <c r="N19" t="s">
        <v>509</v>
      </c>
      <c r="O19" t="s">
        <v>510</v>
      </c>
      <c r="P19" s="19" t="s">
        <v>511</v>
      </c>
      <c r="Q19" t="s">
        <v>512</v>
      </c>
      <c r="R19" t="str">
        <f t="shared" ca="1" si="0"/>
        <v>Passée</v>
      </c>
    </row>
    <row r="20" spans="1:18" ht="15.6" customHeight="1">
      <c r="A20" s="15" t="s">
        <v>531</v>
      </c>
      <c r="B20" s="15" t="s">
        <v>283</v>
      </c>
      <c r="C20" s="15" t="s">
        <v>284</v>
      </c>
      <c r="D20" s="15" t="s">
        <v>507</v>
      </c>
      <c r="E20" s="15">
        <v>2025</v>
      </c>
      <c r="F20" s="15" t="s">
        <v>526</v>
      </c>
      <c r="G20" s="15" t="s">
        <v>145</v>
      </c>
      <c r="H20" s="16">
        <v>45810</v>
      </c>
      <c r="I20" s="16">
        <v>45838</v>
      </c>
      <c r="J20" s="16">
        <v>45838</v>
      </c>
      <c r="K20" s="16">
        <v>45860</v>
      </c>
      <c r="L20" s="16">
        <v>45862</v>
      </c>
      <c r="M20" s="15"/>
      <c r="N20" s="15" t="s">
        <v>509</v>
      </c>
      <c r="O20" s="15" t="s">
        <v>510</v>
      </c>
      <c r="P20" s="19" t="s">
        <v>511</v>
      </c>
      <c r="Q20" s="15" t="s">
        <v>512</v>
      </c>
      <c r="R20" s="15" t="str">
        <f t="shared" ca="1" si="0"/>
        <v>Passée</v>
      </c>
    </row>
    <row r="21" spans="1:18" ht="15.6" customHeight="1">
      <c r="A21" t="s">
        <v>532</v>
      </c>
      <c r="B21" t="s">
        <v>283</v>
      </c>
      <c r="C21" t="s">
        <v>284</v>
      </c>
      <c r="D21" t="s">
        <v>507</v>
      </c>
      <c r="E21">
        <v>2025</v>
      </c>
      <c r="F21" t="s">
        <v>526</v>
      </c>
      <c r="G21" t="s">
        <v>146</v>
      </c>
      <c r="H21" s="1">
        <v>45839</v>
      </c>
      <c r="I21" s="1">
        <v>45869</v>
      </c>
      <c r="J21" s="1">
        <v>45869</v>
      </c>
      <c r="K21" s="1">
        <v>45891</v>
      </c>
      <c r="L21" s="1">
        <v>45896</v>
      </c>
      <c r="N21" t="s">
        <v>509</v>
      </c>
      <c r="O21" t="s">
        <v>510</v>
      </c>
      <c r="P21" s="19" t="s">
        <v>511</v>
      </c>
      <c r="Q21" t="s">
        <v>512</v>
      </c>
      <c r="R21" t="str">
        <f t="shared" ca="1" si="0"/>
        <v>Passée</v>
      </c>
    </row>
    <row r="22" spans="1:18" ht="15.6" customHeight="1">
      <c r="A22" s="15" t="s">
        <v>533</v>
      </c>
      <c r="B22" s="15" t="s">
        <v>283</v>
      </c>
      <c r="C22" s="15" t="s">
        <v>284</v>
      </c>
      <c r="D22" s="15" t="s">
        <v>507</v>
      </c>
      <c r="E22" s="15">
        <v>2025</v>
      </c>
      <c r="F22" s="15" t="s">
        <v>526</v>
      </c>
      <c r="G22" s="15" t="s">
        <v>147</v>
      </c>
      <c r="H22" s="16">
        <v>45870</v>
      </c>
      <c r="I22" s="16">
        <v>45900</v>
      </c>
      <c r="J22" s="16">
        <v>45900</v>
      </c>
      <c r="K22" s="16">
        <v>45922</v>
      </c>
      <c r="L22" s="16">
        <v>45924</v>
      </c>
      <c r="M22" s="15"/>
      <c r="N22" s="15" t="s">
        <v>509</v>
      </c>
      <c r="O22" s="15" t="s">
        <v>510</v>
      </c>
      <c r="P22" s="19" t="s">
        <v>511</v>
      </c>
      <c r="Q22" s="15" t="s">
        <v>512</v>
      </c>
      <c r="R22" s="15" t="str">
        <f t="shared" ca="1" si="0"/>
        <v>Passée</v>
      </c>
    </row>
    <row r="23" spans="1:18" ht="15.6" customHeight="1">
      <c r="A23" t="s">
        <v>534</v>
      </c>
      <c r="B23" t="s">
        <v>283</v>
      </c>
      <c r="C23" t="s">
        <v>284</v>
      </c>
      <c r="D23" t="s">
        <v>507</v>
      </c>
      <c r="E23">
        <v>2025</v>
      </c>
      <c r="F23" t="s">
        <v>526</v>
      </c>
      <c r="G23" t="s">
        <v>148</v>
      </c>
      <c r="H23" s="1">
        <v>45902</v>
      </c>
      <c r="I23" s="1">
        <v>45930</v>
      </c>
      <c r="J23" s="1">
        <v>45930</v>
      </c>
      <c r="K23" s="1">
        <v>45952</v>
      </c>
      <c r="L23" s="1">
        <v>45954</v>
      </c>
      <c r="N23" t="s">
        <v>509</v>
      </c>
      <c r="O23" t="s">
        <v>510</v>
      </c>
      <c r="P23" s="19" t="s">
        <v>511</v>
      </c>
      <c r="Q23" t="s">
        <v>512</v>
      </c>
      <c r="R23" t="str">
        <f t="shared" ca="1" si="0"/>
        <v>Passée</v>
      </c>
    </row>
    <row r="24" spans="1:18" ht="15.6" customHeight="1">
      <c r="A24" s="15" t="s">
        <v>535</v>
      </c>
      <c r="B24" s="15" t="s">
        <v>283</v>
      </c>
      <c r="C24" s="15" t="s">
        <v>284</v>
      </c>
      <c r="D24" s="15" t="s">
        <v>507</v>
      </c>
      <c r="E24" s="15">
        <v>2025</v>
      </c>
      <c r="F24" s="15" t="s">
        <v>526</v>
      </c>
      <c r="G24" s="15" t="s">
        <v>149</v>
      </c>
      <c r="H24" s="16">
        <v>45931</v>
      </c>
      <c r="I24" s="16">
        <v>45961</v>
      </c>
      <c r="J24" s="16">
        <v>45961</v>
      </c>
      <c r="K24" s="16">
        <v>45985</v>
      </c>
      <c r="L24" s="16">
        <v>45987</v>
      </c>
      <c r="M24" s="15"/>
      <c r="N24" s="15" t="s">
        <v>509</v>
      </c>
      <c r="O24" s="15" t="s">
        <v>510</v>
      </c>
      <c r="P24" s="19" t="s">
        <v>511</v>
      </c>
      <c r="Q24" s="15" t="s">
        <v>512</v>
      </c>
      <c r="R24" s="15" t="str">
        <f t="shared" ca="1" si="0"/>
        <v>Passée</v>
      </c>
    </row>
    <row r="25" spans="1:18" ht="15.6" customHeight="1">
      <c r="A25" t="s">
        <v>536</v>
      </c>
      <c r="B25" t="s">
        <v>283</v>
      </c>
      <c r="C25" t="s">
        <v>284</v>
      </c>
      <c r="D25" t="s">
        <v>507</v>
      </c>
      <c r="E25">
        <v>2025</v>
      </c>
      <c r="F25" t="s">
        <v>526</v>
      </c>
      <c r="G25" t="s">
        <v>150</v>
      </c>
      <c r="H25" s="1">
        <v>45964</v>
      </c>
      <c r="I25" s="1">
        <v>45991</v>
      </c>
      <c r="J25" s="1">
        <v>45991</v>
      </c>
      <c r="K25" s="1">
        <v>46010</v>
      </c>
      <c r="L25" s="1">
        <v>46014</v>
      </c>
      <c r="N25" t="s">
        <v>509</v>
      </c>
      <c r="O25" t="s">
        <v>510</v>
      </c>
      <c r="P25" s="19" t="s">
        <v>511</v>
      </c>
      <c r="Q25" t="s">
        <v>512</v>
      </c>
      <c r="R25" t="str">
        <f t="shared" ca="1" si="0"/>
        <v>Passée</v>
      </c>
    </row>
    <row r="26" spans="1:18" ht="15.6" customHeight="1">
      <c r="A26" s="15" t="s">
        <v>537</v>
      </c>
      <c r="B26" s="15" t="s">
        <v>283</v>
      </c>
      <c r="C26" s="15" t="s">
        <v>284</v>
      </c>
      <c r="D26" s="15" t="s">
        <v>507</v>
      </c>
      <c r="E26" s="15">
        <v>2025</v>
      </c>
      <c r="F26" s="15" t="s">
        <v>526</v>
      </c>
      <c r="G26" s="15" t="s">
        <v>151</v>
      </c>
      <c r="H26" s="16">
        <v>45992</v>
      </c>
      <c r="I26" s="16">
        <v>46022</v>
      </c>
      <c r="J26" s="16">
        <v>46022</v>
      </c>
      <c r="K26" s="16">
        <v>46043</v>
      </c>
      <c r="L26" s="16">
        <v>46045</v>
      </c>
      <c r="M26" s="15"/>
      <c r="N26" s="15" t="s">
        <v>509</v>
      </c>
      <c r="O26" s="15" t="s">
        <v>510</v>
      </c>
      <c r="P26" s="19" t="s">
        <v>511</v>
      </c>
      <c r="Q26" s="15" t="s">
        <v>512</v>
      </c>
      <c r="R26" s="15" t="str">
        <f t="shared" ca="1" si="0"/>
        <v>Passée</v>
      </c>
    </row>
    <row r="27" spans="1:18" ht="15.6" customHeight="1">
      <c r="A27" t="s">
        <v>538</v>
      </c>
      <c r="B27" t="s">
        <v>280</v>
      </c>
      <c r="C27" t="s">
        <v>281</v>
      </c>
      <c r="D27" t="s">
        <v>539</v>
      </c>
      <c r="E27">
        <v>2026</v>
      </c>
      <c r="F27" t="s">
        <v>508</v>
      </c>
      <c r="G27" t="s">
        <v>152</v>
      </c>
      <c r="H27" s="1">
        <v>46048</v>
      </c>
      <c r="J27" s="1">
        <v>46052</v>
      </c>
      <c r="K27" s="1">
        <v>46081</v>
      </c>
      <c r="L27" s="1">
        <v>46051</v>
      </c>
      <c r="N27" t="s">
        <v>540</v>
      </c>
      <c r="O27" t="s">
        <v>510</v>
      </c>
      <c r="P27" s="19" t="s">
        <v>541</v>
      </c>
      <c r="Q27" t="s">
        <v>542</v>
      </c>
      <c r="R27" t="str">
        <f t="shared" ca="1" si="0"/>
        <v>Passée</v>
      </c>
    </row>
    <row r="28" spans="1:18" ht="15.6" customHeight="1">
      <c r="A28" s="15" t="s">
        <v>543</v>
      </c>
      <c r="B28" s="15" t="s">
        <v>280</v>
      </c>
      <c r="C28" s="15" t="s">
        <v>281</v>
      </c>
      <c r="D28" s="15" t="s">
        <v>539</v>
      </c>
      <c r="E28" s="15">
        <v>2026</v>
      </c>
      <c r="F28" s="15" t="s">
        <v>508</v>
      </c>
      <c r="G28" s="15" t="s">
        <v>153</v>
      </c>
      <c r="H28" s="16">
        <v>46076</v>
      </c>
      <c r="I28" s="15"/>
      <c r="J28" s="16">
        <v>46080</v>
      </c>
      <c r="K28" s="16">
        <v>46112</v>
      </c>
      <c r="L28" s="16">
        <v>46079</v>
      </c>
      <c r="M28" s="15"/>
      <c r="N28" s="15" t="s">
        <v>540</v>
      </c>
      <c r="O28" s="15" t="s">
        <v>510</v>
      </c>
      <c r="P28" s="19" t="s">
        <v>541</v>
      </c>
      <c r="Q28" s="15" t="s">
        <v>542</v>
      </c>
      <c r="R28" s="15" t="str">
        <f t="shared" ca="1" si="0"/>
        <v>Passée</v>
      </c>
    </row>
    <row r="29" spans="1:18" ht="15.6" customHeight="1">
      <c r="A29" t="s">
        <v>544</v>
      </c>
      <c r="B29" t="s">
        <v>280</v>
      </c>
      <c r="C29" t="s">
        <v>281</v>
      </c>
      <c r="D29" t="s">
        <v>539</v>
      </c>
      <c r="E29">
        <v>2026</v>
      </c>
      <c r="F29" t="s">
        <v>508</v>
      </c>
      <c r="G29" t="s">
        <v>154</v>
      </c>
      <c r="H29" s="1">
        <v>46106</v>
      </c>
      <c r="J29" s="1">
        <v>46112</v>
      </c>
      <c r="K29" s="1">
        <v>46142</v>
      </c>
      <c r="L29" s="1">
        <v>46111</v>
      </c>
      <c r="N29" t="s">
        <v>540</v>
      </c>
      <c r="O29" t="s">
        <v>510</v>
      </c>
      <c r="P29" s="19" t="s">
        <v>541</v>
      </c>
      <c r="Q29" t="s">
        <v>542</v>
      </c>
      <c r="R29" t="str">
        <f t="shared" ca="1" si="0"/>
        <v>Passée</v>
      </c>
    </row>
    <row r="30" spans="1:18" ht="15.6" customHeight="1">
      <c r="A30" s="15" t="s">
        <v>545</v>
      </c>
      <c r="B30" s="15" t="s">
        <v>280</v>
      </c>
      <c r="C30" s="15" t="s">
        <v>281</v>
      </c>
      <c r="D30" s="15" t="s">
        <v>539</v>
      </c>
      <c r="E30" s="15">
        <v>2026</v>
      </c>
      <c r="F30" s="15" t="s">
        <v>508</v>
      </c>
      <c r="G30" s="15" t="s">
        <v>155</v>
      </c>
      <c r="H30" s="16">
        <v>46136</v>
      </c>
      <c r="I30" s="15"/>
      <c r="J30" s="16">
        <v>46142</v>
      </c>
      <c r="K30" s="16">
        <v>46173</v>
      </c>
      <c r="L30" s="16">
        <v>46141</v>
      </c>
      <c r="M30" s="15"/>
      <c r="N30" s="15" t="s">
        <v>540</v>
      </c>
      <c r="O30" s="15" t="s">
        <v>510</v>
      </c>
      <c r="P30" s="19" t="s">
        <v>541</v>
      </c>
      <c r="Q30" s="15" t="s">
        <v>542</v>
      </c>
      <c r="R30" s="15" t="str">
        <f t="shared" ca="1" si="0"/>
        <v>Passée</v>
      </c>
    </row>
    <row r="31" spans="1:18" ht="15.6" customHeight="1">
      <c r="A31" t="s">
        <v>546</v>
      </c>
      <c r="B31" t="s">
        <v>280</v>
      </c>
      <c r="C31" t="s">
        <v>281</v>
      </c>
      <c r="D31" t="s">
        <v>539</v>
      </c>
      <c r="E31">
        <v>2026</v>
      </c>
      <c r="F31" t="s">
        <v>508</v>
      </c>
      <c r="G31" t="s">
        <v>156</v>
      </c>
      <c r="H31" s="1">
        <v>46164</v>
      </c>
      <c r="J31" s="1">
        <v>46171</v>
      </c>
      <c r="K31" s="1">
        <v>46203</v>
      </c>
      <c r="L31" s="1">
        <v>46170</v>
      </c>
      <c r="N31" t="s">
        <v>540</v>
      </c>
      <c r="O31" t="s">
        <v>510</v>
      </c>
      <c r="P31" s="19" t="s">
        <v>541</v>
      </c>
      <c r="Q31" t="s">
        <v>542</v>
      </c>
      <c r="R31" t="str">
        <f t="shared" ca="1" si="0"/>
        <v>Passée</v>
      </c>
    </row>
    <row r="32" spans="1:18" ht="15.6" customHeight="1">
      <c r="A32" s="15" t="s">
        <v>547</v>
      </c>
      <c r="B32" s="15" t="s">
        <v>280</v>
      </c>
      <c r="C32" s="15" t="s">
        <v>281</v>
      </c>
      <c r="D32" s="15" t="s">
        <v>539</v>
      </c>
      <c r="E32" s="15">
        <v>2026</v>
      </c>
      <c r="F32" s="15" t="s">
        <v>508</v>
      </c>
      <c r="G32" s="15" t="s">
        <v>157</v>
      </c>
      <c r="H32" s="16">
        <v>46197</v>
      </c>
      <c r="I32" s="15"/>
      <c r="J32" s="16">
        <v>46203</v>
      </c>
      <c r="K32" s="16">
        <v>46234</v>
      </c>
      <c r="L32" s="16">
        <v>46202</v>
      </c>
      <c r="M32" s="15"/>
      <c r="N32" s="15" t="s">
        <v>540</v>
      </c>
      <c r="O32" s="15" t="s">
        <v>510</v>
      </c>
      <c r="P32" s="19" t="s">
        <v>541</v>
      </c>
      <c r="Q32" s="15" t="s">
        <v>542</v>
      </c>
      <c r="R32" s="15" t="str">
        <f t="shared" ca="1" si="0"/>
        <v>Passée</v>
      </c>
    </row>
    <row r="33" spans="1:18" ht="15.6" customHeight="1">
      <c r="A33" t="s">
        <v>548</v>
      </c>
      <c r="B33" t="s">
        <v>280</v>
      </c>
      <c r="C33" t="s">
        <v>281</v>
      </c>
      <c r="D33" t="s">
        <v>539</v>
      </c>
      <c r="E33">
        <v>2026</v>
      </c>
      <c r="F33" t="s">
        <v>508</v>
      </c>
      <c r="G33" t="s">
        <v>158</v>
      </c>
      <c r="H33" s="1">
        <v>46230</v>
      </c>
      <c r="J33" s="1">
        <v>46234</v>
      </c>
      <c r="K33" s="1">
        <v>46265</v>
      </c>
      <c r="L33" s="1">
        <v>46233</v>
      </c>
      <c r="N33" t="s">
        <v>540</v>
      </c>
      <c r="O33" t="s">
        <v>510</v>
      </c>
      <c r="P33" s="19" t="s">
        <v>541</v>
      </c>
      <c r="Q33" t="s">
        <v>542</v>
      </c>
      <c r="R33" t="str">
        <f t="shared" ca="1" si="0"/>
        <v>Passée</v>
      </c>
    </row>
    <row r="34" spans="1:18" ht="15.6" customHeight="1">
      <c r="A34" s="15" t="s">
        <v>549</v>
      </c>
      <c r="B34" s="15" t="s">
        <v>280</v>
      </c>
      <c r="C34" s="15" t="s">
        <v>281</v>
      </c>
      <c r="D34" s="15" t="s">
        <v>539</v>
      </c>
      <c r="E34" s="15">
        <v>2026</v>
      </c>
      <c r="F34" s="15" t="s">
        <v>508</v>
      </c>
      <c r="G34" s="15" t="s">
        <v>159</v>
      </c>
      <c r="H34" s="16">
        <v>46258</v>
      </c>
      <c r="I34" s="15"/>
      <c r="J34" s="16">
        <v>46262</v>
      </c>
      <c r="K34" s="16">
        <v>46295</v>
      </c>
      <c r="L34" s="16">
        <v>46261</v>
      </c>
      <c r="M34" s="15"/>
      <c r="N34" s="15" t="s">
        <v>540</v>
      </c>
      <c r="O34" s="15" t="s">
        <v>510</v>
      </c>
      <c r="P34" s="19" t="s">
        <v>541</v>
      </c>
      <c r="Q34" s="15" t="s">
        <v>542</v>
      </c>
      <c r="R34" s="15" t="str">
        <f t="shared" ca="1" si="0"/>
        <v>Passée</v>
      </c>
    </row>
    <row r="35" spans="1:18" ht="15.6" customHeight="1">
      <c r="A35" t="s">
        <v>550</v>
      </c>
      <c r="B35" t="s">
        <v>280</v>
      </c>
      <c r="C35" t="s">
        <v>281</v>
      </c>
      <c r="D35" t="s">
        <v>539</v>
      </c>
      <c r="E35">
        <v>2026</v>
      </c>
      <c r="F35" t="s">
        <v>508</v>
      </c>
      <c r="G35" t="s">
        <v>160</v>
      </c>
      <c r="H35" s="1">
        <v>46289</v>
      </c>
      <c r="J35" s="1">
        <v>46295</v>
      </c>
      <c r="K35" s="1">
        <v>46326</v>
      </c>
      <c r="L35" s="1">
        <v>46294</v>
      </c>
      <c r="N35" t="s">
        <v>540</v>
      </c>
      <c r="O35" t="s">
        <v>510</v>
      </c>
      <c r="P35" s="19" t="s">
        <v>541</v>
      </c>
      <c r="Q35" t="s">
        <v>542</v>
      </c>
      <c r="R35" t="str">
        <f t="shared" ca="1" si="0"/>
        <v>À venir</v>
      </c>
    </row>
    <row r="36" spans="1:18" ht="15.6" customHeight="1">
      <c r="A36" s="15" t="s">
        <v>551</v>
      </c>
      <c r="B36" s="15" t="s">
        <v>280</v>
      </c>
      <c r="C36" s="15" t="s">
        <v>281</v>
      </c>
      <c r="D36" s="15" t="s">
        <v>539</v>
      </c>
      <c r="E36" s="15">
        <v>2026</v>
      </c>
      <c r="F36" s="15" t="s">
        <v>508</v>
      </c>
      <c r="G36" s="15" t="s">
        <v>161</v>
      </c>
      <c r="H36" s="16">
        <v>46321</v>
      </c>
      <c r="I36" s="15"/>
      <c r="J36" s="16">
        <v>46325</v>
      </c>
      <c r="K36" s="16">
        <v>46356</v>
      </c>
      <c r="L36" s="16">
        <v>46324</v>
      </c>
      <c r="M36" s="15"/>
      <c r="N36" s="15" t="s">
        <v>540</v>
      </c>
      <c r="O36" s="15" t="s">
        <v>510</v>
      </c>
      <c r="P36" s="19" t="s">
        <v>541</v>
      </c>
      <c r="Q36" s="15" t="s">
        <v>542</v>
      </c>
      <c r="R36" s="15" t="str">
        <f t="shared" ca="1" si="0"/>
        <v>À venir</v>
      </c>
    </row>
    <row r="37" spans="1:18" ht="15.6" customHeight="1">
      <c r="A37" t="s">
        <v>552</v>
      </c>
      <c r="B37" t="s">
        <v>280</v>
      </c>
      <c r="C37" t="s">
        <v>281</v>
      </c>
      <c r="D37" t="s">
        <v>539</v>
      </c>
      <c r="E37">
        <v>2026</v>
      </c>
      <c r="F37" t="s">
        <v>508</v>
      </c>
      <c r="G37" t="s">
        <v>162</v>
      </c>
      <c r="H37" s="1">
        <v>46349</v>
      </c>
      <c r="J37" s="1">
        <v>46356</v>
      </c>
      <c r="K37" s="1">
        <v>46387</v>
      </c>
      <c r="L37" s="1">
        <v>46355</v>
      </c>
      <c r="N37" t="s">
        <v>540</v>
      </c>
      <c r="O37" t="s">
        <v>510</v>
      </c>
      <c r="P37" s="19" t="s">
        <v>541</v>
      </c>
      <c r="Q37" t="s">
        <v>542</v>
      </c>
      <c r="R37" t="str">
        <f t="shared" ca="1" si="0"/>
        <v>À venir</v>
      </c>
    </row>
    <row r="38" spans="1:18" ht="15.6" customHeight="1">
      <c r="A38" s="15" t="s">
        <v>553</v>
      </c>
      <c r="B38" s="15" t="s">
        <v>280</v>
      </c>
      <c r="C38" s="15" t="s">
        <v>281</v>
      </c>
      <c r="D38" s="15" t="s">
        <v>539</v>
      </c>
      <c r="E38" s="15">
        <v>2026</v>
      </c>
      <c r="F38" s="15" t="s">
        <v>508</v>
      </c>
      <c r="G38" s="15" t="s">
        <v>163</v>
      </c>
      <c r="H38" s="16">
        <v>46378</v>
      </c>
      <c r="I38" s="15"/>
      <c r="J38" s="16">
        <v>46387</v>
      </c>
      <c r="K38" s="16">
        <v>46418</v>
      </c>
      <c r="L38" s="16">
        <v>46386</v>
      </c>
      <c r="M38" s="15"/>
      <c r="N38" s="15" t="s">
        <v>540</v>
      </c>
      <c r="O38" s="15" t="s">
        <v>510</v>
      </c>
      <c r="P38" s="19" t="s">
        <v>541</v>
      </c>
      <c r="Q38" s="15" t="s">
        <v>542</v>
      </c>
      <c r="R38" s="15" t="str">
        <f t="shared" ca="1" si="0"/>
        <v>À venir</v>
      </c>
    </row>
    <row r="39" spans="1:18" ht="15.6" customHeight="1">
      <c r="A39" t="s">
        <v>554</v>
      </c>
      <c r="B39" t="s">
        <v>280</v>
      </c>
      <c r="C39" t="s">
        <v>281</v>
      </c>
      <c r="D39" t="s">
        <v>539</v>
      </c>
      <c r="E39">
        <v>2026</v>
      </c>
      <c r="F39" t="s">
        <v>526</v>
      </c>
      <c r="G39" t="s">
        <v>152</v>
      </c>
      <c r="H39" s="1">
        <v>46024</v>
      </c>
      <c r="J39" s="1">
        <v>46052</v>
      </c>
      <c r="L39" s="1">
        <v>46111</v>
      </c>
      <c r="N39" t="s">
        <v>540</v>
      </c>
      <c r="O39" t="s">
        <v>510</v>
      </c>
      <c r="P39" s="19" t="s">
        <v>541</v>
      </c>
      <c r="Q39" t="s">
        <v>542</v>
      </c>
      <c r="R39" t="str">
        <f t="shared" ca="1" si="0"/>
        <v>Passée</v>
      </c>
    </row>
    <row r="40" spans="1:18" ht="15.6" customHeight="1">
      <c r="A40" s="15" t="s">
        <v>555</v>
      </c>
      <c r="B40" s="15" t="s">
        <v>280</v>
      </c>
      <c r="C40" s="15" t="s">
        <v>281</v>
      </c>
      <c r="D40" s="15" t="s">
        <v>539</v>
      </c>
      <c r="E40" s="15">
        <v>2026</v>
      </c>
      <c r="F40" s="15" t="s">
        <v>526</v>
      </c>
      <c r="G40" s="15" t="s">
        <v>153</v>
      </c>
      <c r="H40" s="16">
        <v>46055</v>
      </c>
      <c r="I40" s="15"/>
      <c r="J40" s="16">
        <v>46080</v>
      </c>
      <c r="K40" s="15"/>
      <c r="L40" s="16">
        <v>46141</v>
      </c>
      <c r="M40" s="15"/>
      <c r="N40" s="15" t="s">
        <v>540</v>
      </c>
      <c r="O40" s="15" t="s">
        <v>510</v>
      </c>
      <c r="P40" s="19" t="s">
        <v>541</v>
      </c>
      <c r="Q40" s="15" t="s">
        <v>542</v>
      </c>
      <c r="R40" s="15" t="str">
        <f t="shared" ca="1" si="0"/>
        <v>Passée</v>
      </c>
    </row>
    <row r="41" spans="1:18" ht="15.6" customHeight="1">
      <c r="A41" t="s">
        <v>556</v>
      </c>
      <c r="B41" t="s">
        <v>280</v>
      </c>
      <c r="C41" t="s">
        <v>281</v>
      </c>
      <c r="D41" t="s">
        <v>539</v>
      </c>
      <c r="E41">
        <v>2026</v>
      </c>
      <c r="F41" t="s">
        <v>526</v>
      </c>
      <c r="G41" t="s">
        <v>154</v>
      </c>
      <c r="H41" s="1">
        <v>46083</v>
      </c>
      <c r="J41" s="1">
        <v>46112</v>
      </c>
      <c r="L41" s="1">
        <v>46172</v>
      </c>
      <c r="N41" t="s">
        <v>540</v>
      </c>
      <c r="O41" t="s">
        <v>510</v>
      </c>
      <c r="P41" s="19" t="s">
        <v>541</v>
      </c>
      <c r="Q41" t="s">
        <v>542</v>
      </c>
      <c r="R41" t="str">
        <f t="shared" ca="1" si="0"/>
        <v>Passée</v>
      </c>
    </row>
    <row r="42" spans="1:18" ht="15.6" customHeight="1">
      <c r="A42" s="15" t="s">
        <v>557</v>
      </c>
      <c r="B42" s="15" t="s">
        <v>280</v>
      </c>
      <c r="C42" s="15" t="s">
        <v>281</v>
      </c>
      <c r="D42" s="15" t="s">
        <v>539</v>
      </c>
      <c r="E42" s="15">
        <v>2026</v>
      </c>
      <c r="F42" s="15" t="s">
        <v>526</v>
      </c>
      <c r="G42" s="15" t="s">
        <v>155</v>
      </c>
      <c r="H42" s="16">
        <v>46113</v>
      </c>
      <c r="I42" s="15"/>
      <c r="J42" s="16">
        <v>46142</v>
      </c>
      <c r="K42" s="15"/>
      <c r="L42" s="16">
        <v>46203</v>
      </c>
      <c r="M42" s="15"/>
      <c r="N42" s="15" t="s">
        <v>540</v>
      </c>
      <c r="O42" s="15" t="s">
        <v>510</v>
      </c>
      <c r="P42" s="19" t="s">
        <v>541</v>
      </c>
      <c r="Q42" s="15" t="s">
        <v>542</v>
      </c>
      <c r="R42" s="15" t="str">
        <f t="shared" ca="1" si="0"/>
        <v>Passée</v>
      </c>
    </row>
    <row r="43" spans="1:18" ht="15.6" customHeight="1">
      <c r="A43" t="s">
        <v>558</v>
      </c>
      <c r="B43" t="s">
        <v>280</v>
      </c>
      <c r="C43" t="s">
        <v>281</v>
      </c>
      <c r="D43" t="s">
        <v>539</v>
      </c>
      <c r="E43">
        <v>2026</v>
      </c>
      <c r="F43" t="s">
        <v>526</v>
      </c>
      <c r="G43" t="s">
        <v>156</v>
      </c>
      <c r="H43" s="1">
        <v>46147</v>
      </c>
      <c r="J43" s="1">
        <v>46171</v>
      </c>
      <c r="L43" s="1">
        <v>46233</v>
      </c>
      <c r="N43" t="s">
        <v>540</v>
      </c>
      <c r="O43" t="s">
        <v>510</v>
      </c>
      <c r="P43" s="19" t="s">
        <v>541</v>
      </c>
      <c r="Q43" t="s">
        <v>542</v>
      </c>
      <c r="R43" t="str">
        <f t="shared" ca="1" si="0"/>
        <v>Passée</v>
      </c>
    </row>
    <row r="44" spans="1:18" ht="15.6" customHeight="1">
      <c r="A44" s="15" t="s">
        <v>559</v>
      </c>
      <c r="B44" s="15" t="s">
        <v>280</v>
      </c>
      <c r="C44" s="15" t="s">
        <v>281</v>
      </c>
      <c r="D44" s="15" t="s">
        <v>539</v>
      </c>
      <c r="E44" s="15">
        <v>2026</v>
      </c>
      <c r="F44" s="15" t="s">
        <v>526</v>
      </c>
      <c r="G44" s="15" t="s">
        <v>157</v>
      </c>
      <c r="H44" s="16">
        <v>46174</v>
      </c>
      <c r="I44" s="15"/>
      <c r="J44" s="16">
        <v>46203</v>
      </c>
      <c r="K44" s="15"/>
      <c r="L44" s="16">
        <v>46263</v>
      </c>
      <c r="M44" s="15"/>
      <c r="N44" s="15" t="s">
        <v>540</v>
      </c>
      <c r="O44" s="15" t="s">
        <v>510</v>
      </c>
      <c r="P44" s="19" t="s">
        <v>541</v>
      </c>
      <c r="Q44" s="15" t="s">
        <v>542</v>
      </c>
      <c r="R44" s="15" t="str">
        <f t="shared" ca="1" si="0"/>
        <v>Passée</v>
      </c>
    </row>
    <row r="45" spans="1:18" ht="15.6" customHeight="1">
      <c r="A45" t="s">
        <v>560</v>
      </c>
      <c r="B45" t="s">
        <v>280</v>
      </c>
      <c r="C45" t="s">
        <v>281</v>
      </c>
      <c r="D45" t="s">
        <v>539</v>
      </c>
      <c r="E45">
        <v>2026</v>
      </c>
      <c r="F45" t="s">
        <v>526</v>
      </c>
      <c r="G45" t="s">
        <v>158</v>
      </c>
      <c r="H45" s="1">
        <v>46204</v>
      </c>
      <c r="J45" s="1">
        <v>46234</v>
      </c>
      <c r="L45" s="1">
        <v>46294</v>
      </c>
      <c r="N45" t="s">
        <v>540</v>
      </c>
      <c r="O45" t="s">
        <v>510</v>
      </c>
      <c r="P45" s="19" t="s">
        <v>541</v>
      </c>
      <c r="Q45" t="s">
        <v>542</v>
      </c>
      <c r="R45" t="str">
        <f t="shared" ca="1" si="0"/>
        <v>Passée</v>
      </c>
    </row>
    <row r="46" spans="1:18" ht="15.6" customHeight="1">
      <c r="A46" s="15" t="s">
        <v>561</v>
      </c>
      <c r="B46" s="15" t="s">
        <v>280</v>
      </c>
      <c r="C46" s="15" t="s">
        <v>281</v>
      </c>
      <c r="D46" s="15" t="s">
        <v>539</v>
      </c>
      <c r="E46" s="15">
        <v>2026</v>
      </c>
      <c r="F46" s="15" t="s">
        <v>526</v>
      </c>
      <c r="G46" s="15" t="s">
        <v>159</v>
      </c>
      <c r="H46" s="16">
        <v>46237</v>
      </c>
      <c r="I46" s="15"/>
      <c r="J46" s="16">
        <v>46262</v>
      </c>
      <c r="K46" s="15"/>
      <c r="L46" s="16">
        <v>46325</v>
      </c>
      <c r="M46" s="15"/>
      <c r="N46" s="15" t="s">
        <v>540</v>
      </c>
      <c r="O46" s="15" t="s">
        <v>510</v>
      </c>
      <c r="P46" s="19" t="s">
        <v>541</v>
      </c>
      <c r="Q46" s="15" t="s">
        <v>542</v>
      </c>
      <c r="R46" s="15" t="str">
        <f t="shared" ca="1" si="0"/>
        <v>Passée</v>
      </c>
    </row>
    <row r="47" spans="1:18" ht="15.6" customHeight="1">
      <c r="A47" t="s">
        <v>562</v>
      </c>
      <c r="B47" t="s">
        <v>280</v>
      </c>
      <c r="C47" t="s">
        <v>281</v>
      </c>
      <c r="D47" t="s">
        <v>539</v>
      </c>
      <c r="E47">
        <v>2026</v>
      </c>
      <c r="F47" t="s">
        <v>526</v>
      </c>
      <c r="G47" t="s">
        <v>160</v>
      </c>
      <c r="H47" s="1">
        <v>46266</v>
      </c>
      <c r="J47" s="1">
        <v>46295</v>
      </c>
      <c r="L47" s="1">
        <v>46354</v>
      </c>
      <c r="N47" t="s">
        <v>540</v>
      </c>
      <c r="O47" t="s">
        <v>510</v>
      </c>
      <c r="P47" s="19" t="s">
        <v>541</v>
      </c>
      <c r="Q47" t="s">
        <v>542</v>
      </c>
      <c r="R47" t="str">
        <f t="shared" ca="1" si="0"/>
        <v>À venir</v>
      </c>
    </row>
    <row r="48" spans="1:18" ht="15.6" customHeight="1">
      <c r="A48" s="15" t="s">
        <v>563</v>
      </c>
      <c r="B48" s="15" t="s">
        <v>280</v>
      </c>
      <c r="C48" s="15" t="s">
        <v>281</v>
      </c>
      <c r="D48" s="15" t="s">
        <v>539</v>
      </c>
      <c r="E48" s="15">
        <v>2026</v>
      </c>
      <c r="F48" s="15" t="s">
        <v>526</v>
      </c>
      <c r="G48" s="15" t="s">
        <v>161</v>
      </c>
      <c r="H48" s="16">
        <v>46296</v>
      </c>
      <c r="I48" s="15"/>
      <c r="J48" s="16">
        <v>46325</v>
      </c>
      <c r="K48" s="15"/>
      <c r="L48" s="16">
        <v>46386</v>
      </c>
      <c r="M48" s="15"/>
      <c r="N48" s="15" t="s">
        <v>540</v>
      </c>
      <c r="O48" s="15" t="s">
        <v>510</v>
      </c>
      <c r="P48" s="19" t="s">
        <v>541</v>
      </c>
      <c r="Q48" s="15" t="s">
        <v>542</v>
      </c>
      <c r="R48" s="15" t="str">
        <f t="shared" ca="1" si="0"/>
        <v>À venir</v>
      </c>
    </row>
    <row r="49" spans="1:18" ht="15.6" customHeight="1">
      <c r="A49" t="s">
        <v>564</v>
      </c>
      <c r="B49" t="s">
        <v>280</v>
      </c>
      <c r="C49" t="s">
        <v>281</v>
      </c>
      <c r="D49" t="s">
        <v>539</v>
      </c>
      <c r="E49">
        <v>2026</v>
      </c>
      <c r="F49" t="s">
        <v>526</v>
      </c>
      <c r="G49" t="s">
        <v>162</v>
      </c>
      <c r="H49" s="1">
        <v>46328</v>
      </c>
      <c r="J49" s="1">
        <v>46356</v>
      </c>
      <c r="L49" s="1">
        <v>46416</v>
      </c>
      <c r="N49" t="s">
        <v>540</v>
      </c>
      <c r="O49" t="s">
        <v>510</v>
      </c>
      <c r="P49" s="19" t="s">
        <v>541</v>
      </c>
      <c r="Q49" t="s">
        <v>542</v>
      </c>
      <c r="R49" t="str">
        <f t="shared" ca="1" si="0"/>
        <v>À venir</v>
      </c>
    </row>
    <row r="50" spans="1:18" ht="15.6" customHeight="1">
      <c r="A50" s="15" t="s">
        <v>565</v>
      </c>
      <c r="B50" s="15" t="s">
        <v>280</v>
      </c>
      <c r="C50" s="15" t="s">
        <v>281</v>
      </c>
      <c r="D50" s="15" t="s">
        <v>539</v>
      </c>
      <c r="E50" s="15">
        <v>2026</v>
      </c>
      <c r="F50" s="15" t="s">
        <v>526</v>
      </c>
      <c r="G50" s="15" t="s">
        <v>163</v>
      </c>
      <c r="H50" s="16">
        <v>46357</v>
      </c>
      <c r="I50" s="15"/>
      <c r="J50" s="16">
        <v>46387</v>
      </c>
      <c r="K50" s="15"/>
      <c r="L50" s="16">
        <v>46445</v>
      </c>
      <c r="M50" s="15"/>
      <c r="N50" s="15" t="s">
        <v>540</v>
      </c>
      <c r="O50" s="15" t="s">
        <v>510</v>
      </c>
      <c r="P50" s="19" t="s">
        <v>541</v>
      </c>
      <c r="Q50" s="15" t="s">
        <v>542</v>
      </c>
      <c r="R50" s="15" t="str">
        <f t="shared" ca="1" si="0"/>
        <v>À venir</v>
      </c>
    </row>
    <row r="51" spans="1:18" ht="15.6" customHeight="1">
      <c r="A51" t="s">
        <v>566</v>
      </c>
      <c r="B51" t="s">
        <v>241</v>
      </c>
      <c r="C51" t="s">
        <v>242</v>
      </c>
      <c r="D51" t="s">
        <v>567</v>
      </c>
      <c r="E51">
        <v>2026</v>
      </c>
      <c r="F51" t="s">
        <v>508</v>
      </c>
      <c r="G51" t="s">
        <v>152</v>
      </c>
      <c r="H51" s="1">
        <v>46038</v>
      </c>
      <c r="I51" s="1">
        <v>46052</v>
      </c>
      <c r="J51" s="1">
        <v>46052</v>
      </c>
      <c r="L51" s="1">
        <v>46052</v>
      </c>
      <c r="N51" t="s">
        <v>540</v>
      </c>
      <c r="O51" t="s">
        <v>510</v>
      </c>
      <c r="P51" s="19" t="s">
        <v>568</v>
      </c>
      <c r="Q51" t="s">
        <v>542</v>
      </c>
      <c r="R51" t="str">
        <f t="shared" ca="1" si="0"/>
        <v>Passée</v>
      </c>
    </row>
    <row r="52" spans="1:18" ht="15.6" customHeight="1">
      <c r="A52" s="15" t="s">
        <v>569</v>
      </c>
      <c r="B52" s="15" t="s">
        <v>241</v>
      </c>
      <c r="C52" s="15" t="s">
        <v>242</v>
      </c>
      <c r="D52" s="15" t="s">
        <v>567</v>
      </c>
      <c r="E52" s="15">
        <v>2026</v>
      </c>
      <c r="F52" s="15" t="s">
        <v>508</v>
      </c>
      <c r="G52" s="15" t="s">
        <v>153</v>
      </c>
      <c r="H52" s="16">
        <v>46066</v>
      </c>
      <c r="I52" s="16">
        <v>46080</v>
      </c>
      <c r="J52" s="16">
        <v>46080</v>
      </c>
      <c r="K52" s="15"/>
      <c r="L52" s="16">
        <v>46080</v>
      </c>
      <c r="M52" s="15"/>
      <c r="N52" s="15" t="s">
        <v>540</v>
      </c>
      <c r="O52" s="15" t="s">
        <v>510</v>
      </c>
      <c r="P52" s="19" t="s">
        <v>568</v>
      </c>
      <c r="Q52" s="15" t="s">
        <v>542</v>
      </c>
      <c r="R52" s="15" t="str">
        <f t="shared" ca="1" si="0"/>
        <v>Passée</v>
      </c>
    </row>
    <row r="53" spans="1:18" ht="15.6" customHeight="1">
      <c r="A53" t="s">
        <v>570</v>
      </c>
      <c r="B53" t="s">
        <v>241</v>
      </c>
      <c r="C53" t="s">
        <v>242</v>
      </c>
      <c r="D53" t="s">
        <v>567</v>
      </c>
      <c r="E53">
        <v>2026</v>
      </c>
      <c r="F53" t="s">
        <v>508</v>
      </c>
      <c r="G53" t="s">
        <v>154</v>
      </c>
      <c r="H53" s="1">
        <v>46097</v>
      </c>
      <c r="I53" s="1">
        <v>46112</v>
      </c>
      <c r="J53" s="1">
        <v>46112</v>
      </c>
      <c r="L53" s="1">
        <v>46112</v>
      </c>
      <c r="N53" t="s">
        <v>540</v>
      </c>
      <c r="O53" t="s">
        <v>510</v>
      </c>
      <c r="P53" s="19" t="s">
        <v>568</v>
      </c>
      <c r="Q53" t="s">
        <v>542</v>
      </c>
      <c r="R53" t="str">
        <f t="shared" ca="1" si="0"/>
        <v>Passée</v>
      </c>
    </row>
    <row r="54" spans="1:18" ht="15.6" customHeight="1">
      <c r="A54" s="15" t="s">
        <v>571</v>
      </c>
      <c r="B54" s="15" t="s">
        <v>241</v>
      </c>
      <c r="C54" s="15" t="s">
        <v>242</v>
      </c>
      <c r="D54" s="15" t="s">
        <v>567</v>
      </c>
      <c r="E54" s="15">
        <v>2026</v>
      </c>
      <c r="F54" s="15" t="s">
        <v>508</v>
      </c>
      <c r="G54" s="15" t="s">
        <v>155</v>
      </c>
      <c r="H54" s="16">
        <v>46128</v>
      </c>
      <c r="I54" s="16">
        <v>46142</v>
      </c>
      <c r="J54" s="16">
        <v>46142</v>
      </c>
      <c r="K54" s="15"/>
      <c r="L54" s="16">
        <v>46142</v>
      </c>
      <c r="M54" s="15"/>
      <c r="N54" s="15" t="s">
        <v>540</v>
      </c>
      <c r="O54" s="15" t="s">
        <v>510</v>
      </c>
      <c r="P54" s="19" t="s">
        <v>568</v>
      </c>
      <c r="Q54" s="15" t="s">
        <v>542</v>
      </c>
      <c r="R54" s="15" t="str">
        <f t="shared" ca="1" si="0"/>
        <v>Passée</v>
      </c>
    </row>
    <row r="55" spans="1:18" ht="15.6" customHeight="1">
      <c r="A55" t="s">
        <v>572</v>
      </c>
      <c r="B55" t="s">
        <v>241</v>
      </c>
      <c r="C55" t="s">
        <v>242</v>
      </c>
      <c r="D55" t="s">
        <v>567</v>
      </c>
      <c r="E55">
        <v>2026</v>
      </c>
      <c r="F55" t="s">
        <v>508</v>
      </c>
      <c r="G55" t="s">
        <v>156</v>
      </c>
      <c r="H55" s="1">
        <v>46155</v>
      </c>
      <c r="I55" s="1">
        <v>46171</v>
      </c>
      <c r="J55" s="1">
        <v>46171</v>
      </c>
      <c r="L55" s="1">
        <v>46171</v>
      </c>
      <c r="N55" t="s">
        <v>540</v>
      </c>
      <c r="O55" t="s">
        <v>510</v>
      </c>
      <c r="P55" s="19" t="s">
        <v>568</v>
      </c>
      <c r="Q55" t="s">
        <v>542</v>
      </c>
      <c r="R55" t="str">
        <f t="shared" ca="1" si="0"/>
        <v>Passée</v>
      </c>
    </row>
    <row r="56" spans="1:18" ht="15.6" customHeight="1">
      <c r="A56" s="15" t="s">
        <v>573</v>
      </c>
      <c r="B56" s="15" t="s">
        <v>241</v>
      </c>
      <c r="C56" s="15" t="s">
        <v>242</v>
      </c>
      <c r="D56" s="15" t="s">
        <v>567</v>
      </c>
      <c r="E56" s="15">
        <v>2026</v>
      </c>
      <c r="F56" s="15" t="s">
        <v>508</v>
      </c>
      <c r="G56" s="15" t="s">
        <v>157</v>
      </c>
      <c r="H56" s="16">
        <v>46188</v>
      </c>
      <c r="I56" s="16">
        <v>46203</v>
      </c>
      <c r="J56" s="16">
        <v>46203</v>
      </c>
      <c r="K56" s="15"/>
      <c r="L56" s="16">
        <v>46203</v>
      </c>
      <c r="M56" s="15"/>
      <c r="N56" s="15" t="s">
        <v>540</v>
      </c>
      <c r="O56" s="15" t="s">
        <v>510</v>
      </c>
      <c r="P56" s="19" t="s">
        <v>568</v>
      </c>
      <c r="Q56" s="15" t="s">
        <v>542</v>
      </c>
      <c r="R56" s="15" t="str">
        <f t="shared" ca="1" si="0"/>
        <v>Passée</v>
      </c>
    </row>
    <row r="57" spans="1:18" ht="15.6" customHeight="1">
      <c r="A57" t="s">
        <v>574</v>
      </c>
      <c r="B57" t="s">
        <v>241</v>
      </c>
      <c r="C57" t="s">
        <v>242</v>
      </c>
      <c r="D57" t="s">
        <v>567</v>
      </c>
      <c r="E57">
        <v>2026</v>
      </c>
      <c r="F57" t="s">
        <v>508</v>
      </c>
      <c r="G57" t="s">
        <v>158</v>
      </c>
      <c r="H57" s="1">
        <v>46220</v>
      </c>
      <c r="I57" s="1">
        <v>46234</v>
      </c>
      <c r="J57" s="1">
        <v>46234</v>
      </c>
      <c r="L57" s="1">
        <v>46234</v>
      </c>
      <c r="N57" t="s">
        <v>540</v>
      </c>
      <c r="O57" t="s">
        <v>510</v>
      </c>
      <c r="P57" s="19" t="s">
        <v>568</v>
      </c>
      <c r="Q57" t="s">
        <v>542</v>
      </c>
      <c r="R57" t="str">
        <f t="shared" ca="1" si="0"/>
        <v>Passée</v>
      </c>
    </row>
    <row r="58" spans="1:18" ht="15.6" customHeight="1">
      <c r="A58" s="15" t="s">
        <v>575</v>
      </c>
      <c r="B58" s="15" t="s">
        <v>241</v>
      </c>
      <c r="C58" s="15" t="s">
        <v>242</v>
      </c>
      <c r="D58" s="15" t="s">
        <v>567</v>
      </c>
      <c r="E58" s="15">
        <v>2026</v>
      </c>
      <c r="F58" s="15" t="s">
        <v>508</v>
      </c>
      <c r="G58" s="15" t="s">
        <v>159</v>
      </c>
      <c r="H58" s="16">
        <v>46248</v>
      </c>
      <c r="I58" s="16">
        <v>46262</v>
      </c>
      <c r="J58" s="16">
        <v>46262</v>
      </c>
      <c r="K58" s="15"/>
      <c r="L58" s="16">
        <v>46262</v>
      </c>
      <c r="M58" s="15"/>
      <c r="N58" s="15" t="s">
        <v>540</v>
      </c>
      <c r="O58" s="15" t="s">
        <v>510</v>
      </c>
      <c r="P58" s="19" t="s">
        <v>568</v>
      </c>
      <c r="Q58" s="15" t="s">
        <v>542</v>
      </c>
      <c r="R58" s="15" t="str">
        <f t="shared" ca="1" si="0"/>
        <v>Passée</v>
      </c>
    </row>
    <row r="59" spans="1:18" ht="15.6" customHeight="1">
      <c r="A59" t="s">
        <v>576</v>
      </c>
      <c r="B59" t="s">
        <v>241</v>
      </c>
      <c r="C59" t="s">
        <v>242</v>
      </c>
      <c r="D59" t="s">
        <v>567</v>
      </c>
      <c r="E59">
        <v>2026</v>
      </c>
      <c r="F59" t="s">
        <v>508</v>
      </c>
      <c r="G59" t="s">
        <v>160</v>
      </c>
      <c r="H59" s="1">
        <v>46281</v>
      </c>
      <c r="I59" s="1">
        <v>46295</v>
      </c>
      <c r="J59" s="1">
        <v>46295</v>
      </c>
      <c r="L59" s="1">
        <v>46295</v>
      </c>
      <c r="N59" t="s">
        <v>540</v>
      </c>
      <c r="O59" t="s">
        <v>510</v>
      </c>
      <c r="P59" s="19" t="s">
        <v>568</v>
      </c>
      <c r="Q59" t="s">
        <v>542</v>
      </c>
      <c r="R59" t="str">
        <f t="shared" ca="1" si="0"/>
        <v>À venir</v>
      </c>
    </row>
    <row r="60" spans="1:18" ht="15.6" customHeight="1">
      <c r="A60" s="15" t="s">
        <v>577</v>
      </c>
      <c r="B60" s="15" t="s">
        <v>241</v>
      </c>
      <c r="C60" s="15" t="s">
        <v>242</v>
      </c>
      <c r="D60" s="15" t="s">
        <v>567</v>
      </c>
      <c r="E60" s="15">
        <v>2026</v>
      </c>
      <c r="F60" s="15" t="s">
        <v>508</v>
      </c>
      <c r="G60" s="15" t="s">
        <v>161</v>
      </c>
      <c r="H60" s="16">
        <v>46310</v>
      </c>
      <c r="I60" s="16">
        <v>46326</v>
      </c>
      <c r="J60" s="16">
        <v>46326</v>
      </c>
      <c r="K60" s="15"/>
      <c r="L60" s="16">
        <v>46326</v>
      </c>
      <c r="M60" s="15" t="s">
        <v>578</v>
      </c>
      <c r="N60" s="15" t="s">
        <v>540</v>
      </c>
      <c r="O60" s="15" t="s">
        <v>510</v>
      </c>
      <c r="P60" s="19" t="s">
        <v>568</v>
      </c>
      <c r="Q60" s="15" t="s">
        <v>542</v>
      </c>
      <c r="R60" s="15" t="str">
        <f t="shared" ca="1" si="0"/>
        <v>À venir</v>
      </c>
    </row>
    <row r="61" spans="1:18" ht="15.6" customHeight="1">
      <c r="A61" t="s">
        <v>579</v>
      </c>
      <c r="B61" t="s">
        <v>241</v>
      </c>
      <c r="C61" t="s">
        <v>242</v>
      </c>
      <c r="D61" t="s">
        <v>567</v>
      </c>
      <c r="E61">
        <v>2026</v>
      </c>
      <c r="F61" t="s">
        <v>508</v>
      </c>
      <c r="G61" t="s">
        <v>162</v>
      </c>
      <c r="H61" s="1">
        <v>46342</v>
      </c>
      <c r="I61" s="1">
        <v>46356</v>
      </c>
      <c r="J61" s="1">
        <v>46356</v>
      </c>
      <c r="L61" s="1">
        <v>46356</v>
      </c>
      <c r="N61" t="s">
        <v>540</v>
      </c>
      <c r="O61" t="s">
        <v>510</v>
      </c>
      <c r="P61" s="19" t="s">
        <v>568</v>
      </c>
      <c r="Q61" t="s">
        <v>542</v>
      </c>
      <c r="R61" t="str">
        <f t="shared" ca="1" si="0"/>
        <v>À venir</v>
      </c>
    </row>
    <row r="62" spans="1:18" ht="15.6" customHeight="1">
      <c r="A62" s="15" t="s">
        <v>580</v>
      </c>
      <c r="B62" s="15" t="s">
        <v>241</v>
      </c>
      <c r="C62" s="15" t="s">
        <v>242</v>
      </c>
      <c r="D62" s="15" t="s">
        <v>567</v>
      </c>
      <c r="E62" s="15">
        <v>2026</v>
      </c>
      <c r="F62" s="15" t="s">
        <v>508</v>
      </c>
      <c r="G62" s="15" t="s">
        <v>163</v>
      </c>
      <c r="H62" s="16">
        <v>46371</v>
      </c>
      <c r="I62" s="16">
        <v>46387</v>
      </c>
      <c r="J62" s="16">
        <v>46387</v>
      </c>
      <c r="K62" s="15"/>
      <c r="L62" s="16">
        <v>46387</v>
      </c>
      <c r="M62" s="15"/>
      <c r="N62" s="15" t="s">
        <v>540</v>
      </c>
      <c r="O62" s="15" t="s">
        <v>510</v>
      </c>
      <c r="P62" s="19" t="s">
        <v>568</v>
      </c>
      <c r="Q62" s="15" t="s">
        <v>542</v>
      </c>
      <c r="R62" s="15" t="str">
        <f t="shared" ca="1" si="0"/>
        <v>À venir</v>
      </c>
    </row>
    <row r="63" spans="1:18" ht="15.6" customHeight="1">
      <c r="A63" t="s">
        <v>581</v>
      </c>
      <c r="B63" t="s">
        <v>241</v>
      </c>
      <c r="C63" t="s">
        <v>242</v>
      </c>
      <c r="D63" t="s">
        <v>567</v>
      </c>
      <c r="E63">
        <v>2026</v>
      </c>
      <c r="F63" t="s">
        <v>526</v>
      </c>
      <c r="G63" t="s">
        <v>154</v>
      </c>
      <c r="H63" s="1">
        <v>46052</v>
      </c>
      <c r="I63" s="1">
        <v>46112</v>
      </c>
      <c r="J63" s="1">
        <v>46112</v>
      </c>
      <c r="L63" s="1">
        <v>46171</v>
      </c>
      <c r="M63" t="s">
        <v>582</v>
      </c>
      <c r="N63" t="s">
        <v>540</v>
      </c>
      <c r="O63" t="s">
        <v>510</v>
      </c>
      <c r="P63" s="19" t="s">
        <v>568</v>
      </c>
      <c r="Q63" t="s">
        <v>542</v>
      </c>
      <c r="R63" t="str">
        <f t="shared" ca="1" si="0"/>
        <v>Passée</v>
      </c>
    </row>
    <row r="64" spans="1:18" ht="15.6" customHeight="1">
      <c r="A64" s="15" t="s">
        <v>583</v>
      </c>
      <c r="B64" s="15" t="s">
        <v>241</v>
      </c>
      <c r="C64" s="15" t="s">
        <v>242</v>
      </c>
      <c r="D64" s="15" t="s">
        <v>567</v>
      </c>
      <c r="E64" s="15">
        <v>2026</v>
      </c>
      <c r="F64" s="15" t="s">
        <v>526</v>
      </c>
      <c r="G64" s="15" t="s">
        <v>157</v>
      </c>
      <c r="H64" s="16">
        <v>46143</v>
      </c>
      <c r="I64" s="16">
        <v>46203</v>
      </c>
      <c r="J64" s="16">
        <v>46203</v>
      </c>
      <c r="K64" s="15"/>
      <c r="L64" s="16">
        <v>46262</v>
      </c>
      <c r="M64" s="15" t="s">
        <v>582</v>
      </c>
      <c r="N64" s="15" t="s">
        <v>540</v>
      </c>
      <c r="O64" s="15" t="s">
        <v>510</v>
      </c>
      <c r="P64" s="19" t="s">
        <v>568</v>
      </c>
      <c r="Q64" s="15" t="s">
        <v>542</v>
      </c>
      <c r="R64" s="15" t="str">
        <f t="shared" ca="1" si="0"/>
        <v>Passée</v>
      </c>
    </row>
    <row r="65" spans="1:18" ht="15.6" customHeight="1">
      <c r="A65" t="s">
        <v>584</v>
      </c>
      <c r="B65" t="s">
        <v>241</v>
      </c>
      <c r="C65" t="s">
        <v>242</v>
      </c>
      <c r="D65" t="s">
        <v>567</v>
      </c>
      <c r="E65">
        <v>2026</v>
      </c>
      <c r="F65" t="s">
        <v>526</v>
      </c>
      <c r="G65" t="s">
        <v>160</v>
      </c>
      <c r="H65" s="1">
        <v>46235</v>
      </c>
      <c r="I65" s="1">
        <v>46295</v>
      </c>
      <c r="J65" s="1">
        <v>46295</v>
      </c>
      <c r="L65" s="1">
        <v>46353</v>
      </c>
      <c r="M65" t="s">
        <v>582</v>
      </c>
      <c r="N65" t="s">
        <v>540</v>
      </c>
      <c r="O65" t="s">
        <v>510</v>
      </c>
      <c r="P65" s="19" t="s">
        <v>568</v>
      </c>
      <c r="Q65" t="s">
        <v>542</v>
      </c>
      <c r="R65" t="str">
        <f t="shared" ca="1" si="0"/>
        <v>Passée</v>
      </c>
    </row>
    <row r="66" spans="1:18" ht="15.6" customHeight="1">
      <c r="A66" s="15" t="s">
        <v>585</v>
      </c>
      <c r="B66" s="15" t="s">
        <v>241</v>
      </c>
      <c r="C66" s="15" t="s">
        <v>242</v>
      </c>
      <c r="D66" s="15" t="s">
        <v>567</v>
      </c>
      <c r="E66" s="15">
        <v>2026</v>
      </c>
      <c r="F66" s="15" t="s">
        <v>526</v>
      </c>
      <c r="G66" s="15" t="s">
        <v>163</v>
      </c>
      <c r="H66" s="16">
        <v>46327</v>
      </c>
      <c r="I66" s="16">
        <v>46387</v>
      </c>
      <c r="J66" s="16">
        <v>46387</v>
      </c>
      <c r="K66" s="15"/>
      <c r="L66" s="16">
        <v>46447</v>
      </c>
      <c r="M66" s="15" t="s">
        <v>582</v>
      </c>
      <c r="N66" s="15" t="s">
        <v>540</v>
      </c>
      <c r="O66" s="15" t="s">
        <v>510</v>
      </c>
      <c r="P66" s="19" t="s">
        <v>568</v>
      </c>
      <c r="Q66" s="15" t="s">
        <v>542</v>
      </c>
      <c r="R66" s="15" t="str">
        <f t="shared" ref="R66:R129" ca="1" si="1">IF(H66&gt;=TODAY(),"À venir","Passée")</f>
        <v>À venir</v>
      </c>
    </row>
    <row r="67" spans="1:18" ht="15.6" customHeight="1">
      <c r="A67" t="s">
        <v>586</v>
      </c>
      <c r="B67" t="s">
        <v>450</v>
      </c>
      <c r="C67" t="s">
        <v>451</v>
      </c>
      <c r="D67" t="s">
        <v>587</v>
      </c>
      <c r="E67">
        <v>2026</v>
      </c>
      <c r="F67" t="s">
        <v>508</v>
      </c>
      <c r="G67" t="s">
        <v>152</v>
      </c>
      <c r="H67" s="1">
        <v>46009</v>
      </c>
      <c r="I67" s="1">
        <v>46022</v>
      </c>
      <c r="J67" s="1">
        <v>46024</v>
      </c>
      <c r="K67" s="1">
        <v>46049</v>
      </c>
      <c r="L67" s="1">
        <v>46014</v>
      </c>
      <c r="M67" t="s">
        <v>588</v>
      </c>
      <c r="N67" t="s">
        <v>540</v>
      </c>
      <c r="O67" t="s">
        <v>510</v>
      </c>
      <c r="P67" s="19" t="s">
        <v>589</v>
      </c>
      <c r="Q67" t="s">
        <v>542</v>
      </c>
      <c r="R67" t="str">
        <f t="shared" ca="1" si="1"/>
        <v>Passée</v>
      </c>
    </row>
    <row r="68" spans="1:18" ht="15.6" customHeight="1">
      <c r="A68" s="15" t="s">
        <v>590</v>
      </c>
      <c r="B68" s="15" t="s">
        <v>450</v>
      </c>
      <c r="C68" s="15" t="s">
        <v>451</v>
      </c>
      <c r="D68" s="15" t="s">
        <v>587</v>
      </c>
      <c r="E68" s="15">
        <v>2026</v>
      </c>
      <c r="F68" s="15" t="s">
        <v>508</v>
      </c>
      <c r="G68" s="15" t="s">
        <v>153</v>
      </c>
      <c r="H68" s="16">
        <v>46043</v>
      </c>
      <c r="I68" s="16">
        <v>46053</v>
      </c>
      <c r="J68" s="16">
        <v>46055</v>
      </c>
      <c r="K68" s="16">
        <v>46078</v>
      </c>
      <c r="L68" s="16">
        <v>46048</v>
      </c>
      <c r="M68" s="15"/>
      <c r="N68" s="15" t="s">
        <v>540</v>
      </c>
      <c r="O68" s="15" t="s">
        <v>510</v>
      </c>
      <c r="P68" s="19" t="s">
        <v>589</v>
      </c>
      <c r="Q68" s="15" t="s">
        <v>542</v>
      </c>
      <c r="R68" s="15" t="str">
        <f t="shared" ca="1" si="1"/>
        <v>Passée</v>
      </c>
    </row>
    <row r="69" spans="1:18" ht="15.6" customHeight="1">
      <c r="A69" t="s">
        <v>591</v>
      </c>
      <c r="B69" t="s">
        <v>450</v>
      </c>
      <c r="C69" t="s">
        <v>451</v>
      </c>
      <c r="D69" t="s">
        <v>587</v>
      </c>
      <c r="E69">
        <v>2026</v>
      </c>
      <c r="F69" t="s">
        <v>508</v>
      </c>
      <c r="G69" t="s">
        <v>154</v>
      </c>
      <c r="H69" s="1">
        <v>46071</v>
      </c>
      <c r="I69" s="1">
        <v>46081</v>
      </c>
      <c r="J69" s="1">
        <v>46083</v>
      </c>
      <c r="K69" s="1">
        <v>46106</v>
      </c>
      <c r="L69" s="1">
        <v>46076</v>
      </c>
      <c r="N69" t="s">
        <v>540</v>
      </c>
      <c r="O69" t="s">
        <v>510</v>
      </c>
      <c r="P69" s="19" t="s">
        <v>589</v>
      </c>
      <c r="Q69" t="s">
        <v>542</v>
      </c>
      <c r="R69" t="str">
        <f t="shared" ca="1" si="1"/>
        <v>Passée</v>
      </c>
    </row>
    <row r="70" spans="1:18" ht="15.6" customHeight="1">
      <c r="A70" s="15" t="s">
        <v>592</v>
      </c>
      <c r="B70" s="15" t="s">
        <v>450</v>
      </c>
      <c r="C70" s="15" t="s">
        <v>451</v>
      </c>
      <c r="D70" s="15" t="s">
        <v>587</v>
      </c>
      <c r="E70" s="15">
        <v>2026</v>
      </c>
      <c r="F70" s="15" t="s">
        <v>508</v>
      </c>
      <c r="G70" s="15" t="s">
        <v>155</v>
      </c>
      <c r="H70" s="16">
        <v>46101</v>
      </c>
      <c r="I70" s="16">
        <v>46112</v>
      </c>
      <c r="J70" s="16">
        <v>46113</v>
      </c>
      <c r="K70" s="16">
        <v>46140</v>
      </c>
      <c r="L70" s="16">
        <v>46106</v>
      </c>
      <c r="M70" s="15"/>
      <c r="N70" s="15" t="s">
        <v>540</v>
      </c>
      <c r="O70" s="15" t="s">
        <v>510</v>
      </c>
      <c r="P70" s="19" t="s">
        <v>589</v>
      </c>
      <c r="Q70" s="15" t="s">
        <v>542</v>
      </c>
      <c r="R70" s="15" t="str">
        <f t="shared" ca="1" si="1"/>
        <v>Passée</v>
      </c>
    </row>
    <row r="71" spans="1:18" ht="15.6" customHeight="1">
      <c r="A71" t="s">
        <v>593</v>
      </c>
      <c r="B71" t="s">
        <v>450</v>
      </c>
      <c r="C71" t="s">
        <v>451</v>
      </c>
      <c r="D71" t="s">
        <v>587</v>
      </c>
      <c r="E71">
        <v>2026</v>
      </c>
      <c r="F71" t="s">
        <v>508</v>
      </c>
      <c r="G71" t="s">
        <v>156</v>
      </c>
      <c r="H71" s="1">
        <v>46133</v>
      </c>
      <c r="I71" s="1">
        <v>46142</v>
      </c>
      <c r="J71" s="1">
        <v>46146</v>
      </c>
      <c r="K71" s="1">
        <v>46171</v>
      </c>
      <c r="L71" s="1">
        <v>46136</v>
      </c>
      <c r="N71" t="s">
        <v>540</v>
      </c>
      <c r="O71" t="s">
        <v>510</v>
      </c>
      <c r="P71" s="19" t="s">
        <v>589</v>
      </c>
      <c r="Q71" t="s">
        <v>542</v>
      </c>
      <c r="R71" t="str">
        <f t="shared" ca="1" si="1"/>
        <v>Passée</v>
      </c>
    </row>
    <row r="72" spans="1:18" ht="15.6" customHeight="1">
      <c r="A72" s="15" t="s">
        <v>594</v>
      </c>
      <c r="B72" s="15" t="s">
        <v>450</v>
      </c>
      <c r="C72" s="15" t="s">
        <v>451</v>
      </c>
      <c r="D72" s="15" t="s">
        <v>587</v>
      </c>
      <c r="E72" s="15">
        <v>2026</v>
      </c>
      <c r="F72" s="15" t="s">
        <v>508</v>
      </c>
      <c r="G72" s="15" t="s">
        <v>157</v>
      </c>
      <c r="H72" s="16">
        <v>46161</v>
      </c>
      <c r="I72" s="16">
        <v>46173</v>
      </c>
      <c r="J72" s="16">
        <v>46174</v>
      </c>
      <c r="K72" s="16">
        <v>46198</v>
      </c>
      <c r="L72" s="16">
        <v>46164</v>
      </c>
      <c r="M72" s="15"/>
      <c r="N72" s="15" t="s">
        <v>540</v>
      </c>
      <c r="O72" s="15" t="s">
        <v>510</v>
      </c>
      <c r="P72" s="19" t="s">
        <v>589</v>
      </c>
      <c r="Q72" s="15" t="s">
        <v>542</v>
      </c>
      <c r="R72" s="15" t="str">
        <f t="shared" ca="1" si="1"/>
        <v>Passée</v>
      </c>
    </row>
    <row r="73" spans="1:18" ht="15.6" customHeight="1">
      <c r="A73" t="s">
        <v>595</v>
      </c>
      <c r="B73" t="s">
        <v>450</v>
      </c>
      <c r="C73" t="s">
        <v>451</v>
      </c>
      <c r="D73" t="s">
        <v>587</v>
      </c>
      <c r="E73">
        <v>2026</v>
      </c>
      <c r="F73" t="s">
        <v>508</v>
      </c>
      <c r="G73" t="s">
        <v>158</v>
      </c>
      <c r="H73" s="1">
        <v>46191</v>
      </c>
      <c r="I73" s="1">
        <v>46203</v>
      </c>
      <c r="J73" s="1">
        <v>46204</v>
      </c>
      <c r="K73" s="1">
        <v>46227</v>
      </c>
      <c r="L73" s="1">
        <v>46197</v>
      </c>
      <c r="N73" t="s">
        <v>540</v>
      </c>
      <c r="O73" t="s">
        <v>510</v>
      </c>
      <c r="P73" s="19" t="s">
        <v>589</v>
      </c>
      <c r="Q73" t="s">
        <v>542</v>
      </c>
      <c r="R73" t="str">
        <f t="shared" ca="1" si="1"/>
        <v>Passée</v>
      </c>
    </row>
    <row r="74" spans="1:18" ht="15.6" customHeight="1">
      <c r="A74" s="15" t="s">
        <v>596</v>
      </c>
      <c r="B74" s="15" t="s">
        <v>450</v>
      </c>
      <c r="C74" s="15" t="s">
        <v>451</v>
      </c>
      <c r="D74" s="15" t="s">
        <v>587</v>
      </c>
      <c r="E74" s="15">
        <v>2026</v>
      </c>
      <c r="F74" s="15" t="s">
        <v>508</v>
      </c>
      <c r="G74" s="15" t="s">
        <v>159</v>
      </c>
      <c r="H74" s="16">
        <v>46225</v>
      </c>
      <c r="I74" s="16">
        <v>46234</v>
      </c>
      <c r="J74" s="16">
        <v>46237</v>
      </c>
      <c r="K74" s="16">
        <v>46260</v>
      </c>
      <c r="L74" s="16">
        <v>46230</v>
      </c>
      <c r="M74" s="15"/>
      <c r="N74" s="15" t="s">
        <v>540</v>
      </c>
      <c r="O74" s="15" t="s">
        <v>510</v>
      </c>
      <c r="P74" s="19" t="s">
        <v>589</v>
      </c>
      <c r="Q74" s="15" t="s">
        <v>542</v>
      </c>
      <c r="R74" s="15" t="str">
        <f t="shared" ca="1" si="1"/>
        <v>Passée</v>
      </c>
    </row>
    <row r="75" spans="1:18" ht="15.6" customHeight="1">
      <c r="A75" t="s">
        <v>597</v>
      </c>
      <c r="B75" t="s">
        <v>450</v>
      </c>
      <c r="C75" t="s">
        <v>451</v>
      </c>
      <c r="D75" t="s">
        <v>587</v>
      </c>
      <c r="E75">
        <v>2026</v>
      </c>
      <c r="F75" t="s">
        <v>508</v>
      </c>
      <c r="G75" t="s">
        <v>160</v>
      </c>
      <c r="H75" s="1">
        <v>46254</v>
      </c>
      <c r="I75" s="1">
        <v>46265</v>
      </c>
      <c r="J75" s="1">
        <v>46266</v>
      </c>
      <c r="K75" s="1">
        <v>46289</v>
      </c>
      <c r="L75" s="1">
        <v>46259</v>
      </c>
      <c r="N75" t="s">
        <v>540</v>
      </c>
      <c r="O75" t="s">
        <v>510</v>
      </c>
      <c r="P75" s="19" t="s">
        <v>589</v>
      </c>
      <c r="Q75" t="s">
        <v>542</v>
      </c>
      <c r="R75" t="str">
        <f t="shared" ca="1" si="1"/>
        <v>Passée</v>
      </c>
    </row>
    <row r="76" spans="1:18" ht="15.6" customHeight="1">
      <c r="A76" s="15" t="s">
        <v>598</v>
      </c>
      <c r="B76" s="15" t="s">
        <v>450</v>
      </c>
      <c r="C76" s="15" t="s">
        <v>451</v>
      </c>
      <c r="D76" s="15" t="s">
        <v>587</v>
      </c>
      <c r="E76" s="15">
        <v>2026</v>
      </c>
      <c r="F76" s="15" t="s">
        <v>508</v>
      </c>
      <c r="G76" s="15" t="s">
        <v>161</v>
      </c>
      <c r="H76" s="16">
        <v>46286</v>
      </c>
      <c r="I76" s="16">
        <v>46295</v>
      </c>
      <c r="J76" s="16">
        <v>46296</v>
      </c>
      <c r="K76" s="16">
        <v>46321</v>
      </c>
      <c r="L76" s="16">
        <v>46289</v>
      </c>
      <c r="M76" s="15"/>
      <c r="N76" s="15" t="s">
        <v>540</v>
      </c>
      <c r="O76" s="15" t="s">
        <v>510</v>
      </c>
      <c r="P76" s="19" t="s">
        <v>589</v>
      </c>
      <c r="Q76" s="15" t="s">
        <v>542</v>
      </c>
      <c r="R76" s="15" t="str">
        <f t="shared" ca="1" si="1"/>
        <v>À venir</v>
      </c>
    </row>
    <row r="77" spans="1:18" ht="15.6" customHeight="1">
      <c r="A77" t="s">
        <v>599</v>
      </c>
      <c r="B77" t="s">
        <v>450</v>
      </c>
      <c r="C77" t="s">
        <v>451</v>
      </c>
      <c r="D77" t="s">
        <v>587</v>
      </c>
      <c r="E77">
        <v>2026</v>
      </c>
      <c r="F77" t="s">
        <v>508</v>
      </c>
      <c r="G77" t="s">
        <v>162</v>
      </c>
      <c r="H77" s="1">
        <v>46316</v>
      </c>
      <c r="I77" s="1">
        <v>46326</v>
      </c>
      <c r="J77" s="1">
        <v>46328</v>
      </c>
      <c r="K77" s="1">
        <v>46351</v>
      </c>
      <c r="L77" s="1">
        <v>46321</v>
      </c>
      <c r="N77" t="s">
        <v>540</v>
      </c>
      <c r="O77" t="s">
        <v>510</v>
      </c>
      <c r="P77" s="19" t="s">
        <v>589</v>
      </c>
      <c r="Q77" t="s">
        <v>542</v>
      </c>
      <c r="R77" t="str">
        <f t="shared" ca="1" si="1"/>
        <v>À venir</v>
      </c>
    </row>
    <row r="78" spans="1:18" ht="15.6" customHeight="1">
      <c r="A78" s="15" t="s">
        <v>600</v>
      </c>
      <c r="B78" s="15" t="s">
        <v>450</v>
      </c>
      <c r="C78" s="15" t="s">
        <v>451</v>
      </c>
      <c r="D78" s="15" t="s">
        <v>587</v>
      </c>
      <c r="E78" s="15">
        <v>2026</v>
      </c>
      <c r="F78" s="15" t="s">
        <v>508</v>
      </c>
      <c r="G78" s="15" t="s">
        <v>163</v>
      </c>
      <c r="H78" s="16">
        <v>46345</v>
      </c>
      <c r="I78" s="16">
        <v>46356</v>
      </c>
      <c r="J78" s="16">
        <v>46357</v>
      </c>
      <c r="K78" s="16">
        <v>46380</v>
      </c>
      <c r="L78" s="16">
        <v>46350</v>
      </c>
      <c r="M78" s="15"/>
      <c r="N78" s="15" t="s">
        <v>540</v>
      </c>
      <c r="O78" s="15" t="s">
        <v>510</v>
      </c>
      <c r="P78" s="19" t="s">
        <v>589</v>
      </c>
      <c r="Q78" s="15" t="s">
        <v>542</v>
      </c>
      <c r="R78" s="15" t="str">
        <f t="shared" ca="1" si="1"/>
        <v>À venir</v>
      </c>
    </row>
    <row r="79" spans="1:18" ht="15.6" customHeight="1">
      <c r="A79" t="s">
        <v>601</v>
      </c>
      <c r="B79" t="s">
        <v>450</v>
      </c>
      <c r="C79" t="s">
        <v>451</v>
      </c>
      <c r="D79" t="s">
        <v>587</v>
      </c>
      <c r="E79">
        <v>2026</v>
      </c>
      <c r="F79" t="s">
        <v>526</v>
      </c>
      <c r="G79" t="s">
        <v>154</v>
      </c>
      <c r="H79" s="1">
        <v>46082</v>
      </c>
      <c r="I79" s="1">
        <v>46112</v>
      </c>
      <c r="J79" s="1">
        <v>46112</v>
      </c>
      <c r="K79" s="1">
        <v>46140</v>
      </c>
      <c r="L79" s="1">
        <v>46155</v>
      </c>
      <c r="M79" t="s">
        <v>602</v>
      </c>
      <c r="N79" t="s">
        <v>540</v>
      </c>
      <c r="O79" t="s">
        <v>510</v>
      </c>
      <c r="P79" s="19" t="s">
        <v>589</v>
      </c>
      <c r="Q79" t="s">
        <v>542</v>
      </c>
      <c r="R79" t="str">
        <f t="shared" ca="1" si="1"/>
        <v>Passée</v>
      </c>
    </row>
    <row r="80" spans="1:18" ht="15.6" customHeight="1">
      <c r="A80" s="15" t="s">
        <v>603</v>
      </c>
      <c r="B80" s="15" t="s">
        <v>450</v>
      </c>
      <c r="C80" s="15" t="s">
        <v>451</v>
      </c>
      <c r="D80" s="15" t="s">
        <v>587</v>
      </c>
      <c r="E80" s="15">
        <v>2026</v>
      </c>
      <c r="F80" s="15" t="s">
        <v>526</v>
      </c>
      <c r="G80" s="15" t="s">
        <v>157</v>
      </c>
      <c r="H80" s="16">
        <v>46173</v>
      </c>
      <c r="I80" s="16">
        <v>46203</v>
      </c>
      <c r="J80" s="16">
        <v>46203</v>
      </c>
      <c r="K80" s="16">
        <v>46227</v>
      </c>
      <c r="L80" s="16">
        <v>46241</v>
      </c>
      <c r="M80" s="15" t="s">
        <v>582</v>
      </c>
      <c r="N80" s="15" t="s">
        <v>540</v>
      </c>
      <c r="O80" s="15" t="s">
        <v>510</v>
      </c>
      <c r="P80" s="19" t="s">
        <v>589</v>
      </c>
      <c r="Q80" s="15" t="s">
        <v>542</v>
      </c>
      <c r="R80" s="15" t="str">
        <f t="shared" ca="1" si="1"/>
        <v>Passée</v>
      </c>
    </row>
    <row r="81" spans="1:18" ht="15.6" customHeight="1">
      <c r="A81" t="s">
        <v>604</v>
      </c>
      <c r="B81" t="s">
        <v>450</v>
      </c>
      <c r="C81" t="s">
        <v>451</v>
      </c>
      <c r="D81" t="s">
        <v>587</v>
      </c>
      <c r="E81">
        <v>2026</v>
      </c>
      <c r="F81" t="s">
        <v>526</v>
      </c>
      <c r="G81" t="s">
        <v>160</v>
      </c>
      <c r="H81" s="1">
        <v>46265</v>
      </c>
      <c r="I81" s="1">
        <v>46295</v>
      </c>
      <c r="J81" s="1">
        <v>46295</v>
      </c>
      <c r="K81" s="1">
        <v>46321</v>
      </c>
      <c r="L81" s="1">
        <v>46335</v>
      </c>
      <c r="M81" t="s">
        <v>582</v>
      </c>
      <c r="N81" t="s">
        <v>540</v>
      </c>
      <c r="O81" t="s">
        <v>510</v>
      </c>
      <c r="P81" s="19" t="s">
        <v>589</v>
      </c>
      <c r="Q81" t="s">
        <v>542</v>
      </c>
      <c r="R81" t="str">
        <f t="shared" ca="1" si="1"/>
        <v>Passée</v>
      </c>
    </row>
    <row r="82" spans="1:18" ht="15.6" customHeight="1">
      <c r="A82" s="15" t="s">
        <v>605</v>
      </c>
      <c r="B82" s="15" t="s">
        <v>450</v>
      </c>
      <c r="C82" s="15" t="s">
        <v>451</v>
      </c>
      <c r="D82" s="15" t="s">
        <v>587</v>
      </c>
      <c r="E82" s="15">
        <v>2026</v>
      </c>
      <c r="F82" s="15" t="s">
        <v>526</v>
      </c>
      <c r="G82" s="15" t="s">
        <v>163</v>
      </c>
      <c r="H82" s="16">
        <v>46357</v>
      </c>
      <c r="I82" s="16">
        <v>46387</v>
      </c>
      <c r="J82" s="16">
        <v>46387</v>
      </c>
      <c r="K82" s="16">
        <v>46414</v>
      </c>
      <c r="L82" s="16">
        <v>46428</v>
      </c>
      <c r="M82" s="15" t="s">
        <v>582</v>
      </c>
      <c r="N82" s="15" t="s">
        <v>540</v>
      </c>
      <c r="O82" s="15" t="s">
        <v>510</v>
      </c>
      <c r="P82" s="19" t="s">
        <v>589</v>
      </c>
      <c r="Q82" s="15" t="s">
        <v>542</v>
      </c>
      <c r="R82" s="15" t="str">
        <f t="shared" ca="1" si="1"/>
        <v>À venir</v>
      </c>
    </row>
    <row r="83" spans="1:18" ht="15.6" customHeight="1">
      <c r="A83" t="s">
        <v>606</v>
      </c>
      <c r="B83" t="s">
        <v>417</v>
      </c>
      <c r="C83" t="s">
        <v>418</v>
      </c>
      <c r="D83" t="s">
        <v>607</v>
      </c>
      <c r="E83">
        <v>2026</v>
      </c>
      <c r="F83" t="s">
        <v>608</v>
      </c>
      <c r="G83" t="s">
        <v>151</v>
      </c>
      <c r="H83" s="1">
        <v>46015</v>
      </c>
      <c r="I83" s="1">
        <v>46022</v>
      </c>
      <c r="J83" s="1">
        <v>46024</v>
      </c>
      <c r="K83" s="1">
        <v>46044</v>
      </c>
      <c r="M83" t="s">
        <v>609</v>
      </c>
      <c r="N83" t="s">
        <v>540</v>
      </c>
      <c r="O83" t="s">
        <v>510</v>
      </c>
      <c r="P83" s="19" t="s">
        <v>610</v>
      </c>
      <c r="Q83" t="s">
        <v>542</v>
      </c>
      <c r="R83" t="str">
        <f t="shared" ca="1" si="1"/>
        <v>Passée</v>
      </c>
    </row>
    <row r="84" spans="1:18" ht="15.6" customHeight="1">
      <c r="A84" s="15" t="s">
        <v>611</v>
      </c>
      <c r="B84" s="15" t="s">
        <v>417</v>
      </c>
      <c r="C84" s="15" t="s">
        <v>418</v>
      </c>
      <c r="D84" s="15" t="s">
        <v>607</v>
      </c>
      <c r="E84" s="15">
        <v>2026</v>
      </c>
      <c r="F84" s="15" t="s">
        <v>608</v>
      </c>
      <c r="G84" s="15" t="s">
        <v>152</v>
      </c>
      <c r="H84" s="16">
        <v>46048</v>
      </c>
      <c r="I84" s="16">
        <v>46053</v>
      </c>
      <c r="J84" s="16">
        <v>46055</v>
      </c>
      <c r="K84" s="16">
        <v>46073</v>
      </c>
      <c r="L84" s="15"/>
      <c r="M84" s="15" t="s">
        <v>609</v>
      </c>
      <c r="N84" s="15" t="s">
        <v>540</v>
      </c>
      <c r="O84" s="15" t="s">
        <v>510</v>
      </c>
      <c r="P84" s="19" t="s">
        <v>610</v>
      </c>
      <c r="Q84" s="15" t="s">
        <v>542</v>
      </c>
      <c r="R84" s="15" t="str">
        <f t="shared" ca="1" si="1"/>
        <v>Passée</v>
      </c>
    </row>
    <row r="85" spans="1:18" ht="15.6" customHeight="1">
      <c r="A85" t="s">
        <v>612</v>
      </c>
      <c r="B85" t="s">
        <v>417</v>
      </c>
      <c r="C85" t="s">
        <v>418</v>
      </c>
      <c r="D85" t="s">
        <v>607</v>
      </c>
      <c r="E85">
        <v>2026</v>
      </c>
      <c r="F85" t="s">
        <v>608</v>
      </c>
      <c r="G85" t="s">
        <v>153</v>
      </c>
      <c r="H85" s="1">
        <v>46076</v>
      </c>
      <c r="I85" s="1">
        <v>46081</v>
      </c>
      <c r="J85" s="1">
        <v>46083</v>
      </c>
      <c r="K85" s="1">
        <v>46101</v>
      </c>
      <c r="M85" t="s">
        <v>609</v>
      </c>
      <c r="N85" t="s">
        <v>540</v>
      </c>
      <c r="O85" t="s">
        <v>510</v>
      </c>
      <c r="P85" s="19" t="s">
        <v>610</v>
      </c>
      <c r="Q85" t="s">
        <v>542</v>
      </c>
      <c r="R85" t="str">
        <f t="shared" ca="1" si="1"/>
        <v>Passée</v>
      </c>
    </row>
    <row r="86" spans="1:18" ht="15.6" customHeight="1">
      <c r="A86" s="15" t="s">
        <v>613</v>
      </c>
      <c r="B86" s="15" t="s">
        <v>417</v>
      </c>
      <c r="C86" s="15" t="s">
        <v>418</v>
      </c>
      <c r="D86" s="15" t="s">
        <v>607</v>
      </c>
      <c r="E86" s="15">
        <v>2026</v>
      </c>
      <c r="F86" s="15" t="s">
        <v>608</v>
      </c>
      <c r="G86" s="15" t="s">
        <v>154</v>
      </c>
      <c r="H86" s="16">
        <v>46105</v>
      </c>
      <c r="I86" s="16">
        <v>46112</v>
      </c>
      <c r="J86" s="16">
        <v>46113</v>
      </c>
      <c r="K86" s="16">
        <v>46135</v>
      </c>
      <c r="L86" s="15"/>
      <c r="M86" s="15" t="s">
        <v>609</v>
      </c>
      <c r="N86" s="15" t="s">
        <v>540</v>
      </c>
      <c r="O86" s="15" t="s">
        <v>510</v>
      </c>
      <c r="P86" s="19" t="s">
        <v>610</v>
      </c>
      <c r="Q86" s="15" t="s">
        <v>542</v>
      </c>
      <c r="R86" s="15" t="str">
        <f t="shared" ca="1" si="1"/>
        <v>Passée</v>
      </c>
    </row>
    <row r="87" spans="1:18" ht="15.6" customHeight="1">
      <c r="A87" t="s">
        <v>614</v>
      </c>
      <c r="B87" t="s">
        <v>417</v>
      </c>
      <c r="C87" t="s">
        <v>418</v>
      </c>
      <c r="D87" t="s">
        <v>607</v>
      </c>
      <c r="E87">
        <v>2026</v>
      </c>
      <c r="F87" t="s">
        <v>608</v>
      </c>
      <c r="G87" t="s">
        <v>155</v>
      </c>
      <c r="H87" s="1">
        <v>46135</v>
      </c>
      <c r="I87" s="1">
        <v>46142</v>
      </c>
      <c r="J87" s="1">
        <v>46146</v>
      </c>
      <c r="K87" s="1">
        <v>46168</v>
      </c>
      <c r="M87" t="s">
        <v>609</v>
      </c>
      <c r="N87" t="s">
        <v>540</v>
      </c>
      <c r="O87" t="s">
        <v>510</v>
      </c>
      <c r="P87" s="19" t="s">
        <v>610</v>
      </c>
      <c r="Q87" t="s">
        <v>542</v>
      </c>
      <c r="R87" t="str">
        <f t="shared" ca="1" si="1"/>
        <v>Passée</v>
      </c>
    </row>
    <row r="88" spans="1:18" ht="15.6" customHeight="1">
      <c r="A88" s="15" t="s">
        <v>615</v>
      </c>
      <c r="B88" s="15" t="s">
        <v>417</v>
      </c>
      <c r="C88" s="15" t="s">
        <v>418</v>
      </c>
      <c r="D88" s="15" t="s">
        <v>607</v>
      </c>
      <c r="E88" s="15">
        <v>2026</v>
      </c>
      <c r="F88" s="15" t="s">
        <v>608</v>
      </c>
      <c r="G88" s="15" t="s">
        <v>156</v>
      </c>
      <c r="H88" s="16">
        <v>46168</v>
      </c>
      <c r="I88" s="16">
        <v>46173</v>
      </c>
      <c r="J88" s="16">
        <v>46174</v>
      </c>
      <c r="K88" s="16">
        <v>46192</v>
      </c>
      <c r="L88" s="15"/>
      <c r="M88" s="15" t="s">
        <v>609</v>
      </c>
      <c r="N88" s="15" t="s">
        <v>540</v>
      </c>
      <c r="O88" s="15" t="s">
        <v>510</v>
      </c>
      <c r="P88" s="19" t="s">
        <v>610</v>
      </c>
      <c r="Q88" s="15" t="s">
        <v>542</v>
      </c>
      <c r="R88" s="15" t="str">
        <f t="shared" ca="1" si="1"/>
        <v>Passée</v>
      </c>
    </row>
    <row r="89" spans="1:18" ht="15.6" customHeight="1">
      <c r="A89" t="s">
        <v>616</v>
      </c>
      <c r="B89" t="s">
        <v>417</v>
      </c>
      <c r="C89" t="s">
        <v>418</v>
      </c>
      <c r="D89" t="s">
        <v>607</v>
      </c>
      <c r="E89">
        <v>2026</v>
      </c>
      <c r="F89" t="s">
        <v>608</v>
      </c>
      <c r="G89" t="s">
        <v>157</v>
      </c>
      <c r="H89" s="1">
        <v>46197</v>
      </c>
      <c r="I89" s="1">
        <v>46203</v>
      </c>
      <c r="J89" s="1">
        <v>46204</v>
      </c>
      <c r="K89" s="1">
        <v>46224</v>
      </c>
      <c r="M89" t="s">
        <v>609</v>
      </c>
      <c r="N89" t="s">
        <v>540</v>
      </c>
      <c r="O89" t="s">
        <v>510</v>
      </c>
      <c r="P89" s="19" t="s">
        <v>610</v>
      </c>
      <c r="Q89" t="s">
        <v>542</v>
      </c>
      <c r="R89" t="str">
        <f t="shared" ca="1" si="1"/>
        <v>Passée</v>
      </c>
    </row>
    <row r="90" spans="1:18" ht="15.6" customHeight="1">
      <c r="A90" s="15" t="s">
        <v>617</v>
      </c>
      <c r="B90" s="15" t="s">
        <v>417</v>
      </c>
      <c r="C90" s="15" t="s">
        <v>418</v>
      </c>
      <c r="D90" s="15" t="s">
        <v>607</v>
      </c>
      <c r="E90" s="15">
        <v>2026</v>
      </c>
      <c r="F90" s="15" t="s">
        <v>608</v>
      </c>
      <c r="G90" s="15" t="s">
        <v>158</v>
      </c>
      <c r="H90" s="16">
        <v>46227</v>
      </c>
      <c r="I90" s="16">
        <v>46234</v>
      </c>
      <c r="J90" s="16">
        <v>46237</v>
      </c>
      <c r="K90" s="16">
        <v>46255</v>
      </c>
      <c r="L90" s="15"/>
      <c r="M90" s="15" t="s">
        <v>609</v>
      </c>
      <c r="N90" s="15" t="s">
        <v>540</v>
      </c>
      <c r="O90" s="15" t="s">
        <v>510</v>
      </c>
      <c r="P90" s="19" t="s">
        <v>610</v>
      </c>
      <c r="Q90" s="15" t="s">
        <v>542</v>
      </c>
      <c r="R90" s="15" t="str">
        <f t="shared" ca="1" si="1"/>
        <v>Passée</v>
      </c>
    </row>
    <row r="91" spans="1:18" ht="15.6" customHeight="1">
      <c r="A91" t="s">
        <v>618</v>
      </c>
      <c r="B91" t="s">
        <v>417</v>
      </c>
      <c r="C91" t="s">
        <v>418</v>
      </c>
      <c r="D91" t="s">
        <v>607</v>
      </c>
      <c r="E91">
        <v>2026</v>
      </c>
      <c r="F91" t="s">
        <v>608</v>
      </c>
      <c r="G91" t="s">
        <v>159</v>
      </c>
      <c r="H91" s="1">
        <v>46258</v>
      </c>
      <c r="I91" s="1">
        <v>46265</v>
      </c>
      <c r="J91" s="1">
        <v>46266</v>
      </c>
      <c r="K91" s="1">
        <v>46286</v>
      </c>
      <c r="M91" t="s">
        <v>609</v>
      </c>
      <c r="N91" t="s">
        <v>540</v>
      </c>
      <c r="O91" t="s">
        <v>510</v>
      </c>
      <c r="P91" s="19" t="s">
        <v>610</v>
      </c>
      <c r="Q91" t="s">
        <v>542</v>
      </c>
      <c r="R91" t="str">
        <f t="shared" ca="1" si="1"/>
        <v>Passée</v>
      </c>
    </row>
    <row r="92" spans="1:18" ht="15.6" customHeight="1">
      <c r="A92" s="15" t="s">
        <v>619</v>
      </c>
      <c r="B92" s="15" t="s">
        <v>417</v>
      </c>
      <c r="C92" s="15" t="s">
        <v>418</v>
      </c>
      <c r="D92" s="15" t="s">
        <v>607</v>
      </c>
      <c r="E92" s="15">
        <v>2026</v>
      </c>
      <c r="F92" s="15" t="s">
        <v>608</v>
      </c>
      <c r="G92" s="15" t="s">
        <v>160</v>
      </c>
      <c r="H92" s="16">
        <v>46288</v>
      </c>
      <c r="I92" s="16">
        <v>46295</v>
      </c>
      <c r="J92" s="16">
        <v>46296</v>
      </c>
      <c r="K92" s="16">
        <v>46316</v>
      </c>
      <c r="L92" s="15"/>
      <c r="M92" s="15" t="s">
        <v>609</v>
      </c>
      <c r="N92" s="15" t="s">
        <v>540</v>
      </c>
      <c r="O92" s="15" t="s">
        <v>510</v>
      </c>
      <c r="P92" s="19" t="s">
        <v>610</v>
      </c>
      <c r="Q92" s="15" t="s">
        <v>542</v>
      </c>
      <c r="R92" s="15" t="str">
        <f t="shared" ca="1" si="1"/>
        <v>À venir</v>
      </c>
    </row>
    <row r="93" spans="1:18" ht="15.6" customHeight="1">
      <c r="A93" t="s">
        <v>620</v>
      </c>
      <c r="B93" t="s">
        <v>417</v>
      </c>
      <c r="C93" t="s">
        <v>418</v>
      </c>
      <c r="D93" t="s">
        <v>607</v>
      </c>
      <c r="E93">
        <v>2026</v>
      </c>
      <c r="F93" t="s">
        <v>608</v>
      </c>
      <c r="G93" t="s">
        <v>161</v>
      </c>
      <c r="H93" s="1">
        <v>46321</v>
      </c>
      <c r="I93" s="1">
        <v>46326</v>
      </c>
      <c r="J93" s="1">
        <v>46328</v>
      </c>
      <c r="K93" s="1">
        <v>46346</v>
      </c>
      <c r="M93" t="s">
        <v>609</v>
      </c>
      <c r="N93" t="s">
        <v>540</v>
      </c>
      <c r="O93" t="s">
        <v>510</v>
      </c>
      <c r="P93" s="19" t="s">
        <v>610</v>
      </c>
      <c r="Q93" t="s">
        <v>542</v>
      </c>
      <c r="R93" t="str">
        <f t="shared" ca="1" si="1"/>
        <v>À venir</v>
      </c>
    </row>
    <row r="94" spans="1:18" ht="15.6" customHeight="1">
      <c r="A94" s="15" t="s">
        <v>621</v>
      </c>
      <c r="B94" s="15" t="s">
        <v>417</v>
      </c>
      <c r="C94" s="15" t="s">
        <v>418</v>
      </c>
      <c r="D94" s="15" t="s">
        <v>607</v>
      </c>
      <c r="E94" s="15">
        <v>2026</v>
      </c>
      <c r="F94" s="15" t="s">
        <v>608</v>
      </c>
      <c r="G94" s="15" t="s">
        <v>162</v>
      </c>
      <c r="H94" s="16">
        <v>46349</v>
      </c>
      <c r="I94" s="16">
        <v>46356</v>
      </c>
      <c r="J94" s="16">
        <v>46357</v>
      </c>
      <c r="K94" s="16">
        <v>46377</v>
      </c>
      <c r="L94" s="15"/>
      <c r="M94" s="15" t="s">
        <v>609</v>
      </c>
      <c r="N94" s="15" t="s">
        <v>540</v>
      </c>
      <c r="O94" s="15" t="s">
        <v>510</v>
      </c>
      <c r="P94" s="19" t="s">
        <v>610</v>
      </c>
      <c r="Q94" s="15" t="s">
        <v>542</v>
      </c>
      <c r="R94" s="15" t="str">
        <f t="shared" ca="1" si="1"/>
        <v>À venir</v>
      </c>
    </row>
    <row r="95" spans="1:18" ht="15.6" customHeight="1">
      <c r="A95" t="s">
        <v>622</v>
      </c>
      <c r="B95" t="s">
        <v>417</v>
      </c>
      <c r="C95" t="s">
        <v>418</v>
      </c>
      <c r="D95" t="s">
        <v>607</v>
      </c>
      <c r="E95">
        <v>2026</v>
      </c>
      <c r="F95" t="s">
        <v>608</v>
      </c>
      <c r="G95" t="s">
        <v>163</v>
      </c>
      <c r="H95" s="1">
        <v>46380</v>
      </c>
      <c r="I95" s="1">
        <v>46387</v>
      </c>
      <c r="J95" s="1">
        <v>46391</v>
      </c>
      <c r="K95" s="1">
        <v>46409</v>
      </c>
      <c r="M95" t="s">
        <v>609</v>
      </c>
      <c r="N95" t="s">
        <v>540</v>
      </c>
      <c r="O95" t="s">
        <v>510</v>
      </c>
      <c r="P95" s="19" t="s">
        <v>610</v>
      </c>
      <c r="Q95" t="s">
        <v>542</v>
      </c>
      <c r="R95" t="str">
        <f t="shared" ca="1" si="1"/>
        <v>À venir</v>
      </c>
    </row>
    <row r="96" spans="1:18" ht="15.6" customHeight="1">
      <c r="A96" s="15" t="s">
        <v>623</v>
      </c>
      <c r="B96" s="15" t="s">
        <v>288</v>
      </c>
      <c r="C96" s="15" t="s">
        <v>289</v>
      </c>
      <c r="D96" s="15" t="s">
        <v>607</v>
      </c>
      <c r="E96" s="15">
        <v>2026</v>
      </c>
      <c r="F96" s="15" t="s">
        <v>508</v>
      </c>
      <c r="G96" s="15" t="s">
        <v>151</v>
      </c>
      <c r="H96" s="16">
        <v>46013</v>
      </c>
      <c r="I96" s="16">
        <v>46022</v>
      </c>
      <c r="J96" s="16">
        <v>46024</v>
      </c>
      <c r="K96" s="16">
        <v>46044</v>
      </c>
      <c r="L96" s="16">
        <v>46049</v>
      </c>
      <c r="M96" s="15" t="s">
        <v>578</v>
      </c>
      <c r="N96" s="15" t="s">
        <v>540</v>
      </c>
      <c r="O96" s="15" t="s">
        <v>510</v>
      </c>
      <c r="P96" s="19" t="s">
        <v>624</v>
      </c>
      <c r="Q96" s="15" t="s">
        <v>542</v>
      </c>
      <c r="R96" s="15" t="str">
        <f t="shared" ca="1" si="1"/>
        <v>Passée</v>
      </c>
    </row>
    <row r="97" spans="1:18" ht="15.6" customHeight="1">
      <c r="A97" t="s">
        <v>625</v>
      </c>
      <c r="B97" t="s">
        <v>288</v>
      </c>
      <c r="C97" t="s">
        <v>289</v>
      </c>
      <c r="D97" t="s">
        <v>607</v>
      </c>
      <c r="E97">
        <v>2026</v>
      </c>
      <c r="F97" t="s">
        <v>508</v>
      </c>
      <c r="G97" t="s">
        <v>152</v>
      </c>
      <c r="H97" s="1">
        <v>46044</v>
      </c>
      <c r="I97" s="1">
        <v>46053</v>
      </c>
      <c r="J97" s="1">
        <v>46055</v>
      </c>
      <c r="K97" s="1">
        <v>46073</v>
      </c>
      <c r="L97" s="1">
        <v>46078</v>
      </c>
      <c r="N97" t="s">
        <v>540</v>
      </c>
      <c r="O97" t="s">
        <v>510</v>
      </c>
      <c r="P97" s="19" t="s">
        <v>624</v>
      </c>
      <c r="Q97" t="s">
        <v>542</v>
      </c>
      <c r="R97" t="str">
        <f t="shared" ca="1" si="1"/>
        <v>Passée</v>
      </c>
    </row>
    <row r="98" spans="1:18" ht="15.6" customHeight="1">
      <c r="A98" s="15" t="s">
        <v>626</v>
      </c>
      <c r="B98" s="15" t="s">
        <v>288</v>
      </c>
      <c r="C98" s="15" t="s">
        <v>289</v>
      </c>
      <c r="D98" s="15" t="s">
        <v>607</v>
      </c>
      <c r="E98" s="15">
        <v>2026</v>
      </c>
      <c r="F98" s="15" t="s">
        <v>508</v>
      </c>
      <c r="G98" s="15" t="s">
        <v>153</v>
      </c>
      <c r="H98" s="16">
        <v>46076</v>
      </c>
      <c r="I98" s="16">
        <v>46081</v>
      </c>
      <c r="J98" s="16">
        <v>46083</v>
      </c>
      <c r="K98" s="16">
        <v>46101</v>
      </c>
      <c r="L98" s="16">
        <v>46106</v>
      </c>
      <c r="M98" s="15"/>
      <c r="N98" s="15" t="s">
        <v>540</v>
      </c>
      <c r="O98" s="15" t="s">
        <v>510</v>
      </c>
      <c r="P98" s="19" t="s">
        <v>624</v>
      </c>
      <c r="Q98" s="15" t="s">
        <v>542</v>
      </c>
      <c r="R98" s="15" t="str">
        <f t="shared" ca="1" si="1"/>
        <v>Passée</v>
      </c>
    </row>
    <row r="99" spans="1:18" ht="15.6" customHeight="1">
      <c r="A99" t="s">
        <v>627</v>
      </c>
      <c r="B99" t="s">
        <v>288</v>
      </c>
      <c r="C99" t="s">
        <v>289</v>
      </c>
      <c r="D99" t="s">
        <v>607</v>
      </c>
      <c r="E99">
        <v>2026</v>
      </c>
      <c r="F99" t="s">
        <v>508</v>
      </c>
      <c r="G99" t="s">
        <v>154</v>
      </c>
      <c r="H99" s="1">
        <v>46104</v>
      </c>
      <c r="I99" s="1">
        <v>46112</v>
      </c>
      <c r="J99" s="1">
        <v>46113</v>
      </c>
      <c r="K99" s="1">
        <v>46135</v>
      </c>
      <c r="L99" s="1">
        <v>46140</v>
      </c>
      <c r="N99" t="s">
        <v>540</v>
      </c>
      <c r="O99" t="s">
        <v>510</v>
      </c>
      <c r="P99" s="19" t="s">
        <v>624</v>
      </c>
      <c r="Q99" t="s">
        <v>542</v>
      </c>
      <c r="R99" t="str">
        <f t="shared" ca="1" si="1"/>
        <v>Passée</v>
      </c>
    </row>
    <row r="100" spans="1:18" ht="15.6" customHeight="1">
      <c r="A100" s="15" t="s">
        <v>628</v>
      </c>
      <c r="B100" s="15" t="s">
        <v>288</v>
      </c>
      <c r="C100" s="15" t="s">
        <v>289</v>
      </c>
      <c r="D100" s="15" t="s">
        <v>607</v>
      </c>
      <c r="E100" s="15">
        <v>2026</v>
      </c>
      <c r="F100" s="15" t="s">
        <v>508</v>
      </c>
      <c r="G100" s="15" t="s">
        <v>155</v>
      </c>
      <c r="H100" s="16">
        <v>46134</v>
      </c>
      <c r="I100" s="16">
        <v>46142</v>
      </c>
      <c r="J100" s="16">
        <v>46146</v>
      </c>
      <c r="K100" s="16">
        <v>46168</v>
      </c>
      <c r="L100" s="16">
        <v>46171</v>
      </c>
      <c r="M100" s="15"/>
      <c r="N100" s="15" t="s">
        <v>540</v>
      </c>
      <c r="O100" s="15" t="s">
        <v>510</v>
      </c>
      <c r="P100" s="19" t="s">
        <v>624</v>
      </c>
      <c r="Q100" s="15" t="s">
        <v>542</v>
      </c>
      <c r="R100" s="15" t="str">
        <f t="shared" ca="1" si="1"/>
        <v>Passée</v>
      </c>
    </row>
    <row r="101" spans="1:18" ht="15.6" customHeight="1">
      <c r="A101" t="s">
        <v>629</v>
      </c>
      <c r="B101" t="s">
        <v>288</v>
      </c>
      <c r="C101" t="s">
        <v>289</v>
      </c>
      <c r="D101" t="s">
        <v>607</v>
      </c>
      <c r="E101">
        <v>2026</v>
      </c>
      <c r="F101" t="s">
        <v>508</v>
      </c>
      <c r="G101" t="s">
        <v>156</v>
      </c>
      <c r="H101" s="1">
        <v>46164</v>
      </c>
      <c r="I101" s="1">
        <v>46173</v>
      </c>
      <c r="J101" s="1">
        <v>46174</v>
      </c>
      <c r="K101" s="1">
        <v>46192</v>
      </c>
      <c r="L101" s="1">
        <v>46198</v>
      </c>
      <c r="N101" t="s">
        <v>540</v>
      </c>
      <c r="O101" t="s">
        <v>510</v>
      </c>
      <c r="P101" s="19" t="s">
        <v>624</v>
      </c>
      <c r="Q101" t="s">
        <v>542</v>
      </c>
      <c r="R101" t="str">
        <f t="shared" ca="1" si="1"/>
        <v>Passée</v>
      </c>
    </row>
    <row r="102" spans="1:18" ht="15.6" customHeight="1">
      <c r="A102" s="15" t="s">
        <v>630</v>
      </c>
      <c r="B102" s="15" t="s">
        <v>288</v>
      </c>
      <c r="C102" s="15" t="s">
        <v>289</v>
      </c>
      <c r="D102" s="15" t="s">
        <v>607</v>
      </c>
      <c r="E102" s="15">
        <v>2026</v>
      </c>
      <c r="F102" s="15" t="s">
        <v>508</v>
      </c>
      <c r="G102" s="15" t="s">
        <v>157</v>
      </c>
      <c r="H102" s="16">
        <v>46195</v>
      </c>
      <c r="I102" s="16">
        <v>46203</v>
      </c>
      <c r="J102" s="16">
        <v>46204</v>
      </c>
      <c r="K102" s="16">
        <v>46224</v>
      </c>
      <c r="L102" s="16">
        <v>46227</v>
      </c>
      <c r="M102" s="15"/>
      <c r="N102" s="15" t="s">
        <v>540</v>
      </c>
      <c r="O102" s="15" t="s">
        <v>510</v>
      </c>
      <c r="P102" s="19" t="s">
        <v>624</v>
      </c>
      <c r="Q102" s="15" t="s">
        <v>542</v>
      </c>
      <c r="R102" s="15" t="str">
        <f t="shared" ca="1" si="1"/>
        <v>Passée</v>
      </c>
    </row>
    <row r="103" spans="1:18" ht="15.6" customHeight="1">
      <c r="A103" t="s">
        <v>631</v>
      </c>
      <c r="B103" t="s">
        <v>288</v>
      </c>
      <c r="C103" t="s">
        <v>289</v>
      </c>
      <c r="D103" t="s">
        <v>607</v>
      </c>
      <c r="E103">
        <v>2026</v>
      </c>
      <c r="F103" t="s">
        <v>508</v>
      </c>
      <c r="G103" t="s">
        <v>158</v>
      </c>
      <c r="H103" s="1">
        <v>46225</v>
      </c>
      <c r="I103" s="1">
        <v>46234</v>
      </c>
      <c r="J103" s="1">
        <v>46237</v>
      </c>
      <c r="K103" s="1">
        <v>46255</v>
      </c>
      <c r="L103" s="1">
        <v>46260</v>
      </c>
      <c r="N103" t="s">
        <v>540</v>
      </c>
      <c r="O103" t="s">
        <v>510</v>
      </c>
      <c r="P103" s="19" t="s">
        <v>624</v>
      </c>
      <c r="Q103" t="s">
        <v>542</v>
      </c>
      <c r="R103" t="str">
        <f t="shared" ca="1" si="1"/>
        <v>Passée</v>
      </c>
    </row>
    <row r="104" spans="1:18" ht="15.6" customHeight="1">
      <c r="A104" s="15" t="s">
        <v>632</v>
      </c>
      <c r="B104" s="15" t="s">
        <v>288</v>
      </c>
      <c r="C104" s="15" t="s">
        <v>289</v>
      </c>
      <c r="D104" s="15" t="s">
        <v>607</v>
      </c>
      <c r="E104" s="15">
        <v>2026</v>
      </c>
      <c r="F104" s="15" t="s">
        <v>508</v>
      </c>
      <c r="G104" s="15" t="s">
        <v>159</v>
      </c>
      <c r="H104" s="16">
        <v>46258</v>
      </c>
      <c r="I104" s="16">
        <v>46265</v>
      </c>
      <c r="J104" s="16">
        <v>46266</v>
      </c>
      <c r="K104" s="16">
        <v>46286</v>
      </c>
      <c r="L104" s="16">
        <v>46289</v>
      </c>
      <c r="M104" s="15"/>
      <c r="N104" s="15" t="s">
        <v>540</v>
      </c>
      <c r="O104" s="15" t="s">
        <v>510</v>
      </c>
      <c r="P104" s="19" t="s">
        <v>624</v>
      </c>
      <c r="Q104" s="15" t="s">
        <v>542</v>
      </c>
      <c r="R104" s="15" t="str">
        <f t="shared" ca="1" si="1"/>
        <v>Passée</v>
      </c>
    </row>
    <row r="105" spans="1:18" ht="15.6" customHeight="1">
      <c r="A105" t="s">
        <v>633</v>
      </c>
      <c r="B105" t="s">
        <v>288</v>
      </c>
      <c r="C105" t="s">
        <v>289</v>
      </c>
      <c r="D105" t="s">
        <v>607</v>
      </c>
      <c r="E105">
        <v>2026</v>
      </c>
      <c r="F105" t="s">
        <v>508</v>
      </c>
      <c r="G105" t="s">
        <v>160</v>
      </c>
      <c r="H105" s="1">
        <v>46287</v>
      </c>
      <c r="I105" s="1">
        <v>46295</v>
      </c>
      <c r="J105" s="1">
        <v>46296</v>
      </c>
      <c r="K105" s="1">
        <v>46316</v>
      </c>
      <c r="L105" s="1">
        <v>46321</v>
      </c>
      <c r="N105" t="s">
        <v>540</v>
      </c>
      <c r="O105" t="s">
        <v>510</v>
      </c>
      <c r="P105" s="19" t="s">
        <v>624</v>
      </c>
      <c r="Q105" t="s">
        <v>542</v>
      </c>
      <c r="R105" t="str">
        <f t="shared" ca="1" si="1"/>
        <v>À venir</v>
      </c>
    </row>
    <row r="106" spans="1:18" ht="15.6" customHeight="1">
      <c r="A106" s="15" t="s">
        <v>634</v>
      </c>
      <c r="B106" s="15" t="s">
        <v>288</v>
      </c>
      <c r="C106" s="15" t="s">
        <v>289</v>
      </c>
      <c r="D106" s="15" t="s">
        <v>607</v>
      </c>
      <c r="E106" s="15">
        <v>2026</v>
      </c>
      <c r="F106" s="15" t="s">
        <v>508</v>
      </c>
      <c r="G106" s="15" t="s">
        <v>161</v>
      </c>
      <c r="H106" s="16">
        <v>46317</v>
      </c>
      <c r="I106" s="16">
        <v>46326</v>
      </c>
      <c r="J106" s="16">
        <v>46328</v>
      </c>
      <c r="K106" s="16">
        <v>46346</v>
      </c>
      <c r="L106" s="16">
        <v>46351</v>
      </c>
      <c r="M106" s="15"/>
      <c r="N106" s="15" t="s">
        <v>540</v>
      </c>
      <c r="O106" s="15" t="s">
        <v>510</v>
      </c>
      <c r="P106" s="19" t="s">
        <v>624</v>
      </c>
      <c r="Q106" s="15" t="s">
        <v>542</v>
      </c>
      <c r="R106" s="15" t="str">
        <f t="shared" ca="1" si="1"/>
        <v>À venir</v>
      </c>
    </row>
    <row r="107" spans="1:18" ht="15.6" customHeight="1">
      <c r="A107" t="s">
        <v>635</v>
      </c>
      <c r="B107" t="s">
        <v>288</v>
      </c>
      <c r="C107" t="s">
        <v>289</v>
      </c>
      <c r="D107" t="s">
        <v>607</v>
      </c>
      <c r="E107">
        <v>2026</v>
      </c>
      <c r="F107" t="s">
        <v>508</v>
      </c>
      <c r="G107" t="s">
        <v>162</v>
      </c>
      <c r="H107" s="1">
        <v>46349</v>
      </c>
      <c r="I107" s="1">
        <v>46356</v>
      </c>
      <c r="J107" s="1">
        <v>46357</v>
      </c>
      <c r="K107" s="1">
        <v>46377</v>
      </c>
      <c r="L107" s="1">
        <v>46380</v>
      </c>
      <c r="N107" t="s">
        <v>540</v>
      </c>
      <c r="O107" t="s">
        <v>510</v>
      </c>
      <c r="P107" s="19" t="s">
        <v>624</v>
      </c>
      <c r="Q107" t="s">
        <v>542</v>
      </c>
      <c r="R107" t="str">
        <f t="shared" ca="1" si="1"/>
        <v>À venir</v>
      </c>
    </row>
    <row r="108" spans="1:18" ht="15.6" customHeight="1">
      <c r="A108" s="15" t="s">
        <v>636</v>
      </c>
      <c r="B108" s="15" t="s">
        <v>288</v>
      </c>
      <c r="C108" s="15" t="s">
        <v>289</v>
      </c>
      <c r="D108" s="15" t="s">
        <v>607</v>
      </c>
      <c r="E108" s="15">
        <v>2026</v>
      </c>
      <c r="F108" s="15" t="s">
        <v>508</v>
      </c>
      <c r="G108" s="15" t="s">
        <v>163</v>
      </c>
      <c r="H108" s="16">
        <v>46378</v>
      </c>
      <c r="I108" s="16">
        <v>46387</v>
      </c>
      <c r="J108" s="16">
        <v>46391</v>
      </c>
      <c r="K108" s="16">
        <v>46409</v>
      </c>
      <c r="L108" s="16">
        <v>46414</v>
      </c>
      <c r="M108" s="15"/>
      <c r="N108" s="15" t="s">
        <v>540</v>
      </c>
      <c r="O108" s="15" t="s">
        <v>510</v>
      </c>
      <c r="P108" s="19" t="s">
        <v>624</v>
      </c>
      <c r="Q108" s="15" t="s">
        <v>542</v>
      </c>
      <c r="R108" s="15" t="str">
        <f t="shared" ca="1" si="1"/>
        <v>À venir</v>
      </c>
    </row>
    <row r="109" spans="1:18" ht="15.6" customHeight="1">
      <c r="A109" t="s">
        <v>637</v>
      </c>
      <c r="B109" t="s">
        <v>288</v>
      </c>
      <c r="C109" t="s">
        <v>289</v>
      </c>
      <c r="D109" t="s">
        <v>607</v>
      </c>
      <c r="E109">
        <v>2026</v>
      </c>
      <c r="F109" t="s">
        <v>526</v>
      </c>
      <c r="G109" t="s">
        <v>151</v>
      </c>
      <c r="H109" s="1">
        <v>46013</v>
      </c>
      <c r="I109" s="1">
        <v>46022</v>
      </c>
      <c r="J109" s="1">
        <v>46024</v>
      </c>
      <c r="K109" s="1">
        <v>46044</v>
      </c>
      <c r="M109" t="s">
        <v>638</v>
      </c>
      <c r="N109" t="s">
        <v>540</v>
      </c>
      <c r="O109" t="s">
        <v>510</v>
      </c>
      <c r="P109" s="19" t="s">
        <v>624</v>
      </c>
      <c r="Q109" t="s">
        <v>542</v>
      </c>
      <c r="R109" t="str">
        <f t="shared" ca="1" si="1"/>
        <v>Passée</v>
      </c>
    </row>
    <row r="110" spans="1:18" ht="15.6" customHeight="1">
      <c r="A110" s="15" t="s">
        <v>639</v>
      </c>
      <c r="B110" s="15" t="s">
        <v>288</v>
      </c>
      <c r="C110" s="15" t="s">
        <v>289</v>
      </c>
      <c r="D110" s="15" t="s">
        <v>607</v>
      </c>
      <c r="E110" s="15">
        <v>2026</v>
      </c>
      <c r="F110" s="15" t="s">
        <v>526</v>
      </c>
      <c r="G110" s="15" t="s">
        <v>152</v>
      </c>
      <c r="H110" s="16">
        <v>46044</v>
      </c>
      <c r="I110" s="16">
        <v>46053</v>
      </c>
      <c r="J110" s="16">
        <v>46055</v>
      </c>
      <c r="K110" s="16">
        <v>46073</v>
      </c>
      <c r="L110" s="15"/>
      <c r="M110" s="15" t="s">
        <v>640</v>
      </c>
      <c r="N110" s="15" t="s">
        <v>540</v>
      </c>
      <c r="O110" s="15" t="s">
        <v>510</v>
      </c>
      <c r="P110" s="19" t="s">
        <v>624</v>
      </c>
      <c r="Q110" s="15" t="s">
        <v>542</v>
      </c>
      <c r="R110" s="15" t="str">
        <f t="shared" ca="1" si="1"/>
        <v>Passée</v>
      </c>
    </row>
    <row r="111" spans="1:18" ht="15.6" customHeight="1">
      <c r="A111" t="s">
        <v>641</v>
      </c>
      <c r="B111" t="s">
        <v>288</v>
      </c>
      <c r="C111" t="s">
        <v>289</v>
      </c>
      <c r="D111" t="s">
        <v>607</v>
      </c>
      <c r="E111">
        <v>2026</v>
      </c>
      <c r="F111" t="s">
        <v>526</v>
      </c>
      <c r="G111" t="s">
        <v>153</v>
      </c>
      <c r="H111" s="1">
        <v>46076</v>
      </c>
      <c r="I111" s="1">
        <v>46081</v>
      </c>
      <c r="J111" s="1">
        <v>46083</v>
      </c>
      <c r="K111" s="1">
        <v>46101</v>
      </c>
      <c r="M111" t="s">
        <v>640</v>
      </c>
      <c r="N111" t="s">
        <v>540</v>
      </c>
      <c r="O111" t="s">
        <v>510</v>
      </c>
      <c r="P111" s="19" t="s">
        <v>624</v>
      </c>
      <c r="Q111" t="s">
        <v>542</v>
      </c>
      <c r="R111" t="str">
        <f t="shared" ca="1" si="1"/>
        <v>Passée</v>
      </c>
    </row>
    <row r="112" spans="1:18" ht="15.6" customHeight="1">
      <c r="A112" s="15" t="s">
        <v>642</v>
      </c>
      <c r="B112" s="15" t="s">
        <v>288</v>
      </c>
      <c r="C112" s="15" t="s">
        <v>289</v>
      </c>
      <c r="D112" s="15" t="s">
        <v>607</v>
      </c>
      <c r="E112" s="15">
        <v>2026</v>
      </c>
      <c r="F112" s="15" t="s">
        <v>526</v>
      </c>
      <c r="G112" s="15" t="s">
        <v>154</v>
      </c>
      <c r="H112" s="16">
        <v>46104</v>
      </c>
      <c r="I112" s="16">
        <v>46112</v>
      </c>
      <c r="J112" s="16">
        <v>46113</v>
      </c>
      <c r="K112" s="16">
        <v>46135</v>
      </c>
      <c r="L112" s="15"/>
      <c r="M112" s="15" t="s">
        <v>640</v>
      </c>
      <c r="N112" s="15" t="s">
        <v>540</v>
      </c>
      <c r="O112" s="15" t="s">
        <v>510</v>
      </c>
      <c r="P112" s="19" t="s">
        <v>624</v>
      </c>
      <c r="Q112" s="15" t="s">
        <v>542</v>
      </c>
      <c r="R112" s="15" t="str">
        <f t="shared" ca="1" si="1"/>
        <v>Passée</v>
      </c>
    </row>
    <row r="113" spans="1:18" ht="15.6" customHeight="1">
      <c r="A113" t="s">
        <v>643</v>
      </c>
      <c r="B113" t="s">
        <v>288</v>
      </c>
      <c r="C113" t="s">
        <v>289</v>
      </c>
      <c r="D113" t="s">
        <v>607</v>
      </c>
      <c r="E113">
        <v>2026</v>
      </c>
      <c r="F113" t="s">
        <v>526</v>
      </c>
      <c r="G113" t="s">
        <v>155</v>
      </c>
      <c r="H113" s="1">
        <v>46134</v>
      </c>
      <c r="I113" s="1">
        <v>46142</v>
      </c>
      <c r="J113" s="1">
        <v>46146</v>
      </c>
      <c r="K113" s="1">
        <v>46168</v>
      </c>
      <c r="M113" t="s">
        <v>640</v>
      </c>
      <c r="N113" t="s">
        <v>540</v>
      </c>
      <c r="O113" t="s">
        <v>510</v>
      </c>
      <c r="P113" s="19" t="s">
        <v>624</v>
      </c>
      <c r="Q113" t="s">
        <v>542</v>
      </c>
      <c r="R113" t="str">
        <f t="shared" ca="1" si="1"/>
        <v>Passée</v>
      </c>
    </row>
    <row r="114" spans="1:18" ht="15.6" customHeight="1">
      <c r="A114" s="15" t="s">
        <v>644</v>
      </c>
      <c r="B114" s="15" t="s">
        <v>288</v>
      </c>
      <c r="C114" s="15" t="s">
        <v>289</v>
      </c>
      <c r="D114" s="15" t="s">
        <v>607</v>
      </c>
      <c r="E114" s="15">
        <v>2026</v>
      </c>
      <c r="F114" s="15" t="s">
        <v>526</v>
      </c>
      <c r="G114" s="15" t="s">
        <v>156</v>
      </c>
      <c r="H114" s="16">
        <v>46164</v>
      </c>
      <c r="I114" s="16">
        <v>46173</v>
      </c>
      <c r="J114" s="16">
        <v>46174</v>
      </c>
      <c r="K114" s="16">
        <v>46192</v>
      </c>
      <c r="L114" s="15"/>
      <c r="M114" s="15" t="s">
        <v>640</v>
      </c>
      <c r="N114" s="15" t="s">
        <v>540</v>
      </c>
      <c r="O114" s="15" t="s">
        <v>510</v>
      </c>
      <c r="P114" s="19" t="s">
        <v>624</v>
      </c>
      <c r="Q114" s="15" t="s">
        <v>542</v>
      </c>
      <c r="R114" s="15" t="str">
        <f t="shared" ca="1" si="1"/>
        <v>Passée</v>
      </c>
    </row>
    <row r="115" spans="1:18" ht="15.6" customHeight="1">
      <c r="A115" t="s">
        <v>645</v>
      </c>
      <c r="B115" t="s">
        <v>288</v>
      </c>
      <c r="C115" t="s">
        <v>289</v>
      </c>
      <c r="D115" t="s">
        <v>607</v>
      </c>
      <c r="E115">
        <v>2026</v>
      </c>
      <c r="F115" t="s">
        <v>526</v>
      </c>
      <c r="G115" t="s">
        <v>157</v>
      </c>
      <c r="H115" s="1">
        <v>46195</v>
      </c>
      <c r="I115" s="1">
        <v>46203</v>
      </c>
      <c r="J115" s="1">
        <v>46204</v>
      </c>
      <c r="K115" s="1">
        <v>46224</v>
      </c>
      <c r="M115" t="s">
        <v>640</v>
      </c>
      <c r="N115" t="s">
        <v>540</v>
      </c>
      <c r="O115" t="s">
        <v>510</v>
      </c>
      <c r="P115" s="19" t="s">
        <v>624</v>
      </c>
      <c r="Q115" t="s">
        <v>542</v>
      </c>
      <c r="R115" t="str">
        <f t="shared" ca="1" si="1"/>
        <v>Passée</v>
      </c>
    </row>
    <row r="116" spans="1:18" ht="15.6" customHeight="1">
      <c r="A116" s="15" t="s">
        <v>646</v>
      </c>
      <c r="B116" s="15" t="s">
        <v>288</v>
      </c>
      <c r="C116" s="15" t="s">
        <v>289</v>
      </c>
      <c r="D116" s="15" t="s">
        <v>607</v>
      </c>
      <c r="E116" s="15">
        <v>2026</v>
      </c>
      <c r="F116" s="15" t="s">
        <v>526</v>
      </c>
      <c r="G116" s="15" t="s">
        <v>158</v>
      </c>
      <c r="H116" s="16">
        <v>46225</v>
      </c>
      <c r="I116" s="16">
        <v>46234</v>
      </c>
      <c r="J116" s="16">
        <v>46237</v>
      </c>
      <c r="K116" s="16">
        <v>46255</v>
      </c>
      <c r="L116" s="15"/>
      <c r="M116" s="15" t="s">
        <v>640</v>
      </c>
      <c r="N116" s="15" t="s">
        <v>540</v>
      </c>
      <c r="O116" s="15" t="s">
        <v>510</v>
      </c>
      <c r="P116" s="19" t="s">
        <v>624</v>
      </c>
      <c r="Q116" s="15" t="s">
        <v>542</v>
      </c>
      <c r="R116" s="15" t="str">
        <f t="shared" ca="1" si="1"/>
        <v>Passée</v>
      </c>
    </row>
    <row r="117" spans="1:18" ht="15.6" customHeight="1">
      <c r="A117" t="s">
        <v>647</v>
      </c>
      <c r="B117" t="s">
        <v>288</v>
      </c>
      <c r="C117" t="s">
        <v>289</v>
      </c>
      <c r="D117" t="s">
        <v>607</v>
      </c>
      <c r="E117">
        <v>2026</v>
      </c>
      <c r="F117" t="s">
        <v>526</v>
      </c>
      <c r="G117" t="s">
        <v>159</v>
      </c>
      <c r="H117" s="1">
        <v>46258</v>
      </c>
      <c r="I117" s="1">
        <v>46265</v>
      </c>
      <c r="J117" s="1">
        <v>46266</v>
      </c>
      <c r="K117" s="1">
        <v>46286</v>
      </c>
      <c r="M117" t="s">
        <v>640</v>
      </c>
      <c r="N117" t="s">
        <v>540</v>
      </c>
      <c r="O117" t="s">
        <v>510</v>
      </c>
      <c r="P117" s="19" t="s">
        <v>624</v>
      </c>
      <c r="Q117" t="s">
        <v>542</v>
      </c>
      <c r="R117" t="str">
        <f t="shared" ca="1" si="1"/>
        <v>Passée</v>
      </c>
    </row>
    <row r="118" spans="1:18" ht="15.6" customHeight="1">
      <c r="A118" s="15" t="s">
        <v>648</v>
      </c>
      <c r="B118" s="15" t="s">
        <v>288</v>
      </c>
      <c r="C118" s="15" t="s">
        <v>289</v>
      </c>
      <c r="D118" s="15" t="s">
        <v>607</v>
      </c>
      <c r="E118" s="15">
        <v>2026</v>
      </c>
      <c r="F118" s="15" t="s">
        <v>526</v>
      </c>
      <c r="G118" s="15" t="s">
        <v>160</v>
      </c>
      <c r="H118" s="16">
        <v>46287</v>
      </c>
      <c r="I118" s="16">
        <v>46295</v>
      </c>
      <c r="J118" s="16">
        <v>46296</v>
      </c>
      <c r="K118" s="16">
        <v>46316</v>
      </c>
      <c r="L118" s="15"/>
      <c r="M118" s="15" t="s">
        <v>640</v>
      </c>
      <c r="N118" s="15" t="s">
        <v>540</v>
      </c>
      <c r="O118" s="15" t="s">
        <v>510</v>
      </c>
      <c r="P118" s="19" t="s">
        <v>624</v>
      </c>
      <c r="Q118" s="15" t="s">
        <v>542</v>
      </c>
      <c r="R118" s="15" t="str">
        <f t="shared" ca="1" si="1"/>
        <v>À venir</v>
      </c>
    </row>
    <row r="119" spans="1:18" ht="15.6" customHeight="1">
      <c r="A119" t="s">
        <v>649</v>
      </c>
      <c r="B119" t="s">
        <v>288</v>
      </c>
      <c r="C119" t="s">
        <v>289</v>
      </c>
      <c r="D119" t="s">
        <v>607</v>
      </c>
      <c r="E119">
        <v>2026</v>
      </c>
      <c r="F119" t="s">
        <v>526</v>
      </c>
      <c r="G119" t="s">
        <v>161</v>
      </c>
      <c r="H119" s="1">
        <v>46317</v>
      </c>
      <c r="I119" s="1">
        <v>46326</v>
      </c>
      <c r="J119" s="1">
        <v>46328</v>
      </c>
      <c r="K119" s="1">
        <v>46346</v>
      </c>
      <c r="M119" t="s">
        <v>640</v>
      </c>
      <c r="N119" t="s">
        <v>540</v>
      </c>
      <c r="O119" t="s">
        <v>510</v>
      </c>
      <c r="P119" s="19" t="s">
        <v>624</v>
      </c>
      <c r="Q119" t="s">
        <v>542</v>
      </c>
      <c r="R119" t="str">
        <f t="shared" ca="1" si="1"/>
        <v>À venir</v>
      </c>
    </row>
    <row r="120" spans="1:18" ht="15.6" customHeight="1">
      <c r="A120" s="15" t="s">
        <v>650</v>
      </c>
      <c r="B120" s="15" t="s">
        <v>288</v>
      </c>
      <c r="C120" s="15" t="s">
        <v>289</v>
      </c>
      <c r="D120" s="15" t="s">
        <v>607</v>
      </c>
      <c r="E120" s="15">
        <v>2026</v>
      </c>
      <c r="F120" s="15" t="s">
        <v>526</v>
      </c>
      <c r="G120" s="15" t="s">
        <v>162</v>
      </c>
      <c r="H120" s="16">
        <v>46349</v>
      </c>
      <c r="I120" s="16">
        <v>46356</v>
      </c>
      <c r="J120" s="16">
        <v>46357</v>
      </c>
      <c r="K120" s="16">
        <v>46377</v>
      </c>
      <c r="L120" s="15"/>
      <c r="M120" s="15" t="s">
        <v>640</v>
      </c>
      <c r="N120" s="15" t="s">
        <v>540</v>
      </c>
      <c r="O120" s="15" t="s">
        <v>510</v>
      </c>
      <c r="P120" s="19" t="s">
        <v>624</v>
      </c>
      <c r="Q120" s="15" t="s">
        <v>542</v>
      </c>
      <c r="R120" s="15" t="str">
        <f t="shared" ca="1" si="1"/>
        <v>À venir</v>
      </c>
    </row>
    <row r="121" spans="1:18" ht="15.6" customHeight="1">
      <c r="A121" t="s">
        <v>651</v>
      </c>
      <c r="B121" t="s">
        <v>288</v>
      </c>
      <c r="C121" t="s">
        <v>289</v>
      </c>
      <c r="D121" t="s">
        <v>607</v>
      </c>
      <c r="E121">
        <v>2026</v>
      </c>
      <c r="F121" t="s">
        <v>526</v>
      </c>
      <c r="G121" t="s">
        <v>163</v>
      </c>
      <c r="H121" s="1">
        <v>46378</v>
      </c>
      <c r="I121" s="1">
        <v>46387</v>
      </c>
      <c r="J121" s="1">
        <v>46391</v>
      </c>
      <c r="K121" s="1">
        <v>46409</v>
      </c>
      <c r="M121" t="s">
        <v>640</v>
      </c>
      <c r="N121" t="s">
        <v>540</v>
      </c>
      <c r="O121" t="s">
        <v>510</v>
      </c>
      <c r="P121" s="19" t="s">
        <v>624</v>
      </c>
      <c r="Q121" t="s">
        <v>542</v>
      </c>
      <c r="R121" t="str">
        <f t="shared" ca="1" si="1"/>
        <v>À venir</v>
      </c>
    </row>
    <row r="122" spans="1:18" ht="15.6" customHeight="1">
      <c r="A122" s="15" t="s">
        <v>652</v>
      </c>
      <c r="B122" s="15" t="s">
        <v>237</v>
      </c>
      <c r="C122" s="15" t="s">
        <v>238</v>
      </c>
      <c r="D122" s="15" t="s">
        <v>653</v>
      </c>
      <c r="E122" s="15">
        <v>2026</v>
      </c>
      <c r="F122" s="15" t="s">
        <v>526</v>
      </c>
      <c r="G122" s="15" t="s">
        <v>152</v>
      </c>
      <c r="H122" s="16">
        <v>46008</v>
      </c>
      <c r="I122" s="16">
        <v>46052</v>
      </c>
      <c r="J122" s="16">
        <v>46052</v>
      </c>
      <c r="K122" s="16">
        <v>46108</v>
      </c>
      <c r="L122" s="16">
        <v>46129</v>
      </c>
      <c r="M122" s="15"/>
      <c r="N122" s="15" t="s">
        <v>540</v>
      </c>
      <c r="O122" s="15" t="s">
        <v>510</v>
      </c>
      <c r="P122" s="19" t="s">
        <v>654</v>
      </c>
      <c r="Q122" s="15" t="s">
        <v>542</v>
      </c>
      <c r="R122" s="15" t="str">
        <f t="shared" ca="1" si="1"/>
        <v>Passée</v>
      </c>
    </row>
    <row r="123" spans="1:18" ht="15.6" customHeight="1">
      <c r="A123" t="s">
        <v>655</v>
      </c>
      <c r="B123" t="s">
        <v>237</v>
      </c>
      <c r="C123" t="s">
        <v>238</v>
      </c>
      <c r="D123" t="s">
        <v>653</v>
      </c>
      <c r="E123">
        <v>2026</v>
      </c>
      <c r="F123" t="s">
        <v>526</v>
      </c>
      <c r="G123" t="s">
        <v>153</v>
      </c>
      <c r="H123" s="1">
        <v>46038</v>
      </c>
      <c r="I123" s="1">
        <v>46080</v>
      </c>
      <c r="J123" s="1">
        <v>46080</v>
      </c>
      <c r="K123" s="1">
        <v>46136</v>
      </c>
      <c r="L123" s="1">
        <v>46158</v>
      </c>
      <c r="N123" t="s">
        <v>540</v>
      </c>
      <c r="O123" t="s">
        <v>510</v>
      </c>
      <c r="P123" s="19" t="s">
        <v>654</v>
      </c>
      <c r="Q123" t="s">
        <v>542</v>
      </c>
      <c r="R123" t="str">
        <f t="shared" ca="1" si="1"/>
        <v>Passée</v>
      </c>
    </row>
    <row r="124" spans="1:18" ht="15.6" customHeight="1">
      <c r="A124" s="15" t="s">
        <v>656</v>
      </c>
      <c r="B124" s="15" t="s">
        <v>237</v>
      </c>
      <c r="C124" s="15" t="s">
        <v>238</v>
      </c>
      <c r="D124" s="15" t="s">
        <v>653</v>
      </c>
      <c r="E124" s="15">
        <v>2026</v>
      </c>
      <c r="F124" s="15" t="s">
        <v>526</v>
      </c>
      <c r="G124" s="15" t="s">
        <v>154</v>
      </c>
      <c r="H124" s="16">
        <v>46070</v>
      </c>
      <c r="I124" s="16">
        <v>46112</v>
      </c>
      <c r="J124" s="16">
        <v>46112</v>
      </c>
      <c r="K124" s="16">
        <v>46168</v>
      </c>
      <c r="L124" s="16">
        <v>46190</v>
      </c>
      <c r="M124" s="15"/>
      <c r="N124" s="15" t="s">
        <v>540</v>
      </c>
      <c r="O124" s="15" t="s">
        <v>510</v>
      </c>
      <c r="P124" s="19" t="s">
        <v>654</v>
      </c>
      <c r="Q124" s="15" t="s">
        <v>542</v>
      </c>
      <c r="R124" s="15" t="str">
        <f t="shared" ca="1" si="1"/>
        <v>Passée</v>
      </c>
    </row>
    <row r="125" spans="1:18" ht="15.6" customHeight="1">
      <c r="A125" t="s">
        <v>657</v>
      </c>
      <c r="B125" t="s">
        <v>237</v>
      </c>
      <c r="C125" t="s">
        <v>238</v>
      </c>
      <c r="D125" t="s">
        <v>653</v>
      </c>
      <c r="E125">
        <v>2026</v>
      </c>
      <c r="F125" t="s">
        <v>526</v>
      </c>
      <c r="G125" t="s">
        <v>155</v>
      </c>
      <c r="H125" s="1">
        <v>46098</v>
      </c>
      <c r="I125" s="1">
        <v>46142</v>
      </c>
      <c r="J125" s="1">
        <v>46142</v>
      </c>
      <c r="K125" s="1">
        <v>46198</v>
      </c>
      <c r="L125" s="1">
        <v>46220</v>
      </c>
      <c r="N125" t="s">
        <v>540</v>
      </c>
      <c r="O125" t="s">
        <v>510</v>
      </c>
      <c r="P125" s="19" t="s">
        <v>654</v>
      </c>
      <c r="Q125" t="s">
        <v>542</v>
      </c>
      <c r="R125" t="str">
        <f t="shared" ca="1" si="1"/>
        <v>Passée</v>
      </c>
    </row>
    <row r="126" spans="1:18" ht="15.6" customHeight="1">
      <c r="A126" s="15" t="s">
        <v>658</v>
      </c>
      <c r="B126" s="15" t="s">
        <v>237</v>
      </c>
      <c r="C126" s="15" t="s">
        <v>238</v>
      </c>
      <c r="D126" s="15" t="s">
        <v>653</v>
      </c>
      <c r="E126" s="15">
        <v>2026</v>
      </c>
      <c r="F126" s="15" t="s">
        <v>526</v>
      </c>
      <c r="G126" s="15" t="s">
        <v>156</v>
      </c>
      <c r="H126" s="16">
        <v>46125</v>
      </c>
      <c r="I126" s="16">
        <v>46171</v>
      </c>
      <c r="J126" s="16">
        <v>46171</v>
      </c>
      <c r="K126" s="16">
        <v>46227</v>
      </c>
      <c r="L126" s="16">
        <v>46247</v>
      </c>
      <c r="M126" s="15"/>
      <c r="N126" s="15" t="s">
        <v>540</v>
      </c>
      <c r="O126" s="15" t="s">
        <v>510</v>
      </c>
      <c r="P126" s="19" t="s">
        <v>654</v>
      </c>
      <c r="Q126" s="15" t="s">
        <v>542</v>
      </c>
      <c r="R126" s="15" t="str">
        <f t="shared" ca="1" si="1"/>
        <v>Passée</v>
      </c>
    </row>
    <row r="127" spans="1:18" ht="15.6" customHeight="1">
      <c r="A127" t="s">
        <v>659</v>
      </c>
      <c r="B127" t="s">
        <v>237</v>
      </c>
      <c r="C127" t="s">
        <v>238</v>
      </c>
      <c r="D127" t="s">
        <v>653</v>
      </c>
      <c r="E127">
        <v>2026</v>
      </c>
      <c r="F127" t="s">
        <v>526</v>
      </c>
      <c r="G127" t="s">
        <v>157</v>
      </c>
      <c r="H127" s="1">
        <v>46160</v>
      </c>
      <c r="I127" s="1">
        <v>46203</v>
      </c>
      <c r="J127" s="1">
        <v>46203</v>
      </c>
      <c r="K127" s="1">
        <v>46259</v>
      </c>
      <c r="L127" s="1">
        <v>46283</v>
      </c>
      <c r="N127" t="s">
        <v>540</v>
      </c>
      <c r="O127" t="s">
        <v>510</v>
      </c>
      <c r="P127" s="19" t="s">
        <v>654</v>
      </c>
      <c r="Q127" t="s">
        <v>542</v>
      </c>
      <c r="R127" t="str">
        <f t="shared" ca="1" si="1"/>
        <v>Passée</v>
      </c>
    </row>
    <row r="128" spans="1:18" ht="15.6" customHeight="1">
      <c r="A128" s="15" t="s">
        <v>660</v>
      </c>
      <c r="B128" s="15" t="s">
        <v>237</v>
      </c>
      <c r="C128" s="15" t="s">
        <v>238</v>
      </c>
      <c r="D128" s="15" t="s">
        <v>653</v>
      </c>
      <c r="E128" s="15">
        <v>2026</v>
      </c>
      <c r="F128" s="15" t="s">
        <v>526</v>
      </c>
      <c r="G128" s="15" t="s">
        <v>158</v>
      </c>
      <c r="H128" s="16">
        <v>46191</v>
      </c>
      <c r="I128" s="16">
        <v>46234</v>
      </c>
      <c r="J128" s="16">
        <v>46234</v>
      </c>
      <c r="K128" s="16">
        <v>46290</v>
      </c>
      <c r="L128" s="16">
        <v>46313</v>
      </c>
      <c r="M128" s="15"/>
      <c r="N128" s="15" t="s">
        <v>540</v>
      </c>
      <c r="O128" s="15" t="s">
        <v>510</v>
      </c>
      <c r="P128" s="19" t="s">
        <v>654</v>
      </c>
      <c r="Q128" s="15" t="s">
        <v>542</v>
      </c>
      <c r="R128" s="15" t="str">
        <f t="shared" ca="1" si="1"/>
        <v>Passée</v>
      </c>
    </row>
    <row r="129" spans="1:18" ht="15.6" customHeight="1">
      <c r="A129" t="s">
        <v>661</v>
      </c>
      <c r="B129" t="s">
        <v>237</v>
      </c>
      <c r="C129" t="s">
        <v>238</v>
      </c>
      <c r="D129" t="s">
        <v>653</v>
      </c>
      <c r="E129">
        <v>2026</v>
      </c>
      <c r="F129" t="s">
        <v>526</v>
      </c>
      <c r="G129" t="s">
        <v>159</v>
      </c>
      <c r="H129" s="1">
        <v>46223</v>
      </c>
      <c r="I129" s="1">
        <v>46265</v>
      </c>
      <c r="J129" s="1">
        <v>46265</v>
      </c>
      <c r="K129" s="1">
        <v>46321</v>
      </c>
      <c r="L129" s="1">
        <v>46346</v>
      </c>
      <c r="N129" t="s">
        <v>540</v>
      </c>
      <c r="O129" t="s">
        <v>510</v>
      </c>
      <c r="P129" s="19" t="s">
        <v>654</v>
      </c>
      <c r="Q129" t="s">
        <v>542</v>
      </c>
      <c r="R129" t="str">
        <f t="shared" ca="1" si="1"/>
        <v>Passée</v>
      </c>
    </row>
    <row r="130" spans="1:18" ht="15.6" customHeight="1">
      <c r="A130" s="15" t="s">
        <v>662</v>
      </c>
      <c r="B130" s="15" t="s">
        <v>237</v>
      </c>
      <c r="C130" s="15" t="s">
        <v>238</v>
      </c>
      <c r="D130" s="15" t="s">
        <v>653</v>
      </c>
      <c r="E130" s="15">
        <v>2026</v>
      </c>
      <c r="F130" s="15" t="s">
        <v>526</v>
      </c>
      <c r="G130" s="15" t="s">
        <v>160</v>
      </c>
      <c r="H130" s="16">
        <v>46253</v>
      </c>
      <c r="I130" s="16">
        <v>46295</v>
      </c>
      <c r="J130" s="16">
        <v>46295</v>
      </c>
      <c r="K130" s="16">
        <v>46351</v>
      </c>
      <c r="L130" s="16">
        <v>46375</v>
      </c>
      <c r="M130" s="15"/>
      <c r="N130" s="15" t="s">
        <v>540</v>
      </c>
      <c r="O130" s="15" t="s">
        <v>510</v>
      </c>
      <c r="P130" s="19" t="s">
        <v>654</v>
      </c>
      <c r="Q130" s="15" t="s">
        <v>542</v>
      </c>
      <c r="R130" s="15" t="str">
        <f t="shared" ref="R130:R193" ca="1" si="2">IF(H130&gt;=TODAY(),"À venir","Passée")</f>
        <v>Passée</v>
      </c>
    </row>
    <row r="131" spans="1:18" ht="15.6" customHeight="1">
      <c r="A131" t="s">
        <v>663</v>
      </c>
      <c r="B131" t="s">
        <v>237</v>
      </c>
      <c r="C131" t="s">
        <v>238</v>
      </c>
      <c r="D131" t="s">
        <v>653</v>
      </c>
      <c r="E131">
        <v>2026</v>
      </c>
      <c r="F131" t="s">
        <v>526</v>
      </c>
      <c r="G131" t="s">
        <v>161</v>
      </c>
      <c r="H131" s="1">
        <v>46283</v>
      </c>
      <c r="I131" s="1">
        <v>46325</v>
      </c>
      <c r="J131" s="1">
        <v>46325</v>
      </c>
      <c r="K131" s="1">
        <v>46381</v>
      </c>
      <c r="L131" s="1">
        <v>46405</v>
      </c>
      <c r="N131" t="s">
        <v>540</v>
      </c>
      <c r="O131" t="s">
        <v>510</v>
      </c>
      <c r="P131" s="19" t="s">
        <v>654</v>
      </c>
      <c r="Q131" t="s">
        <v>542</v>
      </c>
      <c r="R131" t="str">
        <f t="shared" ca="1" si="2"/>
        <v>À venir</v>
      </c>
    </row>
    <row r="132" spans="1:18" ht="15.6" customHeight="1">
      <c r="A132" s="15" t="s">
        <v>664</v>
      </c>
      <c r="B132" s="15" t="s">
        <v>237</v>
      </c>
      <c r="C132" s="15" t="s">
        <v>238</v>
      </c>
      <c r="D132" s="15" t="s">
        <v>653</v>
      </c>
      <c r="E132" s="15">
        <v>2026</v>
      </c>
      <c r="F132" s="15" t="s">
        <v>526</v>
      </c>
      <c r="G132" s="15" t="s">
        <v>162</v>
      </c>
      <c r="H132" s="16">
        <v>46311</v>
      </c>
      <c r="I132" s="16">
        <v>46356</v>
      </c>
      <c r="J132" s="16">
        <v>46356</v>
      </c>
      <c r="K132" s="16">
        <v>46412</v>
      </c>
      <c r="L132" s="16">
        <v>46434</v>
      </c>
      <c r="M132" s="15"/>
      <c r="N132" s="15" t="s">
        <v>540</v>
      </c>
      <c r="O132" s="15" t="s">
        <v>510</v>
      </c>
      <c r="P132" s="19" t="s">
        <v>654</v>
      </c>
      <c r="Q132" s="15" t="s">
        <v>542</v>
      </c>
      <c r="R132" s="15" t="str">
        <f t="shared" ca="1" si="2"/>
        <v>À venir</v>
      </c>
    </row>
    <row r="133" spans="1:18" ht="15.6" customHeight="1">
      <c r="A133" t="s">
        <v>665</v>
      </c>
      <c r="B133" t="s">
        <v>237</v>
      </c>
      <c r="C133" t="s">
        <v>238</v>
      </c>
      <c r="D133" t="s">
        <v>653</v>
      </c>
      <c r="E133">
        <v>2026</v>
      </c>
      <c r="F133" t="s">
        <v>526</v>
      </c>
      <c r="G133" t="s">
        <v>163</v>
      </c>
      <c r="H133" s="1">
        <v>46344</v>
      </c>
      <c r="I133" s="1">
        <v>46387</v>
      </c>
      <c r="J133" s="1">
        <v>46387</v>
      </c>
      <c r="K133" s="1">
        <v>46443</v>
      </c>
      <c r="L133" s="1">
        <v>46464</v>
      </c>
      <c r="N133" t="s">
        <v>540</v>
      </c>
      <c r="O133" t="s">
        <v>510</v>
      </c>
      <c r="P133" s="19" t="s">
        <v>654</v>
      </c>
      <c r="Q133" t="s">
        <v>542</v>
      </c>
      <c r="R133" t="str">
        <f t="shared" ca="1" si="2"/>
        <v>À venir</v>
      </c>
    </row>
    <row r="134" spans="1:18" ht="15.6" customHeight="1">
      <c r="A134" s="15" t="s">
        <v>666</v>
      </c>
      <c r="B134" s="15" t="s">
        <v>239</v>
      </c>
      <c r="C134" s="15" t="s">
        <v>240</v>
      </c>
      <c r="D134" s="15" t="s">
        <v>653</v>
      </c>
      <c r="E134" s="15">
        <v>2026</v>
      </c>
      <c r="F134" s="15" t="s">
        <v>526</v>
      </c>
      <c r="G134" s="15" t="s">
        <v>152</v>
      </c>
      <c r="H134" s="16">
        <v>46008</v>
      </c>
      <c r="I134" s="16">
        <v>46052</v>
      </c>
      <c r="J134" s="16">
        <v>46052</v>
      </c>
      <c r="K134" s="16">
        <v>46108</v>
      </c>
      <c r="L134" s="16">
        <v>46129</v>
      </c>
      <c r="M134" s="15"/>
      <c r="N134" s="15" t="s">
        <v>540</v>
      </c>
      <c r="O134" s="15" t="s">
        <v>510</v>
      </c>
      <c r="P134" s="19" t="s">
        <v>654</v>
      </c>
      <c r="Q134" s="15" t="s">
        <v>542</v>
      </c>
      <c r="R134" s="15" t="str">
        <f t="shared" ca="1" si="2"/>
        <v>Passée</v>
      </c>
    </row>
    <row r="135" spans="1:18" ht="15.6" customHeight="1">
      <c r="A135" t="s">
        <v>667</v>
      </c>
      <c r="B135" t="s">
        <v>239</v>
      </c>
      <c r="C135" t="s">
        <v>240</v>
      </c>
      <c r="D135" t="s">
        <v>653</v>
      </c>
      <c r="E135">
        <v>2026</v>
      </c>
      <c r="F135" t="s">
        <v>526</v>
      </c>
      <c r="G135" t="s">
        <v>153</v>
      </c>
      <c r="H135" s="1">
        <v>46038</v>
      </c>
      <c r="I135" s="1">
        <v>46080</v>
      </c>
      <c r="J135" s="1">
        <v>46080</v>
      </c>
      <c r="K135" s="1">
        <v>46136</v>
      </c>
      <c r="L135" s="1">
        <v>46158</v>
      </c>
      <c r="N135" t="s">
        <v>540</v>
      </c>
      <c r="O135" t="s">
        <v>510</v>
      </c>
      <c r="P135" s="19" t="s">
        <v>654</v>
      </c>
      <c r="Q135" t="s">
        <v>542</v>
      </c>
      <c r="R135" t="str">
        <f t="shared" ca="1" si="2"/>
        <v>Passée</v>
      </c>
    </row>
    <row r="136" spans="1:18" ht="15.6" customHeight="1">
      <c r="A136" s="15" t="s">
        <v>668</v>
      </c>
      <c r="B136" s="15" t="s">
        <v>239</v>
      </c>
      <c r="C136" s="15" t="s">
        <v>240</v>
      </c>
      <c r="D136" s="15" t="s">
        <v>653</v>
      </c>
      <c r="E136" s="15">
        <v>2026</v>
      </c>
      <c r="F136" s="15" t="s">
        <v>526</v>
      </c>
      <c r="G136" s="15" t="s">
        <v>154</v>
      </c>
      <c r="H136" s="16">
        <v>46070</v>
      </c>
      <c r="I136" s="16">
        <v>46112</v>
      </c>
      <c r="J136" s="16">
        <v>46112</v>
      </c>
      <c r="K136" s="16">
        <v>46168</v>
      </c>
      <c r="L136" s="16">
        <v>46190</v>
      </c>
      <c r="M136" s="15"/>
      <c r="N136" s="15" t="s">
        <v>540</v>
      </c>
      <c r="O136" s="15" t="s">
        <v>510</v>
      </c>
      <c r="P136" s="19" t="s">
        <v>654</v>
      </c>
      <c r="Q136" s="15" t="s">
        <v>542</v>
      </c>
      <c r="R136" s="15" t="str">
        <f t="shared" ca="1" si="2"/>
        <v>Passée</v>
      </c>
    </row>
    <row r="137" spans="1:18" ht="15.6" customHeight="1">
      <c r="A137" t="s">
        <v>669</v>
      </c>
      <c r="B137" t="s">
        <v>239</v>
      </c>
      <c r="C137" t="s">
        <v>240</v>
      </c>
      <c r="D137" t="s">
        <v>653</v>
      </c>
      <c r="E137">
        <v>2026</v>
      </c>
      <c r="F137" t="s">
        <v>526</v>
      </c>
      <c r="G137" t="s">
        <v>155</v>
      </c>
      <c r="H137" s="1">
        <v>46098</v>
      </c>
      <c r="I137" s="1">
        <v>46142</v>
      </c>
      <c r="J137" s="1">
        <v>46142</v>
      </c>
      <c r="K137" s="1">
        <v>46198</v>
      </c>
      <c r="L137" s="1">
        <v>46220</v>
      </c>
      <c r="N137" t="s">
        <v>540</v>
      </c>
      <c r="O137" t="s">
        <v>510</v>
      </c>
      <c r="P137" s="19" t="s">
        <v>654</v>
      </c>
      <c r="Q137" t="s">
        <v>542</v>
      </c>
      <c r="R137" t="str">
        <f t="shared" ca="1" si="2"/>
        <v>Passée</v>
      </c>
    </row>
    <row r="138" spans="1:18" ht="15.6" customHeight="1">
      <c r="A138" s="15" t="s">
        <v>670</v>
      </c>
      <c r="B138" s="15" t="s">
        <v>239</v>
      </c>
      <c r="C138" s="15" t="s">
        <v>240</v>
      </c>
      <c r="D138" s="15" t="s">
        <v>653</v>
      </c>
      <c r="E138" s="15">
        <v>2026</v>
      </c>
      <c r="F138" s="15" t="s">
        <v>526</v>
      </c>
      <c r="G138" s="15" t="s">
        <v>156</v>
      </c>
      <c r="H138" s="16">
        <v>46125</v>
      </c>
      <c r="I138" s="16">
        <v>46171</v>
      </c>
      <c r="J138" s="16">
        <v>46171</v>
      </c>
      <c r="K138" s="16">
        <v>46227</v>
      </c>
      <c r="L138" s="16">
        <v>46247</v>
      </c>
      <c r="M138" s="15"/>
      <c r="N138" s="15" t="s">
        <v>540</v>
      </c>
      <c r="O138" s="15" t="s">
        <v>510</v>
      </c>
      <c r="P138" s="19" t="s">
        <v>654</v>
      </c>
      <c r="Q138" s="15" t="s">
        <v>542</v>
      </c>
      <c r="R138" s="15" t="str">
        <f t="shared" ca="1" si="2"/>
        <v>Passée</v>
      </c>
    </row>
    <row r="139" spans="1:18" ht="15.6" customHeight="1">
      <c r="A139" t="s">
        <v>671</v>
      </c>
      <c r="B139" t="s">
        <v>239</v>
      </c>
      <c r="C139" t="s">
        <v>240</v>
      </c>
      <c r="D139" t="s">
        <v>653</v>
      </c>
      <c r="E139">
        <v>2026</v>
      </c>
      <c r="F139" t="s">
        <v>526</v>
      </c>
      <c r="G139" t="s">
        <v>157</v>
      </c>
      <c r="H139" s="1">
        <v>46160</v>
      </c>
      <c r="I139" s="1">
        <v>46203</v>
      </c>
      <c r="J139" s="1">
        <v>46203</v>
      </c>
      <c r="K139" s="1">
        <v>46259</v>
      </c>
      <c r="L139" s="1">
        <v>46283</v>
      </c>
      <c r="N139" t="s">
        <v>540</v>
      </c>
      <c r="O139" t="s">
        <v>510</v>
      </c>
      <c r="P139" s="19" t="s">
        <v>654</v>
      </c>
      <c r="Q139" t="s">
        <v>542</v>
      </c>
      <c r="R139" t="str">
        <f t="shared" ca="1" si="2"/>
        <v>Passée</v>
      </c>
    </row>
    <row r="140" spans="1:18" ht="15.6" customHeight="1">
      <c r="A140" s="15" t="s">
        <v>672</v>
      </c>
      <c r="B140" s="15" t="s">
        <v>239</v>
      </c>
      <c r="C140" s="15" t="s">
        <v>240</v>
      </c>
      <c r="D140" s="15" t="s">
        <v>653</v>
      </c>
      <c r="E140" s="15">
        <v>2026</v>
      </c>
      <c r="F140" s="15" t="s">
        <v>526</v>
      </c>
      <c r="G140" s="15" t="s">
        <v>158</v>
      </c>
      <c r="H140" s="16">
        <v>46191</v>
      </c>
      <c r="I140" s="16">
        <v>46234</v>
      </c>
      <c r="J140" s="16">
        <v>46234</v>
      </c>
      <c r="K140" s="16">
        <v>46290</v>
      </c>
      <c r="L140" s="16">
        <v>46313</v>
      </c>
      <c r="M140" s="15"/>
      <c r="N140" s="15" t="s">
        <v>540</v>
      </c>
      <c r="O140" s="15" t="s">
        <v>510</v>
      </c>
      <c r="P140" s="19" t="s">
        <v>654</v>
      </c>
      <c r="Q140" s="15" t="s">
        <v>542</v>
      </c>
      <c r="R140" s="15" t="str">
        <f t="shared" ca="1" si="2"/>
        <v>Passée</v>
      </c>
    </row>
    <row r="141" spans="1:18" ht="15.6" customHeight="1">
      <c r="A141" t="s">
        <v>673</v>
      </c>
      <c r="B141" t="s">
        <v>239</v>
      </c>
      <c r="C141" t="s">
        <v>240</v>
      </c>
      <c r="D141" t="s">
        <v>653</v>
      </c>
      <c r="E141">
        <v>2026</v>
      </c>
      <c r="F141" t="s">
        <v>526</v>
      </c>
      <c r="G141" t="s">
        <v>159</v>
      </c>
      <c r="H141" s="1">
        <v>46223</v>
      </c>
      <c r="I141" s="1">
        <v>46265</v>
      </c>
      <c r="J141" s="1">
        <v>46265</v>
      </c>
      <c r="K141" s="1">
        <v>46321</v>
      </c>
      <c r="L141" s="1">
        <v>46346</v>
      </c>
      <c r="N141" t="s">
        <v>540</v>
      </c>
      <c r="O141" t="s">
        <v>510</v>
      </c>
      <c r="P141" s="19" t="s">
        <v>654</v>
      </c>
      <c r="Q141" t="s">
        <v>542</v>
      </c>
      <c r="R141" t="str">
        <f t="shared" ca="1" si="2"/>
        <v>Passée</v>
      </c>
    </row>
    <row r="142" spans="1:18" ht="15.6" customHeight="1">
      <c r="A142" s="15" t="s">
        <v>674</v>
      </c>
      <c r="B142" s="15" t="s">
        <v>239</v>
      </c>
      <c r="C142" s="15" t="s">
        <v>240</v>
      </c>
      <c r="D142" s="15" t="s">
        <v>653</v>
      </c>
      <c r="E142" s="15">
        <v>2026</v>
      </c>
      <c r="F142" s="15" t="s">
        <v>526</v>
      </c>
      <c r="G142" s="15" t="s">
        <v>160</v>
      </c>
      <c r="H142" s="16">
        <v>46253</v>
      </c>
      <c r="I142" s="16">
        <v>46295</v>
      </c>
      <c r="J142" s="16">
        <v>46295</v>
      </c>
      <c r="K142" s="16">
        <v>46351</v>
      </c>
      <c r="L142" s="16">
        <v>46375</v>
      </c>
      <c r="M142" s="15"/>
      <c r="N142" s="15" t="s">
        <v>540</v>
      </c>
      <c r="O142" s="15" t="s">
        <v>510</v>
      </c>
      <c r="P142" s="19" t="s">
        <v>654</v>
      </c>
      <c r="Q142" s="15" t="s">
        <v>542</v>
      </c>
      <c r="R142" s="15" t="str">
        <f t="shared" ca="1" si="2"/>
        <v>Passée</v>
      </c>
    </row>
    <row r="143" spans="1:18" ht="15.6" customHeight="1">
      <c r="A143" t="s">
        <v>675</v>
      </c>
      <c r="B143" t="s">
        <v>239</v>
      </c>
      <c r="C143" t="s">
        <v>240</v>
      </c>
      <c r="D143" t="s">
        <v>653</v>
      </c>
      <c r="E143">
        <v>2026</v>
      </c>
      <c r="F143" t="s">
        <v>526</v>
      </c>
      <c r="G143" t="s">
        <v>161</v>
      </c>
      <c r="H143" s="1">
        <v>46283</v>
      </c>
      <c r="I143" s="1">
        <v>46325</v>
      </c>
      <c r="J143" s="1">
        <v>46325</v>
      </c>
      <c r="K143" s="1">
        <v>46381</v>
      </c>
      <c r="L143" s="1">
        <v>46405</v>
      </c>
      <c r="N143" t="s">
        <v>540</v>
      </c>
      <c r="O143" t="s">
        <v>510</v>
      </c>
      <c r="P143" s="19" t="s">
        <v>654</v>
      </c>
      <c r="Q143" t="s">
        <v>542</v>
      </c>
      <c r="R143" t="str">
        <f t="shared" ca="1" si="2"/>
        <v>À venir</v>
      </c>
    </row>
    <row r="144" spans="1:18" ht="15.6" customHeight="1">
      <c r="A144" s="15" t="s">
        <v>676</v>
      </c>
      <c r="B144" s="15" t="s">
        <v>239</v>
      </c>
      <c r="C144" s="15" t="s">
        <v>240</v>
      </c>
      <c r="D144" s="15" t="s">
        <v>653</v>
      </c>
      <c r="E144" s="15">
        <v>2026</v>
      </c>
      <c r="F144" s="15" t="s">
        <v>526</v>
      </c>
      <c r="G144" s="15" t="s">
        <v>162</v>
      </c>
      <c r="H144" s="16">
        <v>46311</v>
      </c>
      <c r="I144" s="16">
        <v>46356</v>
      </c>
      <c r="J144" s="16">
        <v>46356</v>
      </c>
      <c r="K144" s="16">
        <v>46412</v>
      </c>
      <c r="L144" s="16">
        <v>46434</v>
      </c>
      <c r="M144" s="15"/>
      <c r="N144" s="15" t="s">
        <v>540</v>
      </c>
      <c r="O144" s="15" t="s">
        <v>510</v>
      </c>
      <c r="P144" s="19" t="s">
        <v>654</v>
      </c>
      <c r="Q144" s="15" t="s">
        <v>542</v>
      </c>
      <c r="R144" s="15" t="str">
        <f t="shared" ca="1" si="2"/>
        <v>À venir</v>
      </c>
    </row>
    <row r="145" spans="1:18" ht="15.6" customHeight="1">
      <c r="A145" t="s">
        <v>677</v>
      </c>
      <c r="B145" t="s">
        <v>239</v>
      </c>
      <c r="C145" t="s">
        <v>240</v>
      </c>
      <c r="D145" t="s">
        <v>653</v>
      </c>
      <c r="E145">
        <v>2026</v>
      </c>
      <c r="F145" t="s">
        <v>526</v>
      </c>
      <c r="G145" t="s">
        <v>163</v>
      </c>
      <c r="H145" s="1">
        <v>46344</v>
      </c>
      <c r="I145" s="1">
        <v>46387</v>
      </c>
      <c r="J145" s="1">
        <v>46387</v>
      </c>
      <c r="K145" s="1">
        <v>46443</v>
      </c>
      <c r="L145" s="1">
        <v>46464</v>
      </c>
      <c r="N145" t="s">
        <v>540</v>
      </c>
      <c r="O145" t="s">
        <v>510</v>
      </c>
      <c r="P145" s="19" t="s">
        <v>654</v>
      </c>
      <c r="Q145" t="s">
        <v>542</v>
      </c>
      <c r="R145" t="str">
        <f t="shared" ca="1" si="2"/>
        <v>À venir</v>
      </c>
    </row>
    <row r="146" spans="1:18" ht="15.6" customHeight="1">
      <c r="A146" s="15" t="s">
        <v>678</v>
      </c>
      <c r="B146" s="15" t="s">
        <v>232</v>
      </c>
      <c r="C146" s="15" t="s">
        <v>233</v>
      </c>
      <c r="D146" s="15" t="s">
        <v>653</v>
      </c>
      <c r="E146" s="15">
        <v>2026</v>
      </c>
      <c r="F146" s="15" t="s">
        <v>526</v>
      </c>
      <c r="G146" s="15" t="s">
        <v>152</v>
      </c>
      <c r="H146" s="16">
        <v>46008</v>
      </c>
      <c r="I146" s="16">
        <v>46052</v>
      </c>
      <c r="J146" s="16">
        <v>46052</v>
      </c>
      <c r="K146" s="16">
        <v>46108</v>
      </c>
      <c r="L146" s="16">
        <v>46129</v>
      </c>
      <c r="M146" s="15"/>
      <c r="N146" s="15" t="s">
        <v>540</v>
      </c>
      <c r="O146" s="15" t="s">
        <v>510</v>
      </c>
      <c r="P146" s="19" t="s">
        <v>654</v>
      </c>
      <c r="Q146" s="15" t="s">
        <v>542</v>
      </c>
      <c r="R146" s="15" t="str">
        <f t="shared" ca="1" si="2"/>
        <v>Passée</v>
      </c>
    </row>
    <row r="147" spans="1:18" ht="15.6" customHeight="1">
      <c r="A147" t="s">
        <v>679</v>
      </c>
      <c r="B147" t="s">
        <v>232</v>
      </c>
      <c r="C147" t="s">
        <v>233</v>
      </c>
      <c r="D147" t="s">
        <v>653</v>
      </c>
      <c r="E147">
        <v>2026</v>
      </c>
      <c r="F147" t="s">
        <v>526</v>
      </c>
      <c r="G147" t="s">
        <v>153</v>
      </c>
      <c r="H147" s="1">
        <v>46038</v>
      </c>
      <c r="I147" s="1">
        <v>46080</v>
      </c>
      <c r="J147" s="1">
        <v>46080</v>
      </c>
      <c r="K147" s="1">
        <v>46136</v>
      </c>
      <c r="L147" s="1">
        <v>46158</v>
      </c>
      <c r="N147" t="s">
        <v>540</v>
      </c>
      <c r="O147" t="s">
        <v>510</v>
      </c>
      <c r="P147" s="19" t="s">
        <v>654</v>
      </c>
      <c r="Q147" t="s">
        <v>542</v>
      </c>
      <c r="R147" t="str">
        <f t="shared" ca="1" si="2"/>
        <v>Passée</v>
      </c>
    </row>
    <row r="148" spans="1:18" ht="15.6" customHeight="1">
      <c r="A148" s="15" t="s">
        <v>680</v>
      </c>
      <c r="B148" s="15" t="s">
        <v>232</v>
      </c>
      <c r="C148" s="15" t="s">
        <v>233</v>
      </c>
      <c r="D148" s="15" t="s">
        <v>653</v>
      </c>
      <c r="E148" s="15">
        <v>2026</v>
      </c>
      <c r="F148" s="15" t="s">
        <v>526</v>
      </c>
      <c r="G148" s="15" t="s">
        <v>154</v>
      </c>
      <c r="H148" s="16">
        <v>46070</v>
      </c>
      <c r="I148" s="16">
        <v>46112</v>
      </c>
      <c r="J148" s="16">
        <v>46112</v>
      </c>
      <c r="K148" s="16">
        <v>46168</v>
      </c>
      <c r="L148" s="16">
        <v>46190</v>
      </c>
      <c r="M148" s="15"/>
      <c r="N148" s="15" t="s">
        <v>540</v>
      </c>
      <c r="O148" s="15" t="s">
        <v>510</v>
      </c>
      <c r="P148" s="19" t="s">
        <v>654</v>
      </c>
      <c r="Q148" s="15" t="s">
        <v>542</v>
      </c>
      <c r="R148" s="15" t="str">
        <f t="shared" ca="1" si="2"/>
        <v>Passée</v>
      </c>
    </row>
    <row r="149" spans="1:18" ht="15.6" customHeight="1">
      <c r="A149" t="s">
        <v>681</v>
      </c>
      <c r="B149" t="s">
        <v>232</v>
      </c>
      <c r="C149" t="s">
        <v>233</v>
      </c>
      <c r="D149" t="s">
        <v>653</v>
      </c>
      <c r="E149">
        <v>2026</v>
      </c>
      <c r="F149" t="s">
        <v>526</v>
      </c>
      <c r="G149" t="s">
        <v>155</v>
      </c>
      <c r="H149" s="1">
        <v>46098</v>
      </c>
      <c r="I149" s="1">
        <v>46142</v>
      </c>
      <c r="J149" s="1">
        <v>46142</v>
      </c>
      <c r="K149" s="1">
        <v>46198</v>
      </c>
      <c r="L149" s="1">
        <v>46220</v>
      </c>
      <c r="N149" t="s">
        <v>540</v>
      </c>
      <c r="O149" t="s">
        <v>510</v>
      </c>
      <c r="P149" s="19" t="s">
        <v>654</v>
      </c>
      <c r="Q149" t="s">
        <v>542</v>
      </c>
      <c r="R149" t="str">
        <f t="shared" ca="1" si="2"/>
        <v>Passée</v>
      </c>
    </row>
    <row r="150" spans="1:18" ht="15.6" customHeight="1">
      <c r="A150" s="15" t="s">
        <v>682</v>
      </c>
      <c r="B150" s="15" t="s">
        <v>232</v>
      </c>
      <c r="C150" s="15" t="s">
        <v>233</v>
      </c>
      <c r="D150" s="15" t="s">
        <v>653</v>
      </c>
      <c r="E150" s="15">
        <v>2026</v>
      </c>
      <c r="F150" s="15" t="s">
        <v>526</v>
      </c>
      <c r="G150" s="15" t="s">
        <v>156</v>
      </c>
      <c r="H150" s="16">
        <v>46125</v>
      </c>
      <c r="I150" s="16">
        <v>46171</v>
      </c>
      <c r="J150" s="16">
        <v>46171</v>
      </c>
      <c r="K150" s="16">
        <v>46227</v>
      </c>
      <c r="L150" s="16">
        <v>46247</v>
      </c>
      <c r="M150" s="15"/>
      <c r="N150" s="15" t="s">
        <v>540</v>
      </c>
      <c r="O150" s="15" t="s">
        <v>510</v>
      </c>
      <c r="P150" s="19" t="s">
        <v>654</v>
      </c>
      <c r="Q150" s="15" t="s">
        <v>542</v>
      </c>
      <c r="R150" s="15" t="str">
        <f t="shared" ca="1" si="2"/>
        <v>Passée</v>
      </c>
    </row>
    <row r="151" spans="1:18" ht="15.6" customHeight="1">
      <c r="A151" t="s">
        <v>683</v>
      </c>
      <c r="B151" t="s">
        <v>232</v>
      </c>
      <c r="C151" t="s">
        <v>233</v>
      </c>
      <c r="D151" t="s">
        <v>653</v>
      </c>
      <c r="E151">
        <v>2026</v>
      </c>
      <c r="F151" t="s">
        <v>526</v>
      </c>
      <c r="G151" t="s">
        <v>157</v>
      </c>
      <c r="H151" s="1">
        <v>46160</v>
      </c>
      <c r="I151" s="1">
        <v>46203</v>
      </c>
      <c r="J151" s="1">
        <v>46203</v>
      </c>
      <c r="K151" s="1">
        <v>46259</v>
      </c>
      <c r="L151" s="1">
        <v>46283</v>
      </c>
      <c r="N151" t="s">
        <v>540</v>
      </c>
      <c r="O151" t="s">
        <v>510</v>
      </c>
      <c r="P151" s="19" t="s">
        <v>654</v>
      </c>
      <c r="Q151" t="s">
        <v>542</v>
      </c>
      <c r="R151" t="str">
        <f t="shared" ca="1" si="2"/>
        <v>Passée</v>
      </c>
    </row>
    <row r="152" spans="1:18" ht="15.6" customHeight="1">
      <c r="A152" s="15" t="s">
        <v>684</v>
      </c>
      <c r="B152" s="15" t="s">
        <v>232</v>
      </c>
      <c r="C152" s="15" t="s">
        <v>233</v>
      </c>
      <c r="D152" s="15" t="s">
        <v>653</v>
      </c>
      <c r="E152" s="15">
        <v>2026</v>
      </c>
      <c r="F152" s="15" t="s">
        <v>526</v>
      </c>
      <c r="G152" s="15" t="s">
        <v>158</v>
      </c>
      <c r="H152" s="16">
        <v>46191</v>
      </c>
      <c r="I152" s="16">
        <v>46234</v>
      </c>
      <c r="J152" s="16">
        <v>46234</v>
      </c>
      <c r="K152" s="16">
        <v>46290</v>
      </c>
      <c r="L152" s="16">
        <v>46313</v>
      </c>
      <c r="M152" s="15"/>
      <c r="N152" s="15" t="s">
        <v>540</v>
      </c>
      <c r="O152" s="15" t="s">
        <v>510</v>
      </c>
      <c r="P152" s="19" t="s">
        <v>654</v>
      </c>
      <c r="Q152" s="15" t="s">
        <v>542</v>
      </c>
      <c r="R152" s="15" t="str">
        <f t="shared" ca="1" si="2"/>
        <v>Passée</v>
      </c>
    </row>
    <row r="153" spans="1:18" ht="15.6" customHeight="1">
      <c r="A153" t="s">
        <v>685</v>
      </c>
      <c r="B153" t="s">
        <v>232</v>
      </c>
      <c r="C153" t="s">
        <v>233</v>
      </c>
      <c r="D153" t="s">
        <v>653</v>
      </c>
      <c r="E153">
        <v>2026</v>
      </c>
      <c r="F153" t="s">
        <v>526</v>
      </c>
      <c r="G153" t="s">
        <v>159</v>
      </c>
      <c r="H153" s="1">
        <v>46223</v>
      </c>
      <c r="I153" s="1">
        <v>46265</v>
      </c>
      <c r="J153" s="1">
        <v>46265</v>
      </c>
      <c r="K153" s="1">
        <v>46321</v>
      </c>
      <c r="L153" s="1">
        <v>46346</v>
      </c>
      <c r="N153" t="s">
        <v>540</v>
      </c>
      <c r="O153" t="s">
        <v>510</v>
      </c>
      <c r="P153" s="19" t="s">
        <v>654</v>
      </c>
      <c r="Q153" t="s">
        <v>542</v>
      </c>
      <c r="R153" t="str">
        <f t="shared" ca="1" si="2"/>
        <v>Passée</v>
      </c>
    </row>
    <row r="154" spans="1:18" ht="15.6" customHeight="1">
      <c r="A154" s="15" t="s">
        <v>686</v>
      </c>
      <c r="B154" s="15" t="s">
        <v>232</v>
      </c>
      <c r="C154" s="15" t="s">
        <v>233</v>
      </c>
      <c r="D154" s="15" t="s">
        <v>653</v>
      </c>
      <c r="E154" s="15">
        <v>2026</v>
      </c>
      <c r="F154" s="15" t="s">
        <v>526</v>
      </c>
      <c r="G154" s="15" t="s">
        <v>160</v>
      </c>
      <c r="H154" s="16">
        <v>46253</v>
      </c>
      <c r="I154" s="16">
        <v>46295</v>
      </c>
      <c r="J154" s="16">
        <v>46295</v>
      </c>
      <c r="K154" s="16">
        <v>46351</v>
      </c>
      <c r="L154" s="16">
        <v>46375</v>
      </c>
      <c r="M154" s="15"/>
      <c r="N154" s="15" t="s">
        <v>540</v>
      </c>
      <c r="O154" s="15" t="s">
        <v>510</v>
      </c>
      <c r="P154" s="19" t="s">
        <v>654</v>
      </c>
      <c r="Q154" s="15" t="s">
        <v>542</v>
      </c>
      <c r="R154" s="15" t="str">
        <f t="shared" ca="1" si="2"/>
        <v>Passée</v>
      </c>
    </row>
    <row r="155" spans="1:18" ht="15.6" customHeight="1">
      <c r="A155" t="s">
        <v>687</v>
      </c>
      <c r="B155" t="s">
        <v>232</v>
      </c>
      <c r="C155" t="s">
        <v>233</v>
      </c>
      <c r="D155" t="s">
        <v>653</v>
      </c>
      <c r="E155">
        <v>2026</v>
      </c>
      <c r="F155" t="s">
        <v>526</v>
      </c>
      <c r="G155" t="s">
        <v>161</v>
      </c>
      <c r="H155" s="1">
        <v>46283</v>
      </c>
      <c r="I155" s="1">
        <v>46325</v>
      </c>
      <c r="J155" s="1">
        <v>46325</v>
      </c>
      <c r="K155" s="1">
        <v>46381</v>
      </c>
      <c r="L155" s="1">
        <v>46405</v>
      </c>
      <c r="N155" t="s">
        <v>540</v>
      </c>
      <c r="O155" t="s">
        <v>510</v>
      </c>
      <c r="P155" s="19" t="s">
        <v>654</v>
      </c>
      <c r="Q155" t="s">
        <v>542</v>
      </c>
      <c r="R155" t="str">
        <f t="shared" ca="1" si="2"/>
        <v>À venir</v>
      </c>
    </row>
    <row r="156" spans="1:18" ht="15.6" customHeight="1">
      <c r="A156" s="15" t="s">
        <v>688</v>
      </c>
      <c r="B156" s="15" t="s">
        <v>232</v>
      </c>
      <c r="C156" s="15" t="s">
        <v>233</v>
      </c>
      <c r="D156" s="15" t="s">
        <v>653</v>
      </c>
      <c r="E156" s="15">
        <v>2026</v>
      </c>
      <c r="F156" s="15" t="s">
        <v>526</v>
      </c>
      <c r="G156" s="15" t="s">
        <v>162</v>
      </c>
      <c r="H156" s="16">
        <v>46311</v>
      </c>
      <c r="I156" s="16">
        <v>46356</v>
      </c>
      <c r="J156" s="16">
        <v>46356</v>
      </c>
      <c r="K156" s="16">
        <v>46412</v>
      </c>
      <c r="L156" s="16">
        <v>46434</v>
      </c>
      <c r="M156" s="15"/>
      <c r="N156" s="15" t="s">
        <v>540</v>
      </c>
      <c r="O156" s="15" t="s">
        <v>510</v>
      </c>
      <c r="P156" s="19" t="s">
        <v>654</v>
      </c>
      <c r="Q156" s="15" t="s">
        <v>542</v>
      </c>
      <c r="R156" s="15" t="str">
        <f t="shared" ca="1" si="2"/>
        <v>À venir</v>
      </c>
    </row>
    <row r="157" spans="1:18" ht="15.6" customHeight="1">
      <c r="A157" t="s">
        <v>689</v>
      </c>
      <c r="B157" t="s">
        <v>232</v>
      </c>
      <c r="C157" t="s">
        <v>233</v>
      </c>
      <c r="D157" t="s">
        <v>653</v>
      </c>
      <c r="E157">
        <v>2026</v>
      </c>
      <c r="F157" t="s">
        <v>526</v>
      </c>
      <c r="G157" t="s">
        <v>163</v>
      </c>
      <c r="H157" s="1">
        <v>46344</v>
      </c>
      <c r="I157" s="1">
        <v>46387</v>
      </c>
      <c r="J157" s="1">
        <v>46387</v>
      </c>
      <c r="K157" s="1">
        <v>46443</v>
      </c>
      <c r="L157" s="1">
        <v>46464</v>
      </c>
      <c r="N157" t="s">
        <v>540</v>
      </c>
      <c r="O157" t="s">
        <v>510</v>
      </c>
      <c r="P157" s="19" t="s">
        <v>654</v>
      </c>
      <c r="Q157" t="s">
        <v>542</v>
      </c>
      <c r="R157" t="str">
        <f t="shared" ca="1" si="2"/>
        <v>À venir</v>
      </c>
    </row>
    <row r="158" spans="1:18" ht="15.6" customHeight="1">
      <c r="A158" s="15" t="s">
        <v>690</v>
      </c>
      <c r="B158" s="15" t="s">
        <v>235</v>
      </c>
      <c r="C158" s="15" t="s">
        <v>236</v>
      </c>
      <c r="D158" s="15" t="s">
        <v>653</v>
      </c>
      <c r="E158" s="15">
        <v>2026</v>
      </c>
      <c r="F158" s="15" t="s">
        <v>526</v>
      </c>
      <c r="G158" s="15" t="s">
        <v>152</v>
      </c>
      <c r="H158" s="16">
        <v>46008</v>
      </c>
      <c r="I158" s="16">
        <v>46052</v>
      </c>
      <c r="J158" s="16">
        <v>46052</v>
      </c>
      <c r="K158" s="16">
        <v>46108</v>
      </c>
      <c r="L158" s="16">
        <v>46129</v>
      </c>
      <c r="M158" s="15"/>
      <c r="N158" s="15" t="s">
        <v>540</v>
      </c>
      <c r="O158" s="15" t="s">
        <v>510</v>
      </c>
      <c r="P158" s="19" t="s">
        <v>654</v>
      </c>
      <c r="Q158" s="15" t="s">
        <v>542</v>
      </c>
      <c r="R158" s="15" t="str">
        <f t="shared" ca="1" si="2"/>
        <v>Passée</v>
      </c>
    </row>
    <row r="159" spans="1:18" ht="15.6" customHeight="1">
      <c r="A159" t="s">
        <v>691</v>
      </c>
      <c r="B159" t="s">
        <v>235</v>
      </c>
      <c r="C159" t="s">
        <v>236</v>
      </c>
      <c r="D159" t="s">
        <v>653</v>
      </c>
      <c r="E159">
        <v>2026</v>
      </c>
      <c r="F159" t="s">
        <v>526</v>
      </c>
      <c r="G159" t="s">
        <v>153</v>
      </c>
      <c r="H159" s="1">
        <v>46038</v>
      </c>
      <c r="I159" s="1">
        <v>46080</v>
      </c>
      <c r="J159" s="1">
        <v>46080</v>
      </c>
      <c r="K159" s="1">
        <v>46136</v>
      </c>
      <c r="L159" s="1">
        <v>46158</v>
      </c>
      <c r="N159" t="s">
        <v>540</v>
      </c>
      <c r="O159" t="s">
        <v>510</v>
      </c>
      <c r="P159" s="19" t="s">
        <v>654</v>
      </c>
      <c r="Q159" t="s">
        <v>542</v>
      </c>
      <c r="R159" t="str">
        <f t="shared" ca="1" si="2"/>
        <v>Passée</v>
      </c>
    </row>
    <row r="160" spans="1:18" ht="15.6" customHeight="1">
      <c r="A160" s="15" t="s">
        <v>692</v>
      </c>
      <c r="B160" s="15" t="s">
        <v>235</v>
      </c>
      <c r="C160" s="15" t="s">
        <v>236</v>
      </c>
      <c r="D160" s="15" t="s">
        <v>653</v>
      </c>
      <c r="E160" s="15">
        <v>2026</v>
      </c>
      <c r="F160" s="15" t="s">
        <v>526</v>
      </c>
      <c r="G160" s="15" t="s">
        <v>154</v>
      </c>
      <c r="H160" s="16">
        <v>46070</v>
      </c>
      <c r="I160" s="16">
        <v>46112</v>
      </c>
      <c r="J160" s="16">
        <v>46112</v>
      </c>
      <c r="K160" s="16">
        <v>46168</v>
      </c>
      <c r="L160" s="16">
        <v>46190</v>
      </c>
      <c r="M160" s="15"/>
      <c r="N160" s="15" t="s">
        <v>540</v>
      </c>
      <c r="O160" s="15" t="s">
        <v>510</v>
      </c>
      <c r="P160" s="19" t="s">
        <v>654</v>
      </c>
      <c r="Q160" s="15" t="s">
        <v>542</v>
      </c>
      <c r="R160" s="15" t="str">
        <f t="shared" ca="1" si="2"/>
        <v>Passée</v>
      </c>
    </row>
    <row r="161" spans="1:18" ht="15.6" customHeight="1">
      <c r="A161" t="s">
        <v>693</v>
      </c>
      <c r="B161" t="s">
        <v>235</v>
      </c>
      <c r="C161" t="s">
        <v>236</v>
      </c>
      <c r="D161" t="s">
        <v>653</v>
      </c>
      <c r="E161">
        <v>2026</v>
      </c>
      <c r="F161" t="s">
        <v>526</v>
      </c>
      <c r="G161" t="s">
        <v>155</v>
      </c>
      <c r="H161" s="1">
        <v>46098</v>
      </c>
      <c r="I161" s="1">
        <v>46142</v>
      </c>
      <c r="J161" s="1">
        <v>46142</v>
      </c>
      <c r="K161" s="1">
        <v>46198</v>
      </c>
      <c r="L161" s="1">
        <v>46220</v>
      </c>
      <c r="N161" t="s">
        <v>540</v>
      </c>
      <c r="O161" t="s">
        <v>510</v>
      </c>
      <c r="P161" s="19" t="s">
        <v>654</v>
      </c>
      <c r="Q161" t="s">
        <v>542</v>
      </c>
      <c r="R161" t="str">
        <f t="shared" ca="1" si="2"/>
        <v>Passée</v>
      </c>
    </row>
    <row r="162" spans="1:18" ht="15.6" customHeight="1">
      <c r="A162" s="15" t="s">
        <v>694</v>
      </c>
      <c r="B162" s="15" t="s">
        <v>235</v>
      </c>
      <c r="C162" s="15" t="s">
        <v>236</v>
      </c>
      <c r="D162" s="15" t="s">
        <v>653</v>
      </c>
      <c r="E162" s="15">
        <v>2026</v>
      </c>
      <c r="F162" s="15" t="s">
        <v>526</v>
      </c>
      <c r="G162" s="15" t="s">
        <v>156</v>
      </c>
      <c r="H162" s="16">
        <v>46125</v>
      </c>
      <c r="I162" s="16">
        <v>46171</v>
      </c>
      <c r="J162" s="16">
        <v>46171</v>
      </c>
      <c r="K162" s="16">
        <v>46227</v>
      </c>
      <c r="L162" s="16">
        <v>46247</v>
      </c>
      <c r="M162" s="15"/>
      <c r="N162" s="15" t="s">
        <v>540</v>
      </c>
      <c r="O162" s="15" t="s">
        <v>510</v>
      </c>
      <c r="P162" s="19" t="s">
        <v>654</v>
      </c>
      <c r="Q162" s="15" t="s">
        <v>542</v>
      </c>
      <c r="R162" s="15" t="str">
        <f t="shared" ca="1" si="2"/>
        <v>Passée</v>
      </c>
    </row>
    <row r="163" spans="1:18" ht="15.6" customHeight="1">
      <c r="A163" t="s">
        <v>695</v>
      </c>
      <c r="B163" t="s">
        <v>235</v>
      </c>
      <c r="C163" t="s">
        <v>236</v>
      </c>
      <c r="D163" t="s">
        <v>653</v>
      </c>
      <c r="E163">
        <v>2026</v>
      </c>
      <c r="F163" t="s">
        <v>526</v>
      </c>
      <c r="G163" t="s">
        <v>157</v>
      </c>
      <c r="H163" s="1">
        <v>46160</v>
      </c>
      <c r="I163" s="1">
        <v>46203</v>
      </c>
      <c r="J163" s="1">
        <v>46203</v>
      </c>
      <c r="K163" s="1">
        <v>46259</v>
      </c>
      <c r="L163" s="1">
        <v>46283</v>
      </c>
      <c r="N163" t="s">
        <v>540</v>
      </c>
      <c r="O163" t="s">
        <v>510</v>
      </c>
      <c r="P163" s="19" t="s">
        <v>654</v>
      </c>
      <c r="Q163" t="s">
        <v>542</v>
      </c>
      <c r="R163" t="str">
        <f t="shared" ca="1" si="2"/>
        <v>Passée</v>
      </c>
    </row>
    <row r="164" spans="1:18" ht="15.6" customHeight="1">
      <c r="A164" s="15" t="s">
        <v>696</v>
      </c>
      <c r="B164" s="15" t="s">
        <v>235</v>
      </c>
      <c r="C164" s="15" t="s">
        <v>236</v>
      </c>
      <c r="D164" s="15" t="s">
        <v>653</v>
      </c>
      <c r="E164" s="15">
        <v>2026</v>
      </c>
      <c r="F164" s="15" t="s">
        <v>526</v>
      </c>
      <c r="G164" s="15" t="s">
        <v>158</v>
      </c>
      <c r="H164" s="16">
        <v>46191</v>
      </c>
      <c r="I164" s="16">
        <v>46234</v>
      </c>
      <c r="J164" s="16">
        <v>46234</v>
      </c>
      <c r="K164" s="16">
        <v>46290</v>
      </c>
      <c r="L164" s="16">
        <v>46313</v>
      </c>
      <c r="M164" s="15"/>
      <c r="N164" s="15" t="s">
        <v>540</v>
      </c>
      <c r="O164" s="15" t="s">
        <v>510</v>
      </c>
      <c r="P164" s="19" t="s">
        <v>654</v>
      </c>
      <c r="Q164" s="15" t="s">
        <v>542</v>
      </c>
      <c r="R164" s="15" t="str">
        <f t="shared" ca="1" si="2"/>
        <v>Passée</v>
      </c>
    </row>
    <row r="165" spans="1:18" ht="15.6" customHeight="1">
      <c r="A165" t="s">
        <v>697</v>
      </c>
      <c r="B165" t="s">
        <v>235</v>
      </c>
      <c r="C165" t="s">
        <v>236</v>
      </c>
      <c r="D165" t="s">
        <v>653</v>
      </c>
      <c r="E165">
        <v>2026</v>
      </c>
      <c r="F165" t="s">
        <v>526</v>
      </c>
      <c r="G165" t="s">
        <v>159</v>
      </c>
      <c r="H165" s="1">
        <v>46223</v>
      </c>
      <c r="I165" s="1">
        <v>46265</v>
      </c>
      <c r="J165" s="1">
        <v>46265</v>
      </c>
      <c r="K165" s="1">
        <v>46321</v>
      </c>
      <c r="L165" s="1">
        <v>46346</v>
      </c>
      <c r="N165" t="s">
        <v>540</v>
      </c>
      <c r="O165" t="s">
        <v>510</v>
      </c>
      <c r="P165" s="19" t="s">
        <v>654</v>
      </c>
      <c r="Q165" t="s">
        <v>542</v>
      </c>
      <c r="R165" t="str">
        <f t="shared" ca="1" si="2"/>
        <v>Passée</v>
      </c>
    </row>
    <row r="166" spans="1:18" ht="15.6" customHeight="1">
      <c r="A166" s="15" t="s">
        <v>698</v>
      </c>
      <c r="B166" s="15" t="s">
        <v>235</v>
      </c>
      <c r="C166" s="15" t="s">
        <v>236</v>
      </c>
      <c r="D166" s="15" t="s">
        <v>653</v>
      </c>
      <c r="E166" s="15">
        <v>2026</v>
      </c>
      <c r="F166" s="15" t="s">
        <v>526</v>
      </c>
      <c r="G166" s="15" t="s">
        <v>160</v>
      </c>
      <c r="H166" s="16">
        <v>46253</v>
      </c>
      <c r="I166" s="16">
        <v>46295</v>
      </c>
      <c r="J166" s="16">
        <v>46295</v>
      </c>
      <c r="K166" s="16">
        <v>46351</v>
      </c>
      <c r="L166" s="16">
        <v>46375</v>
      </c>
      <c r="M166" s="15"/>
      <c r="N166" s="15" t="s">
        <v>540</v>
      </c>
      <c r="O166" s="15" t="s">
        <v>510</v>
      </c>
      <c r="P166" s="19" t="s">
        <v>654</v>
      </c>
      <c r="Q166" s="15" t="s">
        <v>542</v>
      </c>
      <c r="R166" s="15" t="str">
        <f t="shared" ca="1" si="2"/>
        <v>Passée</v>
      </c>
    </row>
    <row r="167" spans="1:18" ht="15.6" customHeight="1">
      <c r="A167" t="s">
        <v>699</v>
      </c>
      <c r="B167" t="s">
        <v>235</v>
      </c>
      <c r="C167" t="s">
        <v>236</v>
      </c>
      <c r="D167" t="s">
        <v>653</v>
      </c>
      <c r="E167">
        <v>2026</v>
      </c>
      <c r="F167" t="s">
        <v>526</v>
      </c>
      <c r="G167" t="s">
        <v>161</v>
      </c>
      <c r="H167" s="1">
        <v>46283</v>
      </c>
      <c r="I167" s="1">
        <v>46325</v>
      </c>
      <c r="J167" s="1">
        <v>46325</v>
      </c>
      <c r="K167" s="1">
        <v>46381</v>
      </c>
      <c r="L167" s="1">
        <v>46405</v>
      </c>
      <c r="N167" t="s">
        <v>540</v>
      </c>
      <c r="O167" t="s">
        <v>510</v>
      </c>
      <c r="P167" s="19" t="s">
        <v>654</v>
      </c>
      <c r="Q167" t="s">
        <v>542</v>
      </c>
      <c r="R167" t="str">
        <f t="shared" ca="1" si="2"/>
        <v>À venir</v>
      </c>
    </row>
    <row r="168" spans="1:18" ht="15.6" customHeight="1">
      <c r="A168" s="15" t="s">
        <v>700</v>
      </c>
      <c r="B168" s="15" t="s">
        <v>235</v>
      </c>
      <c r="C168" s="15" t="s">
        <v>236</v>
      </c>
      <c r="D168" s="15" t="s">
        <v>653</v>
      </c>
      <c r="E168" s="15">
        <v>2026</v>
      </c>
      <c r="F168" s="15" t="s">
        <v>526</v>
      </c>
      <c r="G168" s="15" t="s">
        <v>162</v>
      </c>
      <c r="H168" s="16">
        <v>46311</v>
      </c>
      <c r="I168" s="16">
        <v>46356</v>
      </c>
      <c r="J168" s="16">
        <v>46356</v>
      </c>
      <c r="K168" s="16">
        <v>46412</v>
      </c>
      <c r="L168" s="16">
        <v>46434</v>
      </c>
      <c r="M168" s="15"/>
      <c r="N168" s="15" t="s">
        <v>540</v>
      </c>
      <c r="O168" s="15" t="s">
        <v>510</v>
      </c>
      <c r="P168" s="19" t="s">
        <v>654</v>
      </c>
      <c r="Q168" s="15" t="s">
        <v>542</v>
      </c>
      <c r="R168" s="15" t="str">
        <f t="shared" ca="1" si="2"/>
        <v>À venir</v>
      </c>
    </row>
    <row r="169" spans="1:18" ht="15.6" customHeight="1">
      <c r="A169" t="s">
        <v>701</v>
      </c>
      <c r="B169" t="s">
        <v>235</v>
      </c>
      <c r="C169" t="s">
        <v>236</v>
      </c>
      <c r="D169" t="s">
        <v>653</v>
      </c>
      <c r="E169">
        <v>2026</v>
      </c>
      <c r="F169" t="s">
        <v>526</v>
      </c>
      <c r="G169" t="s">
        <v>163</v>
      </c>
      <c r="H169" s="1">
        <v>46344</v>
      </c>
      <c r="I169" s="1">
        <v>46387</v>
      </c>
      <c r="J169" s="1">
        <v>46387</v>
      </c>
      <c r="K169" s="1">
        <v>46443</v>
      </c>
      <c r="L169" s="1">
        <v>46464</v>
      </c>
      <c r="N169" t="s">
        <v>540</v>
      </c>
      <c r="O169" t="s">
        <v>510</v>
      </c>
      <c r="P169" s="19" t="s">
        <v>654</v>
      </c>
      <c r="Q169" t="s">
        <v>542</v>
      </c>
      <c r="R169" t="str">
        <f t="shared" ca="1" si="2"/>
        <v>À venir</v>
      </c>
    </row>
    <row r="170" spans="1:18" ht="15.6" customHeight="1">
      <c r="A170" s="15" t="s">
        <v>702</v>
      </c>
      <c r="B170" s="15" t="s">
        <v>307</v>
      </c>
      <c r="C170" s="15" t="s">
        <v>308</v>
      </c>
      <c r="D170" s="15" t="s">
        <v>653</v>
      </c>
      <c r="E170" s="15">
        <v>2026</v>
      </c>
      <c r="F170" s="15" t="s">
        <v>526</v>
      </c>
      <c r="G170" s="15" t="s">
        <v>152</v>
      </c>
      <c r="H170" s="16">
        <v>46031</v>
      </c>
      <c r="I170" s="16">
        <v>46052</v>
      </c>
      <c r="J170" s="16">
        <v>46052</v>
      </c>
      <c r="K170" s="16">
        <v>46108</v>
      </c>
      <c r="L170" s="16">
        <v>46121</v>
      </c>
      <c r="M170" s="15"/>
      <c r="N170" s="15" t="s">
        <v>540</v>
      </c>
      <c r="O170" s="15" t="s">
        <v>510</v>
      </c>
      <c r="P170" s="19" t="s">
        <v>703</v>
      </c>
      <c r="Q170" s="15" t="s">
        <v>542</v>
      </c>
      <c r="R170" s="15" t="str">
        <f t="shared" ca="1" si="2"/>
        <v>Passée</v>
      </c>
    </row>
    <row r="171" spans="1:18" ht="15.6" customHeight="1">
      <c r="A171" t="s">
        <v>704</v>
      </c>
      <c r="B171" t="s">
        <v>307</v>
      </c>
      <c r="C171" t="s">
        <v>308</v>
      </c>
      <c r="D171" t="s">
        <v>653</v>
      </c>
      <c r="E171">
        <v>2026</v>
      </c>
      <c r="F171" t="s">
        <v>526</v>
      </c>
      <c r="G171" t="s">
        <v>153</v>
      </c>
      <c r="H171" s="1">
        <v>46059</v>
      </c>
      <c r="I171" s="1">
        <v>46080</v>
      </c>
      <c r="J171" s="1">
        <v>46080</v>
      </c>
      <c r="K171" s="1">
        <v>46136</v>
      </c>
      <c r="L171" s="1">
        <v>46148</v>
      </c>
      <c r="N171" t="s">
        <v>540</v>
      </c>
      <c r="O171" t="s">
        <v>510</v>
      </c>
      <c r="P171" s="19" t="s">
        <v>703</v>
      </c>
      <c r="Q171" t="s">
        <v>542</v>
      </c>
      <c r="R171" t="str">
        <f t="shared" ca="1" si="2"/>
        <v>Passée</v>
      </c>
    </row>
    <row r="172" spans="1:18" ht="15.6" customHeight="1">
      <c r="A172" s="15" t="s">
        <v>705</v>
      </c>
      <c r="B172" s="15" t="s">
        <v>307</v>
      </c>
      <c r="C172" s="15" t="s">
        <v>308</v>
      </c>
      <c r="D172" s="15" t="s">
        <v>653</v>
      </c>
      <c r="E172" s="15">
        <v>2026</v>
      </c>
      <c r="F172" s="15" t="s">
        <v>526</v>
      </c>
      <c r="G172" s="15" t="s">
        <v>154</v>
      </c>
      <c r="H172" s="16">
        <v>46091</v>
      </c>
      <c r="I172" s="16">
        <v>46112</v>
      </c>
      <c r="J172" s="16">
        <v>46112</v>
      </c>
      <c r="K172" s="16">
        <v>46168</v>
      </c>
      <c r="L172" s="16">
        <v>46183</v>
      </c>
      <c r="M172" s="15"/>
      <c r="N172" s="15" t="s">
        <v>540</v>
      </c>
      <c r="O172" s="15" t="s">
        <v>510</v>
      </c>
      <c r="P172" s="19" t="s">
        <v>703</v>
      </c>
      <c r="Q172" s="15" t="s">
        <v>542</v>
      </c>
      <c r="R172" s="15" t="str">
        <f t="shared" ca="1" si="2"/>
        <v>Passée</v>
      </c>
    </row>
    <row r="173" spans="1:18" ht="15.6" customHeight="1">
      <c r="A173" t="s">
        <v>706</v>
      </c>
      <c r="B173" t="s">
        <v>307</v>
      </c>
      <c r="C173" t="s">
        <v>308</v>
      </c>
      <c r="D173" t="s">
        <v>653</v>
      </c>
      <c r="E173">
        <v>2026</v>
      </c>
      <c r="F173" t="s">
        <v>526</v>
      </c>
      <c r="G173" t="s">
        <v>155</v>
      </c>
      <c r="H173" s="1">
        <v>46121</v>
      </c>
      <c r="I173" s="1">
        <v>46142</v>
      </c>
      <c r="J173" s="1">
        <v>46142</v>
      </c>
      <c r="K173" s="1">
        <v>46198</v>
      </c>
      <c r="L173" s="1">
        <v>46212</v>
      </c>
      <c r="N173" t="s">
        <v>540</v>
      </c>
      <c r="O173" t="s">
        <v>510</v>
      </c>
      <c r="P173" s="19" t="s">
        <v>703</v>
      </c>
      <c r="Q173" t="s">
        <v>542</v>
      </c>
      <c r="R173" t="str">
        <f t="shared" ca="1" si="2"/>
        <v>Passée</v>
      </c>
    </row>
    <row r="174" spans="1:18" ht="15.6" customHeight="1">
      <c r="A174" s="15" t="s">
        <v>707</v>
      </c>
      <c r="B174" s="15" t="s">
        <v>307</v>
      </c>
      <c r="C174" s="15" t="s">
        <v>308</v>
      </c>
      <c r="D174" s="15" t="s">
        <v>653</v>
      </c>
      <c r="E174" s="15">
        <v>2026</v>
      </c>
      <c r="F174" s="15" t="s">
        <v>526</v>
      </c>
      <c r="G174" s="15" t="s">
        <v>156</v>
      </c>
      <c r="H174" s="16">
        <v>46147</v>
      </c>
      <c r="I174" s="16">
        <v>46171</v>
      </c>
      <c r="J174" s="16">
        <v>46171</v>
      </c>
      <c r="K174" s="16">
        <v>46227</v>
      </c>
      <c r="L174" s="16">
        <v>46239</v>
      </c>
      <c r="M174" s="15"/>
      <c r="N174" s="15" t="s">
        <v>540</v>
      </c>
      <c r="O174" s="15" t="s">
        <v>510</v>
      </c>
      <c r="P174" s="19" t="s">
        <v>703</v>
      </c>
      <c r="Q174" s="15" t="s">
        <v>542</v>
      </c>
      <c r="R174" s="15" t="str">
        <f t="shared" ca="1" si="2"/>
        <v>Passée</v>
      </c>
    </row>
    <row r="175" spans="1:18" ht="15.6" customHeight="1">
      <c r="A175" t="s">
        <v>708</v>
      </c>
      <c r="B175" t="s">
        <v>307</v>
      </c>
      <c r="C175" t="s">
        <v>308</v>
      </c>
      <c r="D175" t="s">
        <v>653</v>
      </c>
      <c r="E175">
        <v>2026</v>
      </c>
      <c r="F175" t="s">
        <v>526</v>
      </c>
      <c r="G175" t="s">
        <v>157</v>
      </c>
      <c r="H175" s="1">
        <v>46182</v>
      </c>
      <c r="I175" s="1">
        <v>46203</v>
      </c>
      <c r="J175" s="1">
        <v>46203</v>
      </c>
      <c r="K175" s="1">
        <v>46259</v>
      </c>
      <c r="L175" s="1">
        <v>46274</v>
      </c>
      <c r="N175" t="s">
        <v>540</v>
      </c>
      <c r="O175" t="s">
        <v>510</v>
      </c>
      <c r="P175" s="19" t="s">
        <v>703</v>
      </c>
      <c r="Q175" t="s">
        <v>542</v>
      </c>
      <c r="R175" t="str">
        <f t="shared" ca="1" si="2"/>
        <v>Passée</v>
      </c>
    </row>
    <row r="176" spans="1:18" ht="15.6" customHeight="1">
      <c r="A176" s="15" t="s">
        <v>709</v>
      </c>
      <c r="B176" s="15" t="s">
        <v>307</v>
      </c>
      <c r="C176" s="15" t="s">
        <v>308</v>
      </c>
      <c r="D176" s="15" t="s">
        <v>653</v>
      </c>
      <c r="E176" s="15">
        <v>2026</v>
      </c>
      <c r="F176" s="15" t="s">
        <v>526</v>
      </c>
      <c r="G176" s="15" t="s">
        <v>158</v>
      </c>
      <c r="H176" s="16">
        <v>46212</v>
      </c>
      <c r="I176" s="16">
        <v>46234</v>
      </c>
      <c r="J176" s="16">
        <v>46234</v>
      </c>
      <c r="K176" s="16">
        <v>46290</v>
      </c>
      <c r="L176" s="16">
        <v>46304</v>
      </c>
      <c r="M176" s="15"/>
      <c r="N176" s="15" t="s">
        <v>540</v>
      </c>
      <c r="O176" s="15" t="s">
        <v>510</v>
      </c>
      <c r="P176" s="19" t="s">
        <v>703</v>
      </c>
      <c r="Q176" s="15" t="s">
        <v>542</v>
      </c>
      <c r="R176" s="15" t="str">
        <f t="shared" ca="1" si="2"/>
        <v>Passée</v>
      </c>
    </row>
    <row r="177" spans="1:18" ht="15.6" customHeight="1">
      <c r="A177" t="s">
        <v>710</v>
      </c>
      <c r="B177" t="s">
        <v>307</v>
      </c>
      <c r="C177" t="s">
        <v>308</v>
      </c>
      <c r="D177" t="s">
        <v>653</v>
      </c>
      <c r="E177">
        <v>2026</v>
      </c>
      <c r="F177" t="s">
        <v>526</v>
      </c>
      <c r="G177" t="s">
        <v>159</v>
      </c>
      <c r="H177" s="1">
        <v>46244</v>
      </c>
      <c r="I177" s="1">
        <v>46265</v>
      </c>
      <c r="J177" s="1">
        <v>46265</v>
      </c>
      <c r="K177" s="1">
        <v>46321</v>
      </c>
      <c r="L177" s="1">
        <v>46336</v>
      </c>
      <c r="N177" t="s">
        <v>540</v>
      </c>
      <c r="O177" t="s">
        <v>510</v>
      </c>
      <c r="P177" s="19" t="s">
        <v>703</v>
      </c>
      <c r="Q177" t="s">
        <v>542</v>
      </c>
      <c r="R177" t="str">
        <f t="shared" ca="1" si="2"/>
        <v>Passée</v>
      </c>
    </row>
    <row r="178" spans="1:18" ht="15.6" customHeight="1">
      <c r="A178" s="15" t="s">
        <v>711</v>
      </c>
      <c r="B178" s="15" t="s">
        <v>307</v>
      </c>
      <c r="C178" s="15" t="s">
        <v>308</v>
      </c>
      <c r="D178" s="15" t="s">
        <v>653</v>
      </c>
      <c r="E178" s="15">
        <v>2026</v>
      </c>
      <c r="F178" s="15" t="s">
        <v>526</v>
      </c>
      <c r="G178" s="15" t="s">
        <v>160</v>
      </c>
      <c r="H178" s="16">
        <v>46274</v>
      </c>
      <c r="I178" s="16">
        <v>46295</v>
      </c>
      <c r="J178" s="16">
        <v>46295</v>
      </c>
      <c r="K178" s="16">
        <v>46351</v>
      </c>
      <c r="L178" s="16">
        <v>46365</v>
      </c>
      <c r="M178" s="15"/>
      <c r="N178" s="15" t="s">
        <v>540</v>
      </c>
      <c r="O178" s="15" t="s">
        <v>510</v>
      </c>
      <c r="P178" s="19" t="s">
        <v>703</v>
      </c>
      <c r="Q178" s="15" t="s">
        <v>542</v>
      </c>
      <c r="R178" s="15" t="str">
        <f t="shared" ca="1" si="2"/>
        <v>À venir</v>
      </c>
    </row>
    <row r="179" spans="1:18" ht="15.6" customHeight="1">
      <c r="A179" t="s">
        <v>712</v>
      </c>
      <c r="B179" t="s">
        <v>307</v>
      </c>
      <c r="C179" t="s">
        <v>308</v>
      </c>
      <c r="D179" t="s">
        <v>653</v>
      </c>
      <c r="E179">
        <v>2026</v>
      </c>
      <c r="F179" t="s">
        <v>526</v>
      </c>
      <c r="G179" t="s">
        <v>161</v>
      </c>
      <c r="H179" s="1">
        <v>46304</v>
      </c>
      <c r="I179" s="1">
        <v>46325</v>
      </c>
      <c r="J179" s="1">
        <v>46325</v>
      </c>
      <c r="K179" s="1">
        <v>46381</v>
      </c>
      <c r="L179" s="1">
        <v>46396</v>
      </c>
      <c r="N179" t="s">
        <v>540</v>
      </c>
      <c r="O179" t="s">
        <v>510</v>
      </c>
      <c r="P179" s="19" t="s">
        <v>703</v>
      </c>
      <c r="Q179" t="s">
        <v>542</v>
      </c>
      <c r="R179" t="str">
        <f t="shared" ca="1" si="2"/>
        <v>À venir</v>
      </c>
    </row>
    <row r="180" spans="1:18" ht="15.6" customHeight="1">
      <c r="A180" s="15" t="s">
        <v>713</v>
      </c>
      <c r="B180" s="15" t="s">
        <v>307</v>
      </c>
      <c r="C180" s="15" t="s">
        <v>308</v>
      </c>
      <c r="D180" s="15" t="s">
        <v>653</v>
      </c>
      <c r="E180" s="15">
        <v>2026</v>
      </c>
      <c r="F180" s="15" t="s">
        <v>526</v>
      </c>
      <c r="G180" s="15" t="s">
        <v>162</v>
      </c>
      <c r="H180" s="16">
        <v>46332</v>
      </c>
      <c r="I180" s="16">
        <v>46356</v>
      </c>
      <c r="J180" s="16">
        <v>46356</v>
      </c>
      <c r="K180" s="16">
        <v>46412</v>
      </c>
      <c r="L180" s="16">
        <v>46424</v>
      </c>
      <c r="M180" s="15"/>
      <c r="N180" s="15" t="s">
        <v>540</v>
      </c>
      <c r="O180" s="15" t="s">
        <v>510</v>
      </c>
      <c r="P180" s="19" t="s">
        <v>703</v>
      </c>
      <c r="Q180" s="15" t="s">
        <v>542</v>
      </c>
      <c r="R180" s="15" t="str">
        <f t="shared" ca="1" si="2"/>
        <v>À venir</v>
      </c>
    </row>
    <row r="181" spans="1:18" ht="15.6" customHeight="1">
      <c r="A181" t="s">
        <v>714</v>
      </c>
      <c r="B181" t="s">
        <v>307</v>
      </c>
      <c r="C181" t="s">
        <v>308</v>
      </c>
      <c r="D181" t="s">
        <v>653</v>
      </c>
      <c r="E181">
        <v>2026</v>
      </c>
      <c r="F181" t="s">
        <v>526</v>
      </c>
      <c r="G181" t="s">
        <v>163</v>
      </c>
      <c r="H181" s="1">
        <v>46365</v>
      </c>
      <c r="I181" s="1">
        <v>46387</v>
      </c>
      <c r="J181" s="1">
        <v>46387</v>
      </c>
      <c r="K181" s="1">
        <v>46443</v>
      </c>
      <c r="L181" s="1">
        <v>46455</v>
      </c>
      <c r="N181" t="s">
        <v>540</v>
      </c>
      <c r="O181" t="s">
        <v>510</v>
      </c>
      <c r="P181" s="19" t="s">
        <v>703</v>
      </c>
      <c r="Q181" t="s">
        <v>542</v>
      </c>
      <c r="R181" t="str">
        <f t="shared" ca="1" si="2"/>
        <v>À venir</v>
      </c>
    </row>
    <row r="182" spans="1:18" ht="15.6" customHeight="1">
      <c r="A182" s="15" t="s">
        <v>715</v>
      </c>
      <c r="B182" s="15" t="s">
        <v>309</v>
      </c>
      <c r="C182" s="15" t="s">
        <v>310</v>
      </c>
      <c r="D182" s="15" t="s">
        <v>653</v>
      </c>
      <c r="E182" s="15">
        <v>2026</v>
      </c>
      <c r="F182" s="15" t="s">
        <v>526</v>
      </c>
      <c r="G182" s="15" t="s">
        <v>152</v>
      </c>
      <c r="H182" s="16">
        <v>46031</v>
      </c>
      <c r="I182" s="16">
        <v>46052</v>
      </c>
      <c r="J182" s="16">
        <v>46052</v>
      </c>
      <c r="K182" s="16">
        <v>46108</v>
      </c>
      <c r="L182" s="16">
        <v>46121</v>
      </c>
      <c r="M182" s="15"/>
      <c r="N182" s="15" t="s">
        <v>540</v>
      </c>
      <c r="O182" s="15" t="s">
        <v>510</v>
      </c>
      <c r="P182" s="19" t="s">
        <v>703</v>
      </c>
      <c r="Q182" s="15" t="s">
        <v>542</v>
      </c>
      <c r="R182" s="15" t="str">
        <f t="shared" ca="1" si="2"/>
        <v>Passée</v>
      </c>
    </row>
    <row r="183" spans="1:18" ht="15.6" customHeight="1">
      <c r="A183" t="s">
        <v>716</v>
      </c>
      <c r="B183" t="s">
        <v>309</v>
      </c>
      <c r="C183" t="s">
        <v>310</v>
      </c>
      <c r="D183" t="s">
        <v>653</v>
      </c>
      <c r="E183">
        <v>2026</v>
      </c>
      <c r="F183" t="s">
        <v>526</v>
      </c>
      <c r="G183" t="s">
        <v>153</v>
      </c>
      <c r="H183" s="1">
        <v>46059</v>
      </c>
      <c r="I183" s="1">
        <v>46080</v>
      </c>
      <c r="J183" s="1">
        <v>46080</v>
      </c>
      <c r="K183" s="1">
        <v>46136</v>
      </c>
      <c r="L183" s="1">
        <v>46148</v>
      </c>
      <c r="N183" t="s">
        <v>540</v>
      </c>
      <c r="O183" t="s">
        <v>510</v>
      </c>
      <c r="P183" s="19" t="s">
        <v>703</v>
      </c>
      <c r="Q183" t="s">
        <v>542</v>
      </c>
      <c r="R183" t="str">
        <f t="shared" ca="1" si="2"/>
        <v>Passée</v>
      </c>
    </row>
    <row r="184" spans="1:18" ht="15.6" customHeight="1">
      <c r="A184" s="15" t="s">
        <v>717</v>
      </c>
      <c r="B184" s="15" t="s">
        <v>309</v>
      </c>
      <c r="C184" s="15" t="s">
        <v>310</v>
      </c>
      <c r="D184" s="15" t="s">
        <v>653</v>
      </c>
      <c r="E184" s="15">
        <v>2026</v>
      </c>
      <c r="F184" s="15" t="s">
        <v>526</v>
      </c>
      <c r="G184" s="15" t="s">
        <v>154</v>
      </c>
      <c r="H184" s="16">
        <v>46091</v>
      </c>
      <c r="I184" s="16">
        <v>46112</v>
      </c>
      <c r="J184" s="16">
        <v>46112</v>
      </c>
      <c r="K184" s="16">
        <v>46168</v>
      </c>
      <c r="L184" s="16">
        <v>46183</v>
      </c>
      <c r="M184" s="15"/>
      <c r="N184" s="15" t="s">
        <v>540</v>
      </c>
      <c r="O184" s="15" t="s">
        <v>510</v>
      </c>
      <c r="P184" s="19" t="s">
        <v>703</v>
      </c>
      <c r="Q184" s="15" t="s">
        <v>542</v>
      </c>
      <c r="R184" s="15" t="str">
        <f t="shared" ca="1" si="2"/>
        <v>Passée</v>
      </c>
    </row>
    <row r="185" spans="1:18" ht="15.6" customHeight="1">
      <c r="A185" t="s">
        <v>718</v>
      </c>
      <c r="B185" t="s">
        <v>309</v>
      </c>
      <c r="C185" t="s">
        <v>310</v>
      </c>
      <c r="D185" t="s">
        <v>653</v>
      </c>
      <c r="E185">
        <v>2026</v>
      </c>
      <c r="F185" t="s">
        <v>526</v>
      </c>
      <c r="G185" t="s">
        <v>155</v>
      </c>
      <c r="H185" s="1">
        <v>46121</v>
      </c>
      <c r="I185" s="1">
        <v>46142</v>
      </c>
      <c r="J185" s="1">
        <v>46142</v>
      </c>
      <c r="K185" s="1">
        <v>46198</v>
      </c>
      <c r="L185" s="1">
        <v>46212</v>
      </c>
      <c r="N185" t="s">
        <v>540</v>
      </c>
      <c r="O185" t="s">
        <v>510</v>
      </c>
      <c r="P185" s="19" t="s">
        <v>703</v>
      </c>
      <c r="Q185" t="s">
        <v>542</v>
      </c>
      <c r="R185" t="str">
        <f t="shared" ca="1" si="2"/>
        <v>Passée</v>
      </c>
    </row>
    <row r="186" spans="1:18" ht="15.6" customHeight="1">
      <c r="A186" s="15" t="s">
        <v>719</v>
      </c>
      <c r="B186" s="15" t="s">
        <v>309</v>
      </c>
      <c r="C186" s="15" t="s">
        <v>310</v>
      </c>
      <c r="D186" s="15" t="s">
        <v>653</v>
      </c>
      <c r="E186" s="15">
        <v>2026</v>
      </c>
      <c r="F186" s="15" t="s">
        <v>526</v>
      </c>
      <c r="G186" s="15" t="s">
        <v>156</v>
      </c>
      <c r="H186" s="16">
        <v>46147</v>
      </c>
      <c r="I186" s="16">
        <v>46171</v>
      </c>
      <c r="J186" s="16">
        <v>46171</v>
      </c>
      <c r="K186" s="16">
        <v>46227</v>
      </c>
      <c r="L186" s="16">
        <v>46239</v>
      </c>
      <c r="M186" s="15"/>
      <c r="N186" s="15" t="s">
        <v>540</v>
      </c>
      <c r="O186" s="15" t="s">
        <v>510</v>
      </c>
      <c r="P186" s="19" t="s">
        <v>703</v>
      </c>
      <c r="Q186" s="15" t="s">
        <v>542</v>
      </c>
      <c r="R186" s="15" t="str">
        <f t="shared" ca="1" si="2"/>
        <v>Passée</v>
      </c>
    </row>
    <row r="187" spans="1:18" ht="15.6" customHeight="1">
      <c r="A187" t="s">
        <v>720</v>
      </c>
      <c r="B187" t="s">
        <v>309</v>
      </c>
      <c r="C187" t="s">
        <v>310</v>
      </c>
      <c r="D187" t="s">
        <v>653</v>
      </c>
      <c r="E187">
        <v>2026</v>
      </c>
      <c r="F187" t="s">
        <v>526</v>
      </c>
      <c r="G187" t="s">
        <v>157</v>
      </c>
      <c r="H187" s="1">
        <v>46182</v>
      </c>
      <c r="I187" s="1">
        <v>46203</v>
      </c>
      <c r="J187" s="1">
        <v>46203</v>
      </c>
      <c r="K187" s="1">
        <v>46259</v>
      </c>
      <c r="L187" s="1">
        <v>46274</v>
      </c>
      <c r="N187" t="s">
        <v>540</v>
      </c>
      <c r="O187" t="s">
        <v>510</v>
      </c>
      <c r="P187" s="19" t="s">
        <v>703</v>
      </c>
      <c r="Q187" t="s">
        <v>542</v>
      </c>
      <c r="R187" t="str">
        <f t="shared" ca="1" si="2"/>
        <v>Passée</v>
      </c>
    </row>
    <row r="188" spans="1:18" ht="15.6" customHeight="1">
      <c r="A188" s="15" t="s">
        <v>721</v>
      </c>
      <c r="B188" s="15" t="s">
        <v>309</v>
      </c>
      <c r="C188" s="15" t="s">
        <v>310</v>
      </c>
      <c r="D188" s="15" t="s">
        <v>653</v>
      </c>
      <c r="E188" s="15">
        <v>2026</v>
      </c>
      <c r="F188" s="15" t="s">
        <v>526</v>
      </c>
      <c r="G188" s="15" t="s">
        <v>158</v>
      </c>
      <c r="H188" s="16">
        <v>46212</v>
      </c>
      <c r="I188" s="16">
        <v>46234</v>
      </c>
      <c r="J188" s="16">
        <v>46234</v>
      </c>
      <c r="K188" s="16">
        <v>46290</v>
      </c>
      <c r="L188" s="16">
        <v>46304</v>
      </c>
      <c r="M188" s="15"/>
      <c r="N188" s="15" t="s">
        <v>540</v>
      </c>
      <c r="O188" s="15" t="s">
        <v>510</v>
      </c>
      <c r="P188" s="19" t="s">
        <v>703</v>
      </c>
      <c r="Q188" s="15" t="s">
        <v>542</v>
      </c>
      <c r="R188" s="15" t="str">
        <f t="shared" ca="1" si="2"/>
        <v>Passée</v>
      </c>
    </row>
    <row r="189" spans="1:18" ht="15.6" customHeight="1">
      <c r="A189" t="s">
        <v>722</v>
      </c>
      <c r="B189" t="s">
        <v>309</v>
      </c>
      <c r="C189" t="s">
        <v>310</v>
      </c>
      <c r="D189" t="s">
        <v>653</v>
      </c>
      <c r="E189">
        <v>2026</v>
      </c>
      <c r="F189" t="s">
        <v>526</v>
      </c>
      <c r="G189" t="s">
        <v>159</v>
      </c>
      <c r="H189" s="1">
        <v>46244</v>
      </c>
      <c r="I189" s="1">
        <v>46265</v>
      </c>
      <c r="J189" s="1">
        <v>46265</v>
      </c>
      <c r="K189" s="1">
        <v>46321</v>
      </c>
      <c r="L189" s="1">
        <v>46336</v>
      </c>
      <c r="N189" t="s">
        <v>540</v>
      </c>
      <c r="O189" t="s">
        <v>510</v>
      </c>
      <c r="P189" s="19" t="s">
        <v>703</v>
      </c>
      <c r="Q189" t="s">
        <v>542</v>
      </c>
      <c r="R189" t="str">
        <f t="shared" ca="1" si="2"/>
        <v>Passée</v>
      </c>
    </row>
    <row r="190" spans="1:18" ht="15.6" customHeight="1">
      <c r="A190" s="15" t="s">
        <v>723</v>
      </c>
      <c r="B190" s="15" t="s">
        <v>309</v>
      </c>
      <c r="C190" s="15" t="s">
        <v>310</v>
      </c>
      <c r="D190" s="15" t="s">
        <v>653</v>
      </c>
      <c r="E190" s="15">
        <v>2026</v>
      </c>
      <c r="F190" s="15" t="s">
        <v>526</v>
      </c>
      <c r="G190" s="15" t="s">
        <v>160</v>
      </c>
      <c r="H190" s="16">
        <v>46274</v>
      </c>
      <c r="I190" s="16">
        <v>46295</v>
      </c>
      <c r="J190" s="16">
        <v>46295</v>
      </c>
      <c r="K190" s="16">
        <v>46351</v>
      </c>
      <c r="L190" s="16">
        <v>46365</v>
      </c>
      <c r="M190" s="15"/>
      <c r="N190" s="15" t="s">
        <v>540</v>
      </c>
      <c r="O190" s="15" t="s">
        <v>510</v>
      </c>
      <c r="P190" s="19" t="s">
        <v>703</v>
      </c>
      <c r="Q190" s="15" t="s">
        <v>542</v>
      </c>
      <c r="R190" s="15" t="str">
        <f t="shared" ca="1" si="2"/>
        <v>À venir</v>
      </c>
    </row>
    <row r="191" spans="1:18" ht="15.6" customHeight="1">
      <c r="A191" t="s">
        <v>724</v>
      </c>
      <c r="B191" t="s">
        <v>309</v>
      </c>
      <c r="C191" t="s">
        <v>310</v>
      </c>
      <c r="D191" t="s">
        <v>653</v>
      </c>
      <c r="E191">
        <v>2026</v>
      </c>
      <c r="F191" t="s">
        <v>526</v>
      </c>
      <c r="G191" t="s">
        <v>161</v>
      </c>
      <c r="H191" s="1">
        <v>46304</v>
      </c>
      <c r="I191" s="1">
        <v>46325</v>
      </c>
      <c r="J191" s="1">
        <v>46325</v>
      </c>
      <c r="K191" s="1">
        <v>46381</v>
      </c>
      <c r="L191" s="1">
        <v>46396</v>
      </c>
      <c r="N191" t="s">
        <v>540</v>
      </c>
      <c r="O191" t="s">
        <v>510</v>
      </c>
      <c r="P191" s="19" t="s">
        <v>703</v>
      </c>
      <c r="Q191" t="s">
        <v>542</v>
      </c>
      <c r="R191" t="str">
        <f t="shared" ca="1" si="2"/>
        <v>À venir</v>
      </c>
    </row>
    <row r="192" spans="1:18" ht="15.6" customHeight="1">
      <c r="A192" s="15" t="s">
        <v>725</v>
      </c>
      <c r="B192" s="15" t="s">
        <v>309</v>
      </c>
      <c r="C192" s="15" t="s">
        <v>310</v>
      </c>
      <c r="D192" s="15" t="s">
        <v>653</v>
      </c>
      <c r="E192" s="15">
        <v>2026</v>
      </c>
      <c r="F192" s="15" t="s">
        <v>526</v>
      </c>
      <c r="G192" s="15" t="s">
        <v>162</v>
      </c>
      <c r="H192" s="16">
        <v>46332</v>
      </c>
      <c r="I192" s="16">
        <v>46356</v>
      </c>
      <c r="J192" s="16">
        <v>46356</v>
      </c>
      <c r="K192" s="16">
        <v>46412</v>
      </c>
      <c r="L192" s="16">
        <v>46424</v>
      </c>
      <c r="M192" s="15"/>
      <c r="N192" s="15" t="s">
        <v>540</v>
      </c>
      <c r="O192" s="15" t="s">
        <v>510</v>
      </c>
      <c r="P192" s="19" t="s">
        <v>703</v>
      </c>
      <c r="Q192" s="15" t="s">
        <v>542</v>
      </c>
      <c r="R192" s="15" t="str">
        <f t="shared" ca="1" si="2"/>
        <v>À venir</v>
      </c>
    </row>
    <row r="193" spans="1:18" ht="15.6" customHeight="1">
      <c r="A193" t="s">
        <v>726</v>
      </c>
      <c r="B193" t="s">
        <v>309</v>
      </c>
      <c r="C193" t="s">
        <v>310</v>
      </c>
      <c r="D193" t="s">
        <v>653</v>
      </c>
      <c r="E193">
        <v>2026</v>
      </c>
      <c r="F193" t="s">
        <v>526</v>
      </c>
      <c r="G193" t="s">
        <v>163</v>
      </c>
      <c r="H193" s="1">
        <v>46365</v>
      </c>
      <c r="I193" s="1">
        <v>46387</v>
      </c>
      <c r="J193" s="1">
        <v>46387</v>
      </c>
      <c r="K193" s="1">
        <v>46443</v>
      </c>
      <c r="L193" s="1">
        <v>46455</v>
      </c>
      <c r="N193" t="s">
        <v>540</v>
      </c>
      <c r="O193" t="s">
        <v>510</v>
      </c>
      <c r="P193" s="19" t="s">
        <v>703</v>
      </c>
      <c r="Q193" t="s">
        <v>542</v>
      </c>
      <c r="R193" t="str">
        <f t="shared" ca="1" si="2"/>
        <v>À venir</v>
      </c>
    </row>
    <row r="194" spans="1:18" ht="15.6" customHeight="1">
      <c r="A194" s="15" t="s">
        <v>727</v>
      </c>
      <c r="B194" s="15" t="s">
        <v>311</v>
      </c>
      <c r="C194" s="15" t="s">
        <v>312</v>
      </c>
      <c r="D194" s="15" t="s">
        <v>653</v>
      </c>
      <c r="E194" s="15">
        <v>2026</v>
      </c>
      <c r="F194" s="15" t="s">
        <v>526</v>
      </c>
      <c r="G194" s="15" t="s">
        <v>152</v>
      </c>
      <c r="H194" s="16">
        <v>46031</v>
      </c>
      <c r="I194" s="16">
        <v>46052</v>
      </c>
      <c r="J194" s="16">
        <v>46052</v>
      </c>
      <c r="K194" s="16">
        <v>46108</v>
      </c>
      <c r="L194" s="16">
        <v>46121</v>
      </c>
      <c r="M194" s="15"/>
      <c r="N194" s="15" t="s">
        <v>540</v>
      </c>
      <c r="O194" s="15" t="s">
        <v>510</v>
      </c>
      <c r="P194" s="19" t="s">
        <v>703</v>
      </c>
      <c r="Q194" s="15" t="s">
        <v>542</v>
      </c>
      <c r="R194" s="15" t="str">
        <f t="shared" ref="R194:R257" ca="1" si="3">IF(H194&gt;=TODAY(),"À venir","Passée")</f>
        <v>Passée</v>
      </c>
    </row>
    <row r="195" spans="1:18" ht="15.6" customHeight="1">
      <c r="A195" t="s">
        <v>728</v>
      </c>
      <c r="B195" t="s">
        <v>311</v>
      </c>
      <c r="C195" t="s">
        <v>312</v>
      </c>
      <c r="D195" t="s">
        <v>653</v>
      </c>
      <c r="E195">
        <v>2026</v>
      </c>
      <c r="F195" t="s">
        <v>526</v>
      </c>
      <c r="G195" t="s">
        <v>153</v>
      </c>
      <c r="H195" s="1">
        <v>46059</v>
      </c>
      <c r="I195" s="1">
        <v>46080</v>
      </c>
      <c r="J195" s="1">
        <v>46080</v>
      </c>
      <c r="K195" s="1">
        <v>46136</v>
      </c>
      <c r="L195" s="1">
        <v>46148</v>
      </c>
      <c r="N195" t="s">
        <v>540</v>
      </c>
      <c r="O195" t="s">
        <v>510</v>
      </c>
      <c r="P195" s="19" t="s">
        <v>703</v>
      </c>
      <c r="Q195" t="s">
        <v>542</v>
      </c>
      <c r="R195" t="str">
        <f t="shared" ca="1" si="3"/>
        <v>Passée</v>
      </c>
    </row>
    <row r="196" spans="1:18" ht="15.6" customHeight="1">
      <c r="A196" s="15" t="s">
        <v>729</v>
      </c>
      <c r="B196" s="15" t="s">
        <v>311</v>
      </c>
      <c r="C196" s="15" t="s">
        <v>312</v>
      </c>
      <c r="D196" s="15" t="s">
        <v>653</v>
      </c>
      <c r="E196" s="15">
        <v>2026</v>
      </c>
      <c r="F196" s="15" t="s">
        <v>526</v>
      </c>
      <c r="G196" s="15" t="s">
        <v>154</v>
      </c>
      <c r="H196" s="16">
        <v>46091</v>
      </c>
      <c r="I196" s="16">
        <v>46112</v>
      </c>
      <c r="J196" s="16">
        <v>46112</v>
      </c>
      <c r="K196" s="16">
        <v>46168</v>
      </c>
      <c r="L196" s="16">
        <v>46183</v>
      </c>
      <c r="M196" s="15"/>
      <c r="N196" s="15" t="s">
        <v>540</v>
      </c>
      <c r="O196" s="15" t="s">
        <v>510</v>
      </c>
      <c r="P196" s="19" t="s">
        <v>703</v>
      </c>
      <c r="Q196" s="15" t="s">
        <v>542</v>
      </c>
      <c r="R196" s="15" t="str">
        <f t="shared" ca="1" si="3"/>
        <v>Passée</v>
      </c>
    </row>
    <row r="197" spans="1:18" ht="15.6" customHeight="1">
      <c r="A197" t="s">
        <v>730</v>
      </c>
      <c r="B197" t="s">
        <v>311</v>
      </c>
      <c r="C197" t="s">
        <v>312</v>
      </c>
      <c r="D197" t="s">
        <v>653</v>
      </c>
      <c r="E197">
        <v>2026</v>
      </c>
      <c r="F197" t="s">
        <v>526</v>
      </c>
      <c r="G197" t="s">
        <v>155</v>
      </c>
      <c r="H197" s="1">
        <v>46121</v>
      </c>
      <c r="I197" s="1">
        <v>46142</v>
      </c>
      <c r="J197" s="1">
        <v>46142</v>
      </c>
      <c r="K197" s="1">
        <v>46198</v>
      </c>
      <c r="L197" s="1">
        <v>46212</v>
      </c>
      <c r="N197" t="s">
        <v>540</v>
      </c>
      <c r="O197" t="s">
        <v>510</v>
      </c>
      <c r="P197" s="19" t="s">
        <v>703</v>
      </c>
      <c r="Q197" t="s">
        <v>542</v>
      </c>
      <c r="R197" t="str">
        <f t="shared" ca="1" si="3"/>
        <v>Passée</v>
      </c>
    </row>
    <row r="198" spans="1:18" ht="15.6" customHeight="1">
      <c r="A198" s="15" t="s">
        <v>731</v>
      </c>
      <c r="B198" s="15" t="s">
        <v>311</v>
      </c>
      <c r="C198" s="15" t="s">
        <v>312</v>
      </c>
      <c r="D198" s="15" t="s">
        <v>653</v>
      </c>
      <c r="E198" s="15">
        <v>2026</v>
      </c>
      <c r="F198" s="15" t="s">
        <v>526</v>
      </c>
      <c r="G198" s="15" t="s">
        <v>156</v>
      </c>
      <c r="H198" s="16">
        <v>46147</v>
      </c>
      <c r="I198" s="16">
        <v>46171</v>
      </c>
      <c r="J198" s="16">
        <v>46171</v>
      </c>
      <c r="K198" s="16">
        <v>46227</v>
      </c>
      <c r="L198" s="16">
        <v>46239</v>
      </c>
      <c r="M198" s="15"/>
      <c r="N198" s="15" t="s">
        <v>540</v>
      </c>
      <c r="O198" s="15" t="s">
        <v>510</v>
      </c>
      <c r="P198" s="19" t="s">
        <v>703</v>
      </c>
      <c r="Q198" s="15" t="s">
        <v>542</v>
      </c>
      <c r="R198" s="15" t="str">
        <f t="shared" ca="1" si="3"/>
        <v>Passée</v>
      </c>
    </row>
    <row r="199" spans="1:18" ht="15.6" customHeight="1">
      <c r="A199" t="s">
        <v>732</v>
      </c>
      <c r="B199" t="s">
        <v>311</v>
      </c>
      <c r="C199" t="s">
        <v>312</v>
      </c>
      <c r="D199" t="s">
        <v>653</v>
      </c>
      <c r="E199">
        <v>2026</v>
      </c>
      <c r="F199" t="s">
        <v>526</v>
      </c>
      <c r="G199" t="s">
        <v>157</v>
      </c>
      <c r="H199" s="1">
        <v>46182</v>
      </c>
      <c r="I199" s="1">
        <v>46203</v>
      </c>
      <c r="J199" s="1">
        <v>46203</v>
      </c>
      <c r="K199" s="1">
        <v>46259</v>
      </c>
      <c r="L199" s="1">
        <v>46274</v>
      </c>
      <c r="N199" t="s">
        <v>540</v>
      </c>
      <c r="O199" t="s">
        <v>510</v>
      </c>
      <c r="P199" s="19" t="s">
        <v>703</v>
      </c>
      <c r="Q199" t="s">
        <v>542</v>
      </c>
      <c r="R199" t="str">
        <f t="shared" ca="1" si="3"/>
        <v>Passée</v>
      </c>
    </row>
    <row r="200" spans="1:18" ht="15.6" customHeight="1">
      <c r="A200" s="15" t="s">
        <v>733</v>
      </c>
      <c r="B200" s="15" t="s">
        <v>311</v>
      </c>
      <c r="C200" s="15" t="s">
        <v>312</v>
      </c>
      <c r="D200" s="15" t="s">
        <v>653</v>
      </c>
      <c r="E200" s="15">
        <v>2026</v>
      </c>
      <c r="F200" s="15" t="s">
        <v>526</v>
      </c>
      <c r="G200" s="15" t="s">
        <v>158</v>
      </c>
      <c r="H200" s="16">
        <v>46212</v>
      </c>
      <c r="I200" s="16">
        <v>46234</v>
      </c>
      <c r="J200" s="16">
        <v>46234</v>
      </c>
      <c r="K200" s="16">
        <v>46290</v>
      </c>
      <c r="L200" s="16">
        <v>46304</v>
      </c>
      <c r="M200" s="15"/>
      <c r="N200" s="15" t="s">
        <v>540</v>
      </c>
      <c r="O200" s="15" t="s">
        <v>510</v>
      </c>
      <c r="P200" s="19" t="s">
        <v>703</v>
      </c>
      <c r="Q200" s="15" t="s">
        <v>542</v>
      </c>
      <c r="R200" s="15" t="str">
        <f t="shared" ca="1" si="3"/>
        <v>Passée</v>
      </c>
    </row>
    <row r="201" spans="1:18" ht="15.6" customHeight="1">
      <c r="A201" t="s">
        <v>734</v>
      </c>
      <c r="B201" t="s">
        <v>311</v>
      </c>
      <c r="C201" t="s">
        <v>312</v>
      </c>
      <c r="D201" t="s">
        <v>653</v>
      </c>
      <c r="E201">
        <v>2026</v>
      </c>
      <c r="F201" t="s">
        <v>526</v>
      </c>
      <c r="G201" t="s">
        <v>159</v>
      </c>
      <c r="H201" s="1">
        <v>46244</v>
      </c>
      <c r="I201" s="1">
        <v>46265</v>
      </c>
      <c r="J201" s="1">
        <v>46265</v>
      </c>
      <c r="K201" s="1">
        <v>46321</v>
      </c>
      <c r="L201" s="1">
        <v>46336</v>
      </c>
      <c r="N201" t="s">
        <v>540</v>
      </c>
      <c r="O201" t="s">
        <v>510</v>
      </c>
      <c r="P201" s="19" t="s">
        <v>703</v>
      </c>
      <c r="Q201" t="s">
        <v>542</v>
      </c>
      <c r="R201" t="str">
        <f t="shared" ca="1" si="3"/>
        <v>Passée</v>
      </c>
    </row>
    <row r="202" spans="1:18" ht="15.6" customHeight="1">
      <c r="A202" s="15" t="s">
        <v>735</v>
      </c>
      <c r="B202" s="15" t="s">
        <v>311</v>
      </c>
      <c r="C202" s="15" t="s">
        <v>312</v>
      </c>
      <c r="D202" s="15" t="s">
        <v>653</v>
      </c>
      <c r="E202" s="15">
        <v>2026</v>
      </c>
      <c r="F202" s="15" t="s">
        <v>526</v>
      </c>
      <c r="G202" s="15" t="s">
        <v>160</v>
      </c>
      <c r="H202" s="16">
        <v>46274</v>
      </c>
      <c r="I202" s="16">
        <v>46295</v>
      </c>
      <c r="J202" s="16">
        <v>46295</v>
      </c>
      <c r="K202" s="16">
        <v>46351</v>
      </c>
      <c r="L202" s="16">
        <v>46365</v>
      </c>
      <c r="M202" s="15"/>
      <c r="N202" s="15" t="s">
        <v>540</v>
      </c>
      <c r="O202" s="15" t="s">
        <v>510</v>
      </c>
      <c r="P202" s="19" t="s">
        <v>703</v>
      </c>
      <c r="Q202" s="15" t="s">
        <v>542</v>
      </c>
      <c r="R202" s="15" t="str">
        <f t="shared" ca="1" si="3"/>
        <v>À venir</v>
      </c>
    </row>
    <row r="203" spans="1:18" ht="15.6" customHeight="1">
      <c r="A203" t="s">
        <v>736</v>
      </c>
      <c r="B203" t="s">
        <v>311</v>
      </c>
      <c r="C203" t="s">
        <v>312</v>
      </c>
      <c r="D203" t="s">
        <v>653</v>
      </c>
      <c r="E203">
        <v>2026</v>
      </c>
      <c r="F203" t="s">
        <v>526</v>
      </c>
      <c r="G203" t="s">
        <v>161</v>
      </c>
      <c r="H203" s="1">
        <v>46304</v>
      </c>
      <c r="I203" s="1">
        <v>46325</v>
      </c>
      <c r="J203" s="1">
        <v>46325</v>
      </c>
      <c r="K203" s="1">
        <v>46381</v>
      </c>
      <c r="L203" s="1">
        <v>46396</v>
      </c>
      <c r="N203" t="s">
        <v>540</v>
      </c>
      <c r="O203" t="s">
        <v>510</v>
      </c>
      <c r="P203" s="19" t="s">
        <v>703</v>
      </c>
      <c r="Q203" t="s">
        <v>542</v>
      </c>
      <c r="R203" t="str">
        <f t="shared" ca="1" si="3"/>
        <v>À venir</v>
      </c>
    </row>
    <row r="204" spans="1:18" ht="15.6" customHeight="1">
      <c r="A204" s="15" t="s">
        <v>737</v>
      </c>
      <c r="B204" s="15" t="s">
        <v>311</v>
      </c>
      <c r="C204" s="15" t="s">
        <v>312</v>
      </c>
      <c r="D204" s="15" t="s">
        <v>653</v>
      </c>
      <c r="E204" s="15">
        <v>2026</v>
      </c>
      <c r="F204" s="15" t="s">
        <v>526</v>
      </c>
      <c r="G204" s="15" t="s">
        <v>162</v>
      </c>
      <c r="H204" s="16">
        <v>46332</v>
      </c>
      <c r="I204" s="16">
        <v>46356</v>
      </c>
      <c r="J204" s="16">
        <v>46356</v>
      </c>
      <c r="K204" s="16">
        <v>46412</v>
      </c>
      <c r="L204" s="16">
        <v>46424</v>
      </c>
      <c r="M204" s="15"/>
      <c r="N204" s="15" t="s">
        <v>540</v>
      </c>
      <c r="O204" s="15" t="s">
        <v>510</v>
      </c>
      <c r="P204" s="19" t="s">
        <v>703</v>
      </c>
      <c r="Q204" s="15" t="s">
        <v>542</v>
      </c>
      <c r="R204" s="15" t="str">
        <f t="shared" ca="1" si="3"/>
        <v>À venir</v>
      </c>
    </row>
    <row r="205" spans="1:18" ht="15.6" customHeight="1">
      <c r="A205" t="s">
        <v>738</v>
      </c>
      <c r="B205" t="s">
        <v>311</v>
      </c>
      <c r="C205" t="s">
        <v>312</v>
      </c>
      <c r="D205" t="s">
        <v>653</v>
      </c>
      <c r="E205">
        <v>2026</v>
      </c>
      <c r="F205" t="s">
        <v>526</v>
      </c>
      <c r="G205" t="s">
        <v>163</v>
      </c>
      <c r="H205" s="1">
        <v>46365</v>
      </c>
      <c r="I205" s="1">
        <v>46387</v>
      </c>
      <c r="J205" s="1">
        <v>46387</v>
      </c>
      <c r="K205" s="1">
        <v>46443</v>
      </c>
      <c r="L205" s="1">
        <v>46455</v>
      </c>
      <c r="N205" t="s">
        <v>540</v>
      </c>
      <c r="O205" t="s">
        <v>510</v>
      </c>
      <c r="P205" s="19" t="s">
        <v>703</v>
      </c>
      <c r="Q205" t="s">
        <v>542</v>
      </c>
      <c r="R205" t="str">
        <f t="shared" ca="1" si="3"/>
        <v>À venir</v>
      </c>
    </row>
    <row r="206" spans="1:18" ht="15.6" customHeight="1">
      <c r="A206" s="15" t="s">
        <v>739</v>
      </c>
      <c r="B206" s="15" t="s">
        <v>313</v>
      </c>
      <c r="C206" s="15" t="s">
        <v>314</v>
      </c>
      <c r="D206" s="15" t="s">
        <v>653</v>
      </c>
      <c r="E206" s="15">
        <v>2026</v>
      </c>
      <c r="F206" s="15" t="s">
        <v>526</v>
      </c>
      <c r="G206" s="15" t="s">
        <v>152</v>
      </c>
      <c r="H206" s="16">
        <v>46031</v>
      </c>
      <c r="I206" s="16">
        <v>46052</v>
      </c>
      <c r="J206" s="16">
        <v>46052</v>
      </c>
      <c r="K206" s="16">
        <v>46108</v>
      </c>
      <c r="L206" s="16">
        <v>46121</v>
      </c>
      <c r="M206" s="15"/>
      <c r="N206" s="15" t="s">
        <v>540</v>
      </c>
      <c r="O206" s="15" t="s">
        <v>510</v>
      </c>
      <c r="P206" s="19" t="s">
        <v>703</v>
      </c>
      <c r="Q206" s="15" t="s">
        <v>542</v>
      </c>
      <c r="R206" s="15" t="str">
        <f t="shared" ca="1" si="3"/>
        <v>Passée</v>
      </c>
    </row>
    <row r="207" spans="1:18" ht="15.6" customHeight="1">
      <c r="A207" t="s">
        <v>740</v>
      </c>
      <c r="B207" t="s">
        <v>313</v>
      </c>
      <c r="C207" t="s">
        <v>314</v>
      </c>
      <c r="D207" t="s">
        <v>653</v>
      </c>
      <c r="E207">
        <v>2026</v>
      </c>
      <c r="F207" t="s">
        <v>526</v>
      </c>
      <c r="G207" t="s">
        <v>153</v>
      </c>
      <c r="H207" s="1">
        <v>46059</v>
      </c>
      <c r="I207" s="1">
        <v>46080</v>
      </c>
      <c r="J207" s="1">
        <v>46080</v>
      </c>
      <c r="K207" s="1">
        <v>46136</v>
      </c>
      <c r="L207" s="1">
        <v>46148</v>
      </c>
      <c r="N207" t="s">
        <v>540</v>
      </c>
      <c r="O207" t="s">
        <v>510</v>
      </c>
      <c r="P207" s="19" t="s">
        <v>703</v>
      </c>
      <c r="Q207" t="s">
        <v>542</v>
      </c>
      <c r="R207" t="str">
        <f t="shared" ca="1" si="3"/>
        <v>Passée</v>
      </c>
    </row>
    <row r="208" spans="1:18" ht="15.6" customHeight="1">
      <c r="A208" s="15" t="s">
        <v>741</v>
      </c>
      <c r="B208" s="15" t="s">
        <v>313</v>
      </c>
      <c r="C208" s="15" t="s">
        <v>314</v>
      </c>
      <c r="D208" s="15" t="s">
        <v>653</v>
      </c>
      <c r="E208" s="15">
        <v>2026</v>
      </c>
      <c r="F208" s="15" t="s">
        <v>526</v>
      </c>
      <c r="G208" s="15" t="s">
        <v>154</v>
      </c>
      <c r="H208" s="16">
        <v>46091</v>
      </c>
      <c r="I208" s="16">
        <v>46112</v>
      </c>
      <c r="J208" s="16">
        <v>46112</v>
      </c>
      <c r="K208" s="16">
        <v>46168</v>
      </c>
      <c r="L208" s="16">
        <v>46183</v>
      </c>
      <c r="M208" s="15"/>
      <c r="N208" s="15" t="s">
        <v>540</v>
      </c>
      <c r="O208" s="15" t="s">
        <v>510</v>
      </c>
      <c r="P208" s="19" t="s">
        <v>703</v>
      </c>
      <c r="Q208" s="15" t="s">
        <v>542</v>
      </c>
      <c r="R208" s="15" t="str">
        <f t="shared" ca="1" si="3"/>
        <v>Passée</v>
      </c>
    </row>
    <row r="209" spans="1:18" ht="15.6" customHeight="1">
      <c r="A209" t="s">
        <v>742</v>
      </c>
      <c r="B209" t="s">
        <v>313</v>
      </c>
      <c r="C209" t="s">
        <v>314</v>
      </c>
      <c r="D209" t="s">
        <v>653</v>
      </c>
      <c r="E209">
        <v>2026</v>
      </c>
      <c r="F209" t="s">
        <v>526</v>
      </c>
      <c r="G209" t="s">
        <v>155</v>
      </c>
      <c r="H209" s="1">
        <v>46121</v>
      </c>
      <c r="I209" s="1">
        <v>46142</v>
      </c>
      <c r="J209" s="1">
        <v>46142</v>
      </c>
      <c r="K209" s="1">
        <v>46198</v>
      </c>
      <c r="L209" s="1">
        <v>46212</v>
      </c>
      <c r="N209" t="s">
        <v>540</v>
      </c>
      <c r="O209" t="s">
        <v>510</v>
      </c>
      <c r="P209" s="19" t="s">
        <v>703</v>
      </c>
      <c r="Q209" t="s">
        <v>542</v>
      </c>
      <c r="R209" t="str">
        <f t="shared" ca="1" si="3"/>
        <v>Passée</v>
      </c>
    </row>
    <row r="210" spans="1:18" ht="15.6" customHeight="1">
      <c r="A210" s="15" t="s">
        <v>743</v>
      </c>
      <c r="B210" s="15" t="s">
        <v>313</v>
      </c>
      <c r="C210" s="15" t="s">
        <v>314</v>
      </c>
      <c r="D210" s="15" t="s">
        <v>653</v>
      </c>
      <c r="E210" s="15">
        <v>2026</v>
      </c>
      <c r="F210" s="15" t="s">
        <v>526</v>
      </c>
      <c r="G210" s="15" t="s">
        <v>156</v>
      </c>
      <c r="H210" s="16">
        <v>46147</v>
      </c>
      <c r="I210" s="16">
        <v>46171</v>
      </c>
      <c r="J210" s="16">
        <v>46171</v>
      </c>
      <c r="K210" s="16">
        <v>46227</v>
      </c>
      <c r="L210" s="16">
        <v>46239</v>
      </c>
      <c r="M210" s="15"/>
      <c r="N210" s="15" t="s">
        <v>540</v>
      </c>
      <c r="O210" s="15" t="s">
        <v>510</v>
      </c>
      <c r="P210" s="19" t="s">
        <v>703</v>
      </c>
      <c r="Q210" s="15" t="s">
        <v>542</v>
      </c>
      <c r="R210" s="15" t="str">
        <f t="shared" ca="1" si="3"/>
        <v>Passée</v>
      </c>
    </row>
    <row r="211" spans="1:18" ht="15.6" customHeight="1">
      <c r="A211" t="s">
        <v>744</v>
      </c>
      <c r="B211" t="s">
        <v>313</v>
      </c>
      <c r="C211" t="s">
        <v>314</v>
      </c>
      <c r="D211" t="s">
        <v>653</v>
      </c>
      <c r="E211">
        <v>2026</v>
      </c>
      <c r="F211" t="s">
        <v>526</v>
      </c>
      <c r="G211" t="s">
        <v>157</v>
      </c>
      <c r="H211" s="1">
        <v>46182</v>
      </c>
      <c r="I211" s="1">
        <v>46203</v>
      </c>
      <c r="J211" s="1">
        <v>46203</v>
      </c>
      <c r="K211" s="1">
        <v>46259</v>
      </c>
      <c r="L211" s="1">
        <v>46274</v>
      </c>
      <c r="N211" t="s">
        <v>540</v>
      </c>
      <c r="O211" t="s">
        <v>510</v>
      </c>
      <c r="P211" s="19" t="s">
        <v>703</v>
      </c>
      <c r="Q211" t="s">
        <v>542</v>
      </c>
      <c r="R211" t="str">
        <f t="shared" ca="1" si="3"/>
        <v>Passée</v>
      </c>
    </row>
    <row r="212" spans="1:18" ht="15.6" customHeight="1">
      <c r="A212" s="15" t="s">
        <v>745</v>
      </c>
      <c r="B212" s="15" t="s">
        <v>313</v>
      </c>
      <c r="C212" s="15" t="s">
        <v>314</v>
      </c>
      <c r="D212" s="15" t="s">
        <v>653</v>
      </c>
      <c r="E212" s="15">
        <v>2026</v>
      </c>
      <c r="F212" s="15" t="s">
        <v>526</v>
      </c>
      <c r="G212" s="15" t="s">
        <v>158</v>
      </c>
      <c r="H212" s="16">
        <v>46212</v>
      </c>
      <c r="I212" s="16">
        <v>46234</v>
      </c>
      <c r="J212" s="16">
        <v>46234</v>
      </c>
      <c r="K212" s="16">
        <v>46290</v>
      </c>
      <c r="L212" s="16">
        <v>46304</v>
      </c>
      <c r="M212" s="15"/>
      <c r="N212" s="15" t="s">
        <v>540</v>
      </c>
      <c r="O212" s="15" t="s">
        <v>510</v>
      </c>
      <c r="P212" s="19" t="s">
        <v>703</v>
      </c>
      <c r="Q212" s="15" t="s">
        <v>542</v>
      </c>
      <c r="R212" s="15" t="str">
        <f t="shared" ca="1" si="3"/>
        <v>Passée</v>
      </c>
    </row>
    <row r="213" spans="1:18" ht="15.6" customHeight="1">
      <c r="A213" t="s">
        <v>746</v>
      </c>
      <c r="B213" t="s">
        <v>313</v>
      </c>
      <c r="C213" t="s">
        <v>314</v>
      </c>
      <c r="D213" t="s">
        <v>653</v>
      </c>
      <c r="E213">
        <v>2026</v>
      </c>
      <c r="F213" t="s">
        <v>526</v>
      </c>
      <c r="G213" t="s">
        <v>159</v>
      </c>
      <c r="H213" s="1">
        <v>46244</v>
      </c>
      <c r="I213" s="1">
        <v>46265</v>
      </c>
      <c r="J213" s="1">
        <v>46265</v>
      </c>
      <c r="K213" s="1">
        <v>46321</v>
      </c>
      <c r="L213" s="1">
        <v>46336</v>
      </c>
      <c r="N213" t="s">
        <v>540</v>
      </c>
      <c r="O213" t="s">
        <v>510</v>
      </c>
      <c r="P213" s="19" t="s">
        <v>703</v>
      </c>
      <c r="Q213" t="s">
        <v>542</v>
      </c>
      <c r="R213" t="str">
        <f t="shared" ca="1" si="3"/>
        <v>Passée</v>
      </c>
    </row>
    <row r="214" spans="1:18" ht="15.6" customHeight="1">
      <c r="A214" s="15" t="s">
        <v>747</v>
      </c>
      <c r="B214" s="15" t="s">
        <v>313</v>
      </c>
      <c r="C214" s="15" t="s">
        <v>314</v>
      </c>
      <c r="D214" s="15" t="s">
        <v>653</v>
      </c>
      <c r="E214" s="15">
        <v>2026</v>
      </c>
      <c r="F214" s="15" t="s">
        <v>526</v>
      </c>
      <c r="G214" s="15" t="s">
        <v>160</v>
      </c>
      <c r="H214" s="16">
        <v>46274</v>
      </c>
      <c r="I214" s="16">
        <v>46295</v>
      </c>
      <c r="J214" s="16">
        <v>46295</v>
      </c>
      <c r="K214" s="16">
        <v>46351</v>
      </c>
      <c r="L214" s="16">
        <v>46365</v>
      </c>
      <c r="M214" s="15"/>
      <c r="N214" s="15" t="s">
        <v>540</v>
      </c>
      <c r="O214" s="15" t="s">
        <v>510</v>
      </c>
      <c r="P214" s="19" t="s">
        <v>703</v>
      </c>
      <c r="Q214" s="15" t="s">
        <v>542</v>
      </c>
      <c r="R214" s="15" t="str">
        <f t="shared" ca="1" si="3"/>
        <v>À venir</v>
      </c>
    </row>
    <row r="215" spans="1:18" ht="15.6" customHeight="1">
      <c r="A215" t="s">
        <v>748</v>
      </c>
      <c r="B215" t="s">
        <v>313</v>
      </c>
      <c r="C215" t="s">
        <v>314</v>
      </c>
      <c r="D215" t="s">
        <v>653</v>
      </c>
      <c r="E215">
        <v>2026</v>
      </c>
      <c r="F215" t="s">
        <v>526</v>
      </c>
      <c r="G215" t="s">
        <v>161</v>
      </c>
      <c r="H215" s="1">
        <v>46304</v>
      </c>
      <c r="I215" s="1">
        <v>46325</v>
      </c>
      <c r="J215" s="1">
        <v>46325</v>
      </c>
      <c r="K215" s="1">
        <v>46381</v>
      </c>
      <c r="L215" s="1">
        <v>46396</v>
      </c>
      <c r="N215" t="s">
        <v>540</v>
      </c>
      <c r="O215" t="s">
        <v>510</v>
      </c>
      <c r="P215" s="19" t="s">
        <v>703</v>
      </c>
      <c r="Q215" t="s">
        <v>542</v>
      </c>
      <c r="R215" t="str">
        <f t="shared" ca="1" si="3"/>
        <v>À venir</v>
      </c>
    </row>
    <row r="216" spans="1:18" ht="15.6" customHeight="1">
      <c r="A216" s="15" t="s">
        <v>749</v>
      </c>
      <c r="B216" s="15" t="s">
        <v>313</v>
      </c>
      <c r="C216" s="15" t="s">
        <v>314</v>
      </c>
      <c r="D216" s="15" t="s">
        <v>653</v>
      </c>
      <c r="E216" s="15">
        <v>2026</v>
      </c>
      <c r="F216" s="15" t="s">
        <v>526</v>
      </c>
      <c r="G216" s="15" t="s">
        <v>162</v>
      </c>
      <c r="H216" s="16">
        <v>46332</v>
      </c>
      <c r="I216" s="16">
        <v>46356</v>
      </c>
      <c r="J216" s="16">
        <v>46356</v>
      </c>
      <c r="K216" s="16">
        <v>46412</v>
      </c>
      <c r="L216" s="16">
        <v>46424</v>
      </c>
      <c r="M216" s="15"/>
      <c r="N216" s="15" t="s">
        <v>540</v>
      </c>
      <c r="O216" s="15" t="s">
        <v>510</v>
      </c>
      <c r="P216" s="19" t="s">
        <v>703</v>
      </c>
      <c r="Q216" s="15" t="s">
        <v>542</v>
      </c>
      <c r="R216" s="15" t="str">
        <f t="shared" ca="1" si="3"/>
        <v>À venir</v>
      </c>
    </row>
    <row r="217" spans="1:18" ht="15.6" customHeight="1">
      <c r="A217" t="s">
        <v>750</v>
      </c>
      <c r="B217" t="s">
        <v>313</v>
      </c>
      <c r="C217" t="s">
        <v>314</v>
      </c>
      <c r="D217" t="s">
        <v>653</v>
      </c>
      <c r="E217">
        <v>2026</v>
      </c>
      <c r="F217" t="s">
        <v>526</v>
      </c>
      <c r="G217" t="s">
        <v>163</v>
      </c>
      <c r="H217" s="1">
        <v>46365</v>
      </c>
      <c r="I217" s="1">
        <v>46387</v>
      </c>
      <c r="J217" s="1">
        <v>46387</v>
      </c>
      <c r="K217" s="1">
        <v>46443</v>
      </c>
      <c r="L217" s="1">
        <v>46455</v>
      </c>
      <c r="N217" t="s">
        <v>540</v>
      </c>
      <c r="O217" t="s">
        <v>510</v>
      </c>
      <c r="P217" s="19" t="s">
        <v>703</v>
      </c>
      <c r="Q217" t="s">
        <v>542</v>
      </c>
      <c r="R217" t="str">
        <f t="shared" ca="1" si="3"/>
        <v>À venir</v>
      </c>
    </row>
    <row r="218" spans="1:18" ht="15.6" customHeight="1">
      <c r="A218" s="15" t="s">
        <v>751</v>
      </c>
      <c r="B218" s="15" t="s">
        <v>315</v>
      </c>
      <c r="C218" s="15" t="s">
        <v>316</v>
      </c>
      <c r="D218" s="15" t="s">
        <v>653</v>
      </c>
      <c r="E218" s="15">
        <v>2026</v>
      </c>
      <c r="F218" s="15" t="s">
        <v>526</v>
      </c>
      <c r="G218" s="15" t="s">
        <v>152</v>
      </c>
      <c r="H218" s="16">
        <v>46031</v>
      </c>
      <c r="I218" s="16">
        <v>46052</v>
      </c>
      <c r="J218" s="16">
        <v>46052</v>
      </c>
      <c r="K218" s="16">
        <v>46108</v>
      </c>
      <c r="L218" s="16">
        <v>46121</v>
      </c>
      <c r="M218" s="15"/>
      <c r="N218" s="15" t="s">
        <v>540</v>
      </c>
      <c r="O218" s="15" t="s">
        <v>510</v>
      </c>
      <c r="P218" s="19" t="s">
        <v>703</v>
      </c>
      <c r="Q218" s="15" t="s">
        <v>542</v>
      </c>
      <c r="R218" s="15" t="str">
        <f t="shared" ca="1" si="3"/>
        <v>Passée</v>
      </c>
    </row>
    <row r="219" spans="1:18" ht="15.6" customHeight="1">
      <c r="A219" t="s">
        <v>752</v>
      </c>
      <c r="B219" t="s">
        <v>315</v>
      </c>
      <c r="C219" t="s">
        <v>316</v>
      </c>
      <c r="D219" t="s">
        <v>653</v>
      </c>
      <c r="E219">
        <v>2026</v>
      </c>
      <c r="F219" t="s">
        <v>526</v>
      </c>
      <c r="G219" t="s">
        <v>153</v>
      </c>
      <c r="H219" s="1">
        <v>46059</v>
      </c>
      <c r="I219" s="1">
        <v>46080</v>
      </c>
      <c r="J219" s="1">
        <v>46080</v>
      </c>
      <c r="K219" s="1">
        <v>46136</v>
      </c>
      <c r="L219" s="1">
        <v>46148</v>
      </c>
      <c r="N219" t="s">
        <v>540</v>
      </c>
      <c r="O219" t="s">
        <v>510</v>
      </c>
      <c r="P219" s="19" t="s">
        <v>703</v>
      </c>
      <c r="Q219" t="s">
        <v>542</v>
      </c>
      <c r="R219" t="str">
        <f t="shared" ca="1" si="3"/>
        <v>Passée</v>
      </c>
    </row>
    <row r="220" spans="1:18" ht="15.6" customHeight="1">
      <c r="A220" s="15" t="s">
        <v>753</v>
      </c>
      <c r="B220" s="15" t="s">
        <v>315</v>
      </c>
      <c r="C220" s="15" t="s">
        <v>316</v>
      </c>
      <c r="D220" s="15" t="s">
        <v>653</v>
      </c>
      <c r="E220" s="15">
        <v>2026</v>
      </c>
      <c r="F220" s="15" t="s">
        <v>526</v>
      </c>
      <c r="G220" s="15" t="s">
        <v>154</v>
      </c>
      <c r="H220" s="16">
        <v>46091</v>
      </c>
      <c r="I220" s="16">
        <v>46112</v>
      </c>
      <c r="J220" s="16">
        <v>46112</v>
      </c>
      <c r="K220" s="16">
        <v>46168</v>
      </c>
      <c r="L220" s="16">
        <v>46183</v>
      </c>
      <c r="M220" s="15"/>
      <c r="N220" s="15" t="s">
        <v>540</v>
      </c>
      <c r="O220" s="15" t="s">
        <v>510</v>
      </c>
      <c r="P220" s="19" t="s">
        <v>703</v>
      </c>
      <c r="Q220" s="15" t="s">
        <v>542</v>
      </c>
      <c r="R220" s="15" t="str">
        <f t="shared" ca="1" si="3"/>
        <v>Passée</v>
      </c>
    </row>
    <row r="221" spans="1:18" ht="15.6" customHeight="1">
      <c r="A221" t="s">
        <v>754</v>
      </c>
      <c r="B221" t="s">
        <v>315</v>
      </c>
      <c r="C221" t="s">
        <v>316</v>
      </c>
      <c r="D221" t="s">
        <v>653</v>
      </c>
      <c r="E221">
        <v>2026</v>
      </c>
      <c r="F221" t="s">
        <v>526</v>
      </c>
      <c r="G221" t="s">
        <v>155</v>
      </c>
      <c r="H221" s="1">
        <v>46121</v>
      </c>
      <c r="I221" s="1">
        <v>46142</v>
      </c>
      <c r="J221" s="1">
        <v>46142</v>
      </c>
      <c r="K221" s="1">
        <v>46198</v>
      </c>
      <c r="L221" s="1">
        <v>46212</v>
      </c>
      <c r="N221" t="s">
        <v>540</v>
      </c>
      <c r="O221" t="s">
        <v>510</v>
      </c>
      <c r="P221" s="19" t="s">
        <v>703</v>
      </c>
      <c r="Q221" t="s">
        <v>542</v>
      </c>
      <c r="R221" t="str">
        <f t="shared" ca="1" si="3"/>
        <v>Passée</v>
      </c>
    </row>
    <row r="222" spans="1:18" ht="15.6" customHeight="1">
      <c r="A222" s="15" t="s">
        <v>755</v>
      </c>
      <c r="B222" s="15" t="s">
        <v>315</v>
      </c>
      <c r="C222" s="15" t="s">
        <v>316</v>
      </c>
      <c r="D222" s="15" t="s">
        <v>653</v>
      </c>
      <c r="E222" s="15">
        <v>2026</v>
      </c>
      <c r="F222" s="15" t="s">
        <v>526</v>
      </c>
      <c r="G222" s="15" t="s">
        <v>156</v>
      </c>
      <c r="H222" s="16">
        <v>46147</v>
      </c>
      <c r="I222" s="16">
        <v>46171</v>
      </c>
      <c r="J222" s="16">
        <v>46171</v>
      </c>
      <c r="K222" s="16">
        <v>46227</v>
      </c>
      <c r="L222" s="16">
        <v>46239</v>
      </c>
      <c r="M222" s="15"/>
      <c r="N222" s="15" t="s">
        <v>540</v>
      </c>
      <c r="O222" s="15" t="s">
        <v>510</v>
      </c>
      <c r="P222" s="19" t="s">
        <v>703</v>
      </c>
      <c r="Q222" s="15" t="s">
        <v>542</v>
      </c>
      <c r="R222" s="15" t="str">
        <f t="shared" ca="1" si="3"/>
        <v>Passée</v>
      </c>
    </row>
    <row r="223" spans="1:18" ht="15.6" customHeight="1">
      <c r="A223" t="s">
        <v>756</v>
      </c>
      <c r="B223" t="s">
        <v>315</v>
      </c>
      <c r="C223" t="s">
        <v>316</v>
      </c>
      <c r="D223" t="s">
        <v>653</v>
      </c>
      <c r="E223">
        <v>2026</v>
      </c>
      <c r="F223" t="s">
        <v>526</v>
      </c>
      <c r="G223" t="s">
        <v>157</v>
      </c>
      <c r="H223" s="1">
        <v>46182</v>
      </c>
      <c r="I223" s="1">
        <v>46203</v>
      </c>
      <c r="J223" s="1">
        <v>46203</v>
      </c>
      <c r="K223" s="1">
        <v>46259</v>
      </c>
      <c r="L223" s="1">
        <v>46274</v>
      </c>
      <c r="N223" t="s">
        <v>540</v>
      </c>
      <c r="O223" t="s">
        <v>510</v>
      </c>
      <c r="P223" s="19" t="s">
        <v>703</v>
      </c>
      <c r="Q223" t="s">
        <v>542</v>
      </c>
      <c r="R223" t="str">
        <f t="shared" ca="1" si="3"/>
        <v>Passée</v>
      </c>
    </row>
    <row r="224" spans="1:18" ht="15.6" customHeight="1">
      <c r="A224" s="15" t="s">
        <v>757</v>
      </c>
      <c r="B224" s="15" t="s">
        <v>315</v>
      </c>
      <c r="C224" s="15" t="s">
        <v>316</v>
      </c>
      <c r="D224" s="15" t="s">
        <v>653</v>
      </c>
      <c r="E224" s="15">
        <v>2026</v>
      </c>
      <c r="F224" s="15" t="s">
        <v>526</v>
      </c>
      <c r="G224" s="15" t="s">
        <v>158</v>
      </c>
      <c r="H224" s="16">
        <v>46212</v>
      </c>
      <c r="I224" s="16">
        <v>46234</v>
      </c>
      <c r="J224" s="16">
        <v>46234</v>
      </c>
      <c r="K224" s="16">
        <v>46290</v>
      </c>
      <c r="L224" s="16">
        <v>46304</v>
      </c>
      <c r="M224" s="15"/>
      <c r="N224" s="15" t="s">
        <v>540</v>
      </c>
      <c r="O224" s="15" t="s">
        <v>510</v>
      </c>
      <c r="P224" s="19" t="s">
        <v>703</v>
      </c>
      <c r="Q224" s="15" t="s">
        <v>542</v>
      </c>
      <c r="R224" s="15" t="str">
        <f t="shared" ca="1" si="3"/>
        <v>Passée</v>
      </c>
    </row>
    <row r="225" spans="1:18" ht="15.6" customHeight="1">
      <c r="A225" t="s">
        <v>758</v>
      </c>
      <c r="B225" t="s">
        <v>315</v>
      </c>
      <c r="C225" t="s">
        <v>316</v>
      </c>
      <c r="D225" t="s">
        <v>653</v>
      </c>
      <c r="E225">
        <v>2026</v>
      </c>
      <c r="F225" t="s">
        <v>526</v>
      </c>
      <c r="G225" t="s">
        <v>159</v>
      </c>
      <c r="H225" s="1">
        <v>46244</v>
      </c>
      <c r="I225" s="1">
        <v>46265</v>
      </c>
      <c r="J225" s="1">
        <v>46265</v>
      </c>
      <c r="K225" s="1">
        <v>46321</v>
      </c>
      <c r="L225" s="1">
        <v>46336</v>
      </c>
      <c r="N225" t="s">
        <v>540</v>
      </c>
      <c r="O225" t="s">
        <v>510</v>
      </c>
      <c r="P225" s="19" t="s">
        <v>703</v>
      </c>
      <c r="Q225" t="s">
        <v>542</v>
      </c>
      <c r="R225" t="str">
        <f t="shared" ca="1" si="3"/>
        <v>Passée</v>
      </c>
    </row>
    <row r="226" spans="1:18" ht="15.6" customHeight="1">
      <c r="A226" s="15" t="s">
        <v>759</v>
      </c>
      <c r="B226" s="15" t="s">
        <v>315</v>
      </c>
      <c r="C226" s="15" t="s">
        <v>316</v>
      </c>
      <c r="D226" s="15" t="s">
        <v>653</v>
      </c>
      <c r="E226" s="15">
        <v>2026</v>
      </c>
      <c r="F226" s="15" t="s">
        <v>526</v>
      </c>
      <c r="G226" s="15" t="s">
        <v>160</v>
      </c>
      <c r="H226" s="16">
        <v>46274</v>
      </c>
      <c r="I226" s="16">
        <v>46295</v>
      </c>
      <c r="J226" s="16">
        <v>46295</v>
      </c>
      <c r="K226" s="16">
        <v>46351</v>
      </c>
      <c r="L226" s="16">
        <v>46365</v>
      </c>
      <c r="M226" s="15"/>
      <c r="N226" s="15" t="s">
        <v>540</v>
      </c>
      <c r="O226" s="15" t="s">
        <v>510</v>
      </c>
      <c r="P226" s="19" t="s">
        <v>703</v>
      </c>
      <c r="Q226" s="15" t="s">
        <v>542</v>
      </c>
      <c r="R226" s="15" t="str">
        <f t="shared" ca="1" si="3"/>
        <v>À venir</v>
      </c>
    </row>
    <row r="227" spans="1:18" ht="15.6" customHeight="1">
      <c r="A227" t="s">
        <v>760</v>
      </c>
      <c r="B227" t="s">
        <v>315</v>
      </c>
      <c r="C227" t="s">
        <v>316</v>
      </c>
      <c r="D227" t="s">
        <v>653</v>
      </c>
      <c r="E227">
        <v>2026</v>
      </c>
      <c r="F227" t="s">
        <v>526</v>
      </c>
      <c r="G227" t="s">
        <v>161</v>
      </c>
      <c r="H227" s="1">
        <v>46304</v>
      </c>
      <c r="I227" s="1">
        <v>46325</v>
      </c>
      <c r="J227" s="1">
        <v>46325</v>
      </c>
      <c r="K227" s="1">
        <v>46381</v>
      </c>
      <c r="L227" s="1">
        <v>46396</v>
      </c>
      <c r="N227" t="s">
        <v>540</v>
      </c>
      <c r="O227" t="s">
        <v>510</v>
      </c>
      <c r="P227" s="19" t="s">
        <v>703</v>
      </c>
      <c r="Q227" t="s">
        <v>542</v>
      </c>
      <c r="R227" t="str">
        <f t="shared" ca="1" si="3"/>
        <v>À venir</v>
      </c>
    </row>
    <row r="228" spans="1:18" ht="15.6" customHeight="1">
      <c r="A228" s="15" t="s">
        <v>761</v>
      </c>
      <c r="B228" s="15" t="s">
        <v>315</v>
      </c>
      <c r="C228" s="15" t="s">
        <v>316</v>
      </c>
      <c r="D228" s="15" t="s">
        <v>653</v>
      </c>
      <c r="E228" s="15">
        <v>2026</v>
      </c>
      <c r="F228" s="15" t="s">
        <v>526</v>
      </c>
      <c r="G228" s="15" t="s">
        <v>162</v>
      </c>
      <c r="H228" s="16">
        <v>46332</v>
      </c>
      <c r="I228" s="16">
        <v>46356</v>
      </c>
      <c r="J228" s="16">
        <v>46356</v>
      </c>
      <c r="K228" s="16">
        <v>46412</v>
      </c>
      <c r="L228" s="16">
        <v>46424</v>
      </c>
      <c r="M228" s="15"/>
      <c r="N228" s="15" t="s">
        <v>540</v>
      </c>
      <c r="O228" s="15" t="s">
        <v>510</v>
      </c>
      <c r="P228" s="19" t="s">
        <v>703</v>
      </c>
      <c r="Q228" s="15" t="s">
        <v>542</v>
      </c>
      <c r="R228" s="15" t="str">
        <f t="shared" ca="1" si="3"/>
        <v>À venir</v>
      </c>
    </row>
    <row r="229" spans="1:18" ht="15.6" customHeight="1">
      <c r="A229" t="s">
        <v>762</v>
      </c>
      <c r="B229" t="s">
        <v>315</v>
      </c>
      <c r="C229" t="s">
        <v>316</v>
      </c>
      <c r="D229" t="s">
        <v>653</v>
      </c>
      <c r="E229">
        <v>2026</v>
      </c>
      <c r="F229" t="s">
        <v>526</v>
      </c>
      <c r="G229" t="s">
        <v>163</v>
      </c>
      <c r="H229" s="1">
        <v>46365</v>
      </c>
      <c r="I229" s="1">
        <v>46387</v>
      </c>
      <c r="J229" s="1">
        <v>46387</v>
      </c>
      <c r="K229" s="1">
        <v>46443</v>
      </c>
      <c r="L229" s="1">
        <v>46455</v>
      </c>
      <c r="N229" t="s">
        <v>540</v>
      </c>
      <c r="O229" t="s">
        <v>510</v>
      </c>
      <c r="P229" s="19" t="s">
        <v>703</v>
      </c>
      <c r="Q229" t="s">
        <v>542</v>
      </c>
      <c r="R229" t="str">
        <f t="shared" ca="1" si="3"/>
        <v>À venir</v>
      </c>
    </row>
    <row r="230" spans="1:18" ht="15.6" customHeight="1">
      <c r="A230" s="15" t="s">
        <v>763</v>
      </c>
      <c r="B230" s="15" t="s">
        <v>304</v>
      </c>
      <c r="C230" s="15" t="s">
        <v>305</v>
      </c>
      <c r="D230" s="15" t="s">
        <v>653</v>
      </c>
      <c r="E230" s="15">
        <v>2026</v>
      </c>
      <c r="F230" s="15" t="s">
        <v>526</v>
      </c>
      <c r="G230" s="15" t="s">
        <v>152</v>
      </c>
      <c r="H230" s="16">
        <v>46031</v>
      </c>
      <c r="I230" s="16">
        <v>46052</v>
      </c>
      <c r="J230" s="16">
        <v>46052</v>
      </c>
      <c r="K230" s="16">
        <v>46108</v>
      </c>
      <c r="L230" s="16">
        <v>46121</v>
      </c>
      <c r="M230" s="15"/>
      <c r="N230" s="15" t="s">
        <v>540</v>
      </c>
      <c r="O230" s="15" t="s">
        <v>510</v>
      </c>
      <c r="P230" s="19" t="s">
        <v>703</v>
      </c>
      <c r="Q230" s="15" t="s">
        <v>542</v>
      </c>
      <c r="R230" s="15" t="str">
        <f t="shared" ca="1" si="3"/>
        <v>Passée</v>
      </c>
    </row>
    <row r="231" spans="1:18" ht="15.6" customHeight="1">
      <c r="A231" t="s">
        <v>764</v>
      </c>
      <c r="B231" t="s">
        <v>304</v>
      </c>
      <c r="C231" t="s">
        <v>305</v>
      </c>
      <c r="D231" t="s">
        <v>653</v>
      </c>
      <c r="E231">
        <v>2026</v>
      </c>
      <c r="F231" t="s">
        <v>526</v>
      </c>
      <c r="G231" t="s">
        <v>153</v>
      </c>
      <c r="H231" s="1">
        <v>46059</v>
      </c>
      <c r="I231" s="1">
        <v>46080</v>
      </c>
      <c r="J231" s="1">
        <v>46080</v>
      </c>
      <c r="K231" s="1">
        <v>46136</v>
      </c>
      <c r="L231" s="1">
        <v>46148</v>
      </c>
      <c r="N231" t="s">
        <v>540</v>
      </c>
      <c r="O231" t="s">
        <v>510</v>
      </c>
      <c r="P231" s="19" t="s">
        <v>703</v>
      </c>
      <c r="Q231" t="s">
        <v>542</v>
      </c>
      <c r="R231" t="str">
        <f t="shared" ca="1" si="3"/>
        <v>Passée</v>
      </c>
    </row>
    <row r="232" spans="1:18" ht="15.6" customHeight="1">
      <c r="A232" s="15" t="s">
        <v>765</v>
      </c>
      <c r="B232" s="15" t="s">
        <v>304</v>
      </c>
      <c r="C232" s="15" t="s">
        <v>305</v>
      </c>
      <c r="D232" s="15" t="s">
        <v>653</v>
      </c>
      <c r="E232" s="15">
        <v>2026</v>
      </c>
      <c r="F232" s="15" t="s">
        <v>526</v>
      </c>
      <c r="G232" s="15" t="s">
        <v>154</v>
      </c>
      <c r="H232" s="16">
        <v>46091</v>
      </c>
      <c r="I232" s="16">
        <v>46112</v>
      </c>
      <c r="J232" s="16">
        <v>46112</v>
      </c>
      <c r="K232" s="16">
        <v>46168</v>
      </c>
      <c r="L232" s="16">
        <v>46183</v>
      </c>
      <c r="M232" s="15"/>
      <c r="N232" s="15" t="s">
        <v>540</v>
      </c>
      <c r="O232" s="15" t="s">
        <v>510</v>
      </c>
      <c r="P232" s="19" t="s">
        <v>703</v>
      </c>
      <c r="Q232" s="15" t="s">
        <v>542</v>
      </c>
      <c r="R232" s="15" t="str">
        <f t="shared" ca="1" si="3"/>
        <v>Passée</v>
      </c>
    </row>
    <row r="233" spans="1:18" ht="15.6" customHeight="1">
      <c r="A233" t="s">
        <v>766</v>
      </c>
      <c r="B233" t="s">
        <v>304</v>
      </c>
      <c r="C233" t="s">
        <v>305</v>
      </c>
      <c r="D233" t="s">
        <v>653</v>
      </c>
      <c r="E233">
        <v>2026</v>
      </c>
      <c r="F233" t="s">
        <v>526</v>
      </c>
      <c r="G233" t="s">
        <v>155</v>
      </c>
      <c r="H233" s="1">
        <v>46121</v>
      </c>
      <c r="I233" s="1">
        <v>46142</v>
      </c>
      <c r="J233" s="1">
        <v>46142</v>
      </c>
      <c r="K233" s="1">
        <v>46198</v>
      </c>
      <c r="L233" s="1">
        <v>46212</v>
      </c>
      <c r="N233" t="s">
        <v>540</v>
      </c>
      <c r="O233" t="s">
        <v>510</v>
      </c>
      <c r="P233" s="19" t="s">
        <v>703</v>
      </c>
      <c r="Q233" t="s">
        <v>542</v>
      </c>
      <c r="R233" t="str">
        <f t="shared" ca="1" si="3"/>
        <v>Passée</v>
      </c>
    </row>
    <row r="234" spans="1:18" ht="15.6" customHeight="1">
      <c r="A234" s="15" t="s">
        <v>767</v>
      </c>
      <c r="B234" s="15" t="s">
        <v>304</v>
      </c>
      <c r="C234" s="15" t="s">
        <v>305</v>
      </c>
      <c r="D234" s="15" t="s">
        <v>653</v>
      </c>
      <c r="E234" s="15">
        <v>2026</v>
      </c>
      <c r="F234" s="15" t="s">
        <v>526</v>
      </c>
      <c r="G234" s="15" t="s">
        <v>156</v>
      </c>
      <c r="H234" s="16">
        <v>46147</v>
      </c>
      <c r="I234" s="16">
        <v>46171</v>
      </c>
      <c r="J234" s="16">
        <v>46171</v>
      </c>
      <c r="K234" s="16">
        <v>46227</v>
      </c>
      <c r="L234" s="16">
        <v>46239</v>
      </c>
      <c r="M234" s="15"/>
      <c r="N234" s="15" t="s">
        <v>540</v>
      </c>
      <c r="O234" s="15" t="s">
        <v>510</v>
      </c>
      <c r="P234" s="19" t="s">
        <v>703</v>
      </c>
      <c r="Q234" s="15" t="s">
        <v>542</v>
      </c>
      <c r="R234" s="15" t="str">
        <f t="shared" ca="1" si="3"/>
        <v>Passée</v>
      </c>
    </row>
    <row r="235" spans="1:18" ht="15.6" customHeight="1">
      <c r="A235" t="s">
        <v>768</v>
      </c>
      <c r="B235" t="s">
        <v>304</v>
      </c>
      <c r="C235" t="s">
        <v>305</v>
      </c>
      <c r="D235" t="s">
        <v>653</v>
      </c>
      <c r="E235">
        <v>2026</v>
      </c>
      <c r="F235" t="s">
        <v>526</v>
      </c>
      <c r="G235" t="s">
        <v>157</v>
      </c>
      <c r="H235" s="1">
        <v>46182</v>
      </c>
      <c r="I235" s="1">
        <v>46203</v>
      </c>
      <c r="J235" s="1">
        <v>46203</v>
      </c>
      <c r="K235" s="1">
        <v>46259</v>
      </c>
      <c r="L235" s="1">
        <v>46274</v>
      </c>
      <c r="N235" t="s">
        <v>540</v>
      </c>
      <c r="O235" t="s">
        <v>510</v>
      </c>
      <c r="P235" s="19" t="s">
        <v>703</v>
      </c>
      <c r="Q235" t="s">
        <v>542</v>
      </c>
      <c r="R235" t="str">
        <f t="shared" ca="1" si="3"/>
        <v>Passée</v>
      </c>
    </row>
    <row r="236" spans="1:18" ht="15.6" customHeight="1">
      <c r="A236" s="15" t="s">
        <v>769</v>
      </c>
      <c r="B236" s="15" t="s">
        <v>304</v>
      </c>
      <c r="C236" s="15" t="s">
        <v>305</v>
      </c>
      <c r="D236" s="15" t="s">
        <v>653</v>
      </c>
      <c r="E236" s="15">
        <v>2026</v>
      </c>
      <c r="F236" s="15" t="s">
        <v>526</v>
      </c>
      <c r="G236" s="15" t="s">
        <v>158</v>
      </c>
      <c r="H236" s="16">
        <v>46212</v>
      </c>
      <c r="I236" s="16">
        <v>46234</v>
      </c>
      <c r="J236" s="16">
        <v>46234</v>
      </c>
      <c r="K236" s="16">
        <v>46290</v>
      </c>
      <c r="L236" s="16">
        <v>46304</v>
      </c>
      <c r="M236" s="15"/>
      <c r="N236" s="15" t="s">
        <v>540</v>
      </c>
      <c r="O236" s="15" t="s">
        <v>510</v>
      </c>
      <c r="P236" s="19" t="s">
        <v>703</v>
      </c>
      <c r="Q236" s="15" t="s">
        <v>542</v>
      </c>
      <c r="R236" s="15" t="str">
        <f t="shared" ca="1" si="3"/>
        <v>Passée</v>
      </c>
    </row>
    <row r="237" spans="1:18" ht="15.6" customHeight="1">
      <c r="A237" t="s">
        <v>770</v>
      </c>
      <c r="B237" t="s">
        <v>304</v>
      </c>
      <c r="C237" t="s">
        <v>305</v>
      </c>
      <c r="D237" t="s">
        <v>653</v>
      </c>
      <c r="E237">
        <v>2026</v>
      </c>
      <c r="F237" t="s">
        <v>526</v>
      </c>
      <c r="G237" t="s">
        <v>159</v>
      </c>
      <c r="H237" s="1">
        <v>46244</v>
      </c>
      <c r="I237" s="1">
        <v>46265</v>
      </c>
      <c r="J237" s="1">
        <v>46265</v>
      </c>
      <c r="K237" s="1">
        <v>46321</v>
      </c>
      <c r="L237" s="1">
        <v>46336</v>
      </c>
      <c r="N237" t="s">
        <v>540</v>
      </c>
      <c r="O237" t="s">
        <v>510</v>
      </c>
      <c r="P237" s="19" t="s">
        <v>703</v>
      </c>
      <c r="Q237" t="s">
        <v>542</v>
      </c>
      <c r="R237" t="str">
        <f t="shared" ca="1" si="3"/>
        <v>Passée</v>
      </c>
    </row>
    <row r="238" spans="1:18" ht="15.6" customHeight="1">
      <c r="A238" s="15" t="s">
        <v>771</v>
      </c>
      <c r="B238" s="15" t="s">
        <v>304</v>
      </c>
      <c r="C238" s="15" t="s">
        <v>305</v>
      </c>
      <c r="D238" s="15" t="s">
        <v>653</v>
      </c>
      <c r="E238" s="15">
        <v>2026</v>
      </c>
      <c r="F238" s="15" t="s">
        <v>526</v>
      </c>
      <c r="G238" s="15" t="s">
        <v>160</v>
      </c>
      <c r="H238" s="16">
        <v>46274</v>
      </c>
      <c r="I238" s="16">
        <v>46295</v>
      </c>
      <c r="J238" s="16">
        <v>46295</v>
      </c>
      <c r="K238" s="16">
        <v>46351</v>
      </c>
      <c r="L238" s="16">
        <v>46365</v>
      </c>
      <c r="M238" s="15"/>
      <c r="N238" s="15" t="s">
        <v>540</v>
      </c>
      <c r="O238" s="15" t="s">
        <v>510</v>
      </c>
      <c r="P238" s="19" t="s">
        <v>703</v>
      </c>
      <c r="Q238" s="15" t="s">
        <v>542</v>
      </c>
      <c r="R238" s="15" t="str">
        <f t="shared" ca="1" si="3"/>
        <v>À venir</v>
      </c>
    </row>
    <row r="239" spans="1:18" ht="15.6" customHeight="1">
      <c r="A239" t="s">
        <v>772</v>
      </c>
      <c r="B239" t="s">
        <v>304</v>
      </c>
      <c r="C239" t="s">
        <v>305</v>
      </c>
      <c r="D239" t="s">
        <v>653</v>
      </c>
      <c r="E239">
        <v>2026</v>
      </c>
      <c r="F239" t="s">
        <v>526</v>
      </c>
      <c r="G239" t="s">
        <v>161</v>
      </c>
      <c r="H239" s="1">
        <v>46304</v>
      </c>
      <c r="I239" s="1">
        <v>46325</v>
      </c>
      <c r="J239" s="1">
        <v>46325</v>
      </c>
      <c r="K239" s="1">
        <v>46381</v>
      </c>
      <c r="L239" s="1">
        <v>46396</v>
      </c>
      <c r="N239" t="s">
        <v>540</v>
      </c>
      <c r="O239" t="s">
        <v>510</v>
      </c>
      <c r="P239" s="19" t="s">
        <v>703</v>
      </c>
      <c r="Q239" t="s">
        <v>542</v>
      </c>
      <c r="R239" t="str">
        <f t="shared" ca="1" si="3"/>
        <v>À venir</v>
      </c>
    </row>
    <row r="240" spans="1:18" ht="15.6" customHeight="1">
      <c r="A240" s="15" t="s">
        <v>773</v>
      </c>
      <c r="B240" s="15" t="s">
        <v>304</v>
      </c>
      <c r="C240" s="15" t="s">
        <v>305</v>
      </c>
      <c r="D240" s="15" t="s">
        <v>653</v>
      </c>
      <c r="E240" s="15">
        <v>2026</v>
      </c>
      <c r="F240" s="15" t="s">
        <v>526</v>
      </c>
      <c r="G240" s="15" t="s">
        <v>162</v>
      </c>
      <c r="H240" s="16">
        <v>46332</v>
      </c>
      <c r="I240" s="16">
        <v>46356</v>
      </c>
      <c r="J240" s="16">
        <v>46356</v>
      </c>
      <c r="K240" s="16">
        <v>46412</v>
      </c>
      <c r="L240" s="16">
        <v>46424</v>
      </c>
      <c r="M240" s="15"/>
      <c r="N240" s="15" t="s">
        <v>540</v>
      </c>
      <c r="O240" s="15" t="s">
        <v>510</v>
      </c>
      <c r="P240" s="19" t="s">
        <v>703</v>
      </c>
      <c r="Q240" s="15" t="s">
        <v>542</v>
      </c>
      <c r="R240" s="15" t="str">
        <f t="shared" ca="1" si="3"/>
        <v>À venir</v>
      </c>
    </row>
    <row r="241" spans="1:18" ht="15.6" customHeight="1">
      <c r="A241" t="s">
        <v>774</v>
      </c>
      <c r="B241" t="s">
        <v>304</v>
      </c>
      <c r="C241" t="s">
        <v>305</v>
      </c>
      <c r="D241" t="s">
        <v>653</v>
      </c>
      <c r="E241">
        <v>2026</v>
      </c>
      <c r="F241" t="s">
        <v>526</v>
      </c>
      <c r="G241" t="s">
        <v>163</v>
      </c>
      <c r="H241" s="1">
        <v>46365</v>
      </c>
      <c r="I241" s="1">
        <v>46387</v>
      </c>
      <c r="J241" s="1">
        <v>46387</v>
      </c>
      <c r="K241" s="1">
        <v>46443</v>
      </c>
      <c r="L241" s="1">
        <v>46455</v>
      </c>
      <c r="N241" t="s">
        <v>540</v>
      </c>
      <c r="O241" t="s">
        <v>510</v>
      </c>
      <c r="P241" s="19" t="s">
        <v>703</v>
      </c>
      <c r="Q241" t="s">
        <v>542</v>
      </c>
      <c r="R241" t="str">
        <f t="shared" ca="1" si="3"/>
        <v>À venir</v>
      </c>
    </row>
    <row r="242" spans="1:18" ht="15.6" customHeight="1">
      <c r="A242" s="15" t="s">
        <v>775</v>
      </c>
      <c r="B242" s="15" t="s">
        <v>193</v>
      </c>
      <c r="C242" s="15" t="s">
        <v>194</v>
      </c>
      <c r="D242" s="15" t="s">
        <v>776</v>
      </c>
      <c r="E242" s="15">
        <v>2026</v>
      </c>
      <c r="F242" s="15" t="s">
        <v>526</v>
      </c>
      <c r="G242" s="15" t="s">
        <v>152</v>
      </c>
      <c r="H242" s="16">
        <v>46008</v>
      </c>
      <c r="I242" s="16">
        <v>46052</v>
      </c>
      <c r="J242" s="16">
        <v>46052</v>
      </c>
      <c r="K242" s="16">
        <v>46108</v>
      </c>
      <c r="L242" s="16">
        <v>46129</v>
      </c>
      <c r="M242" s="15"/>
      <c r="N242" s="15" t="s">
        <v>540</v>
      </c>
      <c r="O242" s="15" t="s">
        <v>510</v>
      </c>
      <c r="P242" s="19" t="s">
        <v>777</v>
      </c>
      <c r="Q242" s="15" t="s">
        <v>542</v>
      </c>
      <c r="R242" s="15" t="str">
        <f t="shared" ca="1" si="3"/>
        <v>Passée</v>
      </c>
    </row>
    <row r="243" spans="1:18" ht="15.6" customHeight="1">
      <c r="A243" t="s">
        <v>778</v>
      </c>
      <c r="B243" t="s">
        <v>193</v>
      </c>
      <c r="C243" t="s">
        <v>194</v>
      </c>
      <c r="D243" t="s">
        <v>776</v>
      </c>
      <c r="E243">
        <v>2026</v>
      </c>
      <c r="F243" t="s">
        <v>526</v>
      </c>
      <c r="G243" t="s">
        <v>153</v>
      </c>
      <c r="H243" s="1">
        <v>46038</v>
      </c>
      <c r="I243" s="1">
        <v>46080</v>
      </c>
      <c r="J243" s="1">
        <v>46080</v>
      </c>
      <c r="K243" s="1">
        <v>46136</v>
      </c>
      <c r="L243" s="1">
        <v>46158</v>
      </c>
      <c r="N243" t="s">
        <v>540</v>
      </c>
      <c r="O243" t="s">
        <v>510</v>
      </c>
      <c r="P243" s="19" t="s">
        <v>777</v>
      </c>
      <c r="Q243" t="s">
        <v>542</v>
      </c>
      <c r="R243" t="str">
        <f t="shared" ca="1" si="3"/>
        <v>Passée</v>
      </c>
    </row>
    <row r="244" spans="1:18" ht="15.6" customHeight="1">
      <c r="A244" s="15" t="s">
        <v>779</v>
      </c>
      <c r="B244" s="15" t="s">
        <v>193</v>
      </c>
      <c r="C244" s="15" t="s">
        <v>194</v>
      </c>
      <c r="D244" s="15" t="s">
        <v>776</v>
      </c>
      <c r="E244" s="15">
        <v>2026</v>
      </c>
      <c r="F244" s="15" t="s">
        <v>526</v>
      </c>
      <c r="G244" s="15" t="s">
        <v>154</v>
      </c>
      <c r="H244" s="16">
        <v>46070</v>
      </c>
      <c r="I244" s="16">
        <v>46112</v>
      </c>
      <c r="J244" s="16">
        <v>46112</v>
      </c>
      <c r="K244" s="16">
        <v>46168</v>
      </c>
      <c r="L244" s="16">
        <v>46190</v>
      </c>
      <c r="M244" s="15"/>
      <c r="N244" s="15" t="s">
        <v>540</v>
      </c>
      <c r="O244" s="15" t="s">
        <v>510</v>
      </c>
      <c r="P244" s="19" t="s">
        <v>777</v>
      </c>
      <c r="Q244" s="15" t="s">
        <v>542</v>
      </c>
      <c r="R244" s="15" t="str">
        <f t="shared" ca="1" si="3"/>
        <v>Passée</v>
      </c>
    </row>
    <row r="245" spans="1:18" ht="15.6" customHeight="1">
      <c r="A245" t="s">
        <v>780</v>
      </c>
      <c r="B245" t="s">
        <v>193</v>
      </c>
      <c r="C245" t="s">
        <v>194</v>
      </c>
      <c r="D245" t="s">
        <v>776</v>
      </c>
      <c r="E245">
        <v>2026</v>
      </c>
      <c r="F245" t="s">
        <v>526</v>
      </c>
      <c r="G245" t="s">
        <v>155</v>
      </c>
      <c r="H245" s="1">
        <v>46098</v>
      </c>
      <c r="I245" s="1">
        <v>46142</v>
      </c>
      <c r="J245" s="1">
        <v>46142</v>
      </c>
      <c r="K245" s="1">
        <v>46198</v>
      </c>
      <c r="L245" s="1">
        <v>46220</v>
      </c>
      <c r="N245" t="s">
        <v>540</v>
      </c>
      <c r="O245" t="s">
        <v>510</v>
      </c>
      <c r="P245" s="19" t="s">
        <v>777</v>
      </c>
      <c r="Q245" t="s">
        <v>542</v>
      </c>
      <c r="R245" t="str">
        <f t="shared" ca="1" si="3"/>
        <v>Passée</v>
      </c>
    </row>
    <row r="246" spans="1:18" ht="15.6" customHeight="1">
      <c r="A246" s="15" t="s">
        <v>781</v>
      </c>
      <c r="B246" s="15" t="s">
        <v>193</v>
      </c>
      <c r="C246" s="15" t="s">
        <v>194</v>
      </c>
      <c r="D246" s="15" t="s">
        <v>776</v>
      </c>
      <c r="E246" s="15">
        <v>2026</v>
      </c>
      <c r="F246" s="15" t="s">
        <v>526</v>
      </c>
      <c r="G246" s="15" t="s">
        <v>156</v>
      </c>
      <c r="H246" s="16">
        <v>46125</v>
      </c>
      <c r="I246" s="16">
        <v>46171</v>
      </c>
      <c r="J246" s="16">
        <v>46171</v>
      </c>
      <c r="K246" s="16">
        <v>46227</v>
      </c>
      <c r="L246" s="16">
        <v>46247</v>
      </c>
      <c r="M246" s="15"/>
      <c r="N246" s="15" t="s">
        <v>540</v>
      </c>
      <c r="O246" s="15" t="s">
        <v>510</v>
      </c>
      <c r="P246" s="19" t="s">
        <v>777</v>
      </c>
      <c r="Q246" s="15" t="s">
        <v>542</v>
      </c>
      <c r="R246" s="15" t="str">
        <f t="shared" ca="1" si="3"/>
        <v>Passée</v>
      </c>
    </row>
    <row r="247" spans="1:18" ht="15.6" customHeight="1">
      <c r="A247" t="s">
        <v>782</v>
      </c>
      <c r="B247" t="s">
        <v>193</v>
      </c>
      <c r="C247" t="s">
        <v>194</v>
      </c>
      <c r="D247" t="s">
        <v>776</v>
      </c>
      <c r="E247">
        <v>2026</v>
      </c>
      <c r="F247" t="s">
        <v>526</v>
      </c>
      <c r="G247" t="s">
        <v>157</v>
      </c>
      <c r="H247" s="1">
        <v>46160</v>
      </c>
      <c r="I247" s="1">
        <v>46203</v>
      </c>
      <c r="J247" s="1">
        <v>46203</v>
      </c>
      <c r="K247" s="1">
        <v>46259</v>
      </c>
      <c r="L247" s="1">
        <v>46283</v>
      </c>
      <c r="N247" t="s">
        <v>540</v>
      </c>
      <c r="O247" t="s">
        <v>510</v>
      </c>
      <c r="P247" s="19" t="s">
        <v>777</v>
      </c>
      <c r="Q247" t="s">
        <v>542</v>
      </c>
      <c r="R247" t="str">
        <f t="shared" ca="1" si="3"/>
        <v>Passée</v>
      </c>
    </row>
    <row r="248" spans="1:18" ht="15.6" customHeight="1">
      <c r="A248" s="15" t="s">
        <v>783</v>
      </c>
      <c r="B248" s="15" t="s">
        <v>193</v>
      </c>
      <c r="C248" s="15" t="s">
        <v>194</v>
      </c>
      <c r="D248" s="15" t="s">
        <v>776</v>
      </c>
      <c r="E248" s="15">
        <v>2026</v>
      </c>
      <c r="F248" s="15" t="s">
        <v>526</v>
      </c>
      <c r="G248" s="15" t="s">
        <v>158</v>
      </c>
      <c r="H248" s="16">
        <v>46191</v>
      </c>
      <c r="I248" s="16">
        <v>46234</v>
      </c>
      <c r="J248" s="16">
        <v>46234</v>
      </c>
      <c r="K248" s="16">
        <v>46290</v>
      </c>
      <c r="L248" s="16">
        <v>46313</v>
      </c>
      <c r="M248" s="15"/>
      <c r="N248" s="15" t="s">
        <v>540</v>
      </c>
      <c r="O248" s="15" t="s">
        <v>510</v>
      </c>
      <c r="P248" s="19" t="s">
        <v>777</v>
      </c>
      <c r="Q248" s="15" t="s">
        <v>542</v>
      </c>
      <c r="R248" s="15" t="str">
        <f t="shared" ca="1" si="3"/>
        <v>Passée</v>
      </c>
    </row>
    <row r="249" spans="1:18" ht="15.6" customHeight="1">
      <c r="A249" t="s">
        <v>784</v>
      </c>
      <c r="B249" t="s">
        <v>193</v>
      </c>
      <c r="C249" t="s">
        <v>194</v>
      </c>
      <c r="D249" t="s">
        <v>776</v>
      </c>
      <c r="E249">
        <v>2026</v>
      </c>
      <c r="F249" t="s">
        <v>526</v>
      </c>
      <c r="G249" t="s">
        <v>159</v>
      </c>
      <c r="H249" s="1">
        <v>46223</v>
      </c>
      <c r="I249" s="1">
        <v>46265</v>
      </c>
      <c r="J249" s="1">
        <v>46265</v>
      </c>
      <c r="K249" s="1">
        <v>46321</v>
      </c>
      <c r="L249" s="1">
        <v>46346</v>
      </c>
      <c r="N249" t="s">
        <v>540</v>
      </c>
      <c r="O249" t="s">
        <v>510</v>
      </c>
      <c r="P249" s="19" t="s">
        <v>777</v>
      </c>
      <c r="Q249" t="s">
        <v>542</v>
      </c>
      <c r="R249" t="str">
        <f t="shared" ca="1" si="3"/>
        <v>Passée</v>
      </c>
    </row>
    <row r="250" spans="1:18" ht="15.6" customHeight="1">
      <c r="A250" s="15" t="s">
        <v>785</v>
      </c>
      <c r="B250" s="15" t="s">
        <v>193</v>
      </c>
      <c r="C250" s="15" t="s">
        <v>194</v>
      </c>
      <c r="D250" s="15" t="s">
        <v>776</v>
      </c>
      <c r="E250" s="15">
        <v>2026</v>
      </c>
      <c r="F250" s="15" t="s">
        <v>526</v>
      </c>
      <c r="G250" s="15" t="s">
        <v>160</v>
      </c>
      <c r="H250" s="16">
        <v>46253</v>
      </c>
      <c r="I250" s="16">
        <v>46295</v>
      </c>
      <c r="J250" s="16">
        <v>46295</v>
      </c>
      <c r="K250" s="16">
        <v>46351</v>
      </c>
      <c r="L250" s="16">
        <v>46375</v>
      </c>
      <c r="M250" s="15"/>
      <c r="N250" s="15" t="s">
        <v>540</v>
      </c>
      <c r="O250" s="15" t="s">
        <v>510</v>
      </c>
      <c r="P250" s="19" t="s">
        <v>777</v>
      </c>
      <c r="Q250" s="15" t="s">
        <v>542</v>
      </c>
      <c r="R250" s="15" t="str">
        <f t="shared" ca="1" si="3"/>
        <v>Passée</v>
      </c>
    </row>
    <row r="251" spans="1:18" ht="15.6" customHeight="1">
      <c r="A251" t="s">
        <v>786</v>
      </c>
      <c r="B251" t="s">
        <v>193</v>
      </c>
      <c r="C251" t="s">
        <v>194</v>
      </c>
      <c r="D251" t="s">
        <v>776</v>
      </c>
      <c r="E251">
        <v>2026</v>
      </c>
      <c r="F251" t="s">
        <v>526</v>
      </c>
      <c r="G251" t="s">
        <v>161</v>
      </c>
      <c r="H251" s="1">
        <v>46283</v>
      </c>
      <c r="I251" s="1">
        <v>46325</v>
      </c>
      <c r="J251" s="1">
        <v>46325</v>
      </c>
      <c r="K251" s="1">
        <v>46381</v>
      </c>
      <c r="L251" s="1">
        <v>46405</v>
      </c>
      <c r="N251" t="s">
        <v>540</v>
      </c>
      <c r="O251" t="s">
        <v>510</v>
      </c>
      <c r="P251" s="19" t="s">
        <v>777</v>
      </c>
      <c r="Q251" t="s">
        <v>542</v>
      </c>
      <c r="R251" t="str">
        <f t="shared" ca="1" si="3"/>
        <v>À venir</v>
      </c>
    </row>
    <row r="252" spans="1:18" ht="15.6" customHeight="1">
      <c r="A252" s="15" t="s">
        <v>787</v>
      </c>
      <c r="B252" s="15" t="s">
        <v>193</v>
      </c>
      <c r="C252" s="15" t="s">
        <v>194</v>
      </c>
      <c r="D252" s="15" t="s">
        <v>776</v>
      </c>
      <c r="E252" s="15">
        <v>2026</v>
      </c>
      <c r="F252" s="15" t="s">
        <v>526</v>
      </c>
      <c r="G252" s="15" t="s">
        <v>162</v>
      </c>
      <c r="H252" s="16">
        <v>46311</v>
      </c>
      <c r="I252" s="16">
        <v>46356</v>
      </c>
      <c r="J252" s="16">
        <v>46356</v>
      </c>
      <c r="K252" s="16">
        <v>46412</v>
      </c>
      <c r="L252" s="16">
        <v>46434</v>
      </c>
      <c r="M252" s="15"/>
      <c r="N252" s="15" t="s">
        <v>540</v>
      </c>
      <c r="O252" s="15" t="s">
        <v>510</v>
      </c>
      <c r="P252" s="19" t="s">
        <v>777</v>
      </c>
      <c r="Q252" s="15" t="s">
        <v>542</v>
      </c>
      <c r="R252" s="15" t="str">
        <f t="shared" ca="1" si="3"/>
        <v>À venir</v>
      </c>
    </row>
    <row r="253" spans="1:18" ht="15.6" customHeight="1">
      <c r="A253" t="s">
        <v>788</v>
      </c>
      <c r="B253" t="s">
        <v>193</v>
      </c>
      <c r="C253" t="s">
        <v>194</v>
      </c>
      <c r="D253" t="s">
        <v>776</v>
      </c>
      <c r="E253">
        <v>2026</v>
      </c>
      <c r="F253" t="s">
        <v>526</v>
      </c>
      <c r="G253" t="s">
        <v>163</v>
      </c>
      <c r="H253" s="1">
        <v>46344</v>
      </c>
      <c r="I253" s="1">
        <v>46387</v>
      </c>
      <c r="J253" s="1">
        <v>46387</v>
      </c>
      <c r="K253" s="1">
        <v>46443</v>
      </c>
      <c r="L253" s="1">
        <v>46464</v>
      </c>
      <c r="N253" t="s">
        <v>540</v>
      </c>
      <c r="O253" t="s">
        <v>510</v>
      </c>
      <c r="P253" s="19" t="s">
        <v>777</v>
      </c>
      <c r="Q253" t="s">
        <v>542</v>
      </c>
      <c r="R253" t="str">
        <f t="shared" ca="1" si="3"/>
        <v>À venir</v>
      </c>
    </row>
    <row r="254" spans="1:18" ht="15.6" customHeight="1">
      <c r="A254" s="15" t="s">
        <v>789</v>
      </c>
      <c r="B254" s="15" t="s">
        <v>195</v>
      </c>
      <c r="C254" s="15" t="s">
        <v>196</v>
      </c>
      <c r="D254" s="15" t="s">
        <v>776</v>
      </c>
      <c r="E254" s="15">
        <v>2026</v>
      </c>
      <c r="F254" s="15" t="s">
        <v>526</v>
      </c>
      <c r="G254" s="15" t="s">
        <v>152</v>
      </c>
      <c r="H254" s="16">
        <v>46008</v>
      </c>
      <c r="I254" s="16">
        <v>46052</v>
      </c>
      <c r="J254" s="16">
        <v>46052</v>
      </c>
      <c r="K254" s="16">
        <v>46108</v>
      </c>
      <c r="L254" s="16">
        <v>46129</v>
      </c>
      <c r="M254" s="15"/>
      <c r="N254" s="15" t="s">
        <v>540</v>
      </c>
      <c r="O254" s="15" t="s">
        <v>510</v>
      </c>
      <c r="P254" s="19" t="s">
        <v>777</v>
      </c>
      <c r="Q254" s="15" t="s">
        <v>542</v>
      </c>
      <c r="R254" s="15" t="str">
        <f t="shared" ca="1" si="3"/>
        <v>Passée</v>
      </c>
    </row>
    <row r="255" spans="1:18" ht="15.6" customHeight="1">
      <c r="A255" t="s">
        <v>790</v>
      </c>
      <c r="B255" t="s">
        <v>195</v>
      </c>
      <c r="C255" t="s">
        <v>196</v>
      </c>
      <c r="D255" t="s">
        <v>776</v>
      </c>
      <c r="E255">
        <v>2026</v>
      </c>
      <c r="F255" t="s">
        <v>526</v>
      </c>
      <c r="G255" t="s">
        <v>153</v>
      </c>
      <c r="H255" s="1">
        <v>46038</v>
      </c>
      <c r="I255" s="1">
        <v>46080</v>
      </c>
      <c r="J255" s="1">
        <v>46080</v>
      </c>
      <c r="K255" s="1">
        <v>46136</v>
      </c>
      <c r="L255" s="1">
        <v>46158</v>
      </c>
      <c r="N255" t="s">
        <v>540</v>
      </c>
      <c r="O255" t="s">
        <v>510</v>
      </c>
      <c r="P255" s="19" t="s">
        <v>777</v>
      </c>
      <c r="Q255" t="s">
        <v>542</v>
      </c>
      <c r="R255" t="str">
        <f t="shared" ca="1" si="3"/>
        <v>Passée</v>
      </c>
    </row>
    <row r="256" spans="1:18" ht="15.6" customHeight="1">
      <c r="A256" s="15" t="s">
        <v>791</v>
      </c>
      <c r="B256" s="15" t="s">
        <v>195</v>
      </c>
      <c r="C256" s="15" t="s">
        <v>196</v>
      </c>
      <c r="D256" s="15" t="s">
        <v>776</v>
      </c>
      <c r="E256" s="15">
        <v>2026</v>
      </c>
      <c r="F256" s="15" t="s">
        <v>526</v>
      </c>
      <c r="G256" s="15" t="s">
        <v>154</v>
      </c>
      <c r="H256" s="16">
        <v>46070</v>
      </c>
      <c r="I256" s="16">
        <v>46112</v>
      </c>
      <c r="J256" s="16">
        <v>46112</v>
      </c>
      <c r="K256" s="16">
        <v>46168</v>
      </c>
      <c r="L256" s="16">
        <v>46190</v>
      </c>
      <c r="M256" s="15"/>
      <c r="N256" s="15" t="s">
        <v>540</v>
      </c>
      <c r="O256" s="15" t="s">
        <v>510</v>
      </c>
      <c r="P256" s="19" t="s">
        <v>777</v>
      </c>
      <c r="Q256" s="15" t="s">
        <v>542</v>
      </c>
      <c r="R256" s="15" t="str">
        <f t="shared" ca="1" si="3"/>
        <v>Passée</v>
      </c>
    </row>
    <row r="257" spans="1:18" ht="15.6" customHeight="1">
      <c r="A257" t="s">
        <v>792</v>
      </c>
      <c r="B257" t="s">
        <v>195</v>
      </c>
      <c r="C257" t="s">
        <v>196</v>
      </c>
      <c r="D257" t="s">
        <v>776</v>
      </c>
      <c r="E257">
        <v>2026</v>
      </c>
      <c r="F257" t="s">
        <v>526</v>
      </c>
      <c r="G257" t="s">
        <v>155</v>
      </c>
      <c r="H257" s="1">
        <v>46098</v>
      </c>
      <c r="I257" s="1">
        <v>46142</v>
      </c>
      <c r="J257" s="1">
        <v>46142</v>
      </c>
      <c r="K257" s="1">
        <v>46198</v>
      </c>
      <c r="L257" s="1">
        <v>46220</v>
      </c>
      <c r="N257" t="s">
        <v>540</v>
      </c>
      <c r="O257" t="s">
        <v>510</v>
      </c>
      <c r="P257" s="19" t="s">
        <v>777</v>
      </c>
      <c r="Q257" t="s">
        <v>542</v>
      </c>
      <c r="R257" t="str">
        <f t="shared" ca="1" si="3"/>
        <v>Passée</v>
      </c>
    </row>
    <row r="258" spans="1:18" ht="15.6" customHeight="1">
      <c r="A258" s="15" t="s">
        <v>793</v>
      </c>
      <c r="B258" s="15" t="s">
        <v>195</v>
      </c>
      <c r="C258" s="15" t="s">
        <v>196</v>
      </c>
      <c r="D258" s="15" t="s">
        <v>776</v>
      </c>
      <c r="E258" s="15">
        <v>2026</v>
      </c>
      <c r="F258" s="15" t="s">
        <v>526</v>
      </c>
      <c r="G258" s="15" t="s">
        <v>156</v>
      </c>
      <c r="H258" s="16">
        <v>46125</v>
      </c>
      <c r="I258" s="16">
        <v>46171</v>
      </c>
      <c r="J258" s="16">
        <v>46171</v>
      </c>
      <c r="K258" s="16">
        <v>46227</v>
      </c>
      <c r="L258" s="16">
        <v>46247</v>
      </c>
      <c r="M258" s="15"/>
      <c r="N258" s="15" t="s">
        <v>540</v>
      </c>
      <c r="O258" s="15" t="s">
        <v>510</v>
      </c>
      <c r="P258" s="19" t="s">
        <v>777</v>
      </c>
      <c r="Q258" s="15" t="s">
        <v>542</v>
      </c>
      <c r="R258" s="15" t="str">
        <f t="shared" ref="R258:R321" ca="1" si="4">IF(H258&gt;=TODAY(),"À venir","Passée")</f>
        <v>Passée</v>
      </c>
    </row>
    <row r="259" spans="1:18" ht="15.6" customHeight="1">
      <c r="A259" t="s">
        <v>794</v>
      </c>
      <c r="B259" t="s">
        <v>195</v>
      </c>
      <c r="C259" t="s">
        <v>196</v>
      </c>
      <c r="D259" t="s">
        <v>776</v>
      </c>
      <c r="E259">
        <v>2026</v>
      </c>
      <c r="F259" t="s">
        <v>526</v>
      </c>
      <c r="G259" t="s">
        <v>157</v>
      </c>
      <c r="H259" s="1">
        <v>46160</v>
      </c>
      <c r="I259" s="1">
        <v>46203</v>
      </c>
      <c r="J259" s="1">
        <v>46203</v>
      </c>
      <c r="K259" s="1">
        <v>46259</v>
      </c>
      <c r="L259" s="1">
        <v>46283</v>
      </c>
      <c r="N259" t="s">
        <v>540</v>
      </c>
      <c r="O259" t="s">
        <v>510</v>
      </c>
      <c r="P259" s="19" t="s">
        <v>777</v>
      </c>
      <c r="Q259" t="s">
        <v>542</v>
      </c>
      <c r="R259" t="str">
        <f t="shared" ca="1" si="4"/>
        <v>Passée</v>
      </c>
    </row>
    <row r="260" spans="1:18" ht="15.6" customHeight="1">
      <c r="A260" s="15" t="s">
        <v>795</v>
      </c>
      <c r="B260" s="15" t="s">
        <v>195</v>
      </c>
      <c r="C260" s="15" t="s">
        <v>196</v>
      </c>
      <c r="D260" s="15" t="s">
        <v>776</v>
      </c>
      <c r="E260" s="15">
        <v>2026</v>
      </c>
      <c r="F260" s="15" t="s">
        <v>526</v>
      </c>
      <c r="G260" s="15" t="s">
        <v>158</v>
      </c>
      <c r="H260" s="16">
        <v>46191</v>
      </c>
      <c r="I260" s="16">
        <v>46234</v>
      </c>
      <c r="J260" s="16">
        <v>46234</v>
      </c>
      <c r="K260" s="16">
        <v>46290</v>
      </c>
      <c r="L260" s="16">
        <v>46313</v>
      </c>
      <c r="M260" s="15"/>
      <c r="N260" s="15" t="s">
        <v>540</v>
      </c>
      <c r="O260" s="15" t="s">
        <v>510</v>
      </c>
      <c r="P260" s="19" t="s">
        <v>777</v>
      </c>
      <c r="Q260" s="15" t="s">
        <v>542</v>
      </c>
      <c r="R260" s="15" t="str">
        <f t="shared" ca="1" si="4"/>
        <v>Passée</v>
      </c>
    </row>
    <row r="261" spans="1:18" ht="15.6" customHeight="1">
      <c r="A261" t="s">
        <v>796</v>
      </c>
      <c r="B261" t="s">
        <v>195</v>
      </c>
      <c r="C261" t="s">
        <v>196</v>
      </c>
      <c r="D261" t="s">
        <v>776</v>
      </c>
      <c r="E261">
        <v>2026</v>
      </c>
      <c r="F261" t="s">
        <v>526</v>
      </c>
      <c r="G261" t="s">
        <v>159</v>
      </c>
      <c r="H261" s="1">
        <v>46223</v>
      </c>
      <c r="I261" s="1">
        <v>46265</v>
      </c>
      <c r="J261" s="1">
        <v>46265</v>
      </c>
      <c r="K261" s="1">
        <v>46321</v>
      </c>
      <c r="L261" s="1">
        <v>46346</v>
      </c>
      <c r="N261" t="s">
        <v>540</v>
      </c>
      <c r="O261" t="s">
        <v>510</v>
      </c>
      <c r="P261" s="19" t="s">
        <v>777</v>
      </c>
      <c r="Q261" t="s">
        <v>542</v>
      </c>
      <c r="R261" t="str">
        <f t="shared" ca="1" si="4"/>
        <v>Passée</v>
      </c>
    </row>
    <row r="262" spans="1:18" ht="15.6" customHeight="1">
      <c r="A262" s="15" t="s">
        <v>797</v>
      </c>
      <c r="B262" s="15" t="s">
        <v>195</v>
      </c>
      <c r="C262" s="15" t="s">
        <v>196</v>
      </c>
      <c r="D262" s="15" t="s">
        <v>776</v>
      </c>
      <c r="E262" s="15">
        <v>2026</v>
      </c>
      <c r="F262" s="15" t="s">
        <v>526</v>
      </c>
      <c r="G262" s="15" t="s">
        <v>160</v>
      </c>
      <c r="H262" s="16">
        <v>46253</v>
      </c>
      <c r="I262" s="16">
        <v>46295</v>
      </c>
      <c r="J262" s="16">
        <v>46295</v>
      </c>
      <c r="K262" s="16">
        <v>46351</v>
      </c>
      <c r="L262" s="16">
        <v>46375</v>
      </c>
      <c r="M262" s="15"/>
      <c r="N262" s="15" t="s">
        <v>540</v>
      </c>
      <c r="O262" s="15" t="s">
        <v>510</v>
      </c>
      <c r="P262" s="19" t="s">
        <v>777</v>
      </c>
      <c r="Q262" s="15" t="s">
        <v>542</v>
      </c>
      <c r="R262" s="15" t="str">
        <f t="shared" ca="1" si="4"/>
        <v>Passée</v>
      </c>
    </row>
    <row r="263" spans="1:18" ht="15.6" customHeight="1">
      <c r="A263" t="s">
        <v>798</v>
      </c>
      <c r="B263" t="s">
        <v>195</v>
      </c>
      <c r="C263" t="s">
        <v>196</v>
      </c>
      <c r="D263" t="s">
        <v>776</v>
      </c>
      <c r="E263">
        <v>2026</v>
      </c>
      <c r="F263" t="s">
        <v>526</v>
      </c>
      <c r="G263" t="s">
        <v>161</v>
      </c>
      <c r="H263" s="1">
        <v>46283</v>
      </c>
      <c r="I263" s="1">
        <v>46325</v>
      </c>
      <c r="J263" s="1">
        <v>46325</v>
      </c>
      <c r="K263" s="1">
        <v>46381</v>
      </c>
      <c r="L263" s="1">
        <v>46405</v>
      </c>
      <c r="N263" t="s">
        <v>540</v>
      </c>
      <c r="O263" t="s">
        <v>510</v>
      </c>
      <c r="P263" s="19" t="s">
        <v>777</v>
      </c>
      <c r="Q263" t="s">
        <v>542</v>
      </c>
      <c r="R263" t="str">
        <f t="shared" ca="1" si="4"/>
        <v>À venir</v>
      </c>
    </row>
    <row r="264" spans="1:18" ht="15.6" customHeight="1">
      <c r="A264" s="15" t="s">
        <v>799</v>
      </c>
      <c r="B264" s="15" t="s">
        <v>195</v>
      </c>
      <c r="C264" s="15" t="s">
        <v>196</v>
      </c>
      <c r="D264" s="15" t="s">
        <v>776</v>
      </c>
      <c r="E264" s="15">
        <v>2026</v>
      </c>
      <c r="F264" s="15" t="s">
        <v>526</v>
      </c>
      <c r="G264" s="15" t="s">
        <v>162</v>
      </c>
      <c r="H264" s="16">
        <v>46311</v>
      </c>
      <c r="I264" s="16">
        <v>46356</v>
      </c>
      <c r="J264" s="16">
        <v>46356</v>
      </c>
      <c r="K264" s="16">
        <v>46412</v>
      </c>
      <c r="L264" s="16">
        <v>46434</v>
      </c>
      <c r="M264" s="15"/>
      <c r="N264" s="15" t="s">
        <v>540</v>
      </c>
      <c r="O264" s="15" t="s">
        <v>510</v>
      </c>
      <c r="P264" s="19" t="s">
        <v>777</v>
      </c>
      <c r="Q264" s="15" t="s">
        <v>542</v>
      </c>
      <c r="R264" s="15" t="str">
        <f t="shared" ca="1" si="4"/>
        <v>À venir</v>
      </c>
    </row>
    <row r="265" spans="1:18" ht="15.6" customHeight="1">
      <c r="A265" t="s">
        <v>800</v>
      </c>
      <c r="B265" t="s">
        <v>195</v>
      </c>
      <c r="C265" t="s">
        <v>196</v>
      </c>
      <c r="D265" t="s">
        <v>776</v>
      </c>
      <c r="E265">
        <v>2026</v>
      </c>
      <c r="F265" t="s">
        <v>526</v>
      </c>
      <c r="G265" t="s">
        <v>163</v>
      </c>
      <c r="H265" s="1">
        <v>46344</v>
      </c>
      <c r="I265" s="1">
        <v>46387</v>
      </c>
      <c r="J265" s="1">
        <v>46387</v>
      </c>
      <c r="K265" s="1">
        <v>46443</v>
      </c>
      <c r="L265" s="1">
        <v>46464</v>
      </c>
      <c r="N265" t="s">
        <v>540</v>
      </c>
      <c r="O265" t="s">
        <v>510</v>
      </c>
      <c r="P265" s="19" t="s">
        <v>777</v>
      </c>
      <c r="Q265" t="s">
        <v>542</v>
      </c>
      <c r="R265" t="str">
        <f t="shared" ca="1" si="4"/>
        <v>À venir</v>
      </c>
    </row>
    <row r="266" spans="1:18" ht="15.6" customHeight="1">
      <c r="A266" s="15" t="s">
        <v>801</v>
      </c>
      <c r="B266" s="15" t="s">
        <v>189</v>
      </c>
      <c r="C266" s="15" t="s">
        <v>190</v>
      </c>
      <c r="D266" s="15" t="s">
        <v>776</v>
      </c>
      <c r="E266" s="15">
        <v>2026</v>
      </c>
      <c r="F266" s="15" t="s">
        <v>526</v>
      </c>
      <c r="G266" s="15" t="s">
        <v>152</v>
      </c>
      <c r="H266" s="16">
        <v>46008</v>
      </c>
      <c r="I266" s="16">
        <v>46052</v>
      </c>
      <c r="J266" s="16">
        <v>46052</v>
      </c>
      <c r="K266" s="16">
        <v>46108</v>
      </c>
      <c r="L266" s="16">
        <v>46129</v>
      </c>
      <c r="M266" s="15"/>
      <c r="N266" s="15" t="s">
        <v>540</v>
      </c>
      <c r="O266" s="15" t="s">
        <v>510</v>
      </c>
      <c r="P266" s="19" t="s">
        <v>777</v>
      </c>
      <c r="Q266" s="15" t="s">
        <v>542</v>
      </c>
      <c r="R266" s="15" t="str">
        <f t="shared" ca="1" si="4"/>
        <v>Passée</v>
      </c>
    </row>
    <row r="267" spans="1:18" ht="15.6" customHeight="1">
      <c r="A267" t="s">
        <v>802</v>
      </c>
      <c r="B267" t="s">
        <v>189</v>
      </c>
      <c r="C267" t="s">
        <v>190</v>
      </c>
      <c r="D267" t="s">
        <v>776</v>
      </c>
      <c r="E267">
        <v>2026</v>
      </c>
      <c r="F267" t="s">
        <v>526</v>
      </c>
      <c r="G267" t="s">
        <v>153</v>
      </c>
      <c r="H267" s="1">
        <v>46038</v>
      </c>
      <c r="I267" s="1">
        <v>46080</v>
      </c>
      <c r="J267" s="1">
        <v>46080</v>
      </c>
      <c r="K267" s="1">
        <v>46136</v>
      </c>
      <c r="L267" s="1">
        <v>46158</v>
      </c>
      <c r="N267" t="s">
        <v>540</v>
      </c>
      <c r="O267" t="s">
        <v>510</v>
      </c>
      <c r="P267" s="19" t="s">
        <v>777</v>
      </c>
      <c r="Q267" t="s">
        <v>542</v>
      </c>
      <c r="R267" t="str">
        <f t="shared" ca="1" si="4"/>
        <v>Passée</v>
      </c>
    </row>
    <row r="268" spans="1:18" ht="15.6" customHeight="1">
      <c r="A268" s="15" t="s">
        <v>803</v>
      </c>
      <c r="B268" s="15" t="s">
        <v>189</v>
      </c>
      <c r="C268" s="15" t="s">
        <v>190</v>
      </c>
      <c r="D268" s="15" t="s">
        <v>776</v>
      </c>
      <c r="E268" s="15">
        <v>2026</v>
      </c>
      <c r="F268" s="15" t="s">
        <v>526</v>
      </c>
      <c r="G268" s="15" t="s">
        <v>154</v>
      </c>
      <c r="H268" s="16">
        <v>46070</v>
      </c>
      <c r="I268" s="16">
        <v>46112</v>
      </c>
      <c r="J268" s="16">
        <v>46112</v>
      </c>
      <c r="K268" s="16">
        <v>46168</v>
      </c>
      <c r="L268" s="16">
        <v>46190</v>
      </c>
      <c r="M268" s="15"/>
      <c r="N268" s="15" t="s">
        <v>540</v>
      </c>
      <c r="O268" s="15" t="s">
        <v>510</v>
      </c>
      <c r="P268" s="19" t="s">
        <v>777</v>
      </c>
      <c r="Q268" s="15" t="s">
        <v>542</v>
      </c>
      <c r="R268" s="15" t="str">
        <f t="shared" ca="1" si="4"/>
        <v>Passée</v>
      </c>
    </row>
    <row r="269" spans="1:18" ht="15.6" customHeight="1">
      <c r="A269" t="s">
        <v>804</v>
      </c>
      <c r="B269" t="s">
        <v>189</v>
      </c>
      <c r="C269" t="s">
        <v>190</v>
      </c>
      <c r="D269" t="s">
        <v>776</v>
      </c>
      <c r="E269">
        <v>2026</v>
      </c>
      <c r="F269" t="s">
        <v>526</v>
      </c>
      <c r="G269" t="s">
        <v>155</v>
      </c>
      <c r="H269" s="1">
        <v>46098</v>
      </c>
      <c r="I269" s="1">
        <v>46142</v>
      </c>
      <c r="J269" s="1">
        <v>46142</v>
      </c>
      <c r="K269" s="1">
        <v>46198</v>
      </c>
      <c r="L269" s="1">
        <v>46220</v>
      </c>
      <c r="N269" t="s">
        <v>540</v>
      </c>
      <c r="O269" t="s">
        <v>510</v>
      </c>
      <c r="P269" s="19" t="s">
        <v>777</v>
      </c>
      <c r="Q269" t="s">
        <v>542</v>
      </c>
      <c r="R269" t="str">
        <f t="shared" ca="1" si="4"/>
        <v>Passée</v>
      </c>
    </row>
    <row r="270" spans="1:18" ht="15.6" customHeight="1">
      <c r="A270" s="15" t="s">
        <v>805</v>
      </c>
      <c r="B270" s="15" t="s">
        <v>189</v>
      </c>
      <c r="C270" s="15" t="s">
        <v>190</v>
      </c>
      <c r="D270" s="15" t="s">
        <v>776</v>
      </c>
      <c r="E270" s="15">
        <v>2026</v>
      </c>
      <c r="F270" s="15" t="s">
        <v>526</v>
      </c>
      <c r="G270" s="15" t="s">
        <v>156</v>
      </c>
      <c r="H270" s="16">
        <v>46125</v>
      </c>
      <c r="I270" s="16">
        <v>46171</v>
      </c>
      <c r="J270" s="16">
        <v>46171</v>
      </c>
      <c r="K270" s="16">
        <v>46227</v>
      </c>
      <c r="L270" s="16">
        <v>46247</v>
      </c>
      <c r="M270" s="15"/>
      <c r="N270" s="15" t="s">
        <v>540</v>
      </c>
      <c r="O270" s="15" t="s">
        <v>510</v>
      </c>
      <c r="P270" s="19" t="s">
        <v>777</v>
      </c>
      <c r="Q270" s="15" t="s">
        <v>542</v>
      </c>
      <c r="R270" s="15" t="str">
        <f t="shared" ca="1" si="4"/>
        <v>Passée</v>
      </c>
    </row>
    <row r="271" spans="1:18" ht="15.6" customHeight="1">
      <c r="A271" t="s">
        <v>806</v>
      </c>
      <c r="B271" t="s">
        <v>189</v>
      </c>
      <c r="C271" t="s">
        <v>190</v>
      </c>
      <c r="D271" t="s">
        <v>776</v>
      </c>
      <c r="E271">
        <v>2026</v>
      </c>
      <c r="F271" t="s">
        <v>526</v>
      </c>
      <c r="G271" t="s">
        <v>157</v>
      </c>
      <c r="H271" s="1">
        <v>46160</v>
      </c>
      <c r="I271" s="1">
        <v>46203</v>
      </c>
      <c r="J271" s="1">
        <v>46203</v>
      </c>
      <c r="K271" s="1">
        <v>46259</v>
      </c>
      <c r="L271" s="1">
        <v>46283</v>
      </c>
      <c r="N271" t="s">
        <v>540</v>
      </c>
      <c r="O271" t="s">
        <v>510</v>
      </c>
      <c r="P271" s="19" t="s">
        <v>777</v>
      </c>
      <c r="Q271" t="s">
        <v>542</v>
      </c>
      <c r="R271" t="str">
        <f t="shared" ca="1" si="4"/>
        <v>Passée</v>
      </c>
    </row>
    <row r="272" spans="1:18" ht="15.6" customHeight="1">
      <c r="A272" s="15" t="s">
        <v>807</v>
      </c>
      <c r="B272" s="15" t="s">
        <v>189</v>
      </c>
      <c r="C272" s="15" t="s">
        <v>190</v>
      </c>
      <c r="D272" s="15" t="s">
        <v>776</v>
      </c>
      <c r="E272" s="15">
        <v>2026</v>
      </c>
      <c r="F272" s="15" t="s">
        <v>526</v>
      </c>
      <c r="G272" s="15" t="s">
        <v>158</v>
      </c>
      <c r="H272" s="16">
        <v>46191</v>
      </c>
      <c r="I272" s="16">
        <v>46234</v>
      </c>
      <c r="J272" s="16">
        <v>46234</v>
      </c>
      <c r="K272" s="16">
        <v>46290</v>
      </c>
      <c r="L272" s="16">
        <v>46313</v>
      </c>
      <c r="M272" s="15"/>
      <c r="N272" s="15" t="s">
        <v>540</v>
      </c>
      <c r="O272" s="15" t="s">
        <v>510</v>
      </c>
      <c r="P272" s="19" t="s">
        <v>777</v>
      </c>
      <c r="Q272" s="15" t="s">
        <v>542</v>
      </c>
      <c r="R272" s="15" t="str">
        <f t="shared" ca="1" si="4"/>
        <v>Passée</v>
      </c>
    </row>
    <row r="273" spans="1:18" ht="15.6" customHeight="1">
      <c r="A273" t="s">
        <v>808</v>
      </c>
      <c r="B273" t="s">
        <v>189</v>
      </c>
      <c r="C273" t="s">
        <v>190</v>
      </c>
      <c r="D273" t="s">
        <v>776</v>
      </c>
      <c r="E273">
        <v>2026</v>
      </c>
      <c r="F273" t="s">
        <v>526</v>
      </c>
      <c r="G273" t="s">
        <v>159</v>
      </c>
      <c r="H273" s="1">
        <v>46223</v>
      </c>
      <c r="I273" s="1">
        <v>46265</v>
      </c>
      <c r="J273" s="1">
        <v>46265</v>
      </c>
      <c r="K273" s="1">
        <v>46321</v>
      </c>
      <c r="L273" s="1">
        <v>46346</v>
      </c>
      <c r="N273" t="s">
        <v>540</v>
      </c>
      <c r="O273" t="s">
        <v>510</v>
      </c>
      <c r="P273" s="19" t="s">
        <v>777</v>
      </c>
      <c r="Q273" t="s">
        <v>542</v>
      </c>
      <c r="R273" t="str">
        <f t="shared" ca="1" si="4"/>
        <v>Passée</v>
      </c>
    </row>
    <row r="274" spans="1:18" ht="15.6" customHeight="1">
      <c r="A274" s="15" t="s">
        <v>809</v>
      </c>
      <c r="B274" s="15" t="s">
        <v>189</v>
      </c>
      <c r="C274" s="15" t="s">
        <v>190</v>
      </c>
      <c r="D274" s="15" t="s">
        <v>776</v>
      </c>
      <c r="E274" s="15">
        <v>2026</v>
      </c>
      <c r="F274" s="15" t="s">
        <v>526</v>
      </c>
      <c r="G274" s="15" t="s">
        <v>160</v>
      </c>
      <c r="H274" s="16">
        <v>46253</v>
      </c>
      <c r="I274" s="16">
        <v>46295</v>
      </c>
      <c r="J274" s="16">
        <v>46295</v>
      </c>
      <c r="K274" s="16">
        <v>46351</v>
      </c>
      <c r="L274" s="16">
        <v>46375</v>
      </c>
      <c r="M274" s="15"/>
      <c r="N274" s="15" t="s">
        <v>540</v>
      </c>
      <c r="O274" s="15" t="s">
        <v>510</v>
      </c>
      <c r="P274" s="19" t="s">
        <v>777</v>
      </c>
      <c r="Q274" s="15" t="s">
        <v>542</v>
      </c>
      <c r="R274" s="15" t="str">
        <f t="shared" ca="1" si="4"/>
        <v>Passée</v>
      </c>
    </row>
    <row r="275" spans="1:18" ht="15.6" customHeight="1">
      <c r="A275" t="s">
        <v>810</v>
      </c>
      <c r="B275" t="s">
        <v>189</v>
      </c>
      <c r="C275" t="s">
        <v>190</v>
      </c>
      <c r="D275" t="s">
        <v>776</v>
      </c>
      <c r="E275">
        <v>2026</v>
      </c>
      <c r="F275" t="s">
        <v>526</v>
      </c>
      <c r="G275" t="s">
        <v>161</v>
      </c>
      <c r="H275" s="1">
        <v>46283</v>
      </c>
      <c r="I275" s="1">
        <v>46325</v>
      </c>
      <c r="J275" s="1">
        <v>46325</v>
      </c>
      <c r="K275" s="1">
        <v>46381</v>
      </c>
      <c r="L275" s="1">
        <v>46405</v>
      </c>
      <c r="N275" t="s">
        <v>540</v>
      </c>
      <c r="O275" t="s">
        <v>510</v>
      </c>
      <c r="P275" s="19" t="s">
        <v>777</v>
      </c>
      <c r="Q275" t="s">
        <v>542</v>
      </c>
      <c r="R275" t="str">
        <f t="shared" ca="1" si="4"/>
        <v>À venir</v>
      </c>
    </row>
    <row r="276" spans="1:18" ht="15.6" customHeight="1">
      <c r="A276" s="15" t="s">
        <v>811</v>
      </c>
      <c r="B276" s="15" t="s">
        <v>189</v>
      </c>
      <c r="C276" s="15" t="s">
        <v>190</v>
      </c>
      <c r="D276" s="15" t="s">
        <v>776</v>
      </c>
      <c r="E276" s="15">
        <v>2026</v>
      </c>
      <c r="F276" s="15" t="s">
        <v>526</v>
      </c>
      <c r="G276" s="15" t="s">
        <v>162</v>
      </c>
      <c r="H276" s="16">
        <v>46311</v>
      </c>
      <c r="I276" s="16">
        <v>46356</v>
      </c>
      <c r="J276" s="16">
        <v>46356</v>
      </c>
      <c r="K276" s="16">
        <v>46412</v>
      </c>
      <c r="L276" s="16">
        <v>46434</v>
      </c>
      <c r="M276" s="15"/>
      <c r="N276" s="15" t="s">
        <v>540</v>
      </c>
      <c r="O276" s="15" t="s">
        <v>510</v>
      </c>
      <c r="P276" s="19" t="s">
        <v>777</v>
      </c>
      <c r="Q276" s="15" t="s">
        <v>542</v>
      </c>
      <c r="R276" s="15" t="str">
        <f t="shared" ca="1" si="4"/>
        <v>À venir</v>
      </c>
    </row>
    <row r="277" spans="1:18" ht="15.6" customHeight="1">
      <c r="A277" t="s">
        <v>812</v>
      </c>
      <c r="B277" t="s">
        <v>189</v>
      </c>
      <c r="C277" t="s">
        <v>190</v>
      </c>
      <c r="D277" t="s">
        <v>776</v>
      </c>
      <c r="E277">
        <v>2026</v>
      </c>
      <c r="F277" t="s">
        <v>526</v>
      </c>
      <c r="G277" t="s">
        <v>163</v>
      </c>
      <c r="H277" s="1">
        <v>46344</v>
      </c>
      <c r="I277" s="1">
        <v>46387</v>
      </c>
      <c r="J277" s="1">
        <v>46387</v>
      </c>
      <c r="K277" s="1">
        <v>46443</v>
      </c>
      <c r="L277" s="1">
        <v>46464</v>
      </c>
      <c r="N277" t="s">
        <v>540</v>
      </c>
      <c r="O277" t="s">
        <v>510</v>
      </c>
      <c r="P277" s="19" t="s">
        <v>777</v>
      </c>
      <c r="Q277" t="s">
        <v>542</v>
      </c>
      <c r="R277" t="str">
        <f t="shared" ca="1" si="4"/>
        <v>À venir</v>
      </c>
    </row>
    <row r="278" spans="1:18" ht="15.6" customHeight="1">
      <c r="A278" s="15" t="s">
        <v>813</v>
      </c>
      <c r="B278" s="15" t="s">
        <v>201</v>
      </c>
      <c r="C278" s="15" t="s">
        <v>202</v>
      </c>
      <c r="D278" s="15" t="s">
        <v>814</v>
      </c>
      <c r="E278" s="15">
        <v>2026</v>
      </c>
      <c r="F278" s="15" t="s">
        <v>508</v>
      </c>
      <c r="G278" s="15" t="s">
        <v>152</v>
      </c>
      <c r="H278" s="16">
        <v>46009</v>
      </c>
      <c r="I278" s="16">
        <v>46022</v>
      </c>
      <c r="J278" s="16">
        <v>46024</v>
      </c>
      <c r="K278" s="15"/>
      <c r="L278" s="16">
        <v>46020</v>
      </c>
      <c r="M278" s="15"/>
      <c r="N278" s="15" t="s">
        <v>540</v>
      </c>
      <c r="O278" s="15" t="s">
        <v>510</v>
      </c>
      <c r="P278" s="19" t="s">
        <v>815</v>
      </c>
      <c r="Q278" s="15" t="s">
        <v>542</v>
      </c>
      <c r="R278" s="15" t="str">
        <f t="shared" ca="1" si="4"/>
        <v>Passée</v>
      </c>
    </row>
    <row r="279" spans="1:18" ht="15.6" customHeight="1">
      <c r="A279" t="s">
        <v>816</v>
      </c>
      <c r="B279" t="s">
        <v>201</v>
      </c>
      <c r="C279" t="s">
        <v>202</v>
      </c>
      <c r="D279" t="s">
        <v>814</v>
      </c>
      <c r="E279">
        <v>2026</v>
      </c>
      <c r="F279" t="s">
        <v>508</v>
      </c>
      <c r="G279" t="s">
        <v>153</v>
      </c>
      <c r="H279" s="1">
        <v>46044</v>
      </c>
      <c r="I279" s="1">
        <v>46053</v>
      </c>
      <c r="J279" s="1">
        <v>46055</v>
      </c>
      <c r="L279" s="1">
        <v>46050</v>
      </c>
      <c r="N279" t="s">
        <v>540</v>
      </c>
      <c r="O279" t="s">
        <v>510</v>
      </c>
      <c r="P279" s="19" t="s">
        <v>815</v>
      </c>
      <c r="Q279" t="s">
        <v>542</v>
      </c>
      <c r="R279" t="str">
        <f t="shared" ca="1" si="4"/>
        <v>Passée</v>
      </c>
    </row>
    <row r="280" spans="1:18" ht="15.6" customHeight="1">
      <c r="A280" s="15" t="s">
        <v>817</v>
      </c>
      <c r="B280" s="15" t="s">
        <v>201</v>
      </c>
      <c r="C280" s="15" t="s">
        <v>202</v>
      </c>
      <c r="D280" s="15" t="s">
        <v>814</v>
      </c>
      <c r="E280" s="15">
        <v>2026</v>
      </c>
      <c r="F280" s="15" t="s">
        <v>508</v>
      </c>
      <c r="G280" s="15" t="s">
        <v>154</v>
      </c>
      <c r="H280" s="16">
        <v>46072</v>
      </c>
      <c r="I280" s="16">
        <v>46081</v>
      </c>
      <c r="J280" s="16">
        <v>46083</v>
      </c>
      <c r="K280" s="15"/>
      <c r="L280" s="16">
        <v>46078</v>
      </c>
      <c r="M280" s="15"/>
      <c r="N280" s="15" t="s">
        <v>540</v>
      </c>
      <c r="O280" s="15" t="s">
        <v>510</v>
      </c>
      <c r="P280" s="19" t="s">
        <v>815</v>
      </c>
      <c r="Q280" s="15" t="s">
        <v>542</v>
      </c>
      <c r="R280" s="15" t="str">
        <f t="shared" ca="1" si="4"/>
        <v>Passée</v>
      </c>
    </row>
    <row r="281" spans="1:18" ht="15.6" customHeight="1">
      <c r="A281" t="s">
        <v>818</v>
      </c>
      <c r="B281" t="s">
        <v>201</v>
      </c>
      <c r="C281" t="s">
        <v>202</v>
      </c>
      <c r="D281" t="s">
        <v>814</v>
      </c>
      <c r="E281">
        <v>2026</v>
      </c>
      <c r="F281" t="s">
        <v>508</v>
      </c>
      <c r="G281" t="s">
        <v>155</v>
      </c>
      <c r="H281" s="1">
        <v>46101</v>
      </c>
      <c r="I281" s="1">
        <v>46112</v>
      </c>
      <c r="J281" s="1">
        <v>46113</v>
      </c>
      <c r="L281" s="1">
        <v>46108</v>
      </c>
      <c r="N281" t="s">
        <v>540</v>
      </c>
      <c r="O281" t="s">
        <v>510</v>
      </c>
      <c r="P281" s="19" t="s">
        <v>815</v>
      </c>
      <c r="Q281" t="s">
        <v>542</v>
      </c>
      <c r="R281" t="str">
        <f t="shared" ca="1" si="4"/>
        <v>Passée</v>
      </c>
    </row>
    <row r="282" spans="1:18" ht="15.6" customHeight="1">
      <c r="A282" s="15" t="s">
        <v>819</v>
      </c>
      <c r="B282" s="15" t="s">
        <v>201</v>
      </c>
      <c r="C282" s="15" t="s">
        <v>202</v>
      </c>
      <c r="D282" s="15" t="s">
        <v>814</v>
      </c>
      <c r="E282" s="15">
        <v>2026</v>
      </c>
      <c r="F282" s="15" t="s">
        <v>508</v>
      </c>
      <c r="G282" s="15" t="s">
        <v>156</v>
      </c>
      <c r="H282" s="16">
        <v>46133</v>
      </c>
      <c r="I282" s="16">
        <v>46142</v>
      </c>
      <c r="J282" s="16">
        <v>46146</v>
      </c>
      <c r="K282" s="15"/>
      <c r="L282" s="16">
        <v>46140</v>
      </c>
      <c r="M282" s="15"/>
      <c r="N282" s="15" t="s">
        <v>540</v>
      </c>
      <c r="O282" s="15" t="s">
        <v>510</v>
      </c>
      <c r="P282" s="19" t="s">
        <v>815</v>
      </c>
      <c r="Q282" s="15" t="s">
        <v>542</v>
      </c>
      <c r="R282" s="15" t="str">
        <f t="shared" ca="1" si="4"/>
        <v>Passée</v>
      </c>
    </row>
    <row r="283" spans="1:18" ht="15.6" customHeight="1">
      <c r="A283" t="s">
        <v>820</v>
      </c>
      <c r="B283" t="s">
        <v>201</v>
      </c>
      <c r="C283" t="s">
        <v>202</v>
      </c>
      <c r="D283" t="s">
        <v>814</v>
      </c>
      <c r="E283">
        <v>2026</v>
      </c>
      <c r="F283" t="s">
        <v>508</v>
      </c>
      <c r="G283" t="s">
        <v>157</v>
      </c>
      <c r="H283" s="1">
        <v>46162</v>
      </c>
      <c r="I283" s="1">
        <v>46173</v>
      </c>
      <c r="J283" s="1">
        <v>46174</v>
      </c>
      <c r="L283" s="1">
        <v>46169</v>
      </c>
      <c r="N283" t="s">
        <v>540</v>
      </c>
      <c r="O283" t="s">
        <v>510</v>
      </c>
      <c r="P283" s="19" t="s">
        <v>815</v>
      </c>
      <c r="Q283" t="s">
        <v>542</v>
      </c>
      <c r="R283" t="str">
        <f t="shared" ca="1" si="4"/>
        <v>Passée</v>
      </c>
    </row>
    <row r="284" spans="1:18" ht="15.6" customHeight="1">
      <c r="A284" s="15" t="s">
        <v>821</v>
      </c>
      <c r="B284" s="15" t="s">
        <v>201</v>
      </c>
      <c r="C284" s="15" t="s">
        <v>202</v>
      </c>
      <c r="D284" s="15" t="s">
        <v>814</v>
      </c>
      <c r="E284" s="15">
        <v>2026</v>
      </c>
      <c r="F284" s="15" t="s">
        <v>508</v>
      </c>
      <c r="G284" s="15" t="s">
        <v>158</v>
      </c>
      <c r="H284" s="16">
        <v>46191</v>
      </c>
      <c r="I284" s="16">
        <v>46203</v>
      </c>
      <c r="J284" s="16">
        <v>46204</v>
      </c>
      <c r="K284" s="15"/>
      <c r="L284" s="16">
        <v>46199</v>
      </c>
      <c r="M284" s="15"/>
      <c r="N284" s="15" t="s">
        <v>540</v>
      </c>
      <c r="O284" s="15" t="s">
        <v>510</v>
      </c>
      <c r="P284" s="19" t="s">
        <v>815</v>
      </c>
      <c r="Q284" s="15" t="s">
        <v>542</v>
      </c>
      <c r="R284" s="15" t="str">
        <f t="shared" ca="1" si="4"/>
        <v>Passée</v>
      </c>
    </row>
    <row r="285" spans="1:18" ht="15.6" customHeight="1">
      <c r="A285" t="s">
        <v>822</v>
      </c>
      <c r="B285" t="s">
        <v>201</v>
      </c>
      <c r="C285" t="s">
        <v>202</v>
      </c>
      <c r="D285" t="s">
        <v>814</v>
      </c>
      <c r="E285">
        <v>2026</v>
      </c>
      <c r="F285" t="s">
        <v>508</v>
      </c>
      <c r="G285" t="s">
        <v>159</v>
      </c>
      <c r="H285" s="1">
        <v>46225</v>
      </c>
      <c r="I285" s="1">
        <v>46234</v>
      </c>
      <c r="J285" s="1">
        <v>46237</v>
      </c>
      <c r="L285" s="1">
        <v>46232</v>
      </c>
      <c r="N285" t="s">
        <v>540</v>
      </c>
      <c r="O285" t="s">
        <v>510</v>
      </c>
      <c r="P285" s="19" t="s">
        <v>815</v>
      </c>
      <c r="Q285" t="s">
        <v>542</v>
      </c>
      <c r="R285" t="str">
        <f t="shared" ca="1" si="4"/>
        <v>Passée</v>
      </c>
    </row>
    <row r="286" spans="1:18" ht="15.6" customHeight="1">
      <c r="A286" s="15" t="s">
        <v>823</v>
      </c>
      <c r="B286" s="15" t="s">
        <v>201</v>
      </c>
      <c r="C286" s="15" t="s">
        <v>202</v>
      </c>
      <c r="D286" s="15" t="s">
        <v>814</v>
      </c>
      <c r="E286" s="15">
        <v>2026</v>
      </c>
      <c r="F286" s="15" t="s">
        <v>508</v>
      </c>
      <c r="G286" s="15" t="s">
        <v>160</v>
      </c>
      <c r="H286" s="16">
        <v>46254</v>
      </c>
      <c r="I286" s="16">
        <v>46265</v>
      </c>
      <c r="J286" s="16">
        <v>46266</v>
      </c>
      <c r="K286" s="15"/>
      <c r="L286" s="16">
        <v>46261</v>
      </c>
      <c r="M286" s="15"/>
      <c r="N286" s="15" t="s">
        <v>540</v>
      </c>
      <c r="O286" s="15" t="s">
        <v>510</v>
      </c>
      <c r="P286" s="19" t="s">
        <v>815</v>
      </c>
      <c r="Q286" s="15" t="s">
        <v>542</v>
      </c>
      <c r="R286" s="15" t="str">
        <f t="shared" ca="1" si="4"/>
        <v>Passée</v>
      </c>
    </row>
    <row r="287" spans="1:18" ht="15.6" customHeight="1">
      <c r="A287" t="s">
        <v>824</v>
      </c>
      <c r="B287" t="s">
        <v>201</v>
      </c>
      <c r="C287" t="s">
        <v>202</v>
      </c>
      <c r="D287" t="s">
        <v>814</v>
      </c>
      <c r="E287">
        <v>2026</v>
      </c>
      <c r="F287" t="s">
        <v>508</v>
      </c>
      <c r="G287" t="s">
        <v>161</v>
      </c>
      <c r="H287" s="1">
        <v>46286</v>
      </c>
      <c r="I287" s="1">
        <v>46295</v>
      </c>
      <c r="J287" s="1">
        <v>46296</v>
      </c>
      <c r="L287" s="1">
        <v>46293</v>
      </c>
      <c r="N287" t="s">
        <v>540</v>
      </c>
      <c r="O287" t="s">
        <v>510</v>
      </c>
      <c r="P287" s="19" t="s">
        <v>815</v>
      </c>
      <c r="Q287" t="s">
        <v>542</v>
      </c>
      <c r="R287" t="str">
        <f t="shared" ca="1" si="4"/>
        <v>À venir</v>
      </c>
    </row>
    <row r="288" spans="1:18" ht="15.6" customHeight="1">
      <c r="A288" s="15" t="s">
        <v>825</v>
      </c>
      <c r="B288" s="15" t="s">
        <v>201</v>
      </c>
      <c r="C288" s="15" t="s">
        <v>202</v>
      </c>
      <c r="D288" s="15" t="s">
        <v>814</v>
      </c>
      <c r="E288" s="15">
        <v>2026</v>
      </c>
      <c r="F288" s="15" t="s">
        <v>508</v>
      </c>
      <c r="G288" s="15" t="s">
        <v>162</v>
      </c>
      <c r="H288" s="16">
        <v>46317</v>
      </c>
      <c r="I288" s="16">
        <v>46326</v>
      </c>
      <c r="J288" s="16">
        <v>46328</v>
      </c>
      <c r="K288" s="15"/>
      <c r="L288" s="16">
        <v>46323</v>
      </c>
      <c r="M288" s="15"/>
      <c r="N288" s="15" t="s">
        <v>540</v>
      </c>
      <c r="O288" s="15" t="s">
        <v>510</v>
      </c>
      <c r="P288" s="19" t="s">
        <v>815</v>
      </c>
      <c r="Q288" s="15" t="s">
        <v>542</v>
      </c>
      <c r="R288" s="15" t="str">
        <f t="shared" ca="1" si="4"/>
        <v>À venir</v>
      </c>
    </row>
    <row r="289" spans="1:18" ht="15.6" customHeight="1">
      <c r="A289" t="s">
        <v>826</v>
      </c>
      <c r="B289" t="s">
        <v>201</v>
      </c>
      <c r="C289" t="s">
        <v>202</v>
      </c>
      <c r="D289" t="s">
        <v>814</v>
      </c>
      <c r="E289">
        <v>2026</v>
      </c>
      <c r="F289" t="s">
        <v>508</v>
      </c>
      <c r="G289" t="s">
        <v>163</v>
      </c>
      <c r="H289" s="1">
        <v>46345</v>
      </c>
      <c r="I289" s="1">
        <v>46356</v>
      </c>
      <c r="J289" s="1">
        <v>46357</v>
      </c>
      <c r="L289" s="1">
        <v>46352</v>
      </c>
      <c r="N289" t="s">
        <v>540</v>
      </c>
      <c r="O289" t="s">
        <v>510</v>
      </c>
      <c r="P289" s="19" t="s">
        <v>815</v>
      </c>
      <c r="Q289" t="s">
        <v>542</v>
      </c>
      <c r="R289" t="str">
        <f t="shared" ca="1" si="4"/>
        <v>À venir</v>
      </c>
    </row>
    <row r="290" spans="1:18" ht="15.6" customHeight="1">
      <c r="A290" s="15" t="s">
        <v>827</v>
      </c>
      <c r="B290" s="15" t="s">
        <v>201</v>
      </c>
      <c r="C290" s="15" t="s">
        <v>202</v>
      </c>
      <c r="D290" s="15" t="s">
        <v>814</v>
      </c>
      <c r="E290" s="15">
        <v>2026</v>
      </c>
      <c r="F290" s="15" t="s">
        <v>508</v>
      </c>
      <c r="G290" s="15" t="s">
        <v>204</v>
      </c>
      <c r="H290" s="16">
        <v>46377</v>
      </c>
      <c r="I290" s="16">
        <v>46387</v>
      </c>
      <c r="J290" s="16">
        <v>46391</v>
      </c>
      <c r="K290" s="15"/>
      <c r="L290" s="16">
        <v>46385</v>
      </c>
      <c r="M290" s="15"/>
      <c r="N290" s="15" t="s">
        <v>540</v>
      </c>
      <c r="O290" s="15" t="s">
        <v>510</v>
      </c>
      <c r="P290" s="19" t="s">
        <v>815</v>
      </c>
      <c r="Q290" s="15" t="s">
        <v>542</v>
      </c>
      <c r="R290" s="15" t="str">
        <f t="shared" ca="1" si="4"/>
        <v>À venir</v>
      </c>
    </row>
    <row r="291" spans="1:18" ht="15.6" customHeight="1">
      <c r="A291" t="s">
        <v>828</v>
      </c>
      <c r="B291" t="s">
        <v>201</v>
      </c>
      <c r="C291" t="s">
        <v>202</v>
      </c>
      <c r="D291" t="s">
        <v>814</v>
      </c>
      <c r="E291">
        <v>2026</v>
      </c>
      <c r="F291" t="s">
        <v>526</v>
      </c>
      <c r="G291" t="s">
        <v>154</v>
      </c>
      <c r="H291" s="1">
        <v>46082</v>
      </c>
      <c r="I291" s="1">
        <v>46112</v>
      </c>
      <c r="J291" s="1">
        <v>46112</v>
      </c>
      <c r="M291" t="s">
        <v>829</v>
      </c>
      <c r="N291" t="s">
        <v>540</v>
      </c>
      <c r="O291" t="s">
        <v>510</v>
      </c>
      <c r="P291" s="19" t="s">
        <v>815</v>
      </c>
      <c r="Q291" t="s">
        <v>542</v>
      </c>
      <c r="R291" t="str">
        <f t="shared" ca="1" si="4"/>
        <v>Passée</v>
      </c>
    </row>
    <row r="292" spans="1:18" ht="15.6" customHeight="1">
      <c r="A292" s="15" t="s">
        <v>830</v>
      </c>
      <c r="B292" s="15" t="s">
        <v>201</v>
      </c>
      <c r="C292" s="15" t="s">
        <v>202</v>
      </c>
      <c r="D292" s="15" t="s">
        <v>814</v>
      </c>
      <c r="E292" s="15">
        <v>2026</v>
      </c>
      <c r="F292" s="15" t="s">
        <v>526</v>
      </c>
      <c r="G292" s="15" t="s">
        <v>157</v>
      </c>
      <c r="H292" s="16">
        <v>46173</v>
      </c>
      <c r="I292" s="16">
        <v>46203</v>
      </c>
      <c r="J292" s="16">
        <v>46203</v>
      </c>
      <c r="K292" s="15"/>
      <c r="L292" s="15"/>
      <c r="M292" s="15" t="s">
        <v>829</v>
      </c>
      <c r="N292" s="15" t="s">
        <v>540</v>
      </c>
      <c r="O292" s="15" t="s">
        <v>510</v>
      </c>
      <c r="P292" s="19" t="s">
        <v>815</v>
      </c>
      <c r="Q292" s="15" t="s">
        <v>542</v>
      </c>
      <c r="R292" s="15" t="str">
        <f t="shared" ca="1" si="4"/>
        <v>Passée</v>
      </c>
    </row>
    <row r="293" spans="1:18" ht="15.6" customHeight="1">
      <c r="A293" t="s">
        <v>831</v>
      </c>
      <c r="B293" t="s">
        <v>201</v>
      </c>
      <c r="C293" t="s">
        <v>202</v>
      </c>
      <c r="D293" t="s">
        <v>814</v>
      </c>
      <c r="E293">
        <v>2026</v>
      </c>
      <c r="F293" t="s">
        <v>526</v>
      </c>
      <c r="G293" t="s">
        <v>160</v>
      </c>
      <c r="H293" s="1">
        <v>46265</v>
      </c>
      <c r="I293" s="1">
        <v>46295</v>
      </c>
      <c r="J293" s="1">
        <v>46295</v>
      </c>
      <c r="M293" t="s">
        <v>829</v>
      </c>
      <c r="N293" t="s">
        <v>540</v>
      </c>
      <c r="O293" t="s">
        <v>510</v>
      </c>
      <c r="P293" s="19" t="s">
        <v>815</v>
      </c>
      <c r="Q293" t="s">
        <v>542</v>
      </c>
      <c r="R293" t="str">
        <f t="shared" ca="1" si="4"/>
        <v>Passée</v>
      </c>
    </row>
    <row r="294" spans="1:18" ht="15.6" customHeight="1">
      <c r="A294" s="15" t="s">
        <v>832</v>
      </c>
      <c r="B294" s="15" t="s">
        <v>201</v>
      </c>
      <c r="C294" s="15" t="s">
        <v>202</v>
      </c>
      <c r="D294" s="15" t="s">
        <v>814</v>
      </c>
      <c r="E294" s="15">
        <v>2026</v>
      </c>
      <c r="F294" s="15" t="s">
        <v>526</v>
      </c>
      <c r="G294" s="15" t="s">
        <v>163</v>
      </c>
      <c r="H294" s="16">
        <v>46357</v>
      </c>
      <c r="I294" s="16">
        <v>46387</v>
      </c>
      <c r="J294" s="16">
        <v>46387</v>
      </c>
      <c r="K294" s="15"/>
      <c r="L294" s="15"/>
      <c r="M294" s="15" t="s">
        <v>829</v>
      </c>
      <c r="N294" s="15" t="s">
        <v>540</v>
      </c>
      <c r="O294" s="15" t="s">
        <v>510</v>
      </c>
      <c r="P294" s="19" t="s">
        <v>815</v>
      </c>
      <c r="Q294" s="15" t="s">
        <v>542</v>
      </c>
      <c r="R294" s="15" t="str">
        <f t="shared" ca="1" si="4"/>
        <v>À venir</v>
      </c>
    </row>
    <row r="295" spans="1:18" ht="15.6" customHeight="1">
      <c r="A295" t="s">
        <v>833</v>
      </c>
      <c r="B295" t="s">
        <v>352</v>
      </c>
      <c r="C295" t="s">
        <v>353</v>
      </c>
      <c r="D295" t="s">
        <v>814</v>
      </c>
      <c r="E295">
        <v>2026</v>
      </c>
      <c r="F295" t="s">
        <v>508</v>
      </c>
      <c r="G295" t="s">
        <v>152</v>
      </c>
      <c r="H295" s="1">
        <v>46009</v>
      </c>
      <c r="I295" s="1">
        <v>46022</v>
      </c>
      <c r="J295" s="1">
        <v>46024</v>
      </c>
      <c r="L295" s="1">
        <v>46020</v>
      </c>
      <c r="N295" t="s">
        <v>540</v>
      </c>
      <c r="O295" t="s">
        <v>510</v>
      </c>
      <c r="P295" s="19" t="s">
        <v>815</v>
      </c>
      <c r="Q295" t="s">
        <v>542</v>
      </c>
      <c r="R295" t="str">
        <f t="shared" ca="1" si="4"/>
        <v>Passée</v>
      </c>
    </row>
    <row r="296" spans="1:18" ht="15.6" customHeight="1">
      <c r="A296" s="15" t="s">
        <v>834</v>
      </c>
      <c r="B296" s="15" t="s">
        <v>352</v>
      </c>
      <c r="C296" s="15" t="s">
        <v>353</v>
      </c>
      <c r="D296" s="15" t="s">
        <v>814</v>
      </c>
      <c r="E296" s="15">
        <v>2026</v>
      </c>
      <c r="F296" s="15" t="s">
        <v>508</v>
      </c>
      <c r="G296" s="15" t="s">
        <v>153</v>
      </c>
      <c r="H296" s="16">
        <v>46044</v>
      </c>
      <c r="I296" s="16">
        <v>46053</v>
      </c>
      <c r="J296" s="16">
        <v>46055</v>
      </c>
      <c r="K296" s="15"/>
      <c r="L296" s="16">
        <v>46050</v>
      </c>
      <c r="M296" s="15"/>
      <c r="N296" s="15" t="s">
        <v>540</v>
      </c>
      <c r="O296" s="15" t="s">
        <v>510</v>
      </c>
      <c r="P296" s="19" t="s">
        <v>815</v>
      </c>
      <c r="Q296" s="15" t="s">
        <v>542</v>
      </c>
      <c r="R296" s="15" t="str">
        <f t="shared" ca="1" si="4"/>
        <v>Passée</v>
      </c>
    </row>
    <row r="297" spans="1:18" ht="15.6" customHeight="1">
      <c r="A297" t="s">
        <v>835</v>
      </c>
      <c r="B297" t="s">
        <v>352</v>
      </c>
      <c r="C297" t="s">
        <v>353</v>
      </c>
      <c r="D297" t="s">
        <v>814</v>
      </c>
      <c r="E297">
        <v>2026</v>
      </c>
      <c r="F297" t="s">
        <v>508</v>
      </c>
      <c r="G297" t="s">
        <v>154</v>
      </c>
      <c r="H297" s="1">
        <v>46072</v>
      </c>
      <c r="I297" s="1">
        <v>46081</v>
      </c>
      <c r="J297" s="1">
        <v>46083</v>
      </c>
      <c r="L297" s="1">
        <v>46078</v>
      </c>
      <c r="N297" t="s">
        <v>540</v>
      </c>
      <c r="O297" t="s">
        <v>510</v>
      </c>
      <c r="P297" s="19" t="s">
        <v>815</v>
      </c>
      <c r="Q297" t="s">
        <v>542</v>
      </c>
      <c r="R297" t="str">
        <f t="shared" ca="1" si="4"/>
        <v>Passée</v>
      </c>
    </row>
    <row r="298" spans="1:18" ht="15.6" customHeight="1">
      <c r="A298" s="15" t="s">
        <v>836</v>
      </c>
      <c r="B298" s="15" t="s">
        <v>352</v>
      </c>
      <c r="C298" s="15" t="s">
        <v>353</v>
      </c>
      <c r="D298" s="15" t="s">
        <v>814</v>
      </c>
      <c r="E298" s="15">
        <v>2026</v>
      </c>
      <c r="F298" s="15" t="s">
        <v>508</v>
      </c>
      <c r="G298" s="15" t="s">
        <v>155</v>
      </c>
      <c r="H298" s="16">
        <v>46101</v>
      </c>
      <c r="I298" s="16">
        <v>46112</v>
      </c>
      <c r="J298" s="16">
        <v>46113</v>
      </c>
      <c r="K298" s="15"/>
      <c r="L298" s="16">
        <v>46108</v>
      </c>
      <c r="M298" s="15"/>
      <c r="N298" s="15" t="s">
        <v>540</v>
      </c>
      <c r="O298" s="15" t="s">
        <v>510</v>
      </c>
      <c r="P298" s="19" t="s">
        <v>815</v>
      </c>
      <c r="Q298" s="15" t="s">
        <v>542</v>
      </c>
      <c r="R298" s="15" t="str">
        <f t="shared" ca="1" si="4"/>
        <v>Passée</v>
      </c>
    </row>
    <row r="299" spans="1:18" ht="15.6" customHeight="1">
      <c r="A299" t="s">
        <v>837</v>
      </c>
      <c r="B299" t="s">
        <v>352</v>
      </c>
      <c r="C299" t="s">
        <v>353</v>
      </c>
      <c r="D299" t="s">
        <v>814</v>
      </c>
      <c r="E299">
        <v>2026</v>
      </c>
      <c r="F299" t="s">
        <v>508</v>
      </c>
      <c r="G299" t="s">
        <v>156</v>
      </c>
      <c r="H299" s="1">
        <v>46133</v>
      </c>
      <c r="I299" s="1">
        <v>46142</v>
      </c>
      <c r="J299" s="1">
        <v>46146</v>
      </c>
      <c r="L299" s="1">
        <v>46140</v>
      </c>
      <c r="N299" t="s">
        <v>540</v>
      </c>
      <c r="O299" t="s">
        <v>510</v>
      </c>
      <c r="P299" s="19" t="s">
        <v>815</v>
      </c>
      <c r="Q299" t="s">
        <v>542</v>
      </c>
      <c r="R299" t="str">
        <f t="shared" ca="1" si="4"/>
        <v>Passée</v>
      </c>
    </row>
    <row r="300" spans="1:18" ht="15.6" customHeight="1">
      <c r="A300" s="15" t="s">
        <v>838</v>
      </c>
      <c r="B300" s="15" t="s">
        <v>352</v>
      </c>
      <c r="C300" s="15" t="s">
        <v>353</v>
      </c>
      <c r="D300" s="15" t="s">
        <v>814</v>
      </c>
      <c r="E300" s="15">
        <v>2026</v>
      </c>
      <c r="F300" s="15" t="s">
        <v>508</v>
      </c>
      <c r="G300" s="15" t="s">
        <v>157</v>
      </c>
      <c r="H300" s="16">
        <v>46162</v>
      </c>
      <c r="I300" s="16">
        <v>46173</v>
      </c>
      <c r="J300" s="16">
        <v>46174</v>
      </c>
      <c r="K300" s="15"/>
      <c r="L300" s="16">
        <v>46169</v>
      </c>
      <c r="M300" s="15"/>
      <c r="N300" s="15" t="s">
        <v>540</v>
      </c>
      <c r="O300" s="15" t="s">
        <v>510</v>
      </c>
      <c r="P300" s="19" t="s">
        <v>815</v>
      </c>
      <c r="Q300" s="15" t="s">
        <v>542</v>
      </c>
      <c r="R300" s="15" t="str">
        <f t="shared" ca="1" si="4"/>
        <v>Passée</v>
      </c>
    </row>
    <row r="301" spans="1:18" ht="15.6" customHeight="1">
      <c r="A301" t="s">
        <v>839</v>
      </c>
      <c r="B301" t="s">
        <v>352</v>
      </c>
      <c r="C301" t="s">
        <v>353</v>
      </c>
      <c r="D301" t="s">
        <v>814</v>
      </c>
      <c r="E301">
        <v>2026</v>
      </c>
      <c r="F301" t="s">
        <v>508</v>
      </c>
      <c r="G301" t="s">
        <v>158</v>
      </c>
      <c r="H301" s="1">
        <v>46191</v>
      </c>
      <c r="I301" s="1">
        <v>46203</v>
      </c>
      <c r="J301" s="1">
        <v>46204</v>
      </c>
      <c r="L301" s="1">
        <v>46199</v>
      </c>
      <c r="N301" t="s">
        <v>540</v>
      </c>
      <c r="O301" t="s">
        <v>510</v>
      </c>
      <c r="P301" s="19" t="s">
        <v>815</v>
      </c>
      <c r="Q301" t="s">
        <v>542</v>
      </c>
      <c r="R301" t="str">
        <f t="shared" ca="1" si="4"/>
        <v>Passée</v>
      </c>
    </row>
    <row r="302" spans="1:18" ht="15.6" customHeight="1">
      <c r="A302" s="15" t="s">
        <v>840</v>
      </c>
      <c r="B302" s="15" t="s">
        <v>352</v>
      </c>
      <c r="C302" s="15" t="s">
        <v>353</v>
      </c>
      <c r="D302" s="15" t="s">
        <v>814</v>
      </c>
      <c r="E302" s="15">
        <v>2026</v>
      </c>
      <c r="F302" s="15" t="s">
        <v>508</v>
      </c>
      <c r="G302" s="15" t="s">
        <v>159</v>
      </c>
      <c r="H302" s="16">
        <v>46225</v>
      </c>
      <c r="I302" s="16">
        <v>46234</v>
      </c>
      <c r="J302" s="16">
        <v>46237</v>
      </c>
      <c r="K302" s="15"/>
      <c r="L302" s="16">
        <v>46232</v>
      </c>
      <c r="M302" s="15"/>
      <c r="N302" s="15" t="s">
        <v>540</v>
      </c>
      <c r="O302" s="15" t="s">
        <v>510</v>
      </c>
      <c r="P302" s="19" t="s">
        <v>815</v>
      </c>
      <c r="Q302" s="15" t="s">
        <v>542</v>
      </c>
      <c r="R302" s="15" t="str">
        <f t="shared" ca="1" si="4"/>
        <v>Passée</v>
      </c>
    </row>
    <row r="303" spans="1:18" ht="15.6" customHeight="1">
      <c r="A303" t="s">
        <v>841</v>
      </c>
      <c r="B303" t="s">
        <v>352</v>
      </c>
      <c r="C303" t="s">
        <v>353</v>
      </c>
      <c r="D303" t="s">
        <v>814</v>
      </c>
      <c r="E303">
        <v>2026</v>
      </c>
      <c r="F303" t="s">
        <v>508</v>
      </c>
      <c r="G303" t="s">
        <v>160</v>
      </c>
      <c r="H303" s="1">
        <v>46254</v>
      </c>
      <c r="I303" s="1">
        <v>46265</v>
      </c>
      <c r="J303" s="1">
        <v>46266</v>
      </c>
      <c r="L303" s="1">
        <v>46261</v>
      </c>
      <c r="N303" t="s">
        <v>540</v>
      </c>
      <c r="O303" t="s">
        <v>510</v>
      </c>
      <c r="P303" s="19" t="s">
        <v>815</v>
      </c>
      <c r="Q303" t="s">
        <v>542</v>
      </c>
      <c r="R303" t="str">
        <f t="shared" ca="1" si="4"/>
        <v>Passée</v>
      </c>
    </row>
    <row r="304" spans="1:18" ht="15.6" customHeight="1">
      <c r="A304" s="15" t="s">
        <v>842</v>
      </c>
      <c r="B304" s="15" t="s">
        <v>352</v>
      </c>
      <c r="C304" s="15" t="s">
        <v>353</v>
      </c>
      <c r="D304" s="15" t="s">
        <v>814</v>
      </c>
      <c r="E304" s="15">
        <v>2026</v>
      </c>
      <c r="F304" s="15" t="s">
        <v>508</v>
      </c>
      <c r="G304" s="15" t="s">
        <v>161</v>
      </c>
      <c r="H304" s="16">
        <v>46286</v>
      </c>
      <c r="I304" s="16">
        <v>46295</v>
      </c>
      <c r="J304" s="16">
        <v>46296</v>
      </c>
      <c r="K304" s="15"/>
      <c r="L304" s="16">
        <v>46293</v>
      </c>
      <c r="M304" s="15"/>
      <c r="N304" s="15" t="s">
        <v>540</v>
      </c>
      <c r="O304" s="15" t="s">
        <v>510</v>
      </c>
      <c r="P304" s="19" t="s">
        <v>815</v>
      </c>
      <c r="Q304" s="15" t="s">
        <v>542</v>
      </c>
      <c r="R304" s="15" t="str">
        <f t="shared" ca="1" si="4"/>
        <v>À venir</v>
      </c>
    </row>
    <row r="305" spans="1:18" ht="15.6" customHeight="1">
      <c r="A305" t="s">
        <v>843</v>
      </c>
      <c r="B305" t="s">
        <v>352</v>
      </c>
      <c r="C305" t="s">
        <v>353</v>
      </c>
      <c r="D305" t="s">
        <v>814</v>
      </c>
      <c r="E305">
        <v>2026</v>
      </c>
      <c r="F305" t="s">
        <v>508</v>
      </c>
      <c r="G305" t="s">
        <v>162</v>
      </c>
      <c r="H305" s="1">
        <v>46317</v>
      </c>
      <c r="I305" s="1">
        <v>46326</v>
      </c>
      <c r="J305" s="1">
        <v>46328</v>
      </c>
      <c r="L305" s="1">
        <v>46323</v>
      </c>
      <c r="N305" t="s">
        <v>540</v>
      </c>
      <c r="O305" t="s">
        <v>510</v>
      </c>
      <c r="P305" s="19" t="s">
        <v>815</v>
      </c>
      <c r="Q305" t="s">
        <v>542</v>
      </c>
      <c r="R305" t="str">
        <f t="shared" ca="1" si="4"/>
        <v>À venir</v>
      </c>
    </row>
    <row r="306" spans="1:18" ht="15.6" customHeight="1">
      <c r="A306" s="15" t="s">
        <v>844</v>
      </c>
      <c r="B306" s="15" t="s">
        <v>352</v>
      </c>
      <c r="C306" s="15" t="s">
        <v>353</v>
      </c>
      <c r="D306" s="15" t="s">
        <v>814</v>
      </c>
      <c r="E306" s="15">
        <v>2026</v>
      </c>
      <c r="F306" s="15" t="s">
        <v>508</v>
      </c>
      <c r="G306" s="15" t="s">
        <v>163</v>
      </c>
      <c r="H306" s="16">
        <v>46345</v>
      </c>
      <c r="I306" s="16">
        <v>46356</v>
      </c>
      <c r="J306" s="16">
        <v>46357</v>
      </c>
      <c r="K306" s="15"/>
      <c r="L306" s="16">
        <v>46352</v>
      </c>
      <c r="M306" s="15"/>
      <c r="N306" s="15" t="s">
        <v>540</v>
      </c>
      <c r="O306" s="15" t="s">
        <v>510</v>
      </c>
      <c r="P306" s="19" t="s">
        <v>815</v>
      </c>
      <c r="Q306" s="15" t="s">
        <v>542</v>
      </c>
      <c r="R306" s="15" t="str">
        <f t="shared" ca="1" si="4"/>
        <v>À venir</v>
      </c>
    </row>
    <row r="307" spans="1:18" ht="15.6" customHeight="1">
      <c r="A307" t="s">
        <v>845</v>
      </c>
      <c r="B307" t="s">
        <v>352</v>
      </c>
      <c r="C307" t="s">
        <v>353</v>
      </c>
      <c r="D307" t="s">
        <v>814</v>
      </c>
      <c r="E307">
        <v>2026</v>
      </c>
      <c r="F307" t="s">
        <v>508</v>
      </c>
      <c r="G307" t="s">
        <v>204</v>
      </c>
      <c r="H307" s="1">
        <v>46377</v>
      </c>
      <c r="I307" s="1">
        <v>46387</v>
      </c>
      <c r="J307" s="1">
        <v>46391</v>
      </c>
      <c r="L307" s="1">
        <v>46385</v>
      </c>
      <c r="N307" t="s">
        <v>540</v>
      </c>
      <c r="O307" t="s">
        <v>510</v>
      </c>
      <c r="P307" s="19" t="s">
        <v>815</v>
      </c>
      <c r="Q307" t="s">
        <v>542</v>
      </c>
      <c r="R307" t="str">
        <f t="shared" ca="1" si="4"/>
        <v>À venir</v>
      </c>
    </row>
    <row r="308" spans="1:18" ht="15.6" customHeight="1">
      <c r="A308" s="15" t="s">
        <v>846</v>
      </c>
      <c r="B308" s="15" t="s">
        <v>352</v>
      </c>
      <c r="C308" s="15" t="s">
        <v>353</v>
      </c>
      <c r="D308" s="15" t="s">
        <v>814</v>
      </c>
      <c r="E308" s="15">
        <v>2026</v>
      </c>
      <c r="F308" s="15" t="s">
        <v>526</v>
      </c>
      <c r="G308" s="15" t="s">
        <v>154</v>
      </c>
      <c r="H308" s="16">
        <v>46082</v>
      </c>
      <c r="I308" s="16">
        <v>46112</v>
      </c>
      <c r="J308" s="16">
        <v>46112</v>
      </c>
      <c r="K308" s="15"/>
      <c r="L308" s="15"/>
      <c r="M308" s="15" t="s">
        <v>829</v>
      </c>
      <c r="N308" s="15" t="s">
        <v>540</v>
      </c>
      <c r="O308" s="15" t="s">
        <v>510</v>
      </c>
      <c r="P308" s="19" t="s">
        <v>815</v>
      </c>
      <c r="Q308" s="15" t="s">
        <v>542</v>
      </c>
      <c r="R308" s="15" t="str">
        <f t="shared" ca="1" si="4"/>
        <v>Passée</v>
      </c>
    </row>
    <row r="309" spans="1:18" ht="15.6" customHeight="1">
      <c r="A309" t="s">
        <v>847</v>
      </c>
      <c r="B309" t="s">
        <v>352</v>
      </c>
      <c r="C309" t="s">
        <v>353</v>
      </c>
      <c r="D309" t="s">
        <v>814</v>
      </c>
      <c r="E309">
        <v>2026</v>
      </c>
      <c r="F309" t="s">
        <v>526</v>
      </c>
      <c r="G309" t="s">
        <v>157</v>
      </c>
      <c r="H309" s="1">
        <v>46173</v>
      </c>
      <c r="I309" s="1">
        <v>46203</v>
      </c>
      <c r="J309" s="1">
        <v>46203</v>
      </c>
      <c r="M309" t="s">
        <v>829</v>
      </c>
      <c r="N309" t="s">
        <v>540</v>
      </c>
      <c r="O309" t="s">
        <v>510</v>
      </c>
      <c r="P309" s="19" t="s">
        <v>815</v>
      </c>
      <c r="Q309" t="s">
        <v>542</v>
      </c>
      <c r="R309" t="str">
        <f t="shared" ca="1" si="4"/>
        <v>Passée</v>
      </c>
    </row>
    <row r="310" spans="1:18" ht="15.6" customHeight="1">
      <c r="A310" s="15" t="s">
        <v>848</v>
      </c>
      <c r="B310" s="15" t="s">
        <v>352</v>
      </c>
      <c r="C310" s="15" t="s">
        <v>353</v>
      </c>
      <c r="D310" s="15" t="s">
        <v>814</v>
      </c>
      <c r="E310" s="15">
        <v>2026</v>
      </c>
      <c r="F310" s="15" t="s">
        <v>526</v>
      </c>
      <c r="G310" s="15" t="s">
        <v>160</v>
      </c>
      <c r="H310" s="16">
        <v>46265</v>
      </c>
      <c r="I310" s="16">
        <v>46295</v>
      </c>
      <c r="J310" s="16">
        <v>46295</v>
      </c>
      <c r="K310" s="15"/>
      <c r="L310" s="15"/>
      <c r="M310" s="15" t="s">
        <v>829</v>
      </c>
      <c r="N310" s="15" t="s">
        <v>540</v>
      </c>
      <c r="O310" s="15" t="s">
        <v>510</v>
      </c>
      <c r="P310" s="19" t="s">
        <v>815</v>
      </c>
      <c r="Q310" s="15" t="s">
        <v>542</v>
      </c>
      <c r="R310" s="15" t="str">
        <f t="shared" ca="1" si="4"/>
        <v>Passée</v>
      </c>
    </row>
    <row r="311" spans="1:18" ht="15.6" customHeight="1">
      <c r="A311" t="s">
        <v>849</v>
      </c>
      <c r="B311" t="s">
        <v>352</v>
      </c>
      <c r="C311" t="s">
        <v>353</v>
      </c>
      <c r="D311" t="s">
        <v>814</v>
      </c>
      <c r="E311">
        <v>2026</v>
      </c>
      <c r="F311" t="s">
        <v>526</v>
      </c>
      <c r="G311" t="s">
        <v>163</v>
      </c>
      <c r="H311" s="1">
        <v>46357</v>
      </c>
      <c r="I311" s="1">
        <v>46387</v>
      </c>
      <c r="J311" s="1">
        <v>46387</v>
      </c>
      <c r="M311" t="s">
        <v>829</v>
      </c>
      <c r="N311" t="s">
        <v>540</v>
      </c>
      <c r="O311" t="s">
        <v>510</v>
      </c>
      <c r="P311" s="19" t="s">
        <v>815</v>
      </c>
      <c r="Q311" t="s">
        <v>542</v>
      </c>
      <c r="R311" t="str">
        <f t="shared" ca="1" si="4"/>
        <v>À venir</v>
      </c>
    </row>
    <row r="312" spans="1:18" ht="15.6" customHeight="1">
      <c r="A312" s="15" t="s">
        <v>850</v>
      </c>
      <c r="B312" s="15" t="s">
        <v>337</v>
      </c>
      <c r="C312" s="15" t="s">
        <v>338</v>
      </c>
      <c r="D312" s="15" t="s">
        <v>851</v>
      </c>
      <c r="E312" s="15">
        <v>2026</v>
      </c>
      <c r="F312" s="15" t="s">
        <v>508</v>
      </c>
      <c r="G312" s="15" t="s">
        <v>151</v>
      </c>
      <c r="H312" s="16">
        <v>46013</v>
      </c>
      <c r="I312" s="16">
        <v>46022</v>
      </c>
      <c r="J312" s="16">
        <v>46022</v>
      </c>
      <c r="K312" s="15"/>
      <c r="L312" s="16">
        <v>46015</v>
      </c>
      <c r="M312" s="15" t="s">
        <v>852</v>
      </c>
      <c r="N312" s="15" t="s">
        <v>540</v>
      </c>
      <c r="O312" s="15" t="s">
        <v>510</v>
      </c>
      <c r="P312" s="19" t="s">
        <v>853</v>
      </c>
      <c r="Q312" s="15" t="s">
        <v>542</v>
      </c>
      <c r="R312" s="15" t="str">
        <f t="shared" ca="1" si="4"/>
        <v>Passée</v>
      </c>
    </row>
    <row r="313" spans="1:18" ht="15.6" customHeight="1">
      <c r="A313" t="s">
        <v>854</v>
      </c>
      <c r="B313" t="s">
        <v>337</v>
      </c>
      <c r="C313" t="s">
        <v>338</v>
      </c>
      <c r="D313" t="s">
        <v>851</v>
      </c>
      <c r="E313">
        <v>2026</v>
      </c>
      <c r="F313" t="s">
        <v>508</v>
      </c>
      <c r="G313" t="s">
        <v>152</v>
      </c>
      <c r="H313" s="1">
        <v>46045</v>
      </c>
      <c r="I313" s="1">
        <v>46052</v>
      </c>
      <c r="J313" s="1">
        <v>46052</v>
      </c>
      <c r="L313" s="1">
        <v>46049</v>
      </c>
      <c r="M313" t="s">
        <v>855</v>
      </c>
      <c r="N313" t="s">
        <v>540</v>
      </c>
      <c r="O313" t="s">
        <v>510</v>
      </c>
      <c r="P313" s="19" t="s">
        <v>853</v>
      </c>
      <c r="Q313" t="s">
        <v>542</v>
      </c>
      <c r="R313" t="str">
        <f t="shared" ca="1" si="4"/>
        <v>Passée</v>
      </c>
    </row>
    <row r="314" spans="1:18" ht="15.6" customHeight="1">
      <c r="A314" s="15" t="s">
        <v>856</v>
      </c>
      <c r="B314" s="15" t="s">
        <v>337</v>
      </c>
      <c r="C314" s="15" t="s">
        <v>338</v>
      </c>
      <c r="D314" s="15" t="s">
        <v>851</v>
      </c>
      <c r="E314" s="15">
        <v>2026</v>
      </c>
      <c r="F314" s="15" t="s">
        <v>508</v>
      </c>
      <c r="G314" s="15" t="s">
        <v>153</v>
      </c>
      <c r="H314" s="16">
        <v>46073</v>
      </c>
      <c r="I314" s="16">
        <v>46080</v>
      </c>
      <c r="J314" s="16">
        <v>46080</v>
      </c>
      <c r="K314" s="15"/>
      <c r="L314" s="16">
        <v>46077</v>
      </c>
      <c r="M314" s="15" t="s">
        <v>857</v>
      </c>
      <c r="N314" s="15" t="s">
        <v>540</v>
      </c>
      <c r="O314" s="15" t="s">
        <v>510</v>
      </c>
      <c r="P314" s="19" t="s">
        <v>853</v>
      </c>
      <c r="Q314" s="15" t="s">
        <v>542</v>
      </c>
      <c r="R314" s="15" t="str">
        <f t="shared" ca="1" si="4"/>
        <v>Passée</v>
      </c>
    </row>
    <row r="315" spans="1:18" ht="15.6" customHeight="1">
      <c r="A315" t="s">
        <v>858</v>
      </c>
      <c r="B315" t="s">
        <v>337</v>
      </c>
      <c r="C315" t="s">
        <v>338</v>
      </c>
      <c r="D315" t="s">
        <v>851</v>
      </c>
      <c r="E315">
        <v>2026</v>
      </c>
      <c r="F315" t="s">
        <v>508</v>
      </c>
      <c r="G315" t="s">
        <v>154</v>
      </c>
      <c r="H315" s="1">
        <v>46105</v>
      </c>
      <c r="I315" s="1">
        <v>46112</v>
      </c>
      <c r="J315" s="1">
        <v>46112</v>
      </c>
      <c r="L315" s="1">
        <v>46107</v>
      </c>
      <c r="M315" t="s">
        <v>859</v>
      </c>
      <c r="N315" t="s">
        <v>540</v>
      </c>
      <c r="O315" t="s">
        <v>510</v>
      </c>
      <c r="P315" s="19" t="s">
        <v>853</v>
      </c>
      <c r="Q315" t="s">
        <v>542</v>
      </c>
      <c r="R315" t="str">
        <f t="shared" ca="1" si="4"/>
        <v>Passée</v>
      </c>
    </row>
    <row r="316" spans="1:18" ht="15.6" customHeight="1">
      <c r="A316" s="15" t="s">
        <v>860</v>
      </c>
      <c r="B316" s="15" t="s">
        <v>337</v>
      </c>
      <c r="C316" s="15" t="s">
        <v>338</v>
      </c>
      <c r="D316" s="15" t="s">
        <v>851</v>
      </c>
      <c r="E316" s="15">
        <v>2026</v>
      </c>
      <c r="F316" s="15" t="s">
        <v>508</v>
      </c>
      <c r="G316" s="15" t="s">
        <v>155</v>
      </c>
      <c r="H316" s="16">
        <v>46135</v>
      </c>
      <c r="I316" s="16">
        <v>46142</v>
      </c>
      <c r="J316" s="16">
        <v>46142</v>
      </c>
      <c r="K316" s="15"/>
      <c r="L316" s="16">
        <v>46139</v>
      </c>
      <c r="M316" s="15" t="s">
        <v>861</v>
      </c>
      <c r="N316" s="15" t="s">
        <v>540</v>
      </c>
      <c r="O316" s="15" t="s">
        <v>510</v>
      </c>
      <c r="P316" s="19" t="s">
        <v>853</v>
      </c>
      <c r="Q316" s="15" t="s">
        <v>542</v>
      </c>
      <c r="R316" s="15" t="str">
        <f t="shared" ca="1" si="4"/>
        <v>Passée</v>
      </c>
    </row>
    <row r="317" spans="1:18" ht="15.6" customHeight="1">
      <c r="A317" t="s">
        <v>862</v>
      </c>
      <c r="B317" t="s">
        <v>337</v>
      </c>
      <c r="C317" t="s">
        <v>338</v>
      </c>
      <c r="D317" t="s">
        <v>851</v>
      </c>
      <c r="E317">
        <v>2026</v>
      </c>
      <c r="F317" t="s">
        <v>508</v>
      </c>
      <c r="G317" t="s">
        <v>156</v>
      </c>
      <c r="H317" s="1">
        <v>46163</v>
      </c>
      <c r="I317" s="1">
        <v>46171</v>
      </c>
      <c r="J317" s="1">
        <v>46171</v>
      </c>
      <c r="L317" s="1">
        <v>46168</v>
      </c>
      <c r="M317" t="s">
        <v>863</v>
      </c>
      <c r="N317" t="s">
        <v>540</v>
      </c>
      <c r="O317" t="s">
        <v>510</v>
      </c>
      <c r="P317" s="19" t="s">
        <v>853</v>
      </c>
      <c r="Q317" t="s">
        <v>542</v>
      </c>
      <c r="R317" t="str">
        <f t="shared" ca="1" si="4"/>
        <v>Passée</v>
      </c>
    </row>
    <row r="318" spans="1:18" ht="15.6" customHeight="1">
      <c r="A318" s="15" t="s">
        <v>864</v>
      </c>
      <c r="B318" s="15" t="s">
        <v>337</v>
      </c>
      <c r="C318" s="15" t="s">
        <v>338</v>
      </c>
      <c r="D318" s="15" t="s">
        <v>851</v>
      </c>
      <c r="E318" s="15">
        <v>2026</v>
      </c>
      <c r="F318" s="15" t="s">
        <v>508</v>
      </c>
      <c r="G318" s="15" t="s">
        <v>157</v>
      </c>
      <c r="H318" s="16">
        <v>46196</v>
      </c>
      <c r="I318" s="16">
        <v>46203</v>
      </c>
      <c r="J318" s="16">
        <v>46203</v>
      </c>
      <c r="K318" s="15"/>
      <c r="L318" s="16">
        <v>46198</v>
      </c>
      <c r="M318" s="15" t="s">
        <v>865</v>
      </c>
      <c r="N318" s="15" t="s">
        <v>540</v>
      </c>
      <c r="O318" s="15" t="s">
        <v>510</v>
      </c>
      <c r="P318" s="19" t="s">
        <v>853</v>
      </c>
      <c r="Q318" s="15" t="s">
        <v>542</v>
      </c>
      <c r="R318" s="15" t="str">
        <f t="shared" ca="1" si="4"/>
        <v>Passée</v>
      </c>
    </row>
    <row r="319" spans="1:18" ht="15.6" customHeight="1">
      <c r="A319" t="s">
        <v>866</v>
      </c>
      <c r="B319" t="s">
        <v>337</v>
      </c>
      <c r="C319" t="s">
        <v>338</v>
      </c>
      <c r="D319" t="s">
        <v>851</v>
      </c>
      <c r="E319">
        <v>2026</v>
      </c>
      <c r="F319" t="s">
        <v>508</v>
      </c>
      <c r="G319" t="s">
        <v>158</v>
      </c>
      <c r="H319" s="1">
        <v>46227</v>
      </c>
      <c r="I319" s="1">
        <v>46234</v>
      </c>
      <c r="J319" s="1">
        <v>46234</v>
      </c>
      <c r="L319" s="1">
        <v>46231</v>
      </c>
      <c r="M319" t="s">
        <v>867</v>
      </c>
      <c r="N319" t="s">
        <v>540</v>
      </c>
      <c r="O319" t="s">
        <v>510</v>
      </c>
      <c r="P319" s="19" t="s">
        <v>853</v>
      </c>
      <c r="Q319" t="s">
        <v>542</v>
      </c>
      <c r="R319" t="str">
        <f t="shared" ca="1" si="4"/>
        <v>Passée</v>
      </c>
    </row>
    <row r="320" spans="1:18" ht="15.6" customHeight="1">
      <c r="A320" s="15" t="s">
        <v>868</v>
      </c>
      <c r="B320" s="15" t="s">
        <v>337</v>
      </c>
      <c r="C320" s="15" t="s">
        <v>338</v>
      </c>
      <c r="D320" s="15" t="s">
        <v>851</v>
      </c>
      <c r="E320" s="15">
        <v>2026</v>
      </c>
      <c r="F320" s="15" t="s">
        <v>508</v>
      </c>
      <c r="G320" s="15" t="s">
        <v>159</v>
      </c>
      <c r="H320" s="16">
        <v>46255</v>
      </c>
      <c r="I320" s="16">
        <v>46262</v>
      </c>
      <c r="J320" s="16">
        <v>46262</v>
      </c>
      <c r="K320" s="15"/>
      <c r="L320" s="16">
        <v>46259</v>
      </c>
      <c r="M320" s="15" t="s">
        <v>869</v>
      </c>
      <c r="N320" s="15" t="s">
        <v>540</v>
      </c>
      <c r="O320" s="15" t="s">
        <v>510</v>
      </c>
      <c r="P320" s="19" t="s">
        <v>853</v>
      </c>
      <c r="Q320" s="15" t="s">
        <v>542</v>
      </c>
      <c r="R320" s="15" t="str">
        <f t="shared" ca="1" si="4"/>
        <v>Passée</v>
      </c>
    </row>
    <row r="321" spans="1:18" ht="15.6" customHeight="1">
      <c r="A321" t="s">
        <v>870</v>
      </c>
      <c r="B321" t="s">
        <v>337</v>
      </c>
      <c r="C321" t="s">
        <v>338</v>
      </c>
      <c r="D321" t="s">
        <v>851</v>
      </c>
      <c r="E321">
        <v>2026</v>
      </c>
      <c r="F321" t="s">
        <v>508</v>
      </c>
      <c r="G321" t="s">
        <v>160</v>
      </c>
      <c r="H321" s="1">
        <v>46288</v>
      </c>
      <c r="I321" s="1">
        <v>46295</v>
      </c>
      <c r="J321" s="1">
        <v>46295</v>
      </c>
      <c r="L321" s="1">
        <v>46290</v>
      </c>
      <c r="M321" t="s">
        <v>871</v>
      </c>
      <c r="N321" t="s">
        <v>540</v>
      </c>
      <c r="O321" t="s">
        <v>510</v>
      </c>
      <c r="P321" s="19" t="s">
        <v>853</v>
      </c>
      <c r="Q321" t="s">
        <v>542</v>
      </c>
      <c r="R321" t="str">
        <f t="shared" ca="1" si="4"/>
        <v>À venir</v>
      </c>
    </row>
    <row r="322" spans="1:18" ht="15.6" customHeight="1">
      <c r="A322" s="15" t="s">
        <v>872</v>
      </c>
      <c r="B322" s="15" t="s">
        <v>337</v>
      </c>
      <c r="C322" s="15" t="s">
        <v>338</v>
      </c>
      <c r="D322" s="15" t="s">
        <v>851</v>
      </c>
      <c r="E322" s="15">
        <v>2026</v>
      </c>
      <c r="F322" s="15" t="s">
        <v>508</v>
      </c>
      <c r="G322" s="15" t="s">
        <v>161</v>
      </c>
      <c r="H322" s="16">
        <v>46318</v>
      </c>
      <c r="I322" s="16">
        <v>46325</v>
      </c>
      <c r="J322" s="16">
        <v>46325</v>
      </c>
      <c r="K322" s="15"/>
      <c r="L322" s="16">
        <v>46322</v>
      </c>
      <c r="M322" s="15" t="s">
        <v>873</v>
      </c>
      <c r="N322" s="15" t="s">
        <v>540</v>
      </c>
      <c r="O322" s="15" t="s">
        <v>510</v>
      </c>
      <c r="P322" s="19" t="s">
        <v>853</v>
      </c>
      <c r="Q322" s="15" t="s">
        <v>542</v>
      </c>
      <c r="R322" s="15" t="str">
        <f t="shared" ref="R322:R385" ca="1" si="5">IF(H322&gt;=TODAY(),"À venir","Passée")</f>
        <v>À venir</v>
      </c>
    </row>
    <row r="323" spans="1:18" ht="15.6" customHeight="1">
      <c r="A323" t="s">
        <v>874</v>
      </c>
      <c r="B323" t="s">
        <v>337</v>
      </c>
      <c r="C323" t="s">
        <v>338</v>
      </c>
      <c r="D323" t="s">
        <v>851</v>
      </c>
      <c r="E323">
        <v>2026</v>
      </c>
      <c r="F323" t="s">
        <v>508</v>
      </c>
      <c r="G323" t="s">
        <v>162</v>
      </c>
      <c r="H323" s="1">
        <v>46346</v>
      </c>
      <c r="I323" s="1">
        <v>46356</v>
      </c>
      <c r="J323" s="1">
        <v>46356</v>
      </c>
      <c r="L323" s="1">
        <v>46350</v>
      </c>
      <c r="M323" t="s">
        <v>875</v>
      </c>
      <c r="N323" t="s">
        <v>540</v>
      </c>
      <c r="O323" t="s">
        <v>510</v>
      </c>
      <c r="P323" s="19" t="s">
        <v>853</v>
      </c>
      <c r="Q323" t="s">
        <v>542</v>
      </c>
      <c r="R323" t="str">
        <f t="shared" ca="1" si="5"/>
        <v>À venir</v>
      </c>
    </row>
    <row r="324" spans="1:18" ht="15.6" customHeight="1">
      <c r="A324" s="15" t="s">
        <v>876</v>
      </c>
      <c r="B324" s="15" t="s">
        <v>337</v>
      </c>
      <c r="C324" s="15" t="s">
        <v>338</v>
      </c>
      <c r="D324" s="15" t="s">
        <v>851</v>
      </c>
      <c r="E324" s="15">
        <v>2026</v>
      </c>
      <c r="F324" s="15" t="s">
        <v>508</v>
      </c>
      <c r="G324" s="15" t="s">
        <v>163</v>
      </c>
      <c r="H324" s="16">
        <v>46378</v>
      </c>
      <c r="I324" s="16">
        <v>46387</v>
      </c>
      <c r="J324" s="16">
        <v>46387</v>
      </c>
      <c r="K324" s="15"/>
      <c r="L324" s="16">
        <v>46380</v>
      </c>
      <c r="M324" s="15" t="s">
        <v>877</v>
      </c>
      <c r="N324" s="15" t="s">
        <v>540</v>
      </c>
      <c r="O324" s="15" t="s">
        <v>510</v>
      </c>
      <c r="P324" s="19" t="s">
        <v>853</v>
      </c>
      <c r="Q324" s="15" t="s">
        <v>542</v>
      </c>
      <c r="R324" s="15" t="str">
        <f t="shared" ca="1" si="5"/>
        <v>À venir</v>
      </c>
    </row>
    <row r="325" spans="1:18" ht="15.6" customHeight="1">
      <c r="A325" t="s">
        <v>878</v>
      </c>
      <c r="B325" t="s">
        <v>337</v>
      </c>
      <c r="C325" t="s">
        <v>338</v>
      </c>
      <c r="D325" t="s">
        <v>851</v>
      </c>
      <c r="E325">
        <v>2026</v>
      </c>
      <c r="F325" t="s">
        <v>526</v>
      </c>
      <c r="G325" t="s">
        <v>154</v>
      </c>
      <c r="H325" s="1">
        <v>46084</v>
      </c>
      <c r="I325" s="1">
        <v>46112</v>
      </c>
      <c r="J325" s="1">
        <v>46112</v>
      </c>
      <c r="L325" s="1">
        <v>46156</v>
      </c>
      <c r="M325" t="s">
        <v>879</v>
      </c>
      <c r="N325" t="s">
        <v>540</v>
      </c>
      <c r="O325" t="s">
        <v>510</v>
      </c>
      <c r="P325" s="19" t="s">
        <v>853</v>
      </c>
      <c r="Q325" t="s">
        <v>542</v>
      </c>
      <c r="R325" t="str">
        <f t="shared" ca="1" si="5"/>
        <v>Passée</v>
      </c>
    </row>
    <row r="326" spans="1:18" ht="15.6" customHeight="1">
      <c r="A326" s="15" t="s">
        <v>880</v>
      </c>
      <c r="B326" s="15" t="s">
        <v>337</v>
      </c>
      <c r="C326" s="15" t="s">
        <v>338</v>
      </c>
      <c r="D326" s="15" t="s">
        <v>851</v>
      </c>
      <c r="E326" s="15">
        <v>2026</v>
      </c>
      <c r="F326" s="15" t="s">
        <v>526</v>
      </c>
      <c r="G326" s="15" t="s">
        <v>157</v>
      </c>
      <c r="H326" s="16">
        <v>46174</v>
      </c>
      <c r="I326" s="16">
        <v>46203</v>
      </c>
      <c r="J326" s="16">
        <v>46203</v>
      </c>
      <c r="K326" s="15"/>
      <c r="L326" s="16">
        <v>46244</v>
      </c>
      <c r="M326" s="15" t="s">
        <v>881</v>
      </c>
      <c r="N326" s="15" t="s">
        <v>540</v>
      </c>
      <c r="O326" s="15" t="s">
        <v>510</v>
      </c>
      <c r="P326" s="19" t="s">
        <v>853</v>
      </c>
      <c r="Q326" s="15" t="s">
        <v>542</v>
      </c>
      <c r="R326" s="15" t="str">
        <f t="shared" ca="1" si="5"/>
        <v>Passée</v>
      </c>
    </row>
    <row r="327" spans="1:18" ht="15.6" customHeight="1">
      <c r="A327" t="s">
        <v>882</v>
      </c>
      <c r="B327" t="s">
        <v>337</v>
      </c>
      <c r="C327" t="s">
        <v>338</v>
      </c>
      <c r="D327" t="s">
        <v>851</v>
      </c>
      <c r="E327">
        <v>2026</v>
      </c>
      <c r="F327" t="s">
        <v>526</v>
      </c>
      <c r="G327" t="s">
        <v>160</v>
      </c>
      <c r="H327" s="1">
        <v>46266</v>
      </c>
      <c r="I327" s="1">
        <v>46295</v>
      </c>
      <c r="J327" s="1">
        <v>46295</v>
      </c>
      <c r="L327" s="1">
        <v>46335</v>
      </c>
      <c r="M327" t="s">
        <v>883</v>
      </c>
      <c r="N327" t="s">
        <v>540</v>
      </c>
      <c r="O327" t="s">
        <v>510</v>
      </c>
      <c r="P327" s="19" t="s">
        <v>853</v>
      </c>
      <c r="Q327" t="s">
        <v>542</v>
      </c>
      <c r="R327" t="str">
        <f t="shared" ca="1" si="5"/>
        <v>À venir</v>
      </c>
    </row>
    <row r="328" spans="1:18" ht="15.6" customHeight="1">
      <c r="A328" s="15" t="s">
        <v>884</v>
      </c>
      <c r="B328" s="15" t="s">
        <v>337</v>
      </c>
      <c r="C328" s="15" t="s">
        <v>338</v>
      </c>
      <c r="D328" s="15" t="s">
        <v>851</v>
      </c>
      <c r="E328" s="15">
        <v>2026</v>
      </c>
      <c r="F328" s="15" t="s">
        <v>526</v>
      </c>
      <c r="G328" s="15" t="s">
        <v>163</v>
      </c>
      <c r="H328" s="16">
        <v>46357</v>
      </c>
      <c r="I328" s="16">
        <v>46387</v>
      </c>
      <c r="J328" s="16">
        <v>46387</v>
      </c>
      <c r="K328" s="15"/>
      <c r="L328" s="16">
        <v>46427</v>
      </c>
      <c r="M328" s="15" t="s">
        <v>885</v>
      </c>
      <c r="N328" s="15" t="s">
        <v>540</v>
      </c>
      <c r="O328" s="15" t="s">
        <v>510</v>
      </c>
      <c r="P328" s="19" t="s">
        <v>853</v>
      </c>
      <c r="Q328" s="15" t="s">
        <v>542</v>
      </c>
      <c r="R328" s="15" t="str">
        <f t="shared" ca="1" si="5"/>
        <v>À venir</v>
      </c>
    </row>
    <row r="329" spans="1:18" ht="15.6" customHeight="1">
      <c r="A329" t="s">
        <v>886</v>
      </c>
      <c r="B329" t="s">
        <v>378</v>
      </c>
      <c r="C329" t="s">
        <v>379</v>
      </c>
      <c r="D329" t="s">
        <v>887</v>
      </c>
      <c r="E329">
        <v>2026</v>
      </c>
      <c r="F329" t="s">
        <v>508</v>
      </c>
      <c r="G329" t="s">
        <v>152</v>
      </c>
      <c r="H329" s="1">
        <v>46010</v>
      </c>
      <c r="I329" s="1">
        <v>46022</v>
      </c>
      <c r="J329" s="1">
        <v>46023</v>
      </c>
      <c r="K329" s="1">
        <v>46052</v>
      </c>
      <c r="L329" s="1">
        <v>46015</v>
      </c>
      <c r="N329" t="s">
        <v>540</v>
      </c>
      <c r="O329" t="s">
        <v>510</v>
      </c>
      <c r="P329" s="19" t="s">
        <v>888</v>
      </c>
      <c r="Q329" t="s">
        <v>542</v>
      </c>
      <c r="R329" t="str">
        <f t="shared" ca="1" si="5"/>
        <v>Passée</v>
      </c>
    </row>
    <row r="330" spans="1:18" ht="15.6" customHeight="1">
      <c r="A330" s="15" t="s">
        <v>889</v>
      </c>
      <c r="B330" s="15" t="s">
        <v>378</v>
      </c>
      <c r="C330" s="15" t="s">
        <v>379</v>
      </c>
      <c r="D330" s="15" t="s">
        <v>887</v>
      </c>
      <c r="E330" s="15">
        <v>2026</v>
      </c>
      <c r="F330" s="15" t="s">
        <v>508</v>
      </c>
      <c r="G330" s="15" t="s">
        <v>153</v>
      </c>
      <c r="H330" s="16">
        <v>46045</v>
      </c>
      <c r="I330" s="16">
        <v>46053</v>
      </c>
      <c r="J330" s="16">
        <v>46054</v>
      </c>
      <c r="K330" s="16">
        <v>46084</v>
      </c>
      <c r="L330" s="16">
        <v>46050</v>
      </c>
      <c r="M330" s="15"/>
      <c r="N330" s="15" t="s">
        <v>540</v>
      </c>
      <c r="O330" s="15" t="s">
        <v>510</v>
      </c>
      <c r="P330" s="19" t="s">
        <v>888</v>
      </c>
      <c r="Q330" s="15" t="s">
        <v>542</v>
      </c>
      <c r="R330" s="15" t="str">
        <f t="shared" ca="1" si="5"/>
        <v>Passée</v>
      </c>
    </row>
    <row r="331" spans="1:18" ht="15.6" customHeight="1">
      <c r="A331" t="s">
        <v>890</v>
      </c>
      <c r="B331" t="s">
        <v>378</v>
      </c>
      <c r="C331" t="s">
        <v>379</v>
      </c>
      <c r="D331" t="s">
        <v>887</v>
      </c>
      <c r="E331">
        <v>2026</v>
      </c>
      <c r="F331" t="s">
        <v>508</v>
      </c>
      <c r="G331" t="s">
        <v>154</v>
      </c>
      <c r="H331" s="1">
        <v>46073</v>
      </c>
      <c r="I331" s="1">
        <v>46081</v>
      </c>
      <c r="J331" s="1">
        <v>46082</v>
      </c>
      <c r="K331" s="1">
        <v>46111</v>
      </c>
      <c r="L331" s="1">
        <v>46078</v>
      </c>
      <c r="N331" t="s">
        <v>540</v>
      </c>
      <c r="O331" t="s">
        <v>510</v>
      </c>
      <c r="P331" s="19" t="s">
        <v>888</v>
      </c>
      <c r="Q331" t="s">
        <v>542</v>
      </c>
      <c r="R331" t="str">
        <f t="shared" ca="1" si="5"/>
        <v>Passée</v>
      </c>
    </row>
    <row r="332" spans="1:18" ht="15.6" customHeight="1">
      <c r="A332" s="15" t="s">
        <v>891</v>
      </c>
      <c r="B332" s="15" t="s">
        <v>378</v>
      </c>
      <c r="C332" s="15" t="s">
        <v>379</v>
      </c>
      <c r="D332" s="15" t="s">
        <v>887</v>
      </c>
      <c r="E332" s="15">
        <v>2026</v>
      </c>
      <c r="F332" s="15" t="s">
        <v>508</v>
      </c>
      <c r="G332" s="15" t="s">
        <v>155</v>
      </c>
      <c r="H332" s="16">
        <v>46104</v>
      </c>
      <c r="I332" s="16">
        <v>46112</v>
      </c>
      <c r="J332" s="16">
        <v>46113</v>
      </c>
      <c r="K332" s="16">
        <v>46142</v>
      </c>
      <c r="L332" s="16">
        <v>46107</v>
      </c>
      <c r="M332" s="15"/>
      <c r="N332" s="15" t="s">
        <v>540</v>
      </c>
      <c r="O332" s="15" t="s">
        <v>510</v>
      </c>
      <c r="P332" s="19" t="s">
        <v>888</v>
      </c>
      <c r="Q332" s="15" t="s">
        <v>542</v>
      </c>
      <c r="R332" s="15" t="str">
        <f t="shared" ca="1" si="5"/>
        <v>Passée</v>
      </c>
    </row>
    <row r="333" spans="1:18" ht="15.6" customHeight="1">
      <c r="A333" t="s">
        <v>892</v>
      </c>
      <c r="B333" t="s">
        <v>378</v>
      </c>
      <c r="C333" t="s">
        <v>379</v>
      </c>
      <c r="D333" t="s">
        <v>887</v>
      </c>
      <c r="E333">
        <v>2026</v>
      </c>
      <c r="F333" t="s">
        <v>508</v>
      </c>
      <c r="G333" t="s">
        <v>156</v>
      </c>
      <c r="H333" s="1">
        <v>46134</v>
      </c>
      <c r="I333" s="1">
        <v>46142</v>
      </c>
      <c r="J333" s="1">
        <v>46143</v>
      </c>
      <c r="K333" s="1">
        <v>46177</v>
      </c>
      <c r="L333" s="1">
        <v>46139</v>
      </c>
      <c r="N333" t="s">
        <v>540</v>
      </c>
      <c r="O333" t="s">
        <v>510</v>
      </c>
      <c r="P333" s="19" t="s">
        <v>888</v>
      </c>
      <c r="Q333" t="s">
        <v>542</v>
      </c>
      <c r="R333" t="str">
        <f t="shared" ca="1" si="5"/>
        <v>Passée</v>
      </c>
    </row>
    <row r="334" spans="1:18" ht="15.6" customHeight="1">
      <c r="A334" s="15" t="s">
        <v>893</v>
      </c>
      <c r="B334" s="15" t="s">
        <v>378</v>
      </c>
      <c r="C334" s="15" t="s">
        <v>379</v>
      </c>
      <c r="D334" s="15" t="s">
        <v>887</v>
      </c>
      <c r="E334" s="15">
        <v>2026</v>
      </c>
      <c r="F334" s="15" t="s">
        <v>508</v>
      </c>
      <c r="G334" s="15" t="s">
        <v>157</v>
      </c>
      <c r="H334" s="16">
        <v>46163</v>
      </c>
      <c r="I334" s="16">
        <v>46173</v>
      </c>
      <c r="J334" s="16">
        <v>46174</v>
      </c>
      <c r="K334" s="16">
        <v>46204</v>
      </c>
      <c r="L334" s="16">
        <v>46169</v>
      </c>
      <c r="M334" s="15"/>
      <c r="N334" s="15" t="s">
        <v>540</v>
      </c>
      <c r="O334" s="15" t="s">
        <v>510</v>
      </c>
      <c r="P334" s="19" t="s">
        <v>888</v>
      </c>
      <c r="Q334" s="15" t="s">
        <v>542</v>
      </c>
      <c r="R334" s="15" t="str">
        <f t="shared" ca="1" si="5"/>
        <v>Passée</v>
      </c>
    </row>
    <row r="335" spans="1:18" ht="15.6" customHeight="1">
      <c r="A335" t="s">
        <v>894</v>
      </c>
      <c r="B335" t="s">
        <v>378</v>
      </c>
      <c r="C335" t="s">
        <v>379</v>
      </c>
      <c r="D335" t="s">
        <v>887</v>
      </c>
      <c r="E335">
        <v>2026</v>
      </c>
      <c r="F335" t="s">
        <v>508</v>
      </c>
      <c r="G335" t="s">
        <v>158</v>
      </c>
      <c r="H335" s="1">
        <v>46191</v>
      </c>
      <c r="I335" s="1">
        <v>46203</v>
      </c>
      <c r="J335" s="1">
        <v>46204</v>
      </c>
      <c r="K335" s="1">
        <v>46232</v>
      </c>
      <c r="L335" s="1">
        <v>46198</v>
      </c>
      <c r="N335" t="s">
        <v>540</v>
      </c>
      <c r="O335" t="s">
        <v>510</v>
      </c>
      <c r="P335" s="19" t="s">
        <v>888</v>
      </c>
      <c r="Q335" t="s">
        <v>542</v>
      </c>
      <c r="R335" t="str">
        <f t="shared" ca="1" si="5"/>
        <v>Passée</v>
      </c>
    </row>
    <row r="336" spans="1:18" ht="15.6" customHeight="1">
      <c r="A336" s="15" t="s">
        <v>895</v>
      </c>
      <c r="B336" s="15" t="s">
        <v>378</v>
      </c>
      <c r="C336" s="15" t="s">
        <v>379</v>
      </c>
      <c r="D336" s="15" t="s">
        <v>887</v>
      </c>
      <c r="E336" s="15">
        <v>2026</v>
      </c>
      <c r="F336" s="15" t="s">
        <v>508</v>
      </c>
      <c r="G336" s="15" t="s">
        <v>159</v>
      </c>
      <c r="H336" s="16">
        <v>46226</v>
      </c>
      <c r="I336" s="16">
        <v>46234</v>
      </c>
      <c r="J336" s="16">
        <v>46235</v>
      </c>
      <c r="K336" s="16">
        <v>46266</v>
      </c>
      <c r="L336" s="16">
        <v>46231</v>
      </c>
      <c r="M336" s="15"/>
      <c r="N336" s="15" t="s">
        <v>540</v>
      </c>
      <c r="O336" s="15" t="s">
        <v>510</v>
      </c>
      <c r="P336" s="19" t="s">
        <v>888</v>
      </c>
      <c r="Q336" s="15" t="s">
        <v>542</v>
      </c>
      <c r="R336" s="15" t="str">
        <f t="shared" ca="1" si="5"/>
        <v>Passée</v>
      </c>
    </row>
    <row r="337" spans="1:18" ht="15.6" customHeight="1">
      <c r="A337" t="s">
        <v>896</v>
      </c>
      <c r="B337" t="s">
        <v>378</v>
      </c>
      <c r="C337" t="s">
        <v>379</v>
      </c>
      <c r="D337" t="s">
        <v>887</v>
      </c>
      <c r="E337">
        <v>2026</v>
      </c>
      <c r="F337" t="s">
        <v>508</v>
      </c>
      <c r="G337" t="s">
        <v>160</v>
      </c>
      <c r="H337" s="1">
        <v>46255</v>
      </c>
      <c r="I337" s="1">
        <v>46265</v>
      </c>
      <c r="J337" s="1">
        <v>46266</v>
      </c>
      <c r="K337" s="1">
        <v>46294</v>
      </c>
      <c r="L337" s="1">
        <v>46260</v>
      </c>
      <c r="N337" t="s">
        <v>540</v>
      </c>
      <c r="O337" t="s">
        <v>510</v>
      </c>
      <c r="P337" s="19" t="s">
        <v>888</v>
      </c>
      <c r="Q337" t="s">
        <v>542</v>
      </c>
      <c r="R337" t="str">
        <f t="shared" ca="1" si="5"/>
        <v>Passée</v>
      </c>
    </row>
    <row r="338" spans="1:18" ht="15.6" customHeight="1">
      <c r="A338" s="15" t="s">
        <v>897</v>
      </c>
      <c r="B338" s="15" t="s">
        <v>378</v>
      </c>
      <c r="C338" s="15" t="s">
        <v>379</v>
      </c>
      <c r="D338" s="15" t="s">
        <v>887</v>
      </c>
      <c r="E338" s="15">
        <v>2026</v>
      </c>
      <c r="F338" s="15" t="s">
        <v>508</v>
      </c>
      <c r="G338" s="15" t="s">
        <v>161</v>
      </c>
      <c r="H338" s="16">
        <v>46287</v>
      </c>
      <c r="I338" s="16">
        <v>46295</v>
      </c>
      <c r="J338" s="16">
        <v>46296</v>
      </c>
      <c r="K338" s="16">
        <v>46325</v>
      </c>
      <c r="L338" s="16">
        <v>46290</v>
      </c>
      <c r="M338" s="15"/>
      <c r="N338" s="15" t="s">
        <v>540</v>
      </c>
      <c r="O338" s="15" t="s">
        <v>510</v>
      </c>
      <c r="P338" s="19" t="s">
        <v>888</v>
      </c>
      <c r="Q338" s="15" t="s">
        <v>542</v>
      </c>
      <c r="R338" s="15" t="str">
        <f t="shared" ca="1" si="5"/>
        <v>À venir</v>
      </c>
    </row>
    <row r="339" spans="1:18" ht="15.6" customHeight="1">
      <c r="A339" t="s">
        <v>898</v>
      </c>
      <c r="B339" t="s">
        <v>378</v>
      </c>
      <c r="C339" t="s">
        <v>379</v>
      </c>
      <c r="D339" t="s">
        <v>887</v>
      </c>
      <c r="E339">
        <v>2026</v>
      </c>
      <c r="F339" t="s">
        <v>508</v>
      </c>
      <c r="G339" t="s">
        <v>162</v>
      </c>
      <c r="H339" s="1">
        <v>46317</v>
      </c>
      <c r="I339" s="1">
        <v>46326</v>
      </c>
      <c r="J339" s="1">
        <v>46327</v>
      </c>
      <c r="K339" s="1">
        <v>46357</v>
      </c>
      <c r="L339" s="1">
        <v>46323</v>
      </c>
      <c r="N339" t="s">
        <v>540</v>
      </c>
      <c r="O339" t="s">
        <v>510</v>
      </c>
      <c r="P339" s="19" t="s">
        <v>888</v>
      </c>
      <c r="Q339" t="s">
        <v>542</v>
      </c>
      <c r="R339" t="str">
        <f t="shared" ca="1" si="5"/>
        <v>À venir</v>
      </c>
    </row>
    <row r="340" spans="1:18" ht="15.6" customHeight="1">
      <c r="A340" s="15" t="s">
        <v>899</v>
      </c>
      <c r="B340" s="15" t="s">
        <v>378</v>
      </c>
      <c r="C340" s="15" t="s">
        <v>379</v>
      </c>
      <c r="D340" s="15" t="s">
        <v>887</v>
      </c>
      <c r="E340" s="15">
        <v>2026</v>
      </c>
      <c r="F340" s="15" t="s">
        <v>508</v>
      </c>
      <c r="G340" s="15" t="s">
        <v>163</v>
      </c>
      <c r="H340" s="16">
        <v>46345</v>
      </c>
      <c r="I340" s="16">
        <v>46356</v>
      </c>
      <c r="J340" s="16">
        <v>46357</v>
      </c>
      <c r="K340" s="16">
        <v>46386</v>
      </c>
      <c r="L340" s="16">
        <v>46350</v>
      </c>
      <c r="M340" s="15"/>
      <c r="N340" s="15" t="s">
        <v>540</v>
      </c>
      <c r="O340" s="15" t="s">
        <v>510</v>
      </c>
      <c r="P340" s="19" t="s">
        <v>888</v>
      </c>
      <c r="Q340" s="15" t="s">
        <v>542</v>
      </c>
      <c r="R340" s="15" t="str">
        <f t="shared" ca="1" si="5"/>
        <v>À venir</v>
      </c>
    </row>
    <row r="341" spans="1:18" ht="15.6" customHeight="1">
      <c r="A341" t="s">
        <v>900</v>
      </c>
      <c r="B341" t="s">
        <v>378</v>
      </c>
      <c r="C341" t="s">
        <v>379</v>
      </c>
      <c r="D341" t="s">
        <v>887</v>
      </c>
      <c r="E341">
        <v>2026</v>
      </c>
      <c r="F341" t="s">
        <v>508</v>
      </c>
      <c r="G341" t="s">
        <v>204</v>
      </c>
      <c r="H341" s="1">
        <v>46377</v>
      </c>
      <c r="I341" s="1">
        <v>46387</v>
      </c>
      <c r="J341" s="1">
        <v>46388</v>
      </c>
      <c r="K341" s="1">
        <v>46419</v>
      </c>
      <c r="L341" s="1">
        <v>46380</v>
      </c>
      <c r="N341" t="s">
        <v>540</v>
      </c>
      <c r="O341" t="s">
        <v>510</v>
      </c>
      <c r="P341" s="19" t="s">
        <v>888</v>
      </c>
      <c r="Q341" t="s">
        <v>542</v>
      </c>
      <c r="R341" t="str">
        <f t="shared" ca="1" si="5"/>
        <v>À venir</v>
      </c>
    </row>
    <row r="342" spans="1:18" ht="15.6" customHeight="1">
      <c r="A342" s="15" t="s">
        <v>901</v>
      </c>
      <c r="B342" s="15" t="s">
        <v>378</v>
      </c>
      <c r="C342" s="15" t="s">
        <v>379</v>
      </c>
      <c r="D342" s="15" t="s">
        <v>887</v>
      </c>
      <c r="E342" s="15">
        <v>2026</v>
      </c>
      <c r="F342" s="15" t="s">
        <v>526</v>
      </c>
      <c r="G342" s="15" t="s">
        <v>154</v>
      </c>
      <c r="H342" s="16">
        <v>46081</v>
      </c>
      <c r="I342" s="16">
        <v>46112</v>
      </c>
      <c r="J342" s="16">
        <v>46112</v>
      </c>
      <c r="K342" s="16">
        <v>46142</v>
      </c>
      <c r="L342" s="16">
        <v>46153</v>
      </c>
      <c r="M342" s="15" t="s">
        <v>902</v>
      </c>
      <c r="N342" s="15" t="s">
        <v>540</v>
      </c>
      <c r="O342" s="15" t="s">
        <v>510</v>
      </c>
      <c r="P342" s="19" t="s">
        <v>888</v>
      </c>
      <c r="Q342" s="15" t="s">
        <v>542</v>
      </c>
      <c r="R342" s="15" t="str">
        <f t="shared" ca="1" si="5"/>
        <v>Passée</v>
      </c>
    </row>
    <row r="343" spans="1:18" ht="15.6" customHeight="1">
      <c r="A343" t="s">
        <v>903</v>
      </c>
      <c r="B343" t="s">
        <v>378</v>
      </c>
      <c r="C343" t="s">
        <v>379</v>
      </c>
      <c r="D343" t="s">
        <v>887</v>
      </c>
      <c r="E343">
        <v>2026</v>
      </c>
      <c r="F343" t="s">
        <v>526</v>
      </c>
      <c r="G343" t="s">
        <v>157</v>
      </c>
      <c r="H343" s="1">
        <v>46172</v>
      </c>
      <c r="I343" s="1">
        <v>46203</v>
      </c>
      <c r="J343" s="1">
        <v>46203</v>
      </c>
      <c r="K343" s="1">
        <v>46232</v>
      </c>
      <c r="L343" s="1">
        <v>46240</v>
      </c>
      <c r="M343" t="s">
        <v>904</v>
      </c>
      <c r="N343" t="s">
        <v>540</v>
      </c>
      <c r="O343" t="s">
        <v>510</v>
      </c>
      <c r="P343" s="19" t="s">
        <v>888</v>
      </c>
      <c r="Q343" t="s">
        <v>542</v>
      </c>
      <c r="R343" t="str">
        <f t="shared" ca="1" si="5"/>
        <v>Passée</v>
      </c>
    </row>
    <row r="344" spans="1:18" ht="15.6" customHeight="1">
      <c r="A344" s="15" t="s">
        <v>905</v>
      </c>
      <c r="B344" s="15" t="s">
        <v>378</v>
      </c>
      <c r="C344" s="15" t="s">
        <v>379</v>
      </c>
      <c r="D344" s="15" t="s">
        <v>887</v>
      </c>
      <c r="E344" s="15">
        <v>2026</v>
      </c>
      <c r="F344" s="15" t="s">
        <v>526</v>
      </c>
      <c r="G344" s="15" t="s">
        <v>160</v>
      </c>
      <c r="H344" s="16">
        <v>46264</v>
      </c>
      <c r="I344" s="16">
        <v>46295</v>
      </c>
      <c r="J344" s="16">
        <v>46295</v>
      </c>
      <c r="K344" s="16">
        <v>46325</v>
      </c>
      <c r="L344" s="16">
        <v>46332</v>
      </c>
      <c r="M344" s="15" t="s">
        <v>906</v>
      </c>
      <c r="N344" s="15" t="s">
        <v>540</v>
      </c>
      <c r="O344" s="15" t="s">
        <v>510</v>
      </c>
      <c r="P344" s="19" t="s">
        <v>888</v>
      </c>
      <c r="Q344" s="15" t="s">
        <v>542</v>
      </c>
      <c r="R344" s="15" t="str">
        <f t="shared" ca="1" si="5"/>
        <v>Passée</v>
      </c>
    </row>
    <row r="345" spans="1:18" ht="15.6" customHeight="1">
      <c r="A345" t="s">
        <v>907</v>
      </c>
      <c r="B345" t="s">
        <v>378</v>
      </c>
      <c r="C345" t="s">
        <v>379</v>
      </c>
      <c r="D345" t="s">
        <v>887</v>
      </c>
      <c r="E345">
        <v>2026</v>
      </c>
      <c r="F345" t="s">
        <v>526</v>
      </c>
      <c r="G345" t="s">
        <v>163</v>
      </c>
      <c r="H345" s="1">
        <v>46356</v>
      </c>
      <c r="I345" s="1">
        <v>46387</v>
      </c>
      <c r="J345" s="1">
        <v>46387</v>
      </c>
      <c r="K345" s="1">
        <v>46420</v>
      </c>
      <c r="L345" s="1">
        <v>46427</v>
      </c>
      <c r="M345" t="s">
        <v>908</v>
      </c>
      <c r="N345" t="s">
        <v>540</v>
      </c>
      <c r="O345" t="s">
        <v>510</v>
      </c>
      <c r="P345" s="19" t="s">
        <v>888</v>
      </c>
      <c r="Q345" t="s">
        <v>542</v>
      </c>
      <c r="R345" t="str">
        <f t="shared" ca="1" si="5"/>
        <v>À venir</v>
      </c>
    </row>
    <row r="346" spans="1:18" ht="15.6" customHeight="1">
      <c r="A346" s="15" t="s">
        <v>909</v>
      </c>
      <c r="B346" s="15" t="s">
        <v>317</v>
      </c>
      <c r="C346" s="15" t="s">
        <v>318</v>
      </c>
      <c r="D346" s="15" t="s">
        <v>887</v>
      </c>
      <c r="E346" s="15">
        <v>2026</v>
      </c>
      <c r="F346" s="15" t="s">
        <v>508</v>
      </c>
      <c r="G346" s="15" t="s">
        <v>152</v>
      </c>
      <c r="H346" s="16">
        <v>46010</v>
      </c>
      <c r="I346" s="16">
        <v>46022</v>
      </c>
      <c r="J346" s="16">
        <v>46023</v>
      </c>
      <c r="K346" s="16">
        <v>46052</v>
      </c>
      <c r="L346" s="16">
        <v>46015</v>
      </c>
      <c r="M346" s="15"/>
      <c r="N346" s="15" t="s">
        <v>540</v>
      </c>
      <c r="O346" s="15" t="s">
        <v>510</v>
      </c>
      <c r="P346" s="19" t="s">
        <v>888</v>
      </c>
      <c r="Q346" s="15" t="s">
        <v>542</v>
      </c>
      <c r="R346" s="15" t="str">
        <f t="shared" ca="1" si="5"/>
        <v>Passée</v>
      </c>
    </row>
    <row r="347" spans="1:18" ht="15.6" customHeight="1">
      <c r="A347" t="s">
        <v>910</v>
      </c>
      <c r="B347" t="s">
        <v>317</v>
      </c>
      <c r="C347" t="s">
        <v>318</v>
      </c>
      <c r="D347" t="s">
        <v>887</v>
      </c>
      <c r="E347">
        <v>2026</v>
      </c>
      <c r="F347" t="s">
        <v>508</v>
      </c>
      <c r="G347" t="s">
        <v>153</v>
      </c>
      <c r="H347" s="1">
        <v>46045</v>
      </c>
      <c r="I347" s="1">
        <v>46053</v>
      </c>
      <c r="J347" s="1">
        <v>46054</v>
      </c>
      <c r="K347" s="1">
        <v>46084</v>
      </c>
      <c r="L347" s="1">
        <v>46050</v>
      </c>
      <c r="N347" t="s">
        <v>540</v>
      </c>
      <c r="O347" t="s">
        <v>510</v>
      </c>
      <c r="P347" s="19" t="s">
        <v>888</v>
      </c>
      <c r="Q347" t="s">
        <v>542</v>
      </c>
      <c r="R347" t="str">
        <f t="shared" ca="1" si="5"/>
        <v>Passée</v>
      </c>
    </row>
    <row r="348" spans="1:18" ht="15.6" customHeight="1">
      <c r="A348" s="15" t="s">
        <v>911</v>
      </c>
      <c r="B348" s="15" t="s">
        <v>317</v>
      </c>
      <c r="C348" s="15" t="s">
        <v>318</v>
      </c>
      <c r="D348" s="15" t="s">
        <v>887</v>
      </c>
      <c r="E348" s="15">
        <v>2026</v>
      </c>
      <c r="F348" s="15" t="s">
        <v>508</v>
      </c>
      <c r="G348" s="15" t="s">
        <v>154</v>
      </c>
      <c r="H348" s="16">
        <v>46073</v>
      </c>
      <c r="I348" s="16">
        <v>46081</v>
      </c>
      <c r="J348" s="16">
        <v>46082</v>
      </c>
      <c r="K348" s="16">
        <v>46111</v>
      </c>
      <c r="L348" s="16">
        <v>46078</v>
      </c>
      <c r="M348" s="15"/>
      <c r="N348" s="15" t="s">
        <v>540</v>
      </c>
      <c r="O348" s="15" t="s">
        <v>510</v>
      </c>
      <c r="P348" s="19" t="s">
        <v>888</v>
      </c>
      <c r="Q348" s="15" t="s">
        <v>542</v>
      </c>
      <c r="R348" s="15" t="str">
        <f t="shared" ca="1" si="5"/>
        <v>Passée</v>
      </c>
    </row>
    <row r="349" spans="1:18" ht="15.6" customHeight="1">
      <c r="A349" t="s">
        <v>912</v>
      </c>
      <c r="B349" t="s">
        <v>317</v>
      </c>
      <c r="C349" t="s">
        <v>318</v>
      </c>
      <c r="D349" t="s">
        <v>887</v>
      </c>
      <c r="E349">
        <v>2026</v>
      </c>
      <c r="F349" t="s">
        <v>508</v>
      </c>
      <c r="G349" t="s">
        <v>155</v>
      </c>
      <c r="H349" s="1">
        <v>46104</v>
      </c>
      <c r="I349" s="1">
        <v>46112</v>
      </c>
      <c r="J349" s="1">
        <v>46113</v>
      </c>
      <c r="K349" s="1">
        <v>46142</v>
      </c>
      <c r="L349" s="1">
        <v>46107</v>
      </c>
      <c r="N349" t="s">
        <v>540</v>
      </c>
      <c r="O349" t="s">
        <v>510</v>
      </c>
      <c r="P349" s="19" t="s">
        <v>888</v>
      </c>
      <c r="Q349" t="s">
        <v>542</v>
      </c>
      <c r="R349" t="str">
        <f t="shared" ca="1" si="5"/>
        <v>Passée</v>
      </c>
    </row>
    <row r="350" spans="1:18" ht="15.6" customHeight="1">
      <c r="A350" s="15" t="s">
        <v>913</v>
      </c>
      <c r="B350" s="15" t="s">
        <v>317</v>
      </c>
      <c r="C350" s="15" t="s">
        <v>318</v>
      </c>
      <c r="D350" s="15" t="s">
        <v>887</v>
      </c>
      <c r="E350" s="15">
        <v>2026</v>
      </c>
      <c r="F350" s="15" t="s">
        <v>508</v>
      </c>
      <c r="G350" s="15" t="s">
        <v>156</v>
      </c>
      <c r="H350" s="16">
        <v>46134</v>
      </c>
      <c r="I350" s="16">
        <v>46142</v>
      </c>
      <c r="J350" s="16">
        <v>46143</v>
      </c>
      <c r="K350" s="16">
        <v>46177</v>
      </c>
      <c r="L350" s="16">
        <v>46139</v>
      </c>
      <c r="M350" s="15"/>
      <c r="N350" s="15" t="s">
        <v>540</v>
      </c>
      <c r="O350" s="15" t="s">
        <v>510</v>
      </c>
      <c r="P350" s="19" t="s">
        <v>888</v>
      </c>
      <c r="Q350" s="15" t="s">
        <v>542</v>
      </c>
      <c r="R350" s="15" t="str">
        <f t="shared" ca="1" si="5"/>
        <v>Passée</v>
      </c>
    </row>
    <row r="351" spans="1:18" ht="15.6" customHeight="1">
      <c r="A351" t="s">
        <v>914</v>
      </c>
      <c r="B351" t="s">
        <v>317</v>
      </c>
      <c r="C351" t="s">
        <v>318</v>
      </c>
      <c r="D351" t="s">
        <v>887</v>
      </c>
      <c r="E351">
        <v>2026</v>
      </c>
      <c r="F351" t="s">
        <v>508</v>
      </c>
      <c r="G351" t="s">
        <v>157</v>
      </c>
      <c r="H351" s="1">
        <v>46163</v>
      </c>
      <c r="I351" s="1">
        <v>46173</v>
      </c>
      <c r="J351" s="1">
        <v>46174</v>
      </c>
      <c r="K351" s="1">
        <v>46204</v>
      </c>
      <c r="L351" s="1">
        <v>46169</v>
      </c>
      <c r="N351" t="s">
        <v>540</v>
      </c>
      <c r="O351" t="s">
        <v>510</v>
      </c>
      <c r="P351" s="19" t="s">
        <v>888</v>
      </c>
      <c r="Q351" t="s">
        <v>542</v>
      </c>
      <c r="R351" t="str">
        <f t="shared" ca="1" si="5"/>
        <v>Passée</v>
      </c>
    </row>
    <row r="352" spans="1:18" ht="15.6" customHeight="1">
      <c r="A352" s="15" t="s">
        <v>915</v>
      </c>
      <c r="B352" s="15" t="s">
        <v>317</v>
      </c>
      <c r="C352" s="15" t="s">
        <v>318</v>
      </c>
      <c r="D352" s="15" t="s">
        <v>887</v>
      </c>
      <c r="E352" s="15">
        <v>2026</v>
      </c>
      <c r="F352" s="15" t="s">
        <v>508</v>
      </c>
      <c r="G352" s="15" t="s">
        <v>158</v>
      </c>
      <c r="H352" s="16">
        <v>46191</v>
      </c>
      <c r="I352" s="16">
        <v>46203</v>
      </c>
      <c r="J352" s="16">
        <v>46204</v>
      </c>
      <c r="K352" s="16">
        <v>46232</v>
      </c>
      <c r="L352" s="16">
        <v>46198</v>
      </c>
      <c r="M352" s="15"/>
      <c r="N352" s="15" t="s">
        <v>540</v>
      </c>
      <c r="O352" s="15" t="s">
        <v>510</v>
      </c>
      <c r="P352" s="19" t="s">
        <v>888</v>
      </c>
      <c r="Q352" s="15" t="s">
        <v>542</v>
      </c>
      <c r="R352" s="15" t="str">
        <f t="shared" ca="1" si="5"/>
        <v>Passée</v>
      </c>
    </row>
    <row r="353" spans="1:18" ht="15.6" customHeight="1">
      <c r="A353" t="s">
        <v>916</v>
      </c>
      <c r="B353" t="s">
        <v>317</v>
      </c>
      <c r="C353" t="s">
        <v>318</v>
      </c>
      <c r="D353" t="s">
        <v>887</v>
      </c>
      <c r="E353">
        <v>2026</v>
      </c>
      <c r="F353" t="s">
        <v>508</v>
      </c>
      <c r="G353" t="s">
        <v>159</v>
      </c>
      <c r="H353" s="1">
        <v>46226</v>
      </c>
      <c r="I353" s="1">
        <v>46234</v>
      </c>
      <c r="J353" s="1">
        <v>46235</v>
      </c>
      <c r="K353" s="1">
        <v>46266</v>
      </c>
      <c r="L353" s="1">
        <v>46231</v>
      </c>
      <c r="N353" t="s">
        <v>540</v>
      </c>
      <c r="O353" t="s">
        <v>510</v>
      </c>
      <c r="P353" s="19" t="s">
        <v>888</v>
      </c>
      <c r="Q353" t="s">
        <v>542</v>
      </c>
      <c r="R353" t="str">
        <f t="shared" ca="1" si="5"/>
        <v>Passée</v>
      </c>
    </row>
    <row r="354" spans="1:18" ht="15.6" customHeight="1">
      <c r="A354" s="15" t="s">
        <v>917</v>
      </c>
      <c r="B354" s="15" t="s">
        <v>317</v>
      </c>
      <c r="C354" s="15" t="s">
        <v>318</v>
      </c>
      <c r="D354" s="15" t="s">
        <v>887</v>
      </c>
      <c r="E354" s="15">
        <v>2026</v>
      </c>
      <c r="F354" s="15" t="s">
        <v>508</v>
      </c>
      <c r="G354" s="15" t="s">
        <v>160</v>
      </c>
      <c r="H354" s="16">
        <v>46255</v>
      </c>
      <c r="I354" s="16">
        <v>46265</v>
      </c>
      <c r="J354" s="16">
        <v>46266</v>
      </c>
      <c r="K354" s="16">
        <v>46294</v>
      </c>
      <c r="L354" s="16">
        <v>46260</v>
      </c>
      <c r="M354" s="15"/>
      <c r="N354" s="15" t="s">
        <v>540</v>
      </c>
      <c r="O354" s="15" t="s">
        <v>510</v>
      </c>
      <c r="P354" s="19" t="s">
        <v>888</v>
      </c>
      <c r="Q354" s="15" t="s">
        <v>542</v>
      </c>
      <c r="R354" s="15" t="str">
        <f t="shared" ca="1" si="5"/>
        <v>Passée</v>
      </c>
    </row>
    <row r="355" spans="1:18" ht="15.6" customHeight="1">
      <c r="A355" t="s">
        <v>918</v>
      </c>
      <c r="B355" t="s">
        <v>317</v>
      </c>
      <c r="C355" t="s">
        <v>318</v>
      </c>
      <c r="D355" t="s">
        <v>887</v>
      </c>
      <c r="E355">
        <v>2026</v>
      </c>
      <c r="F355" t="s">
        <v>508</v>
      </c>
      <c r="G355" t="s">
        <v>161</v>
      </c>
      <c r="H355" s="1">
        <v>46287</v>
      </c>
      <c r="I355" s="1">
        <v>46295</v>
      </c>
      <c r="J355" s="1">
        <v>46296</v>
      </c>
      <c r="K355" s="1">
        <v>46325</v>
      </c>
      <c r="L355" s="1">
        <v>46290</v>
      </c>
      <c r="N355" t="s">
        <v>540</v>
      </c>
      <c r="O355" t="s">
        <v>510</v>
      </c>
      <c r="P355" s="19" t="s">
        <v>888</v>
      </c>
      <c r="Q355" t="s">
        <v>542</v>
      </c>
      <c r="R355" t="str">
        <f t="shared" ca="1" si="5"/>
        <v>À venir</v>
      </c>
    </row>
    <row r="356" spans="1:18" ht="15.6" customHeight="1">
      <c r="A356" s="15" t="s">
        <v>919</v>
      </c>
      <c r="B356" s="15" t="s">
        <v>317</v>
      </c>
      <c r="C356" s="15" t="s">
        <v>318</v>
      </c>
      <c r="D356" s="15" t="s">
        <v>887</v>
      </c>
      <c r="E356" s="15">
        <v>2026</v>
      </c>
      <c r="F356" s="15" t="s">
        <v>508</v>
      </c>
      <c r="G356" s="15" t="s">
        <v>162</v>
      </c>
      <c r="H356" s="16">
        <v>46317</v>
      </c>
      <c r="I356" s="16">
        <v>46326</v>
      </c>
      <c r="J356" s="16">
        <v>46327</v>
      </c>
      <c r="K356" s="16">
        <v>46357</v>
      </c>
      <c r="L356" s="16">
        <v>46323</v>
      </c>
      <c r="M356" s="15"/>
      <c r="N356" s="15" t="s">
        <v>540</v>
      </c>
      <c r="O356" s="15" t="s">
        <v>510</v>
      </c>
      <c r="P356" s="19" t="s">
        <v>888</v>
      </c>
      <c r="Q356" s="15" t="s">
        <v>542</v>
      </c>
      <c r="R356" s="15" t="str">
        <f t="shared" ca="1" si="5"/>
        <v>À venir</v>
      </c>
    </row>
    <row r="357" spans="1:18" ht="15.6" customHeight="1">
      <c r="A357" t="s">
        <v>920</v>
      </c>
      <c r="B357" t="s">
        <v>317</v>
      </c>
      <c r="C357" t="s">
        <v>318</v>
      </c>
      <c r="D357" t="s">
        <v>887</v>
      </c>
      <c r="E357">
        <v>2026</v>
      </c>
      <c r="F357" t="s">
        <v>508</v>
      </c>
      <c r="G357" t="s">
        <v>163</v>
      </c>
      <c r="H357" s="1">
        <v>46345</v>
      </c>
      <c r="I357" s="1">
        <v>46356</v>
      </c>
      <c r="J357" s="1">
        <v>46357</v>
      </c>
      <c r="K357" s="1">
        <v>46386</v>
      </c>
      <c r="L357" s="1">
        <v>46350</v>
      </c>
      <c r="N357" t="s">
        <v>540</v>
      </c>
      <c r="O357" t="s">
        <v>510</v>
      </c>
      <c r="P357" s="19" t="s">
        <v>888</v>
      </c>
      <c r="Q357" t="s">
        <v>542</v>
      </c>
      <c r="R357" t="str">
        <f t="shared" ca="1" si="5"/>
        <v>À venir</v>
      </c>
    </row>
    <row r="358" spans="1:18" ht="15.6" customHeight="1">
      <c r="A358" s="15" t="s">
        <v>921</v>
      </c>
      <c r="B358" s="15" t="s">
        <v>317</v>
      </c>
      <c r="C358" s="15" t="s">
        <v>318</v>
      </c>
      <c r="D358" s="15" t="s">
        <v>887</v>
      </c>
      <c r="E358" s="15">
        <v>2026</v>
      </c>
      <c r="F358" s="15" t="s">
        <v>508</v>
      </c>
      <c r="G358" s="15" t="s">
        <v>204</v>
      </c>
      <c r="H358" s="16">
        <v>46377</v>
      </c>
      <c r="I358" s="16">
        <v>46387</v>
      </c>
      <c r="J358" s="16">
        <v>46388</v>
      </c>
      <c r="K358" s="16">
        <v>46419</v>
      </c>
      <c r="L358" s="16">
        <v>46380</v>
      </c>
      <c r="M358" s="15"/>
      <c r="N358" s="15" t="s">
        <v>540</v>
      </c>
      <c r="O358" s="15" t="s">
        <v>510</v>
      </c>
      <c r="P358" s="19" t="s">
        <v>888</v>
      </c>
      <c r="Q358" s="15" t="s">
        <v>542</v>
      </c>
      <c r="R358" s="15" t="str">
        <f t="shared" ca="1" si="5"/>
        <v>À venir</v>
      </c>
    </row>
    <row r="359" spans="1:18" ht="15.6" customHeight="1">
      <c r="A359" t="s">
        <v>922</v>
      </c>
      <c r="B359" t="s">
        <v>317</v>
      </c>
      <c r="C359" t="s">
        <v>318</v>
      </c>
      <c r="D359" t="s">
        <v>887</v>
      </c>
      <c r="E359">
        <v>2026</v>
      </c>
      <c r="F359" t="s">
        <v>526</v>
      </c>
      <c r="G359" t="s">
        <v>154</v>
      </c>
      <c r="H359" s="1">
        <v>46081</v>
      </c>
      <c r="I359" s="1">
        <v>46112</v>
      </c>
      <c r="J359" s="1">
        <v>46112</v>
      </c>
      <c r="K359" s="1">
        <v>46142</v>
      </c>
      <c r="L359" s="1">
        <v>46153</v>
      </c>
      <c r="M359" t="s">
        <v>902</v>
      </c>
      <c r="N359" t="s">
        <v>540</v>
      </c>
      <c r="O359" t="s">
        <v>510</v>
      </c>
      <c r="P359" s="19" t="s">
        <v>888</v>
      </c>
      <c r="Q359" t="s">
        <v>542</v>
      </c>
      <c r="R359" t="str">
        <f t="shared" ca="1" si="5"/>
        <v>Passée</v>
      </c>
    </row>
    <row r="360" spans="1:18" ht="15.6" customHeight="1">
      <c r="A360" s="15" t="s">
        <v>923</v>
      </c>
      <c r="B360" s="15" t="s">
        <v>317</v>
      </c>
      <c r="C360" s="15" t="s">
        <v>318</v>
      </c>
      <c r="D360" s="15" t="s">
        <v>887</v>
      </c>
      <c r="E360" s="15">
        <v>2026</v>
      </c>
      <c r="F360" s="15" t="s">
        <v>526</v>
      </c>
      <c r="G360" s="15" t="s">
        <v>157</v>
      </c>
      <c r="H360" s="16">
        <v>46172</v>
      </c>
      <c r="I360" s="16">
        <v>46203</v>
      </c>
      <c r="J360" s="16">
        <v>46203</v>
      </c>
      <c r="K360" s="16">
        <v>46232</v>
      </c>
      <c r="L360" s="16">
        <v>46240</v>
      </c>
      <c r="M360" s="15" t="s">
        <v>904</v>
      </c>
      <c r="N360" s="15" t="s">
        <v>540</v>
      </c>
      <c r="O360" s="15" t="s">
        <v>510</v>
      </c>
      <c r="P360" s="19" t="s">
        <v>888</v>
      </c>
      <c r="Q360" s="15" t="s">
        <v>542</v>
      </c>
      <c r="R360" s="15" t="str">
        <f t="shared" ca="1" si="5"/>
        <v>Passée</v>
      </c>
    </row>
    <row r="361" spans="1:18" ht="15.6" customHeight="1">
      <c r="A361" t="s">
        <v>924</v>
      </c>
      <c r="B361" t="s">
        <v>317</v>
      </c>
      <c r="C361" t="s">
        <v>318</v>
      </c>
      <c r="D361" t="s">
        <v>887</v>
      </c>
      <c r="E361">
        <v>2026</v>
      </c>
      <c r="F361" t="s">
        <v>526</v>
      </c>
      <c r="G361" t="s">
        <v>160</v>
      </c>
      <c r="H361" s="1">
        <v>46264</v>
      </c>
      <c r="I361" s="1">
        <v>46295</v>
      </c>
      <c r="J361" s="1">
        <v>46295</v>
      </c>
      <c r="K361" s="1">
        <v>46325</v>
      </c>
      <c r="L361" s="1">
        <v>46332</v>
      </c>
      <c r="M361" t="s">
        <v>906</v>
      </c>
      <c r="N361" t="s">
        <v>540</v>
      </c>
      <c r="O361" t="s">
        <v>510</v>
      </c>
      <c r="P361" s="19" t="s">
        <v>888</v>
      </c>
      <c r="Q361" t="s">
        <v>542</v>
      </c>
      <c r="R361" t="str">
        <f t="shared" ca="1" si="5"/>
        <v>Passée</v>
      </c>
    </row>
    <row r="362" spans="1:18" ht="15.6" customHeight="1">
      <c r="A362" s="15" t="s">
        <v>925</v>
      </c>
      <c r="B362" s="15" t="s">
        <v>317</v>
      </c>
      <c r="C362" s="15" t="s">
        <v>318</v>
      </c>
      <c r="D362" s="15" t="s">
        <v>887</v>
      </c>
      <c r="E362" s="15">
        <v>2026</v>
      </c>
      <c r="F362" s="15" t="s">
        <v>526</v>
      </c>
      <c r="G362" s="15" t="s">
        <v>163</v>
      </c>
      <c r="H362" s="16">
        <v>46356</v>
      </c>
      <c r="I362" s="16">
        <v>46387</v>
      </c>
      <c r="J362" s="16">
        <v>46387</v>
      </c>
      <c r="K362" s="16">
        <v>46420</v>
      </c>
      <c r="L362" s="16">
        <v>46427</v>
      </c>
      <c r="M362" s="15" t="s">
        <v>908</v>
      </c>
      <c r="N362" s="15" t="s">
        <v>540</v>
      </c>
      <c r="O362" s="15" t="s">
        <v>510</v>
      </c>
      <c r="P362" s="19" t="s">
        <v>888</v>
      </c>
      <c r="Q362" s="15" t="s">
        <v>542</v>
      </c>
      <c r="R362" s="15" t="str">
        <f t="shared" ca="1" si="5"/>
        <v>À venir</v>
      </c>
    </row>
    <row r="363" spans="1:18" ht="15.6" customHeight="1">
      <c r="A363" t="s">
        <v>926</v>
      </c>
      <c r="B363" t="s">
        <v>244</v>
      </c>
      <c r="C363" t="s">
        <v>245</v>
      </c>
      <c r="D363" t="s">
        <v>887</v>
      </c>
      <c r="E363">
        <v>2026</v>
      </c>
      <c r="F363" t="s">
        <v>508</v>
      </c>
      <c r="G363" t="s">
        <v>152</v>
      </c>
      <c r="H363" s="1">
        <v>46010</v>
      </c>
      <c r="I363" s="1">
        <v>46022</v>
      </c>
      <c r="J363" s="1">
        <v>46023</v>
      </c>
      <c r="K363" s="1">
        <v>46057</v>
      </c>
      <c r="L363" s="1">
        <v>46015</v>
      </c>
      <c r="N363" t="s">
        <v>540</v>
      </c>
      <c r="O363" t="s">
        <v>510</v>
      </c>
      <c r="P363" s="19" t="s">
        <v>888</v>
      </c>
      <c r="Q363" t="s">
        <v>542</v>
      </c>
      <c r="R363" t="str">
        <f t="shared" ca="1" si="5"/>
        <v>Passée</v>
      </c>
    </row>
    <row r="364" spans="1:18" ht="15.6" customHeight="1">
      <c r="A364" s="15" t="s">
        <v>927</v>
      </c>
      <c r="B364" s="15" t="s">
        <v>244</v>
      </c>
      <c r="C364" s="15" t="s">
        <v>245</v>
      </c>
      <c r="D364" s="15" t="s">
        <v>887</v>
      </c>
      <c r="E364" s="15">
        <v>2026</v>
      </c>
      <c r="F364" s="15" t="s">
        <v>508</v>
      </c>
      <c r="G364" s="15" t="s">
        <v>153</v>
      </c>
      <c r="H364" s="16">
        <v>46045</v>
      </c>
      <c r="I364" s="16">
        <v>46053</v>
      </c>
      <c r="J364" s="16">
        <v>46054</v>
      </c>
      <c r="K364" s="16">
        <v>46086</v>
      </c>
      <c r="L364" s="16">
        <v>46050</v>
      </c>
      <c r="M364" s="15"/>
      <c r="N364" s="15" t="s">
        <v>540</v>
      </c>
      <c r="O364" s="15" t="s">
        <v>510</v>
      </c>
      <c r="P364" s="19" t="s">
        <v>888</v>
      </c>
      <c r="Q364" s="15" t="s">
        <v>542</v>
      </c>
      <c r="R364" s="15" t="str">
        <f t="shared" ca="1" si="5"/>
        <v>Passée</v>
      </c>
    </row>
    <row r="365" spans="1:18" ht="15.6" customHeight="1">
      <c r="A365" t="s">
        <v>928</v>
      </c>
      <c r="B365" t="s">
        <v>244</v>
      </c>
      <c r="C365" t="s">
        <v>245</v>
      </c>
      <c r="D365" t="s">
        <v>887</v>
      </c>
      <c r="E365">
        <v>2026</v>
      </c>
      <c r="F365" t="s">
        <v>508</v>
      </c>
      <c r="G365" t="s">
        <v>154</v>
      </c>
      <c r="H365" s="1">
        <v>46073</v>
      </c>
      <c r="I365" s="1">
        <v>46081</v>
      </c>
      <c r="J365" s="1">
        <v>46082</v>
      </c>
      <c r="K365" s="1">
        <v>46113</v>
      </c>
      <c r="L365" s="1">
        <v>46078</v>
      </c>
      <c r="N365" t="s">
        <v>540</v>
      </c>
      <c r="O365" t="s">
        <v>510</v>
      </c>
      <c r="P365" s="19" t="s">
        <v>888</v>
      </c>
      <c r="Q365" t="s">
        <v>542</v>
      </c>
      <c r="R365" t="str">
        <f t="shared" ca="1" si="5"/>
        <v>Passée</v>
      </c>
    </row>
    <row r="366" spans="1:18" ht="15.6" customHeight="1">
      <c r="A366" s="15" t="s">
        <v>929</v>
      </c>
      <c r="B366" s="15" t="s">
        <v>244</v>
      </c>
      <c r="C366" s="15" t="s">
        <v>245</v>
      </c>
      <c r="D366" s="15" t="s">
        <v>887</v>
      </c>
      <c r="E366" s="15">
        <v>2026</v>
      </c>
      <c r="F366" s="15" t="s">
        <v>508</v>
      </c>
      <c r="G366" s="15" t="s">
        <v>155</v>
      </c>
      <c r="H366" s="16">
        <v>46104</v>
      </c>
      <c r="I366" s="16">
        <v>46112</v>
      </c>
      <c r="J366" s="16">
        <v>46113</v>
      </c>
      <c r="K366" s="16">
        <v>46148</v>
      </c>
      <c r="L366" s="16">
        <v>46107</v>
      </c>
      <c r="M366" s="15"/>
      <c r="N366" s="15" t="s">
        <v>540</v>
      </c>
      <c r="O366" s="15" t="s">
        <v>510</v>
      </c>
      <c r="P366" s="19" t="s">
        <v>888</v>
      </c>
      <c r="Q366" s="15" t="s">
        <v>542</v>
      </c>
      <c r="R366" s="15" t="str">
        <f t="shared" ca="1" si="5"/>
        <v>Passée</v>
      </c>
    </row>
    <row r="367" spans="1:18" ht="15.6" customHeight="1">
      <c r="A367" t="s">
        <v>930</v>
      </c>
      <c r="B367" t="s">
        <v>244</v>
      </c>
      <c r="C367" t="s">
        <v>245</v>
      </c>
      <c r="D367" t="s">
        <v>887</v>
      </c>
      <c r="E367">
        <v>2026</v>
      </c>
      <c r="F367" t="s">
        <v>508</v>
      </c>
      <c r="G367" t="s">
        <v>156</v>
      </c>
      <c r="H367" s="1">
        <v>46134</v>
      </c>
      <c r="I367" s="1">
        <v>46142</v>
      </c>
      <c r="J367" s="1">
        <v>46143</v>
      </c>
      <c r="K367" s="1">
        <v>46181</v>
      </c>
      <c r="L367" s="1">
        <v>46139</v>
      </c>
      <c r="N367" t="s">
        <v>540</v>
      </c>
      <c r="O367" t="s">
        <v>510</v>
      </c>
      <c r="P367" s="19" t="s">
        <v>888</v>
      </c>
      <c r="Q367" t="s">
        <v>542</v>
      </c>
      <c r="R367" t="str">
        <f t="shared" ca="1" si="5"/>
        <v>Passée</v>
      </c>
    </row>
    <row r="368" spans="1:18" ht="15.6" customHeight="1">
      <c r="A368" s="15" t="s">
        <v>931</v>
      </c>
      <c r="B368" s="15" t="s">
        <v>244</v>
      </c>
      <c r="C368" s="15" t="s">
        <v>245</v>
      </c>
      <c r="D368" s="15" t="s">
        <v>887</v>
      </c>
      <c r="E368" s="15">
        <v>2026</v>
      </c>
      <c r="F368" s="15" t="s">
        <v>508</v>
      </c>
      <c r="G368" s="15" t="s">
        <v>157</v>
      </c>
      <c r="H368" s="16">
        <v>46163</v>
      </c>
      <c r="I368" s="16">
        <v>46173</v>
      </c>
      <c r="J368" s="16">
        <v>46174</v>
      </c>
      <c r="K368" s="16">
        <v>46209</v>
      </c>
      <c r="L368" s="16">
        <v>46169</v>
      </c>
      <c r="M368" s="15"/>
      <c r="N368" s="15" t="s">
        <v>540</v>
      </c>
      <c r="O368" s="15" t="s">
        <v>510</v>
      </c>
      <c r="P368" s="19" t="s">
        <v>888</v>
      </c>
      <c r="Q368" s="15" t="s">
        <v>542</v>
      </c>
      <c r="R368" s="15" t="str">
        <f t="shared" ca="1" si="5"/>
        <v>Passée</v>
      </c>
    </row>
    <row r="369" spans="1:18" ht="15.6" customHeight="1">
      <c r="A369" t="s">
        <v>932</v>
      </c>
      <c r="B369" t="s">
        <v>244</v>
      </c>
      <c r="C369" t="s">
        <v>245</v>
      </c>
      <c r="D369" t="s">
        <v>887</v>
      </c>
      <c r="E369">
        <v>2026</v>
      </c>
      <c r="F369" t="s">
        <v>508</v>
      </c>
      <c r="G369" t="s">
        <v>158</v>
      </c>
      <c r="H369" s="1">
        <v>46191</v>
      </c>
      <c r="I369" s="1">
        <v>46203</v>
      </c>
      <c r="J369" s="1">
        <v>46204</v>
      </c>
      <c r="K369" s="1">
        <v>46234</v>
      </c>
      <c r="L369" s="1">
        <v>46198</v>
      </c>
      <c r="N369" t="s">
        <v>540</v>
      </c>
      <c r="O369" t="s">
        <v>510</v>
      </c>
      <c r="P369" s="19" t="s">
        <v>888</v>
      </c>
      <c r="Q369" t="s">
        <v>542</v>
      </c>
      <c r="R369" t="str">
        <f t="shared" ca="1" si="5"/>
        <v>Passée</v>
      </c>
    </row>
    <row r="370" spans="1:18" ht="15.6" customHeight="1">
      <c r="A370" s="15" t="s">
        <v>933</v>
      </c>
      <c r="B370" s="15" t="s">
        <v>244</v>
      </c>
      <c r="C370" s="15" t="s">
        <v>245</v>
      </c>
      <c r="D370" s="15" t="s">
        <v>887</v>
      </c>
      <c r="E370" s="15">
        <v>2026</v>
      </c>
      <c r="F370" s="15" t="s">
        <v>508</v>
      </c>
      <c r="G370" s="15" t="s">
        <v>159</v>
      </c>
      <c r="H370" s="16">
        <v>46226</v>
      </c>
      <c r="I370" s="16">
        <v>46234</v>
      </c>
      <c r="J370" s="16">
        <v>46235</v>
      </c>
      <c r="K370" s="16">
        <v>46268</v>
      </c>
      <c r="L370" s="16">
        <v>46231</v>
      </c>
      <c r="M370" s="15"/>
      <c r="N370" s="15" t="s">
        <v>540</v>
      </c>
      <c r="O370" s="15" t="s">
        <v>510</v>
      </c>
      <c r="P370" s="19" t="s">
        <v>888</v>
      </c>
      <c r="Q370" s="15" t="s">
        <v>542</v>
      </c>
      <c r="R370" s="15" t="str">
        <f t="shared" ca="1" si="5"/>
        <v>Passée</v>
      </c>
    </row>
    <row r="371" spans="1:18" ht="15.6" customHeight="1">
      <c r="A371" t="s">
        <v>934</v>
      </c>
      <c r="B371" t="s">
        <v>244</v>
      </c>
      <c r="C371" t="s">
        <v>245</v>
      </c>
      <c r="D371" t="s">
        <v>887</v>
      </c>
      <c r="E371">
        <v>2026</v>
      </c>
      <c r="F371" t="s">
        <v>508</v>
      </c>
      <c r="G371" t="s">
        <v>160</v>
      </c>
      <c r="H371" s="1">
        <v>46255</v>
      </c>
      <c r="I371" s="1">
        <v>46265</v>
      </c>
      <c r="J371" s="1">
        <v>46266</v>
      </c>
      <c r="K371" s="1">
        <v>46296</v>
      </c>
      <c r="L371" s="1">
        <v>46260</v>
      </c>
      <c r="N371" t="s">
        <v>540</v>
      </c>
      <c r="O371" t="s">
        <v>510</v>
      </c>
      <c r="P371" s="19" t="s">
        <v>888</v>
      </c>
      <c r="Q371" t="s">
        <v>542</v>
      </c>
      <c r="R371" t="str">
        <f t="shared" ca="1" si="5"/>
        <v>Passée</v>
      </c>
    </row>
    <row r="372" spans="1:18" ht="15.6" customHeight="1">
      <c r="A372" s="15" t="s">
        <v>935</v>
      </c>
      <c r="B372" s="15" t="s">
        <v>244</v>
      </c>
      <c r="C372" s="15" t="s">
        <v>245</v>
      </c>
      <c r="D372" s="15" t="s">
        <v>887</v>
      </c>
      <c r="E372" s="15">
        <v>2026</v>
      </c>
      <c r="F372" s="15" t="s">
        <v>508</v>
      </c>
      <c r="G372" s="15" t="s">
        <v>161</v>
      </c>
      <c r="H372" s="16">
        <v>46287</v>
      </c>
      <c r="I372" s="16">
        <v>46295</v>
      </c>
      <c r="J372" s="16">
        <v>46296</v>
      </c>
      <c r="K372" s="16">
        <v>46329</v>
      </c>
      <c r="L372" s="16">
        <v>46290</v>
      </c>
      <c r="M372" s="15"/>
      <c r="N372" s="15" t="s">
        <v>540</v>
      </c>
      <c r="O372" s="15" t="s">
        <v>510</v>
      </c>
      <c r="P372" s="19" t="s">
        <v>888</v>
      </c>
      <c r="Q372" s="15" t="s">
        <v>542</v>
      </c>
      <c r="R372" s="15" t="str">
        <f t="shared" ca="1" si="5"/>
        <v>À venir</v>
      </c>
    </row>
    <row r="373" spans="1:18" ht="15.6" customHeight="1">
      <c r="A373" t="s">
        <v>936</v>
      </c>
      <c r="B373" t="s">
        <v>244</v>
      </c>
      <c r="C373" t="s">
        <v>245</v>
      </c>
      <c r="D373" t="s">
        <v>887</v>
      </c>
      <c r="E373">
        <v>2026</v>
      </c>
      <c r="F373" t="s">
        <v>508</v>
      </c>
      <c r="G373" t="s">
        <v>162</v>
      </c>
      <c r="H373" s="1">
        <v>46317</v>
      </c>
      <c r="I373" s="1">
        <v>46326</v>
      </c>
      <c r="J373" s="1">
        <v>46327</v>
      </c>
      <c r="K373" s="1">
        <v>46359</v>
      </c>
      <c r="L373" s="1">
        <v>46323</v>
      </c>
      <c r="N373" t="s">
        <v>540</v>
      </c>
      <c r="O373" t="s">
        <v>510</v>
      </c>
      <c r="P373" s="19" t="s">
        <v>888</v>
      </c>
      <c r="Q373" t="s">
        <v>542</v>
      </c>
      <c r="R373" t="str">
        <f t="shared" ca="1" si="5"/>
        <v>À venir</v>
      </c>
    </row>
    <row r="374" spans="1:18" ht="15.6" customHeight="1">
      <c r="A374" s="15" t="s">
        <v>937</v>
      </c>
      <c r="B374" s="15" t="s">
        <v>244</v>
      </c>
      <c r="C374" s="15" t="s">
        <v>245</v>
      </c>
      <c r="D374" s="15" t="s">
        <v>887</v>
      </c>
      <c r="E374" s="15">
        <v>2026</v>
      </c>
      <c r="F374" s="15" t="s">
        <v>508</v>
      </c>
      <c r="G374" s="15" t="s">
        <v>163</v>
      </c>
      <c r="H374" s="16">
        <v>46345</v>
      </c>
      <c r="I374" s="16">
        <v>46356</v>
      </c>
      <c r="J374" s="16">
        <v>46357</v>
      </c>
      <c r="K374" s="16">
        <v>46391</v>
      </c>
      <c r="L374" s="16">
        <v>46350</v>
      </c>
      <c r="M374" s="15"/>
      <c r="N374" s="15" t="s">
        <v>540</v>
      </c>
      <c r="O374" s="15" t="s">
        <v>510</v>
      </c>
      <c r="P374" s="19" t="s">
        <v>888</v>
      </c>
      <c r="Q374" s="15" t="s">
        <v>542</v>
      </c>
      <c r="R374" s="15" t="str">
        <f t="shared" ca="1" si="5"/>
        <v>À venir</v>
      </c>
    </row>
    <row r="375" spans="1:18" ht="15.6" customHeight="1">
      <c r="A375" t="s">
        <v>938</v>
      </c>
      <c r="B375" t="s">
        <v>244</v>
      </c>
      <c r="C375" t="s">
        <v>245</v>
      </c>
      <c r="D375" t="s">
        <v>887</v>
      </c>
      <c r="E375">
        <v>2026</v>
      </c>
      <c r="F375" t="s">
        <v>508</v>
      </c>
      <c r="G375" t="s">
        <v>204</v>
      </c>
      <c r="H375" s="1">
        <v>46377</v>
      </c>
      <c r="I375" s="1">
        <v>46387</v>
      </c>
      <c r="J375" s="1">
        <v>46388</v>
      </c>
      <c r="K375" s="1">
        <v>46422</v>
      </c>
      <c r="L375" s="1">
        <v>46380</v>
      </c>
      <c r="N375" t="s">
        <v>540</v>
      </c>
      <c r="O375" t="s">
        <v>510</v>
      </c>
      <c r="P375" s="19" t="s">
        <v>888</v>
      </c>
      <c r="Q375" t="s">
        <v>542</v>
      </c>
      <c r="R375" t="str">
        <f t="shared" ca="1" si="5"/>
        <v>À venir</v>
      </c>
    </row>
    <row r="376" spans="1:18" ht="15.6" customHeight="1">
      <c r="A376" s="15" t="s">
        <v>939</v>
      </c>
      <c r="B376" s="15" t="s">
        <v>244</v>
      </c>
      <c r="C376" s="15" t="s">
        <v>245</v>
      </c>
      <c r="D376" s="15" t="s">
        <v>887</v>
      </c>
      <c r="E376" s="15">
        <v>2026</v>
      </c>
      <c r="F376" s="15" t="s">
        <v>526</v>
      </c>
      <c r="G376" s="15" t="s">
        <v>154</v>
      </c>
      <c r="H376" s="16">
        <v>46080</v>
      </c>
      <c r="I376" s="16">
        <v>46112</v>
      </c>
      <c r="J376" s="16">
        <v>46112</v>
      </c>
      <c r="K376" s="16">
        <v>46148</v>
      </c>
      <c r="L376" s="16">
        <v>46155</v>
      </c>
      <c r="M376" s="15" t="s">
        <v>902</v>
      </c>
      <c r="N376" s="15" t="s">
        <v>540</v>
      </c>
      <c r="O376" s="15" t="s">
        <v>510</v>
      </c>
      <c r="P376" s="19" t="s">
        <v>888</v>
      </c>
      <c r="Q376" s="15" t="s">
        <v>542</v>
      </c>
      <c r="R376" s="15" t="str">
        <f t="shared" ca="1" si="5"/>
        <v>Passée</v>
      </c>
    </row>
    <row r="377" spans="1:18" ht="15.6" customHeight="1">
      <c r="A377" t="s">
        <v>940</v>
      </c>
      <c r="B377" t="s">
        <v>244</v>
      </c>
      <c r="C377" t="s">
        <v>245</v>
      </c>
      <c r="D377" t="s">
        <v>887</v>
      </c>
      <c r="E377">
        <v>2026</v>
      </c>
      <c r="F377" t="s">
        <v>526</v>
      </c>
      <c r="G377" t="s">
        <v>157</v>
      </c>
      <c r="H377" s="1">
        <v>46169</v>
      </c>
      <c r="I377" s="1">
        <v>46203</v>
      </c>
      <c r="J377" s="1">
        <v>46203</v>
      </c>
      <c r="K377" s="1">
        <v>46234</v>
      </c>
      <c r="L377" s="1">
        <v>46244</v>
      </c>
      <c r="M377" t="s">
        <v>904</v>
      </c>
      <c r="N377" t="s">
        <v>540</v>
      </c>
      <c r="O377" t="s">
        <v>510</v>
      </c>
      <c r="P377" s="19" t="s">
        <v>888</v>
      </c>
      <c r="Q377" t="s">
        <v>542</v>
      </c>
      <c r="R377" t="str">
        <f t="shared" ca="1" si="5"/>
        <v>Passée</v>
      </c>
    </row>
    <row r="378" spans="1:18" ht="15.6" customHeight="1">
      <c r="A378" s="15" t="s">
        <v>941</v>
      </c>
      <c r="B378" s="15" t="s">
        <v>244</v>
      </c>
      <c r="C378" s="15" t="s">
        <v>245</v>
      </c>
      <c r="D378" s="15" t="s">
        <v>887</v>
      </c>
      <c r="E378" s="15">
        <v>2026</v>
      </c>
      <c r="F378" s="15" t="s">
        <v>526</v>
      </c>
      <c r="G378" s="15" t="s">
        <v>160</v>
      </c>
      <c r="H378" s="16">
        <v>46262</v>
      </c>
      <c r="I378" s="16">
        <v>46295</v>
      </c>
      <c r="J378" s="16">
        <v>46295</v>
      </c>
      <c r="K378" s="16">
        <v>46329</v>
      </c>
      <c r="L378" s="16">
        <v>46336</v>
      </c>
      <c r="M378" s="15" t="s">
        <v>906</v>
      </c>
      <c r="N378" s="15" t="s">
        <v>540</v>
      </c>
      <c r="O378" s="15" t="s">
        <v>510</v>
      </c>
      <c r="P378" s="19" t="s">
        <v>888</v>
      </c>
      <c r="Q378" s="15" t="s">
        <v>542</v>
      </c>
      <c r="R378" s="15" t="str">
        <f t="shared" ca="1" si="5"/>
        <v>Passée</v>
      </c>
    </row>
    <row r="379" spans="1:18" ht="15.6" customHeight="1">
      <c r="A379" t="s">
        <v>942</v>
      </c>
      <c r="B379" t="s">
        <v>244</v>
      </c>
      <c r="C379" t="s">
        <v>245</v>
      </c>
      <c r="D379" t="s">
        <v>887</v>
      </c>
      <c r="E379">
        <v>2026</v>
      </c>
      <c r="F379" t="s">
        <v>526</v>
      </c>
      <c r="G379" t="s">
        <v>163</v>
      </c>
      <c r="H379" s="1">
        <v>46354</v>
      </c>
      <c r="I379" s="1">
        <v>46387</v>
      </c>
      <c r="J379" s="1">
        <v>46387</v>
      </c>
      <c r="K379" s="1">
        <v>46422</v>
      </c>
      <c r="L379" s="1">
        <v>46429</v>
      </c>
      <c r="M379" t="s">
        <v>908</v>
      </c>
      <c r="N379" t="s">
        <v>540</v>
      </c>
      <c r="O379" t="s">
        <v>510</v>
      </c>
      <c r="P379" s="19" t="s">
        <v>888</v>
      </c>
      <c r="Q379" t="s">
        <v>542</v>
      </c>
      <c r="R379" t="str">
        <f t="shared" ca="1" si="5"/>
        <v>À venir</v>
      </c>
    </row>
    <row r="380" spans="1:18" ht="15.6" customHeight="1">
      <c r="A380" s="15" t="s">
        <v>943</v>
      </c>
      <c r="B380" s="15" t="s">
        <v>260</v>
      </c>
      <c r="C380" s="15" t="s">
        <v>261</v>
      </c>
      <c r="D380" s="15" t="s">
        <v>887</v>
      </c>
      <c r="E380" s="15">
        <v>2026</v>
      </c>
      <c r="F380" s="15" t="s">
        <v>508</v>
      </c>
      <c r="G380" s="15" t="s">
        <v>152</v>
      </c>
      <c r="H380" s="16">
        <v>46010</v>
      </c>
      <c r="I380" s="16">
        <v>46022</v>
      </c>
      <c r="J380" s="16">
        <v>46023</v>
      </c>
      <c r="K380" s="16">
        <v>46057</v>
      </c>
      <c r="L380" s="16">
        <v>46015</v>
      </c>
      <c r="M380" s="15"/>
      <c r="N380" s="15" t="s">
        <v>540</v>
      </c>
      <c r="O380" s="15" t="s">
        <v>510</v>
      </c>
      <c r="P380" s="19" t="s">
        <v>888</v>
      </c>
      <c r="Q380" s="15" t="s">
        <v>542</v>
      </c>
      <c r="R380" s="15" t="str">
        <f t="shared" ca="1" si="5"/>
        <v>Passée</v>
      </c>
    </row>
    <row r="381" spans="1:18" ht="15.6" customHeight="1">
      <c r="A381" t="s">
        <v>944</v>
      </c>
      <c r="B381" t="s">
        <v>260</v>
      </c>
      <c r="C381" t="s">
        <v>261</v>
      </c>
      <c r="D381" t="s">
        <v>887</v>
      </c>
      <c r="E381">
        <v>2026</v>
      </c>
      <c r="F381" t="s">
        <v>508</v>
      </c>
      <c r="G381" t="s">
        <v>153</v>
      </c>
      <c r="H381" s="1">
        <v>46045</v>
      </c>
      <c r="I381" s="1">
        <v>46053</v>
      </c>
      <c r="J381" s="1">
        <v>46054</v>
      </c>
      <c r="K381" s="1">
        <v>46086</v>
      </c>
      <c r="L381" s="1">
        <v>46050</v>
      </c>
      <c r="N381" t="s">
        <v>540</v>
      </c>
      <c r="O381" t="s">
        <v>510</v>
      </c>
      <c r="P381" s="19" t="s">
        <v>888</v>
      </c>
      <c r="Q381" t="s">
        <v>542</v>
      </c>
      <c r="R381" t="str">
        <f t="shared" ca="1" si="5"/>
        <v>Passée</v>
      </c>
    </row>
    <row r="382" spans="1:18" ht="15.6" customHeight="1">
      <c r="A382" s="15" t="s">
        <v>945</v>
      </c>
      <c r="B382" s="15" t="s">
        <v>260</v>
      </c>
      <c r="C382" s="15" t="s">
        <v>261</v>
      </c>
      <c r="D382" s="15" t="s">
        <v>887</v>
      </c>
      <c r="E382" s="15">
        <v>2026</v>
      </c>
      <c r="F382" s="15" t="s">
        <v>508</v>
      </c>
      <c r="G382" s="15" t="s">
        <v>154</v>
      </c>
      <c r="H382" s="16">
        <v>46073</v>
      </c>
      <c r="I382" s="16">
        <v>46081</v>
      </c>
      <c r="J382" s="16">
        <v>46082</v>
      </c>
      <c r="K382" s="16">
        <v>46113</v>
      </c>
      <c r="L382" s="16">
        <v>46078</v>
      </c>
      <c r="M382" s="15"/>
      <c r="N382" s="15" t="s">
        <v>540</v>
      </c>
      <c r="O382" s="15" t="s">
        <v>510</v>
      </c>
      <c r="P382" s="19" t="s">
        <v>888</v>
      </c>
      <c r="Q382" s="15" t="s">
        <v>542</v>
      </c>
      <c r="R382" s="15" t="str">
        <f t="shared" ca="1" si="5"/>
        <v>Passée</v>
      </c>
    </row>
    <row r="383" spans="1:18" ht="15.6" customHeight="1">
      <c r="A383" t="s">
        <v>946</v>
      </c>
      <c r="B383" t="s">
        <v>260</v>
      </c>
      <c r="C383" t="s">
        <v>261</v>
      </c>
      <c r="D383" t="s">
        <v>887</v>
      </c>
      <c r="E383">
        <v>2026</v>
      </c>
      <c r="F383" t="s">
        <v>508</v>
      </c>
      <c r="G383" t="s">
        <v>155</v>
      </c>
      <c r="H383" s="1">
        <v>46104</v>
      </c>
      <c r="I383" s="1">
        <v>46112</v>
      </c>
      <c r="J383" s="1">
        <v>46113</v>
      </c>
      <c r="K383" s="1">
        <v>46148</v>
      </c>
      <c r="L383" s="1">
        <v>46107</v>
      </c>
      <c r="N383" t="s">
        <v>540</v>
      </c>
      <c r="O383" t="s">
        <v>510</v>
      </c>
      <c r="P383" s="19" t="s">
        <v>888</v>
      </c>
      <c r="Q383" t="s">
        <v>542</v>
      </c>
      <c r="R383" t="str">
        <f t="shared" ca="1" si="5"/>
        <v>Passée</v>
      </c>
    </row>
    <row r="384" spans="1:18" ht="15.6" customHeight="1">
      <c r="A384" s="15" t="s">
        <v>947</v>
      </c>
      <c r="B384" s="15" t="s">
        <v>260</v>
      </c>
      <c r="C384" s="15" t="s">
        <v>261</v>
      </c>
      <c r="D384" s="15" t="s">
        <v>887</v>
      </c>
      <c r="E384" s="15">
        <v>2026</v>
      </c>
      <c r="F384" s="15" t="s">
        <v>508</v>
      </c>
      <c r="G384" s="15" t="s">
        <v>156</v>
      </c>
      <c r="H384" s="16">
        <v>46134</v>
      </c>
      <c r="I384" s="16">
        <v>46142</v>
      </c>
      <c r="J384" s="16">
        <v>46143</v>
      </c>
      <c r="K384" s="16">
        <v>46181</v>
      </c>
      <c r="L384" s="16">
        <v>46139</v>
      </c>
      <c r="M384" s="15"/>
      <c r="N384" s="15" t="s">
        <v>540</v>
      </c>
      <c r="O384" s="15" t="s">
        <v>510</v>
      </c>
      <c r="P384" s="19" t="s">
        <v>888</v>
      </c>
      <c r="Q384" s="15" t="s">
        <v>542</v>
      </c>
      <c r="R384" s="15" t="str">
        <f t="shared" ca="1" si="5"/>
        <v>Passée</v>
      </c>
    </row>
    <row r="385" spans="1:18" ht="15.6" customHeight="1">
      <c r="A385" t="s">
        <v>948</v>
      </c>
      <c r="B385" t="s">
        <v>260</v>
      </c>
      <c r="C385" t="s">
        <v>261</v>
      </c>
      <c r="D385" t="s">
        <v>887</v>
      </c>
      <c r="E385">
        <v>2026</v>
      </c>
      <c r="F385" t="s">
        <v>508</v>
      </c>
      <c r="G385" t="s">
        <v>157</v>
      </c>
      <c r="H385" s="1">
        <v>46163</v>
      </c>
      <c r="I385" s="1">
        <v>46173</v>
      </c>
      <c r="J385" s="1">
        <v>46174</v>
      </c>
      <c r="K385" s="1">
        <v>46209</v>
      </c>
      <c r="L385" s="1">
        <v>46169</v>
      </c>
      <c r="N385" t="s">
        <v>540</v>
      </c>
      <c r="O385" t="s">
        <v>510</v>
      </c>
      <c r="P385" s="19" t="s">
        <v>888</v>
      </c>
      <c r="Q385" t="s">
        <v>542</v>
      </c>
      <c r="R385" t="str">
        <f t="shared" ca="1" si="5"/>
        <v>Passée</v>
      </c>
    </row>
    <row r="386" spans="1:18" ht="15.6" customHeight="1">
      <c r="A386" s="15" t="s">
        <v>949</v>
      </c>
      <c r="B386" s="15" t="s">
        <v>260</v>
      </c>
      <c r="C386" s="15" t="s">
        <v>261</v>
      </c>
      <c r="D386" s="15" t="s">
        <v>887</v>
      </c>
      <c r="E386" s="15">
        <v>2026</v>
      </c>
      <c r="F386" s="15" t="s">
        <v>508</v>
      </c>
      <c r="G386" s="15" t="s">
        <v>158</v>
      </c>
      <c r="H386" s="16">
        <v>46191</v>
      </c>
      <c r="I386" s="16">
        <v>46203</v>
      </c>
      <c r="J386" s="16">
        <v>46204</v>
      </c>
      <c r="K386" s="16">
        <v>46234</v>
      </c>
      <c r="L386" s="16">
        <v>46198</v>
      </c>
      <c r="M386" s="15"/>
      <c r="N386" s="15" t="s">
        <v>540</v>
      </c>
      <c r="O386" s="15" t="s">
        <v>510</v>
      </c>
      <c r="P386" s="19" t="s">
        <v>888</v>
      </c>
      <c r="Q386" s="15" t="s">
        <v>542</v>
      </c>
      <c r="R386" s="15" t="str">
        <f t="shared" ref="R386:R449" ca="1" si="6">IF(H386&gt;=TODAY(),"À venir","Passée")</f>
        <v>Passée</v>
      </c>
    </row>
    <row r="387" spans="1:18" ht="15.6" customHeight="1">
      <c r="A387" t="s">
        <v>950</v>
      </c>
      <c r="B387" t="s">
        <v>260</v>
      </c>
      <c r="C387" t="s">
        <v>261</v>
      </c>
      <c r="D387" t="s">
        <v>887</v>
      </c>
      <c r="E387">
        <v>2026</v>
      </c>
      <c r="F387" t="s">
        <v>508</v>
      </c>
      <c r="G387" t="s">
        <v>159</v>
      </c>
      <c r="H387" s="1">
        <v>46226</v>
      </c>
      <c r="I387" s="1">
        <v>46234</v>
      </c>
      <c r="J387" s="1">
        <v>46235</v>
      </c>
      <c r="K387" s="1">
        <v>46268</v>
      </c>
      <c r="L387" s="1">
        <v>46231</v>
      </c>
      <c r="N387" t="s">
        <v>540</v>
      </c>
      <c r="O387" t="s">
        <v>510</v>
      </c>
      <c r="P387" s="19" t="s">
        <v>888</v>
      </c>
      <c r="Q387" t="s">
        <v>542</v>
      </c>
      <c r="R387" t="str">
        <f t="shared" ca="1" si="6"/>
        <v>Passée</v>
      </c>
    </row>
    <row r="388" spans="1:18" ht="15.6" customHeight="1">
      <c r="A388" s="15" t="s">
        <v>951</v>
      </c>
      <c r="B388" s="15" t="s">
        <v>260</v>
      </c>
      <c r="C388" s="15" t="s">
        <v>261</v>
      </c>
      <c r="D388" s="15" t="s">
        <v>887</v>
      </c>
      <c r="E388" s="15">
        <v>2026</v>
      </c>
      <c r="F388" s="15" t="s">
        <v>508</v>
      </c>
      <c r="G388" s="15" t="s">
        <v>160</v>
      </c>
      <c r="H388" s="16">
        <v>46255</v>
      </c>
      <c r="I388" s="16">
        <v>46265</v>
      </c>
      <c r="J388" s="16">
        <v>46266</v>
      </c>
      <c r="K388" s="16">
        <v>46296</v>
      </c>
      <c r="L388" s="16">
        <v>46260</v>
      </c>
      <c r="M388" s="15"/>
      <c r="N388" s="15" t="s">
        <v>540</v>
      </c>
      <c r="O388" s="15" t="s">
        <v>510</v>
      </c>
      <c r="P388" s="19" t="s">
        <v>888</v>
      </c>
      <c r="Q388" s="15" t="s">
        <v>542</v>
      </c>
      <c r="R388" s="15" t="str">
        <f t="shared" ca="1" si="6"/>
        <v>Passée</v>
      </c>
    </row>
    <row r="389" spans="1:18" ht="15.6" customHeight="1">
      <c r="A389" t="s">
        <v>952</v>
      </c>
      <c r="B389" t="s">
        <v>260</v>
      </c>
      <c r="C389" t="s">
        <v>261</v>
      </c>
      <c r="D389" t="s">
        <v>887</v>
      </c>
      <c r="E389">
        <v>2026</v>
      </c>
      <c r="F389" t="s">
        <v>508</v>
      </c>
      <c r="G389" t="s">
        <v>161</v>
      </c>
      <c r="H389" s="1">
        <v>46287</v>
      </c>
      <c r="I389" s="1">
        <v>46295</v>
      </c>
      <c r="J389" s="1">
        <v>46296</v>
      </c>
      <c r="K389" s="1">
        <v>46329</v>
      </c>
      <c r="L389" s="1">
        <v>46290</v>
      </c>
      <c r="N389" t="s">
        <v>540</v>
      </c>
      <c r="O389" t="s">
        <v>510</v>
      </c>
      <c r="P389" s="19" t="s">
        <v>888</v>
      </c>
      <c r="Q389" t="s">
        <v>542</v>
      </c>
      <c r="R389" t="str">
        <f t="shared" ca="1" si="6"/>
        <v>À venir</v>
      </c>
    </row>
    <row r="390" spans="1:18" ht="15.6" customHeight="1">
      <c r="A390" s="15" t="s">
        <v>953</v>
      </c>
      <c r="B390" s="15" t="s">
        <v>260</v>
      </c>
      <c r="C390" s="15" t="s">
        <v>261</v>
      </c>
      <c r="D390" s="15" t="s">
        <v>887</v>
      </c>
      <c r="E390" s="15">
        <v>2026</v>
      </c>
      <c r="F390" s="15" t="s">
        <v>508</v>
      </c>
      <c r="G390" s="15" t="s">
        <v>162</v>
      </c>
      <c r="H390" s="16">
        <v>46317</v>
      </c>
      <c r="I390" s="16">
        <v>46326</v>
      </c>
      <c r="J390" s="16">
        <v>46327</v>
      </c>
      <c r="K390" s="16">
        <v>46359</v>
      </c>
      <c r="L390" s="16">
        <v>46323</v>
      </c>
      <c r="M390" s="15"/>
      <c r="N390" s="15" t="s">
        <v>540</v>
      </c>
      <c r="O390" s="15" t="s">
        <v>510</v>
      </c>
      <c r="P390" s="19" t="s">
        <v>888</v>
      </c>
      <c r="Q390" s="15" t="s">
        <v>542</v>
      </c>
      <c r="R390" s="15" t="str">
        <f t="shared" ca="1" si="6"/>
        <v>À venir</v>
      </c>
    </row>
    <row r="391" spans="1:18" ht="15.6" customHeight="1">
      <c r="A391" t="s">
        <v>954</v>
      </c>
      <c r="B391" t="s">
        <v>260</v>
      </c>
      <c r="C391" t="s">
        <v>261</v>
      </c>
      <c r="D391" t="s">
        <v>887</v>
      </c>
      <c r="E391">
        <v>2026</v>
      </c>
      <c r="F391" t="s">
        <v>508</v>
      </c>
      <c r="G391" t="s">
        <v>163</v>
      </c>
      <c r="H391" s="1">
        <v>46345</v>
      </c>
      <c r="I391" s="1">
        <v>46356</v>
      </c>
      <c r="J391" s="1">
        <v>46357</v>
      </c>
      <c r="K391" s="1">
        <v>46391</v>
      </c>
      <c r="L391" s="1">
        <v>46350</v>
      </c>
      <c r="N391" t="s">
        <v>540</v>
      </c>
      <c r="O391" t="s">
        <v>510</v>
      </c>
      <c r="P391" s="19" t="s">
        <v>888</v>
      </c>
      <c r="Q391" t="s">
        <v>542</v>
      </c>
      <c r="R391" t="str">
        <f t="shared" ca="1" si="6"/>
        <v>À venir</v>
      </c>
    </row>
    <row r="392" spans="1:18" ht="15.6" customHeight="1">
      <c r="A392" s="15" t="s">
        <v>955</v>
      </c>
      <c r="B392" s="15" t="s">
        <v>260</v>
      </c>
      <c r="C392" s="15" t="s">
        <v>261</v>
      </c>
      <c r="D392" s="15" t="s">
        <v>887</v>
      </c>
      <c r="E392" s="15">
        <v>2026</v>
      </c>
      <c r="F392" s="15" t="s">
        <v>508</v>
      </c>
      <c r="G392" s="15" t="s">
        <v>204</v>
      </c>
      <c r="H392" s="16">
        <v>46377</v>
      </c>
      <c r="I392" s="16">
        <v>46387</v>
      </c>
      <c r="J392" s="16">
        <v>46388</v>
      </c>
      <c r="K392" s="16">
        <v>46422</v>
      </c>
      <c r="L392" s="16">
        <v>46380</v>
      </c>
      <c r="M392" s="15"/>
      <c r="N392" s="15" t="s">
        <v>540</v>
      </c>
      <c r="O392" s="15" t="s">
        <v>510</v>
      </c>
      <c r="P392" s="19" t="s">
        <v>888</v>
      </c>
      <c r="Q392" s="15" t="s">
        <v>542</v>
      </c>
      <c r="R392" s="15" t="str">
        <f t="shared" ca="1" si="6"/>
        <v>À venir</v>
      </c>
    </row>
    <row r="393" spans="1:18" ht="15.6" customHeight="1">
      <c r="A393" t="s">
        <v>956</v>
      </c>
      <c r="B393" t="s">
        <v>260</v>
      </c>
      <c r="C393" t="s">
        <v>261</v>
      </c>
      <c r="D393" t="s">
        <v>887</v>
      </c>
      <c r="E393">
        <v>2026</v>
      </c>
      <c r="F393" t="s">
        <v>526</v>
      </c>
      <c r="G393" t="s">
        <v>154</v>
      </c>
      <c r="H393" s="1">
        <v>46080</v>
      </c>
      <c r="I393" s="1">
        <v>46112</v>
      </c>
      <c r="J393" s="1">
        <v>46112</v>
      </c>
      <c r="K393" s="1">
        <v>46148</v>
      </c>
      <c r="L393" s="1">
        <v>46155</v>
      </c>
      <c r="M393" t="s">
        <v>902</v>
      </c>
      <c r="N393" t="s">
        <v>540</v>
      </c>
      <c r="O393" t="s">
        <v>510</v>
      </c>
      <c r="P393" s="19" t="s">
        <v>888</v>
      </c>
      <c r="Q393" t="s">
        <v>542</v>
      </c>
      <c r="R393" t="str">
        <f t="shared" ca="1" si="6"/>
        <v>Passée</v>
      </c>
    </row>
    <row r="394" spans="1:18" ht="15.6" customHeight="1">
      <c r="A394" s="15" t="s">
        <v>957</v>
      </c>
      <c r="B394" s="15" t="s">
        <v>260</v>
      </c>
      <c r="C394" s="15" t="s">
        <v>261</v>
      </c>
      <c r="D394" s="15" t="s">
        <v>887</v>
      </c>
      <c r="E394" s="15">
        <v>2026</v>
      </c>
      <c r="F394" s="15" t="s">
        <v>526</v>
      </c>
      <c r="G394" s="15" t="s">
        <v>157</v>
      </c>
      <c r="H394" s="16">
        <v>46169</v>
      </c>
      <c r="I394" s="16">
        <v>46203</v>
      </c>
      <c r="J394" s="16">
        <v>46203</v>
      </c>
      <c r="K394" s="16">
        <v>46234</v>
      </c>
      <c r="L394" s="16">
        <v>46244</v>
      </c>
      <c r="M394" s="15" t="s">
        <v>904</v>
      </c>
      <c r="N394" s="15" t="s">
        <v>540</v>
      </c>
      <c r="O394" s="15" t="s">
        <v>510</v>
      </c>
      <c r="P394" s="19" t="s">
        <v>888</v>
      </c>
      <c r="Q394" s="15" t="s">
        <v>542</v>
      </c>
      <c r="R394" s="15" t="str">
        <f t="shared" ca="1" si="6"/>
        <v>Passée</v>
      </c>
    </row>
    <row r="395" spans="1:18" ht="15.6" customHeight="1">
      <c r="A395" t="s">
        <v>958</v>
      </c>
      <c r="B395" t="s">
        <v>260</v>
      </c>
      <c r="C395" t="s">
        <v>261</v>
      </c>
      <c r="D395" t="s">
        <v>887</v>
      </c>
      <c r="E395">
        <v>2026</v>
      </c>
      <c r="F395" t="s">
        <v>526</v>
      </c>
      <c r="G395" t="s">
        <v>160</v>
      </c>
      <c r="H395" s="1">
        <v>46262</v>
      </c>
      <c r="I395" s="1">
        <v>46295</v>
      </c>
      <c r="J395" s="1">
        <v>46295</v>
      </c>
      <c r="K395" s="1">
        <v>46329</v>
      </c>
      <c r="L395" s="1">
        <v>46336</v>
      </c>
      <c r="M395" t="s">
        <v>906</v>
      </c>
      <c r="N395" t="s">
        <v>540</v>
      </c>
      <c r="O395" t="s">
        <v>510</v>
      </c>
      <c r="P395" s="19" t="s">
        <v>888</v>
      </c>
      <c r="Q395" t="s">
        <v>542</v>
      </c>
      <c r="R395" t="str">
        <f t="shared" ca="1" si="6"/>
        <v>Passée</v>
      </c>
    </row>
    <row r="396" spans="1:18" ht="15.6" customHeight="1">
      <c r="A396" s="15" t="s">
        <v>959</v>
      </c>
      <c r="B396" s="15" t="s">
        <v>260</v>
      </c>
      <c r="C396" s="15" t="s">
        <v>261</v>
      </c>
      <c r="D396" s="15" t="s">
        <v>887</v>
      </c>
      <c r="E396" s="15">
        <v>2026</v>
      </c>
      <c r="F396" s="15" t="s">
        <v>526</v>
      </c>
      <c r="G396" s="15" t="s">
        <v>163</v>
      </c>
      <c r="H396" s="16">
        <v>46354</v>
      </c>
      <c r="I396" s="16">
        <v>46387</v>
      </c>
      <c r="J396" s="16">
        <v>46387</v>
      </c>
      <c r="K396" s="16">
        <v>46422</v>
      </c>
      <c r="L396" s="16">
        <v>46429</v>
      </c>
      <c r="M396" s="15" t="s">
        <v>908</v>
      </c>
      <c r="N396" s="15" t="s">
        <v>540</v>
      </c>
      <c r="O396" s="15" t="s">
        <v>510</v>
      </c>
      <c r="P396" s="19" t="s">
        <v>888</v>
      </c>
      <c r="Q396" s="15" t="s">
        <v>542</v>
      </c>
      <c r="R396" s="15" t="str">
        <f t="shared" ca="1" si="6"/>
        <v>À venir</v>
      </c>
    </row>
    <row r="397" spans="1:18" ht="15.6" customHeight="1">
      <c r="A397" t="s">
        <v>960</v>
      </c>
      <c r="B397" t="s">
        <v>415</v>
      </c>
      <c r="C397" t="s">
        <v>416</v>
      </c>
      <c r="D397" t="s">
        <v>961</v>
      </c>
      <c r="E397">
        <v>2025</v>
      </c>
      <c r="F397" t="s">
        <v>508</v>
      </c>
      <c r="G397" t="s">
        <v>286</v>
      </c>
      <c r="H397" s="1">
        <v>45681</v>
      </c>
      <c r="I397" s="1">
        <v>45688</v>
      </c>
      <c r="J397" s="1">
        <v>45688</v>
      </c>
      <c r="K397" s="1">
        <v>45713</v>
      </c>
      <c r="L397" s="1">
        <v>45716</v>
      </c>
      <c r="N397" t="s">
        <v>962</v>
      </c>
      <c r="O397" t="s">
        <v>266</v>
      </c>
      <c r="P397" s="19" t="s">
        <v>963</v>
      </c>
      <c r="Q397" t="s">
        <v>964</v>
      </c>
      <c r="R397" t="str">
        <f t="shared" ca="1" si="6"/>
        <v>Passée</v>
      </c>
    </row>
    <row r="398" spans="1:18" ht="15.6" customHeight="1">
      <c r="A398" s="15" t="s">
        <v>965</v>
      </c>
      <c r="B398" s="15" t="s">
        <v>415</v>
      </c>
      <c r="C398" s="15" t="s">
        <v>416</v>
      </c>
      <c r="D398" s="15" t="s">
        <v>961</v>
      </c>
      <c r="E398" s="15">
        <v>2025</v>
      </c>
      <c r="F398" s="15" t="s">
        <v>508</v>
      </c>
      <c r="G398" s="15" t="s">
        <v>287</v>
      </c>
      <c r="H398" s="16">
        <v>45709</v>
      </c>
      <c r="I398" s="16">
        <v>45716</v>
      </c>
      <c r="J398" s="16">
        <v>45716</v>
      </c>
      <c r="K398" s="16">
        <v>45741</v>
      </c>
      <c r="L398" s="16">
        <v>45744</v>
      </c>
      <c r="M398" s="15"/>
      <c r="N398" s="15" t="s">
        <v>962</v>
      </c>
      <c r="O398" s="15" t="s">
        <v>266</v>
      </c>
      <c r="P398" s="19" t="s">
        <v>963</v>
      </c>
      <c r="Q398" s="15" t="s">
        <v>964</v>
      </c>
      <c r="R398" t="str">
        <f t="shared" ca="1" si="6"/>
        <v>Passée</v>
      </c>
    </row>
    <row r="399" spans="1:18" ht="15.6" customHeight="1">
      <c r="A399" t="s">
        <v>966</v>
      </c>
      <c r="B399" t="s">
        <v>415</v>
      </c>
      <c r="C399" t="s">
        <v>416</v>
      </c>
      <c r="D399" t="s">
        <v>961</v>
      </c>
      <c r="E399">
        <v>2025</v>
      </c>
      <c r="F399" t="s">
        <v>508</v>
      </c>
      <c r="G399" t="s">
        <v>142</v>
      </c>
      <c r="H399" s="1">
        <v>45740</v>
      </c>
      <c r="I399" s="1">
        <v>45747</v>
      </c>
      <c r="J399" s="1">
        <v>45747</v>
      </c>
      <c r="K399" s="1">
        <v>45772</v>
      </c>
      <c r="L399" s="1">
        <v>45777</v>
      </c>
      <c r="N399" t="s">
        <v>962</v>
      </c>
      <c r="O399" t="s">
        <v>266</v>
      </c>
      <c r="P399" s="19" t="s">
        <v>963</v>
      </c>
      <c r="Q399" t="s">
        <v>964</v>
      </c>
      <c r="R399" t="str">
        <f t="shared" ca="1" si="6"/>
        <v>Passée</v>
      </c>
    </row>
    <row r="400" spans="1:18" ht="15.6" customHeight="1">
      <c r="A400" s="15" t="s">
        <v>967</v>
      </c>
      <c r="B400" s="15" t="s">
        <v>415</v>
      </c>
      <c r="C400" s="15" t="s">
        <v>416</v>
      </c>
      <c r="D400" s="15" t="s">
        <v>961</v>
      </c>
      <c r="E400" s="15">
        <v>2025</v>
      </c>
      <c r="F400" s="15" t="s">
        <v>508</v>
      </c>
      <c r="G400" s="15" t="s">
        <v>143</v>
      </c>
      <c r="H400" s="16">
        <v>45770</v>
      </c>
      <c r="I400" s="16">
        <v>45777</v>
      </c>
      <c r="J400" s="16">
        <v>45777</v>
      </c>
      <c r="K400" s="16">
        <v>45804</v>
      </c>
      <c r="L400" s="16">
        <v>45810</v>
      </c>
      <c r="M400" s="15"/>
      <c r="N400" s="15" t="s">
        <v>962</v>
      </c>
      <c r="O400" s="15" t="s">
        <v>266</v>
      </c>
      <c r="P400" s="19" t="s">
        <v>963</v>
      </c>
      <c r="Q400" s="15" t="s">
        <v>964</v>
      </c>
      <c r="R400" t="str">
        <f t="shared" ca="1" si="6"/>
        <v>Passée</v>
      </c>
    </row>
    <row r="401" spans="1:18" ht="15.6" customHeight="1">
      <c r="A401" t="s">
        <v>968</v>
      </c>
      <c r="B401" t="s">
        <v>415</v>
      </c>
      <c r="C401" t="s">
        <v>416</v>
      </c>
      <c r="D401" t="s">
        <v>961</v>
      </c>
      <c r="E401">
        <v>2025</v>
      </c>
      <c r="F401" t="s">
        <v>508</v>
      </c>
      <c r="G401" t="s">
        <v>144</v>
      </c>
      <c r="H401" s="1">
        <v>45799</v>
      </c>
      <c r="I401" s="1">
        <v>45807</v>
      </c>
      <c r="J401" s="1">
        <v>45807</v>
      </c>
      <c r="K401" s="1">
        <v>45834</v>
      </c>
      <c r="L401" s="1">
        <v>45839</v>
      </c>
      <c r="N401" t="s">
        <v>962</v>
      </c>
      <c r="O401" t="s">
        <v>266</v>
      </c>
      <c r="P401" s="19" t="s">
        <v>963</v>
      </c>
      <c r="Q401" t="s">
        <v>964</v>
      </c>
      <c r="R401" t="str">
        <f t="shared" ca="1" si="6"/>
        <v>Passée</v>
      </c>
    </row>
    <row r="402" spans="1:18" ht="15.6" customHeight="1">
      <c r="A402" s="15" t="s">
        <v>969</v>
      </c>
      <c r="B402" s="15" t="s">
        <v>415</v>
      </c>
      <c r="C402" s="15" t="s">
        <v>416</v>
      </c>
      <c r="D402" s="15" t="s">
        <v>961</v>
      </c>
      <c r="E402" s="15">
        <v>2025</v>
      </c>
      <c r="F402" s="15" t="s">
        <v>508</v>
      </c>
      <c r="G402" s="15" t="s">
        <v>145</v>
      </c>
      <c r="H402" s="16">
        <v>45828</v>
      </c>
      <c r="I402" s="16">
        <v>45838</v>
      </c>
      <c r="J402" s="16">
        <v>45838</v>
      </c>
      <c r="K402" s="16">
        <v>45861</v>
      </c>
      <c r="L402" s="16">
        <v>45866</v>
      </c>
      <c r="M402" s="15"/>
      <c r="N402" s="15" t="s">
        <v>962</v>
      </c>
      <c r="O402" s="15" t="s">
        <v>266</v>
      </c>
      <c r="P402" s="19" t="s">
        <v>963</v>
      </c>
      <c r="Q402" s="15" t="s">
        <v>964</v>
      </c>
      <c r="R402" t="str">
        <f t="shared" ca="1" si="6"/>
        <v>Passée</v>
      </c>
    </row>
    <row r="403" spans="1:18" ht="15.6" customHeight="1">
      <c r="A403" t="s">
        <v>970</v>
      </c>
      <c r="B403" t="s">
        <v>415</v>
      </c>
      <c r="C403" t="s">
        <v>416</v>
      </c>
      <c r="D403" t="s">
        <v>961</v>
      </c>
      <c r="E403">
        <v>2025</v>
      </c>
      <c r="F403" t="s">
        <v>508</v>
      </c>
      <c r="G403" t="s">
        <v>146</v>
      </c>
      <c r="H403" s="1">
        <v>45862</v>
      </c>
      <c r="I403" s="1">
        <v>45869</v>
      </c>
      <c r="J403" s="1">
        <v>45869</v>
      </c>
      <c r="K403" s="1">
        <v>45895</v>
      </c>
      <c r="L403" s="1">
        <v>45898</v>
      </c>
      <c r="N403" t="s">
        <v>962</v>
      </c>
      <c r="O403" t="s">
        <v>266</v>
      </c>
      <c r="P403" s="19" t="s">
        <v>963</v>
      </c>
      <c r="Q403" t="s">
        <v>964</v>
      </c>
      <c r="R403" t="str">
        <f t="shared" ca="1" si="6"/>
        <v>Passée</v>
      </c>
    </row>
    <row r="404" spans="1:18" ht="15.6" customHeight="1">
      <c r="A404" s="15" t="s">
        <v>971</v>
      </c>
      <c r="B404" s="15" t="s">
        <v>415</v>
      </c>
      <c r="C404" s="15" t="s">
        <v>416</v>
      </c>
      <c r="D404" s="15" t="s">
        <v>961</v>
      </c>
      <c r="E404" s="15">
        <v>2025</v>
      </c>
      <c r="F404" s="15" t="s">
        <v>508</v>
      </c>
      <c r="G404" s="15" t="s">
        <v>147</v>
      </c>
      <c r="H404" s="16">
        <v>45891</v>
      </c>
      <c r="I404" s="16">
        <v>45898</v>
      </c>
      <c r="J404" s="16">
        <v>45898</v>
      </c>
      <c r="K404" s="16">
        <v>45923</v>
      </c>
      <c r="L404" s="16">
        <v>45926</v>
      </c>
      <c r="M404" s="15"/>
      <c r="N404" s="15" t="s">
        <v>962</v>
      </c>
      <c r="O404" s="15" t="s">
        <v>266</v>
      </c>
      <c r="P404" s="19" t="s">
        <v>963</v>
      </c>
      <c r="Q404" s="15" t="s">
        <v>964</v>
      </c>
      <c r="R404" t="str">
        <f t="shared" ca="1" si="6"/>
        <v>Passée</v>
      </c>
    </row>
    <row r="405" spans="1:18" ht="15.6" customHeight="1">
      <c r="A405" t="s">
        <v>972</v>
      </c>
      <c r="B405" t="s">
        <v>415</v>
      </c>
      <c r="C405" t="s">
        <v>416</v>
      </c>
      <c r="D405" t="s">
        <v>961</v>
      </c>
      <c r="E405">
        <v>2025</v>
      </c>
      <c r="F405" t="s">
        <v>508</v>
      </c>
      <c r="G405" t="s">
        <v>148</v>
      </c>
      <c r="H405" s="1">
        <v>45923</v>
      </c>
      <c r="I405" s="1">
        <v>45930</v>
      </c>
      <c r="J405" s="1">
        <v>45930</v>
      </c>
      <c r="K405" s="1">
        <v>45953</v>
      </c>
      <c r="L405" s="1">
        <v>45958</v>
      </c>
      <c r="N405" t="s">
        <v>962</v>
      </c>
      <c r="O405" t="s">
        <v>266</v>
      </c>
      <c r="P405" s="19" t="s">
        <v>963</v>
      </c>
      <c r="Q405" t="s">
        <v>964</v>
      </c>
      <c r="R405" t="str">
        <f t="shared" ca="1" si="6"/>
        <v>Passée</v>
      </c>
    </row>
    <row r="406" spans="1:18" ht="15.6" customHeight="1">
      <c r="A406" s="15" t="s">
        <v>973</v>
      </c>
      <c r="B406" s="15" t="s">
        <v>415</v>
      </c>
      <c r="C406" s="15" t="s">
        <v>416</v>
      </c>
      <c r="D406" s="15" t="s">
        <v>961</v>
      </c>
      <c r="E406" s="15">
        <v>2025</v>
      </c>
      <c r="F406" s="15" t="s">
        <v>508</v>
      </c>
      <c r="G406" s="15" t="s">
        <v>149</v>
      </c>
      <c r="H406" s="16">
        <v>45954</v>
      </c>
      <c r="I406" s="16">
        <v>45961</v>
      </c>
      <c r="J406" s="16">
        <v>45961</v>
      </c>
      <c r="K406" s="16">
        <v>45986</v>
      </c>
      <c r="L406" s="16">
        <v>45989</v>
      </c>
      <c r="M406" s="15"/>
      <c r="N406" s="15" t="s">
        <v>962</v>
      </c>
      <c r="O406" s="15" t="s">
        <v>266</v>
      </c>
      <c r="P406" s="19" t="s">
        <v>963</v>
      </c>
      <c r="Q406" s="15" t="s">
        <v>964</v>
      </c>
      <c r="R406" t="str">
        <f t="shared" ca="1" si="6"/>
        <v>Passée</v>
      </c>
    </row>
    <row r="407" spans="1:18" ht="15.6" customHeight="1">
      <c r="A407" t="s">
        <v>974</v>
      </c>
      <c r="B407" t="s">
        <v>415</v>
      </c>
      <c r="C407" t="s">
        <v>416</v>
      </c>
      <c r="D407" t="s">
        <v>961</v>
      </c>
      <c r="E407">
        <v>2025</v>
      </c>
      <c r="F407" t="s">
        <v>508</v>
      </c>
      <c r="G407" t="s">
        <v>150</v>
      </c>
      <c r="H407" s="1">
        <v>45982</v>
      </c>
      <c r="I407" s="1">
        <v>45989</v>
      </c>
      <c r="J407" s="1">
        <v>45989</v>
      </c>
      <c r="K407" s="1">
        <v>46014</v>
      </c>
      <c r="L407" s="1">
        <v>46022</v>
      </c>
      <c r="N407" t="s">
        <v>962</v>
      </c>
      <c r="O407" t="s">
        <v>266</v>
      </c>
      <c r="P407" s="19" t="s">
        <v>963</v>
      </c>
      <c r="Q407" t="s">
        <v>964</v>
      </c>
      <c r="R407" t="str">
        <f t="shared" ca="1" si="6"/>
        <v>Passée</v>
      </c>
    </row>
    <row r="408" spans="1:18" ht="15.6" customHeight="1">
      <c r="A408" s="15" t="s">
        <v>975</v>
      </c>
      <c r="B408" s="15" t="s">
        <v>415</v>
      </c>
      <c r="C408" s="15" t="s">
        <v>416</v>
      </c>
      <c r="D408" s="15" t="s">
        <v>961</v>
      </c>
      <c r="E408" s="15">
        <v>2025</v>
      </c>
      <c r="F408" s="15" t="s">
        <v>508</v>
      </c>
      <c r="G408" s="15" t="s">
        <v>151</v>
      </c>
      <c r="H408" s="16">
        <v>46010</v>
      </c>
      <c r="I408" s="16">
        <v>46022</v>
      </c>
      <c r="J408" s="16">
        <v>46022</v>
      </c>
      <c r="K408" s="16">
        <v>46048</v>
      </c>
      <c r="L408" s="16">
        <v>46051</v>
      </c>
      <c r="M408" s="15"/>
      <c r="N408" s="15" t="s">
        <v>962</v>
      </c>
      <c r="O408" s="15" t="s">
        <v>266</v>
      </c>
      <c r="P408" s="19" t="s">
        <v>963</v>
      </c>
      <c r="Q408" s="15" t="s">
        <v>964</v>
      </c>
      <c r="R408" t="str">
        <f t="shared" ca="1" si="6"/>
        <v>Passée</v>
      </c>
    </row>
    <row r="409" spans="1:18" ht="15.6" customHeight="1">
      <c r="A409" t="s">
        <v>976</v>
      </c>
      <c r="B409" t="s">
        <v>415</v>
      </c>
      <c r="C409" t="s">
        <v>416</v>
      </c>
      <c r="D409" t="s">
        <v>961</v>
      </c>
      <c r="E409">
        <v>2026</v>
      </c>
      <c r="F409" t="s">
        <v>508</v>
      </c>
      <c r="G409" t="s">
        <v>152</v>
      </c>
      <c r="H409" s="1">
        <v>46045</v>
      </c>
      <c r="I409" s="1">
        <v>46052</v>
      </c>
      <c r="J409" s="1">
        <v>46052</v>
      </c>
      <c r="K409" s="1">
        <v>46077</v>
      </c>
      <c r="L409" s="1">
        <v>46080</v>
      </c>
      <c r="N409" t="s">
        <v>962</v>
      </c>
      <c r="O409" t="s">
        <v>266</v>
      </c>
      <c r="P409" s="19" t="s">
        <v>963</v>
      </c>
      <c r="Q409" t="s">
        <v>964</v>
      </c>
      <c r="R409" t="str">
        <f t="shared" ca="1" si="6"/>
        <v>Passée</v>
      </c>
    </row>
    <row r="410" spans="1:18" ht="15.6" customHeight="1">
      <c r="A410" s="15" t="s">
        <v>977</v>
      </c>
      <c r="B410" s="15" t="s">
        <v>415</v>
      </c>
      <c r="C410" s="15" t="s">
        <v>416</v>
      </c>
      <c r="D410" s="15" t="s">
        <v>961</v>
      </c>
      <c r="E410" s="15">
        <v>2026</v>
      </c>
      <c r="F410" s="15" t="s">
        <v>508</v>
      </c>
      <c r="G410" s="15" t="s">
        <v>153</v>
      </c>
      <c r="H410" s="16">
        <v>46073</v>
      </c>
      <c r="I410" s="16">
        <v>46080</v>
      </c>
      <c r="J410" s="16">
        <v>46080</v>
      </c>
      <c r="K410" s="16">
        <v>46105</v>
      </c>
      <c r="L410" s="16">
        <v>46108</v>
      </c>
      <c r="M410" s="15"/>
      <c r="N410" s="15" t="s">
        <v>962</v>
      </c>
      <c r="O410" s="15" t="s">
        <v>266</v>
      </c>
      <c r="P410" s="19" t="s">
        <v>963</v>
      </c>
      <c r="Q410" s="15" t="s">
        <v>964</v>
      </c>
      <c r="R410" t="str">
        <f t="shared" ca="1" si="6"/>
        <v>Passée</v>
      </c>
    </row>
    <row r="411" spans="1:18" ht="15.6" customHeight="1">
      <c r="A411" t="s">
        <v>978</v>
      </c>
      <c r="B411" t="s">
        <v>415</v>
      </c>
      <c r="C411" t="s">
        <v>416</v>
      </c>
      <c r="D411" t="s">
        <v>961</v>
      </c>
      <c r="E411">
        <v>2026</v>
      </c>
      <c r="F411" t="s">
        <v>508</v>
      </c>
      <c r="G411" t="s">
        <v>154</v>
      </c>
      <c r="H411" s="1">
        <v>46105</v>
      </c>
      <c r="I411" s="1">
        <v>46112</v>
      </c>
      <c r="J411" s="1">
        <v>46112</v>
      </c>
      <c r="K411" s="1">
        <v>46139</v>
      </c>
      <c r="L411" s="1">
        <v>46142</v>
      </c>
      <c r="N411" t="s">
        <v>962</v>
      </c>
      <c r="O411" t="s">
        <v>266</v>
      </c>
      <c r="P411" s="19" t="s">
        <v>963</v>
      </c>
      <c r="Q411" t="s">
        <v>964</v>
      </c>
      <c r="R411" t="str">
        <f t="shared" ca="1" si="6"/>
        <v>Passée</v>
      </c>
    </row>
    <row r="412" spans="1:18" ht="15.6" customHeight="1">
      <c r="A412" s="15" t="s">
        <v>979</v>
      </c>
      <c r="B412" s="15" t="s">
        <v>415</v>
      </c>
      <c r="C412" s="15" t="s">
        <v>416</v>
      </c>
      <c r="D412" s="15" t="s">
        <v>961</v>
      </c>
      <c r="E412" s="15">
        <v>2026</v>
      </c>
      <c r="F412" s="15" t="s">
        <v>508</v>
      </c>
      <c r="G412" s="15" t="s">
        <v>155</v>
      </c>
      <c r="H412" s="16">
        <v>46135</v>
      </c>
      <c r="I412" s="16">
        <v>46142</v>
      </c>
      <c r="J412" s="16">
        <v>46142</v>
      </c>
      <c r="K412" s="16">
        <v>46170</v>
      </c>
      <c r="L412" s="16">
        <v>46175</v>
      </c>
      <c r="M412" s="15"/>
      <c r="N412" s="15" t="s">
        <v>962</v>
      </c>
      <c r="O412" s="15" t="s">
        <v>266</v>
      </c>
      <c r="P412" s="19" t="s">
        <v>963</v>
      </c>
      <c r="Q412" s="15" t="s">
        <v>964</v>
      </c>
      <c r="R412" t="str">
        <f t="shared" ca="1" si="6"/>
        <v>Passée</v>
      </c>
    </row>
    <row r="413" spans="1:18" ht="15.6" customHeight="1">
      <c r="A413" t="s">
        <v>980</v>
      </c>
      <c r="B413" t="s">
        <v>415</v>
      </c>
      <c r="C413" t="s">
        <v>416</v>
      </c>
      <c r="D413" t="s">
        <v>961</v>
      </c>
      <c r="E413">
        <v>2026</v>
      </c>
      <c r="F413" t="s">
        <v>508</v>
      </c>
      <c r="G413" t="s">
        <v>156</v>
      </c>
      <c r="H413" s="1">
        <v>46163</v>
      </c>
      <c r="I413" s="1">
        <v>46171</v>
      </c>
      <c r="J413" s="1">
        <v>46171</v>
      </c>
      <c r="K413" s="1">
        <v>46197</v>
      </c>
      <c r="L413" s="1">
        <v>46202</v>
      </c>
      <c r="N413" t="s">
        <v>962</v>
      </c>
      <c r="O413" t="s">
        <v>266</v>
      </c>
      <c r="P413" s="19" t="s">
        <v>963</v>
      </c>
      <c r="Q413" t="s">
        <v>964</v>
      </c>
      <c r="R413" t="str">
        <f t="shared" ca="1" si="6"/>
        <v>Passée</v>
      </c>
    </row>
    <row r="414" spans="1:18" ht="15.6" customHeight="1">
      <c r="A414" s="15" t="s">
        <v>981</v>
      </c>
      <c r="B414" s="15" t="s">
        <v>415</v>
      </c>
      <c r="C414" s="15" t="s">
        <v>416</v>
      </c>
      <c r="D414" s="15" t="s">
        <v>961</v>
      </c>
      <c r="E414" s="15">
        <v>2026</v>
      </c>
      <c r="F414" s="15" t="s">
        <v>508</v>
      </c>
      <c r="G414" s="15" t="s">
        <v>157</v>
      </c>
      <c r="H414" s="16">
        <v>46195</v>
      </c>
      <c r="I414" s="16">
        <v>46203</v>
      </c>
      <c r="J414" s="16">
        <v>46203</v>
      </c>
      <c r="K414" s="16">
        <v>46226</v>
      </c>
      <c r="L414" s="16">
        <v>46231</v>
      </c>
      <c r="M414" s="15"/>
      <c r="N414" s="15" t="s">
        <v>962</v>
      </c>
      <c r="O414" s="15" t="s">
        <v>266</v>
      </c>
      <c r="P414" s="19" t="s">
        <v>963</v>
      </c>
      <c r="Q414" s="15" t="s">
        <v>964</v>
      </c>
      <c r="R414" t="str">
        <f t="shared" ca="1" si="6"/>
        <v>Passée</v>
      </c>
    </row>
    <row r="415" spans="1:18" ht="15.6" customHeight="1">
      <c r="A415" t="s">
        <v>982</v>
      </c>
      <c r="B415" t="s">
        <v>415</v>
      </c>
      <c r="C415" t="s">
        <v>416</v>
      </c>
      <c r="D415" t="s">
        <v>961</v>
      </c>
      <c r="E415">
        <v>2026</v>
      </c>
      <c r="F415" t="s">
        <v>508</v>
      </c>
      <c r="G415" t="s">
        <v>158</v>
      </c>
      <c r="H415" s="1">
        <v>46227</v>
      </c>
      <c r="I415" s="1">
        <v>46234</v>
      </c>
      <c r="J415" s="1">
        <v>46234</v>
      </c>
      <c r="K415" s="1">
        <v>46259</v>
      </c>
      <c r="L415" s="1">
        <v>46262</v>
      </c>
      <c r="N415" t="s">
        <v>962</v>
      </c>
      <c r="O415" t="s">
        <v>266</v>
      </c>
      <c r="P415" s="19" t="s">
        <v>963</v>
      </c>
      <c r="Q415" t="s">
        <v>964</v>
      </c>
      <c r="R415" t="str">
        <f t="shared" ca="1" si="6"/>
        <v>Passée</v>
      </c>
    </row>
    <row r="416" spans="1:18" ht="15.6" customHeight="1">
      <c r="A416" s="15" t="s">
        <v>983</v>
      </c>
      <c r="B416" s="15" t="s">
        <v>415</v>
      </c>
      <c r="C416" s="15" t="s">
        <v>416</v>
      </c>
      <c r="D416" s="15" t="s">
        <v>961</v>
      </c>
      <c r="E416" s="15">
        <v>2026</v>
      </c>
      <c r="F416" s="15" t="s">
        <v>508</v>
      </c>
      <c r="G416" s="15" t="s">
        <v>159</v>
      </c>
      <c r="H416" s="16">
        <v>46258</v>
      </c>
      <c r="I416" s="16">
        <v>46265</v>
      </c>
      <c r="J416" s="16">
        <v>46265</v>
      </c>
      <c r="K416" s="16">
        <v>46288</v>
      </c>
      <c r="L416" s="16">
        <v>46293</v>
      </c>
      <c r="M416" s="15"/>
      <c r="N416" s="15" t="s">
        <v>962</v>
      </c>
      <c r="O416" s="15" t="s">
        <v>266</v>
      </c>
      <c r="P416" s="19" t="s">
        <v>963</v>
      </c>
      <c r="Q416" s="15" t="s">
        <v>964</v>
      </c>
      <c r="R416" t="str">
        <f t="shared" ca="1" si="6"/>
        <v>Passée</v>
      </c>
    </row>
    <row r="417" spans="1:18" ht="15.6" customHeight="1">
      <c r="A417" t="s">
        <v>984</v>
      </c>
      <c r="B417" t="s">
        <v>415</v>
      </c>
      <c r="C417" t="s">
        <v>416</v>
      </c>
      <c r="D417" t="s">
        <v>961</v>
      </c>
      <c r="E417">
        <v>2026</v>
      </c>
      <c r="F417" t="s">
        <v>508</v>
      </c>
      <c r="G417" t="s">
        <v>160</v>
      </c>
      <c r="H417" s="1">
        <v>46288</v>
      </c>
      <c r="I417" s="1">
        <v>46295</v>
      </c>
      <c r="J417" s="1">
        <v>46295</v>
      </c>
      <c r="K417" s="1">
        <v>46318</v>
      </c>
      <c r="L417" s="1">
        <v>46323</v>
      </c>
      <c r="N417" t="s">
        <v>962</v>
      </c>
      <c r="O417" t="s">
        <v>266</v>
      </c>
      <c r="P417" s="19" t="s">
        <v>963</v>
      </c>
      <c r="Q417" t="s">
        <v>964</v>
      </c>
      <c r="R417" t="str">
        <f t="shared" ca="1" si="6"/>
        <v>À venir</v>
      </c>
    </row>
    <row r="418" spans="1:18" ht="15.6" customHeight="1">
      <c r="A418" s="15" t="s">
        <v>985</v>
      </c>
      <c r="B418" s="15" t="s">
        <v>415</v>
      </c>
      <c r="C418" s="15" t="s">
        <v>416</v>
      </c>
      <c r="D418" s="15" t="s">
        <v>961</v>
      </c>
      <c r="E418" s="15">
        <v>2026</v>
      </c>
      <c r="F418" s="15" t="s">
        <v>508</v>
      </c>
      <c r="G418" s="15" t="s">
        <v>161</v>
      </c>
      <c r="H418" s="16">
        <v>46318</v>
      </c>
      <c r="I418" s="16">
        <v>46325</v>
      </c>
      <c r="J418" s="16">
        <v>46325</v>
      </c>
      <c r="K418" s="16">
        <v>46350</v>
      </c>
      <c r="L418" s="16">
        <v>46353</v>
      </c>
      <c r="M418" s="15"/>
      <c r="N418" s="15" t="s">
        <v>962</v>
      </c>
      <c r="O418" s="15" t="s">
        <v>266</v>
      </c>
      <c r="P418" s="19" t="s">
        <v>963</v>
      </c>
      <c r="Q418" s="15" t="s">
        <v>964</v>
      </c>
      <c r="R418" t="str">
        <f t="shared" ca="1" si="6"/>
        <v>À venir</v>
      </c>
    </row>
    <row r="419" spans="1:18" ht="15.6" customHeight="1">
      <c r="A419" t="s">
        <v>986</v>
      </c>
      <c r="B419" t="s">
        <v>415</v>
      </c>
      <c r="C419" t="s">
        <v>416</v>
      </c>
      <c r="D419" t="s">
        <v>961</v>
      </c>
      <c r="E419">
        <v>2026</v>
      </c>
      <c r="F419" t="s">
        <v>508</v>
      </c>
      <c r="G419" t="s">
        <v>162</v>
      </c>
      <c r="H419" s="1">
        <v>46349</v>
      </c>
      <c r="I419" s="1">
        <v>46356</v>
      </c>
      <c r="J419" s="1">
        <v>46356</v>
      </c>
      <c r="K419" s="1">
        <v>46379</v>
      </c>
      <c r="L419" s="1">
        <v>46385</v>
      </c>
      <c r="N419" t="s">
        <v>962</v>
      </c>
      <c r="O419" t="s">
        <v>266</v>
      </c>
      <c r="P419" s="19" t="s">
        <v>963</v>
      </c>
      <c r="Q419" t="s">
        <v>964</v>
      </c>
      <c r="R419" t="str">
        <f t="shared" ca="1" si="6"/>
        <v>À venir</v>
      </c>
    </row>
    <row r="420" spans="1:18" ht="15.6" customHeight="1">
      <c r="A420" s="15" t="s">
        <v>987</v>
      </c>
      <c r="B420" s="15" t="s">
        <v>415</v>
      </c>
      <c r="C420" s="15" t="s">
        <v>416</v>
      </c>
      <c r="D420" s="15" t="s">
        <v>961</v>
      </c>
      <c r="E420" s="15">
        <v>2026</v>
      </c>
      <c r="F420" s="15" t="s">
        <v>508</v>
      </c>
      <c r="G420" s="15" t="s">
        <v>163</v>
      </c>
      <c r="H420" s="16">
        <v>46379</v>
      </c>
      <c r="I420" s="16">
        <v>46387</v>
      </c>
      <c r="J420" s="16">
        <v>46387</v>
      </c>
      <c r="K420" s="16">
        <v>46413</v>
      </c>
      <c r="L420" s="16">
        <v>46416</v>
      </c>
      <c r="M420" s="15"/>
      <c r="N420" s="15" t="s">
        <v>962</v>
      </c>
      <c r="O420" s="15" t="s">
        <v>266</v>
      </c>
      <c r="P420" s="19" t="s">
        <v>963</v>
      </c>
      <c r="Q420" s="15" t="s">
        <v>964</v>
      </c>
      <c r="R420" t="str">
        <f t="shared" ca="1" si="6"/>
        <v>À venir</v>
      </c>
    </row>
    <row r="421" spans="1:18" ht="15.6" customHeight="1">
      <c r="A421" t="s">
        <v>988</v>
      </c>
      <c r="B421" t="s">
        <v>415</v>
      </c>
      <c r="C421" t="s">
        <v>416</v>
      </c>
      <c r="D421" t="s">
        <v>961</v>
      </c>
      <c r="E421">
        <v>2025</v>
      </c>
      <c r="F421" t="s">
        <v>526</v>
      </c>
      <c r="G421" t="s">
        <v>143</v>
      </c>
      <c r="H421" s="1">
        <v>45688</v>
      </c>
      <c r="I421" s="1">
        <v>45777</v>
      </c>
      <c r="J421" s="1">
        <v>45777</v>
      </c>
      <c r="K421" s="1">
        <v>45804</v>
      </c>
      <c r="L421" s="1">
        <v>45812</v>
      </c>
      <c r="N421" t="s">
        <v>962</v>
      </c>
      <c r="O421" t="s">
        <v>266</v>
      </c>
      <c r="P421" s="19" t="s">
        <v>963</v>
      </c>
      <c r="Q421" t="s">
        <v>964</v>
      </c>
      <c r="R421" t="str">
        <f t="shared" ca="1" si="6"/>
        <v>Passée</v>
      </c>
    </row>
    <row r="422" spans="1:18" ht="15.6" customHeight="1">
      <c r="A422" s="15" t="s">
        <v>989</v>
      </c>
      <c r="B422" s="15" t="s">
        <v>415</v>
      </c>
      <c r="C422" s="15" t="s">
        <v>416</v>
      </c>
      <c r="D422" s="15" t="s">
        <v>961</v>
      </c>
      <c r="E422" s="15">
        <v>2025</v>
      </c>
      <c r="F422" s="15" t="s">
        <v>526</v>
      </c>
      <c r="G422" s="15" t="s">
        <v>144</v>
      </c>
      <c r="H422" s="16">
        <v>45716</v>
      </c>
      <c r="I422" s="16">
        <v>45807</v>
      </c>
      <c r="J422" s="16">
        <v>45807</v>
      </c>
      <c r="K422" s="16">
        <v>45834</v>
      </c>
      <c r="L422" s="16">
        <v>45841</v>
      </c>
      <c r="M422" s="15"/>
      <c r="N422" s="15" t="s">
        <v>962</v>
      </c>
      <c r="O422" s="15" t="s">
        <v>266</v>
      </c>
      <c r="P422" s="19" t="s">
        <v>963</v>
      </c>
      <c r="Q422" s="15" t="s">
        <v>964</v>
      </c>
      <c r="R422" t="str">
        <f t="shared" ca="1" si="6"/>
        <v>Passée</v>
      </c>
    </row>
    <row r="423" spans="1:18" ht="15.6" customHeight="1">
      <c r="A423" t="s">
        <v>990</v>
      </c>
      <c r="B423" t="s">
        <v>415</v>
      </c>
      <c r="C423" t="s">
        <v>416</v>
      </c>
      <c r="D423" t="s">
        <v>961</v>
      </c>
      <c r="E423">
        <v>2025</v>
      </c>
      <c r="F423" t="s">
        <v>526</v>
      </c>
      <c r="G423" t="s">
        <v>145</v>
      </c>
      <c r="H423" s="1">
        <v>45747</v>
      </c>
      <c r="I423" s="1">
        <v>45838</v>
      </c>
      <c r="J423" s="1">
        <v>45838</v>
      </c>
      <c r="K423" s="1">
        <v>45861</v>
      </c>
      <c r="L423" s="1">
        <v>45868</v>
      </c>
      <c r="N423" t="s">
        <v>962</v>
      </c>
      <c r="O423" t="s">
        <v>266</v>
      </c>
      <c r="P423" s="19" t="s">
        <v>963</v>
      </c>
      <c r="Q423" t="s">
        <v>964</v>
      </c>
      <c r="R423" t="str">
        <f t="shared" ca="1" si="6"/>
        <v>Passée</v>
      </c>
    </row>
    <row r="424" spans="1:18" ht="15.6" customHeight="1">
      <c r="A424" s="15" t="s">
        <v>991</v>
      </c>
      <c r="B424" s="15" t="s">
        <v>415</v>
      </c>
      <c r="C424" s="15" t="s">
        <v>416</v>
      </c>
      <c r="D424" s="15" t="s">
        <v>961</v>
      </c>
      <c r="E424" s="15">
        <v>2025</v>
      </c>
      <c r="F424" s="15" t="s">
        <v>526</v>
      </c>
      <c r="G424" s="15" t="s">
        <v>146</v>
      </c>
      <c r="H424" s="16">
        <v>45777</v>
      </c>
      <c r="I424" s="16">
        <v>45869</v>
      </c>
      <c r="J424" s="16">
        <v>45869</v>
      </c>
      <c r="K424" s="16">
        <v>45895</v>
      </c>
      <c r="L424" s="16">
        <v>45902</v>
      </c>
      <c r="M424" s="15"/>
      <c r="N424" s="15" t="s">
        <v>962</v>
      </c>
      <c r="O424" s="15" t="s">
        <v>266</v>
      </c>
      <c r="P424" s="19" t="s">
        <v>963</v>
      </c>
      <c r="Q424" s="15" t="s">
        <v>964</v>
      </c>
      <c r="R424" t="str">
        <f t="shared" ca="1" si="6"/>
        <v>Passée</v>
      </c>
    </row>
    <row r="425" spans="1:18" ht="15.6" customHeight="1">
      <c r="A425" t="s">
        <v>992</v>
      </c>
      <c r="B425" t="s">
        <v>415</v>
      </c>
      <c r="C425" t="s">
        <v>416</v>
      </c>
      <c r="D425" t="s">
        <v>961</v>
      </c>
      <c r="E425">
        <v>2025</v>
      </c>
      <c r="F425" t="s">
        <v>526</v>
      </c>
      <c r="G425" t="s">
        <v>147</v>
      </c>
      <c r="H425" s="1">
        <v>45807</v>
      </c>
      <c r="I425" s="1">
        <v>45898</v>
      </c>
      <c r="J425" s="1">
        <v>45898</v>
      </c>
      <c r="K425" s="1">
        <v>45923</v>
      </c>
      <c r="L425" s="1">
        <v>45930</v>
      </c>
      <c r="N425" t="s">
        <v>962</v>
      </c>
      <c r="O425" t="s">
        <v>266</v>
      </c>
      <c r="P425" s="19" t="s">
        <v>963</v>
      </c>
      <c r="Q425" t="s">
        <v>964</v>
      </c>
      <c r="R425" t="str">
        <f t="shared" ca="1" si="6"/>
        <v>Passée</v>
      </c>
    </row>
    <row r="426" spans="1:18" ht="15.6" customHeight="1">
      <c r="A426" s="15" t="s">
        <v>993</v>
      </c>
      <c r="B426" s="15" t="s">
        <v>415</v>
      </c>
      <c r="C426" s="15" t="s">
        <v>416</v>
      </c>
      <c r="D426" s="15" t="s">
        <v>961</v>
      </c>
      <c r="E426" s="15">
        <v>2025</v>
      </c>
      <c r="F426" s="15" t="s">
        <v>526</v>
      </c>
      <c r="G426" s="15" t="s">
        <v>148</v>
      </c>
      <c r="H426" s="16">
        <v>45838</v>
      </c>
      <c r="I426" s="16">
        <v>45930</v>
      </c>
      <c r="J426" s="16">
        <v>45930</v>
      </c>
      <c r="K426" s="16">
        <v>45953</v>
      </c>
      <c r="L426" s="16">
        <v>45960</v>
      </c>
      <c r="M426" s="15"/>
      <c r="N426" s="15" t="s">
        <v>962</v>
      </c>
      <c r="O426" s="15" t="s">
        <v>266</v>
      </c>
      <c r="P426" s="19" t="s">
        <v>963</v>
      </c>
      <c r="Q426" s="15" t="s">
        <v>964</v>
      </c>
      <c r="R426" t="str">
        <f t="shared" ca="1" si="6"/>
        <v>Passée</v>
      </c>
    </row>
    <row r="427" spans="1:18" ht="15.6" customHeight="1">
      <c r="A427" t="s">
        <v>994</v>
      </c>
      <c r="B427" t="s">
        <v>415</v>
      </c>
      <c r="C427" t="s">
        <v>416</v>
      </c>
      <c r="D427" t="s">
        <v>961</v>
      </c>
      <c r="E427">
        <v>2025</v>
      </c>
      <c r="F427" t="s">
        <v>526</v>
      </c>
      <c r="G427" t="s">
        <v>149</v>
      </c>
      <c r="H427" s="1">
        <v>45869</v>
      </c>
      <c r="I427" s="1">
        <v>45961</v>
      </c>
      <c r="J427" s="1">
        <v>45961</v>
      </c>
      <c r="K427" s="1">
        <v>45986</v>
      </c>
      <c r="L427" s="1">
        <v>45993</v>
      </c>
      <c r="N427" t="s">
        <v>962</v>
      </c>
      <c r="O427" t="s">
        <v>266</v>
      </c>
      <c r="P427" s="19" t="s">
        <v>963</v>
      </c>
      <c r="Q427" t="s">
        <v>964</v>
      </c>
      <c r="R427" t="str">
        <f t="shared" ca="1" si="6"/>
        <v>Passée</v>
      </c>
    </row>
    <row r="428" spans="1:18" ht="15.6" customHeight="1">
      <c r="A428" s="15" t="s">
        <v>995</v>
      </c>
      <c r="B428" s="15" t="s">
        <v>415</v>
      </c>
      <c r="C428" s="15" t="s">
        <v>416</v>
      </c>
      <c r="D428" s="15" t="s">
        <v>961</v>
      </c>
      <c r="E428" s="15">
        <v>2025</v>
      </c>
      <c r="F428" s="15" t="s">
        <v>526</v>
      </c>
      <c r="G428" s="15" t="s">
        <v>150</v>
      </c>
      <c r="H428" s="16">
        <v>45898</v>
      </c>
      <c r="I428" s="16">
        <v>45989</v>
      </c>
      <c r="J428" s="16">
        <v>45989</v>
      </c>
      <c r="K428" s="16">
        <v>46014</v>
      </c>
      <c r="L428" s="16">
        <v>46027</v>
      </c>
      <c r="M428" s="15"/>
      <c r="N428" s="15" t="s">
        <v>962</v>
      </c>
      <c r="O428" s="15" t="s">
        <v>266</v>
      </c>
      <c r="P428" s="19" t="s">
        <v>963</v>
      </c>
      <c r="Q428" s="15" t="s">
        <v>964</v>
      </c>
      <c r="R428" t="str">
        <f t="shared" ca="1" si="6"/>
        <v>Passée</v>
      </c>
    </row>
    <row r="429" spans="1:18" ht="15.6" customHeight="1">
      <c r="A429" t="s">
        <v>996</v>
      </c>
      <c r="B429" t="s">
        <v>415</v>
      </c>
      <c r="C429" t="s">
        <v>416</v>
      </c>
      <c r="D429" t="s">
        <v>961</v>
      </c>
      <c r="E429">
        <v>2025</v>
      </c>
      <c r="F429" t="s">
        <v>526</v>
      </c>
      <c r="G429" t="s">
        <v>151</v>
      </c>
      <c r="H429" s="1">
        <v>45930</v>
      </c>
      <c r="I429" s="1">
        <v>46022</v>
      </c>
      <c r="J429" s="1">
        <v>46022</v>
      </c>
      <c r="K429" s="1">
        <v>46048</v>
      </c>
      <c r="L429" s="1">
        <v>46055</v>
      </c>
      <c r="N429" t="s">
        <v>962</v>
      </c>
      <c r="O429" t="s">
        <v>266</v>
      </c>
      <c r="P429" s="19" t="s">
        <v>963</v>
      </c>
      <c r="Q429" t="s">
        <v>964</v>
      </c>
      <c r="R429" t="str">
        <f t="shared" ca="1" si="6"/>
        <v>Passée</v>
      </c>
    </row>
    <row r="430" spans="1:18" ht="15.6" customHeight="1">
      <c r="A430" s="15" t="s">
        <v>997</v>
      </c>
      <c r="B430" s="15" t="s">
        <v>415</v>
      </c>
      <c r="C430" s="15" t="s">
        <v>416</v>
      </c>
      <c r="D430" s="15" t="s">
        <v>961</v>
      </c>
      <c r="E430" s="15">
        <v>2026</v>
      </c>
      <c r="F430" s="15" t="s">
        <v>526</v>
      </c>
      <c r="G430" s="15" t="s">
        <v>152</v>
      </c>
      <c r="H430" s="16">
        <v>45961</v>
      </c>
      <c r="I430" s="16">
        <v>46052</v>
      </c>
      <c r="J430" s="16">
        <v>46052</v>
      </c>
      <c r="K430" s="16">
        <v>46077</v>
      </c>
      <c r="L430" s="16">
        <v>46084</v>
      </c>
      <c r="M430" s="15"/>
      <c r="N430" s="15" t="s">
        <v>962</v>
      </c>
      <c r="O430" s="15" t="s">
        <v>266</v>
      </c>
      <c r="P430" s="19" t="s">
        <v>963</v>
      </c>
      <c r="Q430" s="15" t="s">
        <v>964</v>
      </c>
      <c r="R430" t="str">
        <f t="shared" ca="1" si="6"/>
        <v>Passée</v>
      </c>
    </row>
    <row r="431" spans="1:18" ht="15.6" customHeight="1">
      <c r="A431" t="s">
        <v>998</v>
      </c>
      <c r="B431" t="s">
        <v>415</v>
      </c>
      <c r="C431" t="s">
        <v>416</v>
      </c>
      <c r="D431" t="s">
        <v>961</v>
      </c>
      <c r="E431">
        <v>2026</v>
      </c>
      <c r="F431" t="s">
        <v>526</v>
      </c>
      <c r="G431" t="s">
        <v>153</v>
      </c>
      <c r="H431" s="1">
        <v>45989</v>
      </c>
      <c r="I431" s="1">
        <v>46080</v>
      </c>
      <c r="J431" s="1">
        <v>46080</v>
      </c>
      <c r="K431" s="1">
        <v>46105</v>
      </c>
      <c r="L431" s="1">
        <v>46112</v>
      </c>
      <c r="N431" t="s">
        <v>962</v>
      </c>
      <c r="O431" t="s">
        <v>266</v>
      </c>
      <c r="P431" s="19" t="s">
        <v>963</v>
      </c>
      <c r="Q431" t="s">
        <v>964</v>
      </c>
      <c r="R431" t="str">
        <f t="shared" ca="1" si="6"/>
        <v>Passée</v>
      </c>
    </row>
    <row r="432" spans="1:18" ht="15.6" customHeight="1">
      <c r="A432" s="15" t="s">
        <v>999</v>
      </c>
      <c r="B432" s="15" t="s">
        <v>415</v>
      </c>
      <c r="C432" s="15" t="s">
        <v>416</v>
      </c>
      <c r="D432" s="15" t="s">
        <v>961</v>
      </c>
      <c r="E432" s="15">
        <v>2026</v>
      </c>
      <c r="F432" s="15" t="s">
        <v>526</v>
      </c>
      <c r="G432" s="15" t="s">
        <v>154</v>
      </c>
      <c r="H432" s="16">
        <v>46022</v>
      </c>
      <c r="I432" s="16">
        <v>46112</v>
      </c>
      <c r="J432" s="16">
        <v>46112</v>
      </c>
      <c r="K432" s="16">
        <v>46139</v>
      </c>
      <c r="L432" s="16">
        <v>46147</v>
      </c>
      <c r="M432" s="15"/>
      <c r="N432" s="15" t="s">
        <v>962</v>
      </c>
      <c r="O432" s="15" t="s">
        <v>266</v>
      </c>
      <c r="P432" s="19" t="s">
        <v>963</v>
      </c>
      <c r="Q432" s="15" t="s">
        <v>964</v>
      </c>
      <c r="R432" t="str">
        <f t="shared" ca="1" si="6"/>
        <v>Passée</v>
      </c>
    </row>
    <row r="433" spans="1:18" ht="15.6" customHeight="1">
      <c r="A433" t="s">
        <v>1000</v>
      </c>
      <c r="B433" t="s">
        <v>415</v>
      </c>
      <c r="C433" t="s">
        <v>416</v>
      </c>
      <c r="D433" t="s">
        <v>961</v>
      </c>
      <c r="E433">
        <v>2026</v>
      </c>
      <c r="F433" t="s">
        <v>526</v>
      </c>
      <c r="G433" t="s">
        <v>155</v>
      </c>
      <c r="H433" s="1">
        <v>46052</v>
      </c>
      <c r="I433" s="1">
        <v>46142</v>
      </c>
      <c r="J433" s="1">
        <v>46142</v>
      </c>
      <c r="K433" s="1">
        <v>46170</v>
      </c>
      <c r="L433" s="1">
        <v>46177</v>
      </c>
      <c r="N433" t="s">
        <v>962</v>
      </c>
      <c r="O433" t="s">
        <v>266</v>
      </c>
      <c r="P433" s="19" t="s">
        <v>963</v>
      </c>
      <c r="Q433" t="s">
        <v>964</v>
      </c>
      <c r="R433" t="str">
        <f t="shared" ca="1" si="6"/>
        <v>Passée</v>
      </c>
    </row>
    <row r="434" spans="1:18" ht="15.6" customHeight="1">
      <c r="A434" s="15" t="s">
        <v>1001</v>
      </c>
      <c r="B434" s="15" t="s">
        <v>415</v>
      </c>
      <c r="C434" s="15" t="s">
        <v>416</v>
      </c>
      <c r="D434" s="15" t="s">
        <v>961</v>
      </c>
      <c r="E434" s="15">
        <v>2026</v>
      </c>
      <c r="F434" s="15" t="s">
        <v>526</v>
      </c>
      <c r="G434" s="15" t="s">
        <v>156</v>
      </c>
      <c r="H434" s="16">
        <v>46080</v>
      </c>
      <c r="I434" s="16">
        <v>46171</v>
      </c>
      <c r="J434" s="16">
        <v>46171</v>
      </c>
      <c r="K434" s="16">
        <v>46197</v>
      </c>
      <c r="L434" s="16">
        <v>46204</v>
      </c>
      <c r="M434" s="15"/>
      <c r="N434" s="15" t="s">
        <v>962</v>
      </c>
      <c r="O434" s="15" t="s">
        <v>266</v>
      </c>
      <c r="P434" s="19" t="s">
        <v>963</v>
      </c>
      <c r="Q434" s="15" t="s">
        <v>964</v>
      </c>
      <c r="R434" t="str">
        <f t="shared" ca="1" si="6"/>
        <v>Passée</v>
      </c>
    </row>
    <row r="435" spans="1:18" ht="15.6" customHeight="1">
      <c r="A435" t="s">
        <v>1002</v>
      </c>
      <c r="B435" t="s">
        <v>415</v>
      </c>
      <c r="C435" t="s">
        <v>416</v>
      </c>
      <c r="D435" t="s">
        <v>961</v>
      </c>
      <c r="E435">
        <v>2026</v>
      </c>
      <c r="F435" t="s">
        <v>526</v>
      </c>
      <c r="G435" t="s">
        <v>157</v>
      </c>
      <c r="H435" s="1">
        <v>46112</v>
      </c>
      <c r="I435" s="1">
        <v>46203</v>
      </c>
      <c r="J435" s="1">
        <v>46203</v>
      </c>
      <c r="K435" s="1">
        <v>46226</v>
      </c>
      <c r="L435" s="1">
        <v>46233</v>
      </c>
      <c r="N435" t="s">
        <v>962</v>
      </c>
      <c r="O435" t="s">
        <v>266</v>
      </c>
      <c r="P435" s="19" t="s">
        <v>963</v>
      </c>
      <c r="Q435" t="s">
        <v>964</v>
      </c>
      <c r="R435" t="str">
        <f t="shared" ca="1" si="6"/>
        <v>Passée</v>
      </c>
    </row>
    <row r="436" spans="1:18" ht="15.6" customHeight="1">
      <c r="A436" s="15" t="s">
        <v>1003</v>
      </c>
      <c r="B436" s="15" t="s">
        <v>415</v>
      </c>
      <c r="C436" s="15" t="s">
        <v>416</v>
      </c>
      <c r="D436" s="15" t="s">
        <v>961</v>
      </c>
      <c r="E436" s="15">
        <v>2026</v>
      </c>
      <c r="F436" s="15" t="s">
        <v>526</v>
      </c>
      <c r="G436" s="15" t="s">
        <v>158</v>
      </c>
      <c r="H436" s="16">
        <v>46142</v>
      </c>
      <c r="I436" s="16">
        <v>46234</v>
      </c>
      <c r="J436" s="16">
        <v>46234</v>
      </c>
      <c r="K436" s="16">
        <v>46259</v>
      </c>
      <c r="L436" s="16">
        <v>46266</v>
      </c>
      <c r="M436" s="15"/>
      <c r="N436" s="15" t="s">
        <v>962</v>
      </c>
      <c r="O436" s="15" t="s">
        <v>266</v>
      </c>
      <c r="P436" s="19" t="s">
        <v>963</v>
      </c>
      <c r="Q436" s="15" t="s">
        <v>964</v>
      </c>
      <c r="R436" t="str">
        <f t="shared" ca="1" si="6"/>
        <v>Passée</v>
      </c>
    </row>
    <row r="437" spans="1:18" ht="15.6" customHeight="1">
      <c r="A437" t="s">
        <v>1004</v>
      </c>
      <c r="B437" t="s">
        <v>415</v>
      </c>
      <c r="C437" t="s">
        <v>416</v>
      </c>
      <c r="D437" t="s">
        <v>961</v>
      </c>
      <c r="E437">
        <v>2026</v>
      </c>
      <c r="F437" t="s">
        <v>526</v>
      </c>
      <c r="G437" t="s">
        <v>159</v>
      </c>
      <c r="H437" s="1">
        <v>46171</v>
      </c>
      <c r="I437" s="1">
        <v>46265</v>
      </c>
      <c r="J437" s="1">
        <v>46265</v>
      </c>
      <c r="K437" s="1">
        <v>46288</v>
      </c>
      <c r="L437" s="1">
        <v>46295</v>
      </c>
      <c r="N437" t="s">
        <v>962</v>
      </c>
      <c r="O437" t="s">
        <v>266</v>
      </c>
      <c r="P437" s="19" t="s">
        <v>963</v>
      </c>
      <c r="Q437" t="s">
        <v>964</v>
      </c>
      <c r="R437" t="str">
        <f t="shared" ca="1" si="6"/>
        <v>Passée</v>
      </c>
    </row>
    <row r="438" spans="1:18" ht="15.6" customHeight="1">
      <c r="A438" s="15" t="s">
        <v>1005</v>
      </c>
      <c r="B438" s="15" t="s">
        <v>415</v>
      </c>
      <c r="C438" s="15" t="s">
        <v>416</v>
      </c>
      <c r="D438" s="15" t="s">
        <v>961</v>
      </c>
      <c r="E438" s="15">
        <v>2026</v>
      </c>
      <c r="F438" s="15" t="s">
        <v>526</v>
      </c>
      <c r="G438" s="15" t="s">
        <v>160</v>
      </c>
      <c r="H438" s="16">
        <v>46203</v>
      </c>
      <c r="I438" s="16">
        <v>46295</v>
      </c>
      <c r="J438" s="16">
        <v>46295</v>
      </c>
      <c r="K438" s="16">
        <v>46318</v>
      </c>
      <c r="L438" s="16">
        <v>46325</v>
      </c>
      <c r="M438" s="15"/>
      <c r="N438" s="15" t="s">
        <v>962</v>
      </c>
      <c r="O438" s="15" t="s">
        <v>266</v>
      </c>
      <c r="P438" s="19" t="s">
        <v>963</v>
      </c>
      <c r="Q438" s="15" t="s">
        <v>964</v>
      </c>
      <c r="R438" t="str">
        <f t="shared" ca="1" si="6"/>
        <v>Passée</v>
      </c>
    </row>
    <row r="439" spans="1:18" ht="15.6" customHeight="1">
      <c r="A439" t="s">
        <v>1006</v>
      </c>
      <c r="B439" t="s">
        <v>415</v>
      </c>
      <c r="C439" t="s">
        <v>416</v>
      </c>
      <c r="D439" t="s">
        <v>961</v>
      </c>
      <c r="E439">
        <v>2026</v>
      </c>
      <c r="F439" t="s">
        <v>526</v>
      </c>
      <c r="G439" t="s">
        <v>161</v>
      </c>
      <c r="H439" s="1">
        <v>46234</v>
      </c>
      <c r="I439" s="1">
        <v>46325</v>
      </c>
      <c r="J439" s="1">
        <v>46325</v>
      </c>
      <c r="K439" s="1">
        <v>46350</v>
      </c>
      <c r="L439" s="1">
        <v>46357</v>
      </c>
      <c r="N439" t="s">
        <v>962</v>
      </c>
      <c r="O439" t="s">
        <v>266</v>
      </c>
      <c r="P439" s="19" t="s">
        <v>963</v>
      </c>
      <c r="Q439" t="s">
        <v>964</v>
      </c>
      <c r="R439" t="str">
        <f t="shared" ca="1" si="6"/>
        <v>Passée</v>
      </c>
    </row>
    <row r="440" spans="1:18" ht="15.6" customHeight="1">
      <c r="A440" s="15" t="s">
        <v>1007</v>
      </c>
      <c r="B440" s="15" t="s">
        <v>415</v>
      </c>
      <c r="C440" s="15" t="s">
        <v>416</v>
      </c>
      <c r="D440" s="15" t="s">
        <v>961</v>
      </c>
      <c r="E440" s="15">
        <v>2026</v>
      </c>
      <c r="F440" s="15" t="s">
        <v>526</v>
      </c>
      <c r="G440" s="15" t="s">
        <v>162</v>
      </c>
      <c r="H440" s="16">
        <v>46265</v>
      </c>
      <c r="I440" s="16">
        <v>46356</v>
      </c>
      <c r="J440" s="16">
        <v>46356</v>
      </c>
      <c r="K440" s="16">
        <v>46379</v>
      </c>
      <c r="L440" s="16">
        <v>46387</v>
      </c>
      <c r="M440" s="15"/>
      <c r="N440" s="15" t="s">
        <v>962</v>
      </c>
      <c r="O440" s="15" t="s">
        <v>266</v>
      </c>
      <c r="P440" s="19" t="s">
        <v>963</v>
      </c>
      <c r="Q440" s="15" t="s">
        <v>964</v>
      </c>
      <c r="R440" t="str">
        <f t="shared" ca="1" si="6"/>
        <v>Passée</v>
      </c>
    </row>
    <row r="441" spans="1:18" ht="15.6" customHeight="1">
      <c r="A441" t="s">
        <v>1008</v>
      </c>
      <c r="B441" t="s">
        <v>415</v>
      </c>
      <c r="C441" t="s">
        <v>416</v>
      </c>
      <c r="D441" t="s">
        <v>961</v>
      </c>
      <c r="E441">
        <v>2026</v>
      </c>
      <c r="F441" t="s">
        <v>526</v>
      </c>
      <c r="G441" t="s">
        <v>163</v>
      </c>
      <c r="H441" s="1">
        <v>46295</v>
      </c>
      <c r="I441" s="1">
        <v>46387</v>
      </c>
      <c r="J441" s="1">
        <v>46387</v>
      </c>
      <c r="K441" s="1">
        <v>46413</v>
      </c>
      <c r="L441" s="1">
        <v>46420</v>
      </c>
      <c r="N441" t="s">
        <v>962</v>
      </c>
      <c r="O441" t="s">
        <v>266</v>
      </c>
      <c r="P441" s="19" t="s">
        <v>963</v>
      </c>
      <c r="Q441" t="s">
        <v>964</v>
      </c>
      <c r="R441" t="str">
        <f t="shared" ca="1" si="6"/>
        <v>À venir</v>
      </c>
    </row>
    <row r="442" spans="1:18" ht="15.6" customHeight="1">
      <c r="A442" s="15" t="s">
        <v>1009</v>
      </c>
      <c r="B442" s="15" t="s">
        <v>430</v>
      </c>
      <c r="C442" s="15" t="s">
        <v>431</v>
      </c>
      <c r="D442" s="15" t="s">
        <v>961</v>
      </c>
      <c r="E442" s="15">
        <v>2025</v>
      </c>
      <c r="F442" s="15" t="s">
        <v>508</v>
      </c>
      <c r="G442" s="15" t="s">
        <v>286</v>
      </c>
      <c r="H442" s="16">
        <v>45681</v>
      </c>
      <c r="I442" s="16">
        <v>45688</v>
      </c>
      <c r="J442" s="16">
        <v>45688</v>
      </c>
      <c r="K442" s="16">
        <v>45713</v>
      </c>
      <c r="L442" s="16">
        <v>45716</v>
      </c>
      <c r="M442" s="15"/>
      <c r="N442" s="15" t="s">
        <v>962</v>
      </c>
      <c r="O442" s="15" t="s">
        <v>266</v>
      </c>
      <c r="P442" s="19" t="s">
        <v>963</v>
      </c>
      <c r="Q442" s="15" t="s">
        <v>964</v>
      </c>
      <c r="R442" t="str">
        <f t="shared" ca="1" si="6"/>
        <v>Passée</v>
      </c>
    </row>
    <row r="443" spans="1:18" ht="15.6" customHeight="1">
      <c r="A443" t="s">
        <v>1010</v>
      </c>
      <c r="B443" t="s">
        <v>430</v>
      </c>
      <c r="C443" t="s">
        <v>431</v>
      </c>
      <c r="D443" t="s">
        <v>961</v>
      </c>
      <c r="E443">
        <v>2025</v>
      </c>
      <c r="F443" t="s">
        <v>508</v>
      </c>
      <c r="G443" t="s">
        <v>287</v>
      </c>
      <c r="H443" s="1">
        <v>45709</v>
      </c>
      <c r="I443" s="1">
        <v>45716</v>
      </c>
      <c r="J443" s="1">
        <v>45716</v>
      </c>
      <c r="K443" s="1">
        <v>45741</v>
      </c>
      <c r="L443" s="1">
        <v>45744</v>
      </c>
      <c r="N443" t="s">
        <v>962</v>
      </c>
      <c r="O443" t="s">
        <v>266</v>
      </c>
      <c r="P443" s="19" t="s">
        <v>963</v>
      </c>
      <c r="Q443" t="s">
        <v>964</v>
      </c>
      <c r="R443" t="str">
        <f t="shared" ca="1" si="6"/>
        <v>Passée</v>
      </c>
    </row>
    <row r="444" spans="1:18" ht="15.6" customHeight="1">
      <c r="A444" s="15" t="s">
        <v>1011</v>
      </c>
      <c r="B444" s="15" t="s">
        <v>430</v>
      </c>
      <c r="C444" s="15" t="s">
        <v>431</v>
      </c>
      <c r="D444" s="15" t="s">
        <v>961</v>
      </c>
      <c r="E444" s="15">
        <v>2025</v>
      </c>
      <c r="F444" s="15" t="s">
        <v>508</v>
      </c>
      <c r="G444" s="15" t="s">
        <v>142</v>
      </c>
      <c r="H444" s="16">
        <v>45740</v>
      </c>
      <c r="I444" s="16">
        <v>45747</v>
      </c>
      <c r="J444" s="16">
        <v>45747</v>
      </c>
      <c r="K444" s="16">
        <v>45772</v>
      </c>
      <c r="L444" s="16">
        <v>45777</v>
      </c>
      <c r="M444" s="15"/>
      <c r="N444" s="15" t="s">
        <v>962</v>
      </c>
      <c r="O444" s="15" t="s">
        <v>266</v>
      </c>
      <c r="P444" s="19" t="s">
        <v>963</v>
      </c>
      <c r="Q444" s="15" t="s">
        <v>964</v>
      </c>
      <c r="R444" t="str">
        <f t="shared" ca="1" si="6"/>
        <v>Passée</v>
      </c>
    </row>
    <row r="445" spans="1:18" ht="15.6" customHeight="1">
      <c r="A445" t="s">
        <v>1012</v>
      </c>
      <c r="B445" t="s">
        <v>430</v>
      </c>
      <c r="C445" t="s">
        <v>431</v>
      </c>
      <c r="D445" t="s">
        <v>961</v>
      </c>
      <c r="E445">
        <v>2025</v>
      </c>
      <c r="F445" t="s">
        <v>508</v>
      </c>
      <c r="G445" t="s">
        <v>143</v>
      </c>
      <c r="H445" s="1">
        <v>45770</v>
      </c>
      <c r="I445" s="1">
        <v>45777</v>
      </c>
      <c r="J445" s="1">
        <v>45777</v>
      </c>
      <c r="K445" s="1">
        <v>45804</v>
      </c>
      <c r="L445" s="1">
        <v>45810</v>
      </c>
      <c r="N445" t="s">
        <v>962</v>
      </c>
      <c r="O445" t="s">
        <v>266</v>
      </c>
      <c r="P445" s="19" t="s">
        <v>963</v>
      </c>
      <c r="Q445" t="s">
        <v>964</v>
      </c>
      <c r="R445" t="str">
        <f t="shared" ca="1" si="6"/>
        <v>Passée</v>
      </c>
    </row>
    <row r="446" spans="1:18" ht="15.6" customHeight="1">
      <c r="A446" s="15" t="s">
        <v>1013</v>
      </c>
      <c r="B446" s="15" t="s">
        <v>430</v>
      </c>
      <c r="C446" s="15" t="s">
        <v>431</v>
      </c>
      <c r="D446" s="15" t="s">
        <v>961</v>
      </c>
      <c r="E446" s="15">
        <v>2025</v>
      </c>
      <c r="F446" s="15" t="s">
        <v>508</v>
      </c>
      <c r="G446" s="15" t="s">
        <v>144</v>
      </c>
      <c r="H446" s="16">
        <v>45799</v>
      </c>
      <c r="I446" s="16">
        <v>45807</v>
      </c>
      <c r="J446" s="16">
        <v>45807</v>
      </c>
      <c r="K446" s="16">
        <v>45834</v>
      </c>
      <c r="L446" s="16">
        <v>45839</v>
      </c>
      <c r="M446" s="15"/>
      <c r="N446" s="15" t="s">
        <v>962</v>
      </c>
      <c r="O446" s="15" t="s">
        <v>266</v>
      </c>
      <c r="P446" s="19" t="s">
        <v>963</v>
      </c>
      <c r="Q446" s="15" t="s">
        <v>964</v>
      </c>
      <c r="R446" t="str">
        <f t="shared" ca="1" si="6"/>
        <v>Passée</v>
      </c>
    </row>
    <row r="447" spans="1:18" ht="15.6" customHeight="1">
      <c r="A447" t="s">
        <v>1014</v>
      </c>
      <c r="B447" t="s">
        <v>430</v>
      </c>
      <c r="C447" t="s">
        <v>431</v>
      </c>
      <c r="D447" t="s">
        <v>961</v>
      </c>
      <c r="E447">
        <v>2025</v>
      </c>
      <c r="F447" t="s">
        <v>508</v>
      </c>
      <c r="G447" t="s">
        <v>145</v>
      </c>
      <c r="H447" s="1">
        <v>45828</v>
      </c>
      <c r="I447" s="1">
        <v>45838</v>
      </c>
      <c r="J447" s="1">
        <v>45838</v>
      </c>
      <c r="K447" s="1">
        <v>45861</v>
      </c>
      <c r="L447" s="1">
        <v>45866</v>
      </c>
      <c r="N447" t="s">
        <v>962</v>
      </c>
      <c r="O447" t="s">
        <v>266</v>
      </c>
      <c r="P447" s="19" t="s">
        <v>963</v>
      </c>
      <c r="Q447" t="s">
        <v>964</v>
      </c>
      <c r="R447" t="str">
        <f t="shared" ca="1" si="6"/>
        <v>Passée</v>
      </c>
    </row>
    <row r="448" spans="1:18" ht="15.6" customHeight="1">
      <c r="A448" s="15" t="s">
        <v>1015</v>
      </c>
      <c r="B448" s="15" t="s">
        <v>430</v>
      </c>
      <c r="C448" s="15" t="s">
        <v>431</v>
      </c>
      <c r="D448" s="15" t="s">
        <v>961</v>
      </c>
      <c r="E448" s="15">
        <v>2025</v>
      </c>
      <c r="F448" s="15" t="s">
        <v>508</v>
      </c>
      <c r="G448" s="15" t="s">
        <v>146</v>
      </c>
      <c r="H448" s="16">
        <v>45862</v>
      </c>
      <c r="I448" s="16">
        <v>45869</v>
      </c>
      <c r="J448" s="16">
        <v>45869</v>
      </c>
      <c r="K448" s="16">
        <v>45895</v>
      </c>
      <c r="L448" s="16">
        <v>45898</v>
      </c>
      <c r="M448" s="15"/>
      <c r="N448" s="15" t="s">
        <v>962</v>
      </c>
      <c r="O448" s="15" t="s">
        <v>266</v>
      </c>
      <c r="P448" s="19" t="s">
        <v>963</v>
      </c>
      <c r="Q448" s="15" t="s">
        <v>964</v>
      </c>
      <c r="R448" t="str">
        <f t="shared" ca="1" si="6"/>
        <v>Passée</v>
      </c>
    </row>
    <row r="449" spans="1:18" ht="15.6" customHeight="1">
      <c r="A449" t="s">
        <v>1016</v>
      </c>
      <c r="B449" t="s">
        <v>430</v>
      </c>
      <c r="C449" t="s">
        <v>431</v>
      </c>
      <c r="D449" t="s">
        <v>961</v>
      </c>
      <c r="E449">
        <v>2025</v>
      </c>
      <c r="F449" t="s">
        <v>508</v>
      </c>
      <c r="G449" t="s">
        <v>147</v>
      </c>
      <c r="H449" s="1">
        <v>45891</v>
      </c>
      <c r="I449" s="1">
        <v>45898</v>
      </c>
      <c r="J449" s="1">
        <v>45898</v>
      </c>
      <c r="K449" s="1">
        <v>45923</v>
      </c>
      <c r="L449" s="1">
        <v>45926</v>
      </c>
      <c r="N449" t="s">
        <v>962</v>
      </c>
      <c r="O449" t="s">
        <v>266</v>
      </c>
      <c r="P449" s="19" t="s">
        <v>963</v>
      </c>
      <c r="Q449" t="s">
        <v>964</v>
      </c>
      <c r="R449" t="str">
        <f t="shared" ca="1" si="6"/>
        <v>Passée</v>
      </c>
    </row>
    <row r="450" spans="1:18" ht="15.6" customHeight="1">
      <c r="A450" s="15" t="s">
        <v>1017</v>
      </c>
      <c r="B450" s="15" t="s">
        <v>430</v>
      </c>
      <c r="C450" s="15" t="s">
        <v>431</v>
      </c>
      <c r="D450" s="15" t="s">
        <v>961</v>
      </c>
      <c r="E450" s="15">
        <v>2025</v>
      </c>
      <c r="F450" s="15" t="s">
        <v>508</v>
      </c>
      <c r="G450" s="15" t="s">
        <v>148</v>
      </c>
      <c r="H450" s="16">
        <v>45923</v>
      </c>
      <c r="I450" s="16">
        <v>45930</v>
      </c>
      <c r="J450" s="16">
        <v>45930</v>
      </c>
      <c r="K450" s="16">
        <v>45953</v>
      </c>
      <c r="L450" s="16">
        <v>45958</v>
      </c>
      <c r="M450" s="15"/>
      <c r="N450" s="15" t="s">
        <v>962</v>
      </c>
      <c r="O450" s="15" t="s">
        <v>266</v>
      </c>
      <c r="P450" s="19" t="s">
        <v>963</v>
      </c>
      <c r="Q450" s="15" t="s">
        <v>964</v>
      </c>
      <c r="R450" t="str">
        <f t="shared" ref="R450:R513" ca="1" si="7">IF(H450&gt;=TODAY(),"À venir","Passée")</f>
        <v>Passée</v>
      </c>
    </row>
    <row r="451" spans="1:18" ht="15.6" customHeight="1">
      <c r="A451" t="s">
        <v>1018</v>
      </c>
      <c r="B451" t="s">
        <v>430</v>
      </c>
      <c r="C451" t="s">
        <v>431</v>
      </c>
      <c r="D451" t="s">
        <v>961</v>
      </c>
      <c r="E451">
        <v>2025</v>
      </c>
      <c r="F451" t="s">
        <v>508</v>
      </c>
      <c r="G451" t="s">
        <v>149</v>
      </c>
      <c r="H451" s="1">
        <v>45954</v>
      </c>
      <c r="I451" s="1">
        <v>45961</v>
      </c>
      <c r="J451" s="1">
        <v>45961</v>
      </c>
      <c r="K451" s="1">
        <v>45986</v>
      </c>
      <c r="L451" s="1">
        <v>45989</v>
      </c>
      <c r="N451" t="s">
        <v>962</v>
      </c>
      <c r="O451" t="s">
        <v>266</v>
      </c>
      <c r="P451" s="19" t="s">
        <v>963</v>
      </c>
      <c r="Q451" t="s">
        <v>964</v>
      </c>
      <c r="R451" t="str">
        <f t="shared" ca="1" si="7"/>
        <v>Passée</v>
      </c>
    </row>
    <row r="452" spans="1:18" ht="15.6" customHeight="1">
      <c r="A452" s="15" t="s">
        <v>1019</v>
      </c>
      <c r="B452" s="15" t="s">
        <v>430</v>
      </c>
      <c r="C452" s="15" t="s">
        <v>431</v>
      </c>
      <c r="D452" s="15" t="s">
        <v>961</v>
      </c>
      <c r="E452" s="15">
        <v>2025</v>
      </c>
      <c r="F452" s="15" t="s">
        <v>508</v>
      </c>
      <c r="G452" s="15" t="s">
        <v>150</v>
      </c>
      <c r="H452" s="16">
        <v>45982</v>
      </c>
      <c r="I452" s="16">
        <v>45989</v>
      </c>
      <c r="J452" s="16">
        <v>45989</v>
      </c>
      <c r="K452" s="16">
        <v>46014</v>
      </c>
      <c r="L452" s="16">
        <v>46022</v>
      </c>
      <c r="M452" s="15"/>
      <c r="N452" s="15" t="s">
        <v>962</v>
      </c>
      <c r="O452" s="15" t="s">
        <v>266</v>
      </c>
      <c r="P452" s="19" t="s">
        <v>963</v>
      </c>
      <c r="Q452" s="15" t="s">
        <v>964</v>
      </c>
      <c r="R452" t="str">
        <f t="shared" ca="1" si="7"/>
        <v>Passée</v>
      </c>
    </row>
    <row r="453" spans="1:18" ht="15.6" customHeight="1">
      <c r="A453" t="s">
        <v>1020</v>
      </c>
      <c r="B453" t="s">
        <v>430</v>
      </c>
      <c r="C453" t="s">
        <v>431</v>
      </c>
      <c r="D453" t="s">
        <v>961</v>
      </c>
      <c r="E453">
        <v>2025</v>
      </c>
      <c r="F453" t="s">
        <v>508</v>
      </c>
      <c r="G453" t="s">
        <v>151</v>
      </c>
      <c r="H453" s="1">
        <v>46010</v>
      </c>
      <c r="I453" s="1">
        <v>46022</v>
      </c>
      <c r="J453" s="1">
        <v>46022</v>
      </c>
      <c r="K453" s="1">
        <v>46048</v>
      </c>
      <c r="L453" s="1">
        <v>46051</v>
      </c>
      <c r="N453" t="s">
        <v>962</v>
      </c>
      <c r="O453" t="s">
        <v>266</v>
      </c>
      <c r="P453" s="19" t="s">
        <v>963</v>
      </c>
      <c r="Q453" t="s">
        <v>964</v>
      </c>
      <c r="R453" t="str">
        <f t="shared" ca="1" si="7"/>
        <v>Passée</v>
      </c>
    </row>
    <row r="454" spans="1:18" ht="15.6" customHeight="1">
      <c r="A454" s="15" t="s">
        <v>1021</v>
      </c>
      <c r="B454" s="15" t="s">
        <v>430</v>
      </c>
      <c r="C454" s="15" t="s">
        <v>431</v>
      </c>
      <c r="D454" s="15" t="s">
        <v>961</v>
      </c>
      <c r="E454" s="15">
        <v>2026</v>
      </c>
      <c r="F454" s="15" t="s">
        <v>508</v>
      </c>
      <c r="G454" s="15" t="s">
        <v>152</v>
      </c>
      <c r="H454" s="16">
        <v>46045</v>
      </c>
      <c r="I454" s="16">
        <v>46052</v>
      </c>
      <c r="J454" s="16">
        <v>46052</v>
      </c>
      <c r="K454" s="16">
        <v>46077</v>
      </c>
      <c r="L454" s="16">
        <v>46080</v>
      </c>
      <c r="M454" s="15"/>
      <c r="N454" s="15" t="s">
        <v>962</v>
      </c>
      <c r="O454" s="15" t="s">
        <v>266</v>
      </c>
      <c r="P454" s="19" t="s">
        <v>963</v>
      </c>
      <c r="Q454" s="15" t="s">
        <v>964</v>
      </c>
      <c r="R454" t="str">
        <f t="shared" ca="1" si="7"/>
        <v>Passée</v>
      </c>
    </row>
    <row r="455" spans="1:18" ht="15.6" customHeight="1">
      <c r="A455" t="s">
        <v>1022</v>
      </c>
      <c r="B455" t="s">
        <v>430</v>
      </c>
      <c r="C455" t="s">
        <v>431</v>
      </c>
      <c r="D455" t="s">
        <v>961</v>
      </c>
      <c r="E455">
        <v>2026</v>
      </c>
      <c r="F455" t="s">
        <v>508</v>
      </c>
      <c r="G455" t="s">
        <v>153</v>
      </c>
      <c r="H455" s="1">
        <v>46073</v>
      </c>
      <c r="I455" s="1">
        <v>46080</v>
      </c>
      <c r="J455" s="1">
        <v>46080</v>
      </c>
      <c r="K455" s="1">
        <v>46105</v>
      </c>
      <c r="L455" s="1">
        <v>46108</v>
      </c>
      <c r="N455" t="s">
        <v>962</v>
      </c>
      <c r="O455" t="s">
        <v>266</v>
      </c>
      <c r="P455" s="19" t="s">
        <v>963</v>
      </c>
      <c r="Q455" t="s">
        <v>964</v>
      </c>
      <c r="R455" t="str">
        <f t="shared" ca="1" si="7"/>
        <v>Passée</v>
      </c>
    </row>
    <row r="456" spans="1:18" ht="15.6" customHeight="1">
      <c r="A456" s="15" t="s">
        <v>1023</v>
      </c>
      <c r="B456" s="15" t="s">
        <v>430</v>
      </c>
      <c r="C456" s="15" t="s">
        <v>431</v>
      </c>
      <c r="D456" s="15" t="s">
        <v>961</v>
      </c>
      <c r="E456" s="15">
        <v>2026</v>
      </c>
      <c r="F456" s="15" t="s">
        <v>508</v>
      </c>
      <c r="G456" s="15" t="s">
        <v>154</v>
      </c>
      <c r="H456" s="16">
        <v>46105</v>
      </c>
      <c r="I456" s="16">
        <v>46112</v>
      </c>
      <c r="J456" s="16">
        <v>46112</v>
      </c>
      <c r="K456" s="16">
        <v>46139</v>
      </c>
      <c r="L456" s="16">
        <v>46142</v>
      </c>
      <c r="M456" s="15"/>
      <c r="N456" s="15" t="s">
        <v>962</v>
      </c>
      <c r="O456" s="15" t="s">
        <v>266</v>
      </c>
      <c r="P456" s="19" t="s">
        <v>963</v>
      </c>
      <c r="Q456" s="15" t="s">
        <v>964</v>
      </c>
      <c r="R456" t="str">
        <f t="shared" ca="1" si="7"/>
        <v>Passée</v>
      </c>
    </row>
    <row r="457" spans="1:18" ht="15.6" customHeight="1">
      <c r="A457" t="s">
        <v>1024</v>
      </c>
      <c r="B457" t="s">
        <v>430</v>
      </c>
      <c r="C457" t="s">
        <v>431</v>
      </c>
      <c r="D457" t="s">
        <v>961</v>
      </c>
      <c r="E457">
        <v>2026</v>
      </c>
      <c r="F457" t="s">
        <v>508</v>
      </c>
      <c r="G457" t="s">
        <v>155</v>
      </c>
      <c r="H457" s="1">
        <v>46135</v>
      </c>
      <c r="I457" s="1">
        <v>46142</v>
      </c>
      <c r="J457" s="1">
        <v>46142</v>
      </c>
      <c r="K457" s="1">
        <v>46170</v>
      </c>
      <c r="L457" s="1">
        <v>46175</v>
      </c>
      <c r="N457" t="s">
        <v>962</v>
      </c>
      <c r="O457" t="s">
        <v>266</v>
      </c>
      <c r="P457" s="19" t="s">
        <v>963</v>
      </c>
      <c r="Q457" t="s">
        <v>964</v>
      </c>
      <c r="R457" t="str">
        <f t="shared" ca="1" si="7"/>
        <v>Passée</v>
      </c>
    </row>
    <row r="458" spans="1:18" ht="15.6" customHeight="1">
      <c r="A458" s="15" t="s">
        <v>1025</v>
      </c>
      <c r="B458" s="15" t="s">
        <v>430</v>
      </c>
      <c r="C458" s="15" t="s">
        <v>431</v>
      </c>
      <c r="D458" s="15" t="s">
        <v>961</v>
      </c>
      <c r="E458" s="15">
        <v>2026</v>
      </c>
      <c r="F458" s="15" t="s">
        <v>508</v>
      </c>
      <c r="G458" s="15" t="s">
        <v>156</v>
      </c>
      <c r="H458" s="16">
        <v>46163</v>
      </c>
      <c r="I458" s="16">
        <v>46171</v>
      </c>
      <c r="J458" s="16">
        <v>46171</v>
      </c>
      <c r="K458" s="16">
        <v>46197</v>
      </c>
      <c r="L458" s="16">
        <v>46202</v>
      </c>
      <c r="M458" s="15"/>
      <c r="N458" s="15" t="s">
        <v>962</v>
      </c>
      <c r="O458" s="15" t="s">
        <v>266</v>
      </c>
      <c r="P458" s="19" t="s">
        <v>963</v>
      </c>
      <c r="Q458" s="15" t="s">
        <v>964</v>
      </c>
      <c r="R458" t="str">
        <f t="shared" ca="1" si="7"/>
        <v>Passée</v>
      </c>
    </row>
    <row r="459" spans="1:18" ht="15.6" customHeight="1">
      <c r="A459" t="s">
        <v>1026</v>
      </c>
      <c r="B459" t="s">
        <v>430</v>
      </c>
      <c r="C459" t="s">
        <v>431</v>
      </c>
      <c r="D459" t="s">
        <v>961</v>
      </c>
      <c r="E459">
        <v>2026</v>
      </c>
      <c r="F459" t="s">
        <v>508</v>
      </c>
      <c r="G459" t="s">
        <v>157</v>
      </c>
      <c r="H459" s="1">
        <v>46195</v>
      </c>
      <c r="I459" s="1">
        <v>46203</v>
      </c>
      <c r="J459" s="1">
        <v>46203</v>
      </c>
      <c r="K459" s="1">
        <v>46226</v>
      </c>
      <c r="L459" s="1">
        <v>46231</v>
      </c>
      <c r="N459" t="s">
        <v>962</v>
      </c>
      <c r="O459" t="s">
        <v>266</v>
      </c>
      <c r="P459" s="19" t="s">
        <v>963</v>
      </c>
      <c r="Q459" t="s">
        <v>964</v>
      </c>
      <c r="R459" t="str">
        <f t="shared" ca="1" si="7"/>
        <v>Passée</v>
      </c>
    </row>
    <row r="460" spans="1:18" ht="15.6" customHeight="1">
      <c r="A460" s="15" t="s">
        <v>1027</v>
      </c>
      <c r="B460" s="15" t="s">
        <v>430</v>
      </c>
      <c r="C460" s="15" t="s">
        <v>431</v>
      </c>
      <c r="D460" s="15" t="s">
        <v>961</v>
      </c>
      <c r="E460" s="15">
        <v>2026</v>
      </c>
      <c r="F460" s="15" t="s">
        <v>508</v>
      </c>
      <c r="G460" s="15" t="s">
        <v>158</v>
      </c>
      <c r="H460" s="16">
        <v>46227</v>
      </c>
      <c r="I460" s="16">
        <v>46234</v>
      </c>
      <c r="J460" s="16">
        <v>46234</v>
      </c>
      <c r="K460" s="16">
        <v>46259</v>
      </c>
      <c r="L460" s="16">
        <v>46262</v>
      </c>
      <c r="M460" s="15"/>
      <c r="N460" s="15" t="s">
        <v>962</v>
      </c>
      <c r="O460" s="15" t="s">
        <v>266</v>
      </c>
      <c r="P460" s="19" t="s">
        <v>963</v>
      </c>
      <c r="Q460" s="15" t="s">
        <v>964</v>
      </c>
      <c r="R460" t="str">
        <f t="shared" ca="1" si="7"/>
        <v>Passée</v>
      </c>
    </row>
    <row r="461" spans="1:18" ht="15.6" customHeight="1">
      <c r="A461" t="s">
        <v>1028</v>
      </c>
      <c r="B461" t="s">
        <v>430</v>
      </c>
      <c r="C461" t="s">
        <v>431</v>
      </c>
      <c r="D461" t="s">
        <v>961</v>
      </c>
      <c r="E461">
        <v>2026</v>
      </c>
      <c r="F461" t="s">
        <v>508</v>
      </c>
      <c r="G461" t="s">
        <v>159</v>
      </c>
      <c r="H461" s="1">
        <v>46258</v>
      </c>
      <c r="I461" s="1">
        <v>46265</v>
      </c>
      <c r="J461" s="1">
        <v>46265</v>
      </c>
      <c r="K461" s="1">
        <v>46288</v>
      </c>
      <c r="L461" s="1">
        <v>46293</v>
      </c>
      <c r="N461" t="s">
        <v>962</v>
      </c>
      <c r="O461" t="s">
        <v>266</v>
      </c>
      <c r="P461" s="19" t="s">
        <v>963</v>
      </c>
      <c r="Q461" t="s">
        <v>964</v>
      </c>
      <c r="R461" t="str">
        <f t="shared" ca="1" si="7"/>
        <v>Passée</v>
      </c>
    </row>
    <row r="462" spans="1:18" ht="15.6" customHeight="1">
      <c r="A462" s="15" t="s">
        <v>1029</v>
      </c>
      <c r="B462" s="15" t="s">
        <v>430</v>
      </c>
      <c r="C462" s="15" t="s">
        <v>431</v>
      </c>
      <c r="D462" s="15" t="s">
        <v>961</v>
      </c>
      <c r="E462" s="15">
        <v>2026</v>
      </c>
      <c r="F462" s="15" t="s">
        <v>508</v>
      </c>
      <c r="G462" s="15" t="s">
        <v>160</v>
      </c>
      <c r="H462" s="16">
        <v>46288</v>
      </c>
      <c r="I462" s="16">
        <v>46295</v>
      </c>
      <c r="J462" s="16">
        <v>46295</v>
      </c>
      <c r="K462" s="16">
        <v>46318</v>
      </c>
      <c r="L462" s="16">
        <v>46323</v>
      </c>
      <c r="M462" s="15"/>
      <c r="N462" s="15" t="s">
        <v>962</v>
      </c>
      <c r="O462" s="15" t="s">
        <v>266</v>
      </c>
      <c r="P462" s="19" t="s">
        <v>963</v>
      </c>
      <c r="Q462" s="15" t="s">
        <v>964</v>
      </c>
      <c r="R462" t="str">
        <f t="shared" ca="1" si="7"/>
        <v>À venir</v>
      </c>
    </row>
    <row r="463" spans="1:18" ht="15.6" customHeight="1">
      <c r="A463" t="s">
        <v>1030</v>
      </c>
      <c r="B463" t="s">
        <v>430</v>
      </c>
      <c r="C463" t="s">
        <v>431</v>
      </c>
      <c r="D463" t="s">
        <v>961</v>
      </c>
      <c r="E463">
        <v>2026</v>
      </c>
      <c r="F463" t="s">
        <v>508</v>
      </c>
      <c r="G463" t="s">
        <v>161</v>
      </c>
      <c r="H463" s="1">
        <v>46318</v>
      </c>
      <c r="I463" s="1">
        <v>46325</v>
      </c>
      <c r="J463" s="1">
        <v>46325</v>
      </c>
      <c r="K463" s="1">
        <v>46350</v>
      </c>
      <c r="L463" s="1">
        <v>46353</v>
      </c>
      <c r="N463" t="s">
        <v>962</v>
      </c>
      <c r="O463" t="s">
        <v>266</v>
      </c>
      <c r="P463" s="19" t="s">
        <v>963</v>
      </c>
      <c r="Q463" t="s">
        <v>964</v>
      </c>
      <c r="R463" t="str">
        <f t="shared" ca="1" si="7"/>
        <v>À venir</v>
      </c>
    </row>
    <row r="464" spans="1:18" ht="15.6" customHeight="1">
      <c r="A464" s="15" t="s">
        <v>1031</v>
      </c>
      <c r="B464" s="15" t="s">
        <v>430</v>
      </c>
      <c r="C464" s="15" t="s">
        <v>431</v>
      </c>
      <c r="D464" s="15" t="s">
        <v>961</v>
      </c>
      <c r="E464" s="15">
        <v>2026</v>
      </c>
      <c r="F464" s="15" t="s">
        <v>508</v>
      </c>
      <c r="G464" s="15" t="s">
        <v>162</v>
      </c>
      <c r="H464" s="16">
        <v>46349</v>
      </c>
      <c r="I464" s="16">
        <v>46356</v>
      </c>
      <c r="J464" s="16">
        <v>46356</v>
      </c>
      <c r="K464" s="16">
        <v>46379</v>
      </c>
      <c r="L464" s="16">
        <v>46385</v>
      </c>
      <c r="M464" s="15"/>
      <c r="N464" s="15" t="s">
        <v>962</v>
      </c>
      <c r="O464" s="15" t="s">
        <v>266</v>
      </c>
      <c r="P464" s="19" t="s">
        <v>963</v>
      </c>
      <c r="Q464" s="15" t="s">
        <v>964</v>
      </c>
      <c r="R464" t="str">
        <f t="shared" ca="1" si="7"/>
        <v>À venir</v>
      </c>
    </row>
    <row r="465" spans="1:18" ht="15.6" customHeight="1">
      <c r="A465" t="s">
        <v>1032</v>
      </c>
      <c r="B465" t="s">
        <v>430</v>
      </c>
      <c r="C465" t="s">
        <v>431</v>
      </c>
      <c r="D465" t="s">
        <v>961</v>
      </c>
      <c r="E465">
        <v>2026</v>
      </c>
      <c r="F465" t="s">
        <v>508</v>
      </c>
      <c r="G465" t="s">
        <v>163</v>
      </c>
      <c r="H465" s="1">
        <v>46379</v>
      </c>
      <c r="I465" s="1">
        <v>46387</v>
      </c>
      <c r="J465" s="1">
        <v>46387</v>
      </c>
      <c r="K465" s="1">
        <v>46413</v>
      </c>
      <c r="L465" s="1">
        <v>46416</v>
      </c>
      <c r="N465" t="s">
        <v>962</v>
      </c>
      <c r="O465" t="s">
        <v>266</v>
      </c>
      <c r="P465" s="19" t="s">
        <v>963</v>
      </c>
      <c r="Q465" t="s">
        <v>964</v>
      </c>
      <c r="R465" t="str">
        <f t="shared" ca="1" si="7"/>
        <v>À venir</v>
      </c>
    </row>
    <row r="466" spans="1:18" ht="15.6" customHeight="1">
      <c r="A466" s="15" t="s">
        <v>1033</v>
      </c>
      <c r="B466" s="15" t="s">
        <v>430</v>
      </c>
      <c r="C466" s="15" t="s">
        <v>431</v>
      </c>
      <c r="D466" s="15" t="s">
        <v>961</v>
      </c>
      <c r="E466" s="15">
        <v>2025</v>
      </c>
      <c r="F466" s="15" t="s">
        <v>526</v>
      </c>
      <c r="G466" s="15" t="s">
        <v>143</v>
      </c>
      <c r="H466" s="16">
        <v>45688</v>
      </c>
      <c r="I466" s="16">
        <v>45777</v>
      </c>
      <c r="J466" s="16">
        <v>45777</v>
      </c>
      <c r="K466" s="16">
        <v>45804</v>
      </c>
      <c r="L466" s="16">
        <v>45812</v>
      </c>
      <c r="M466" s="15"/>
      <c r="N466" s="15" t="s">
        <v>962</v>
      </c>
      <c r="O466" s="15" t="s">
        <v>266</v>
      </c>
      <c r="P466" s="19" t="s">
        <v>963</v>
      </c>
      <c r="Q466" s="15" t="s">
        <v>964</v>
      </c>
      <c r="R466" t="str">
        <f t="shared" ca="1" si="7"/>
        <v>Passée</v>
      </c>
    </row>
    <row r="467" spans="1:18" ht="15.6" customHeight="1">
      <c r="A467" t="s">
        <v>1034</v>
      </c>
      <c r="B467" t="s">
        <v>430</v>
      </c>
      <c r="C467" t="s">
        <v>431</v>
      </c>
      <c r="D467" t="s">
        <v>961</v>
      </c>
      <c r="E467">
        <v>2025</v>
      </c>
      <c r="F467" t="s">
        <v>526</v>
      </c>
      <c r="G467" t="s">
        <v>144</v>
      </c>
      <c r="H467" s="1">
        <v>45716</v>
      </c>
      <c r="I467" s="1">
        <v>45807</v>
      </c>
      <c r="J467" s="1">
        <v>45807</v>
      </c>
      <c r="K467" s="1">
        <v>45834</v>
      </c>
      <c r="L467" s="1">
        <v>45841</v>
      </c>
      <c r="N467" t="s">
        <v>962</v>
      </c>
      <c r="O467" t="s">
        <v>266</v>
      </c>
      <c r="P467" s="19" t="s">
        <v>963</v>
      </c>
      <c r="Q467" t="s">
        <v>964</v>
      </c>
      <c r="R467" t="str">
        <f t="shared" ca="1" si="7"/>
        <v>Passée</v>
      </c>
    </row>
    <row r="468" spans="1:18" ht="15.6" customHeight="1">
      <c r="A468" s="15" t="s">
        <v>1035</v>
      </c>
      <c r="B468" s="15" t="s">
        <v>430</v>
      </c>
      <c r="C468" s="15" t="s">
        <v>431</v>
      </c>
      <c r="D468" s="15" t="s">
        <v>961</v>
      </c>
      <c r="E468" s="15">
        <v>2025</v>
      </c>
      <c r="F468" s="15" t="s">
        <v>526</v>
      </c>
      <c r="G468" s="15" t="s">
        <v>145</v>
      </c>
      <c r="H468" s="16">
        <v>45747</v>
      </c>
      <c r="I468" s="16">
        <v>45838</v>
      </c>
      <c r="J468" s="16">
        <v>45838</v>
      </c>
      <c r="K468" s="16">
        <v>45861</v>
      </c>
      <c r="L468" s="16">
        <v>45868</v>
      </c>
      <c r="M468" s="15"/>
      <c r="N468" s="15" t="s">
        <v>962</v>
      </c>
      <c r="O468" s="15" t="s">
        <v>266</v>
      </c>
      <c r="P468" s="19" t="s">
        <v>963</v>
      </c>
      <c r="Q468" s="15" t="s">
        <v>964</v>
      </c>
      <c r="R468" t="str">
        <f t="shared" ca="1" si="7"/>
        <v>Passée</v>
      </c>
    </row>
    <row r="469" spans="1:18" ht="15.6" customHeight="1">
      <c r="A469" t="s">
        <v>1036</v>
      </c>
      <c r="B469" t="s">
        <v>430</v>
      </c>
      <c r="C469" t="s">
        <v>431</v>
      </c>
      <c r="D469" t="s">
        <v>961</v>
      </c>
      <c r="E469">
        <v>2025</v>
      </c>
      <c r="F469" t="s">
        <v>526</v>
      </c>
      <c r="G469" t="s">
        <v>146</v>
      </c>
      <c r="H469" s="1">
        <v>45777</v>
      </c>
      <c r="I469" s="1">
        <v>45869</v>
      </c>
      <c r="J469" s="1">
        <v>45869</v>
      </c>
      <c r="K469" s="1">
        <v>45895</v>
      </c>
      <c r="L469" s="1">
        <v>45902</v>
      </c>
      <c r="N469" t="s">
        <v>962</v>
      </c>
      <c r="O469" t="s">
        <v>266</v>
      </c>
      <c r="P469" s="19" t="s">
        <v>963</v>
      </c>
      <c r="Q469" t="s">
        <v>964</v>
      </c>
      <c r="R469" t="str">
        <f t="shared" ca="1" si="7"/>
        <v>Passée</v>
      </c>
    </row>
    <row r="470" spans="1:18" ht="15.6" customHeight="1">
      <c r="A470" s="15" t="s">
        <v>1037</v>
      </c>
      <c r="B470" s="15" t="s">
        <v>430</v>
      </c>
      <c r="C470" s="15" t="s">
        <v>431</v>
      </c>
      <c r="D470" s="15" t="s">
        <v>961</v>
      </c>
      <c r="E470" s="15">
        <v>2025</v>
      </c>
      <c r="F470" s="15" t="s">
        <v>526</v>
      </c>
      <c r="G470" s="15" t="s">
        <v>147</v>
      </c>
      <c r="H470" s="16">
        <v>45807</v>
      </c>
      <c r="I470" s="16">
        <v>45898</v>
      </c>
      <c r="J470" s="16">
        <v>45898</v>
      </c>
      <c r="K470" s="16">
        <v>45923</v>
      </c>
      <c r="L470" s="16">
        <v>45930</v>
      </c>
      <c r="M470" s="15"/>
      <c r="N470" s="15" t="s">
        <v>962</v>
      </c>
      <c r="O470" s="15" t="s">
        <v>266</v>
      </c>
      <c r="P470" s="19" t="s">
        <v>963</v>
      </c>
      <c r="Q470" s="15" t="s">
        <v>964</v>
      </c>
      <c r="R470" t="str">
        <f t="shared" ca="1" si="7"/>
        <v>Passée</v>
      </c>
    </row>
    <row r="471" spans="1:18" ht="15.6" customHeight="1">
      <c r="A471" t="s">
        <v>1038</v>
      </c>
      <c r="B471" t="s">
        <v>430</v>
      </c>
      <c r="C471" t="s">
        <v>431</v>
      </c>
      <c r="D471" t="s">
        <v>961</v>
      </c>
      <c r="E471">
        <v>2025</v>
      </c>
      <c r="F471" t="s">
        <v>526</v>
      </c>
      <c r="G471" t="s">
        <v>148</v>
      </c>
      <c r="H471" s="1">
        <v>45838</v>
      </c>
      <c r="I471" s="1">
        <v>45930</v>
      </c>
      <c r="J471" s="1">
        <v>45930</v>
      </c>
      <c r="K471" s="1">
        <v>45953</v>
      </c>
      <c r="L471" s="1">
        <v>45960</v>
      </c>
      <c r="N471" t="s">
        <v>962</v>
      </c>
      <c r="O471" t="s">
        <v>266</v>
      </c>
      <c r="P471" s="19" t="s">
        <v>963</v>
      </c>
      <c r="Q471" t="s">
        <v>964</v>
      </c>
      <c r="R471" t="str">
        <f t="shared" ca="1" si="7"/>
        <v>Passée</v>
      </c>
    </row>
    <row r="472" spans="1:18" ht="15.6" customHeight="1">
      <c r="A472" s="15" t="s">
        <v>1039</v>
      </c>
      <c r="B472" s="15" t="s">
        <v>430</v>
      </c>
      <c r="C472" s="15" t="s">
        <v>431</v>
      </c>
      <c r="D472" s="15" t="s">
        <v>961</v>
      </c>
      <c r="E472" s="15">
        <v>2025</v>
      </c>
      <c r="F472" s="15" t="s">
        <v>526</v>
      </c>
      <c r="G472" s="15" t="s">
        <v>149</v>
      </c>
      <c r="H472" s="16">
        <v>45869</v>
      </c>
      <c r="I472" s="16">
        <v>45961</v>
      </c>
      <c r="J472" s="16">
        <v>45961</v>
      </c>
      <c r="K472" s="16">
        <v>45986</v>
      </c>
      <c r="L472" s="16">
        <v>45993</v>
      </c>
      <c r="M472" s="15"/>
      <c r="N472" s="15" t="s">
        <v>962</v>
      </c>
      <c r="O472" s="15" t="s">
        <v>266</v>
      </c>
      <c r="P472" s="19" t="s">
        <v>963</v>
      </c>
      <c r="Q472" s="15" t="s">
        <v>964</v>
      </c>
      <c r="R472" t="str">
        <f t="shared" ca="1" si="7"/>
        <v>Passée</v>
      </c>
    </row>
    <row r="473" spans="1:18" ht="15.6" customHeight="1">
      <c r="A473" t="s">
        <v>1040</v>
      </c>
      <c r="B473" t="s">
        <v>430</v>
      </c>
      <c r="C473" t="s">
        <v>431</v>
      </c>
      <c r="D473" t="s">
        <v>961</v>
      </c>
      <c r="E473">
        <v>2025</v>
      </c>
      <c r="F473" t="s">
        <v>526</v>
      </c>
      <c r="G473" t="s">
        <v>150</v>
      </c>
      <c r="H473" s="1">
        <v>45898</v>
      </c>
      <c r="I473" s="1">
        <v>45989</v>
      </c>
      <c r="J473" s="1">
        <v>45989</v>
      </c>
      <c r="K473" s="1">
        <v>46014</v>
      </c>
      <c r="L473" s="1">
        <v>46027</v>
      </c>
      <c r="N473" t="s">
        <v>962</v>
      </c>
      <c r="O473" t="s">
        <v>266</v>
      </c>
      <c r="P473" s="19" t="s">
        <v>963</v>
      </c>
      <c r="Q473" t="s">
        <v>964</v>
      </c>
      <c r="R473" t="str">
        <f t="shared" ca="1" si="7"/>
        <v>Passée</v>
      </c>
    </row>
    <row r="474" spans="1:18" ht="15.6" customHeight="1">
      <c r="A474" s="15" t="s">
        <v>1041</v>
      </c>
      <c r="B474" s="15" t="s">
        <v>430</v>
      </c>
      <c r="C474" s="15" t="s">
        <v>431</v>
      </c>
      <c r="D474" s="15" t="s">
        <v>961</v>
      </c>
      <c r="E474" s="15">
        <v>2025</v>
      </c>
      <c r="F474" s="15" t="s">
        <v>526</v>
      </c>
      <c r="G474" s="15" t="s">
        <v>151</v>
      </c>
      <c r="H474" s="16">
        <v>45930</v>
      </c>
      <c r="I474" s="16">
        <v>46022</v>
      </c>
      <c r="J474" s="16">
        <v>46022</v>
      </c>
      <c r="K474" s="16">
        <v>46048</v>
      </c>
      <c r="L474" s="16">
        <v>46055</v>
      </c>
      <c r="M474" s="15"/>
      <c r="N474" s="15" t="s">
        <v>962</v>
      </c>
      <c r="O474" s="15" t="s">
        <v>266</v>
      </c>
      <c r="P474" s="19" t="s">
        <v>963</v>
      </c>
      <c r="Q474" s="15" t="s">
        <v>964</v>
      </c>
      <c r="R474" t="str">
        <f t="shared" ca="1" si="7"/>
        <v>Passée</v>
      </c>
    </row>
    <row r="475" spans="1:18" ht="15.6" customHeight="1">
      <c r="A475" t="s">
        <v>1042</v>
      </c>
      <c r="B475" t="s">
        <v>430</v>
      </c>
      <c r="C475" t="s">
        <v>431</v>
      </c>
      <c r="D475" t="s">
        <v>961</v>
      </c>
      <c r="E475">
        <v>2026</v>
      </c>
      <c r="F475" t="s">
        <v>526</v>
      </c>
      <c r="G475" t="s">
        <v>152</v>
      </c>
      <c r="H475" s="1">
        <v>45961</v>
      </c>
      <c r="I475" s="1">
        <v>46052</v>
      </c>
      <c r="J475" s="1">
        <v>46052</v>
      </c>
      <c r="K475" s="1">
        <v>46077</v>
      </c>
      <c r="L475" s="1">
        <v>46084</v>
      </c>
      <c r="N475" t="s">
        <v>962</v>
      </c>
      <c r="O475" t="s">
        <v>266</v>
      </c>
      <c r="P475" s="19" t="s">
        <v>963</v>
      </c>
      <c r="Q475" t="s">
        <v>964</v>
      </c>
      <c r="R475" t="str">
        <f t="shared" ca="1" si="7"/>
        <v>Passée</v>
      </c>
    </row>
    <row r="476" spans="1:18" ht="15.6" customHeight="1">
      <c r="A476" s="15" t="s">
        <v>1043</v>
      </c>
      <c r="B476" s="15" t="s">
        <v>430</v>
      </c>
      <c r="C476" s="15" t="s">
        <v>431</v>
      </c>
      <c r="D476" s="15" t="s">
        <v>961</v>
      </c>
      <c r="E476" s="15">
        <v>2026</v>
      </c>
      <c r="F476" s="15" t="s">
        <v>526</v>
      </c>
      <c r="G476" s="15" t="s">
        <v>153</v>
      </c>
      <c r="H476" s="16">
        <v>45989</v>
      </c>
      <c r="I476" s="16">
        <v>46080</v>
      </c>
      <c r="J476" s="16">
        <v>46080</v>
      </c>
      <c r="K476" s="16">
        <v>46105</v>
      </c>
      <c r="L476" s="16">
        <v>46112</v>
      </c>
      <c r="M476" s="15"/>
      <c r="N476" s="15" t="s">
        <v>962</v>
      </c>
      <c r="O476" s="15" t="s">
        <v>266</v>
      </c>
      <c r="P476" s="19" t="s">
        <v>963</v>
      </c>
      <c r="Q476" s="15" t="s">
        <v>964</v>
      </c>
      <c r="R476" t="str">
        <f t="shared" ca="1" si="7"/>
        <v>Passée</v>
      </c>
    </row>
    <row r="477" spans="1:18" ht="15.6" customHeight="1">
      <c r="A477" t="s">
        <v>1044</v>
      </c>
      <c r="B477" t="s">
        <v>430</v>
      </c>
      <c r="C477" t="s">
        <v>431</v>
      </c>
      <c r="D477" t="s">
        <v>961</v>
      </c>
      <c r="E477">
        <v>2026</v>
      </c>
      <c r="F477" t="s">
        <v>526</v>
      </c>
      <c r="G477" t="s">
        <v>154</v>
      </c>
      <c r="H477" s="1">
        <v>46022</v>
      </c>
      <c r="I477" s="1">
        <v>46112</v>
      </c>
      <c r="J477" s="1">
        <v>46112</v>
      </c>
      <c r="K477" s="1">
        <v>46139</v>
      </c>
      <c r="L477" s="1">
        <v>46147</v>
      </c>
      <c r="N477" t="s">
        <v>962</v>
      </c>
      <c r="O477" t="s">
        <v>266</v>
      </c>
      <c r="P477" s="19" t="s">
        <v>963</v>
      </c>
      <c r="Q477" t="s">
        <v>964</v>
      </c>
      <c r="R477" t="str">
        <f t="shared" ca="1" si="7"/>
        <v>Passée</v>
      </c>
    </row>
    <row r="478" spans="1:18" ht="15.6" customHeight="1">
      <c r="A478" s="15" t="s">
        <v>1045</v>
      </c>
      <c r="B478" s="15" t="s">
        <v>430</v>
      </c>
      <c r="C478" s="15" t="s">
        <v>431</v>
      </c>
      <c r="D478" s="15" t="s">
        <v>961</v>
      </c>
      <c r="E478" s="15">
        <v>2026</v>
      </c>
      <c r="F478" s="15" t="s">
        <v>526</v>
      </c>
      <c r="G478" s="15" t="s">
        <v>155</v>
      </c>
      <c r="H478" s="16">
        <v>46052</v>
      </c>
      <c r="I478" s="16">
        <v>46142</v>
      </c>
      <c r="J478" s="16">
        <v>46142</v>
      </c>
      <c r="K478" s="16">
        <v>46170</v>
      </c>
      <c r="L478" s="16">
        <v>46177</v>
      </c>
      <c r="M478" s="15"/>
      <c r="N478" s="15" t="s">
        <v>962</v>
      </c>
      <c r="O478" s="15" t="s">
        <v>266</v>
      </c>
      <c r="P478" s="19" t="s">
        <v>963</v>
      </c>
      <c r="Q478" s="15" t="s">
        <v>964</v>
      </c>
      <c r="R478" t="str">
        <f t="shared" ca="1" si="7"/>
        <v>Passée</v>
      </c>
    </row>
    <row r="479" spans="1:18" ht="15.6" customHeight="1">
      <c r="A479" t="s">
        <v>1046</v>
      </c>
      <c r="B479" t="s">
        <v>430</v>
      </c>
      <c r="C479" t="s">
        <v>431</v>
      </c>
      <c r="D479" t="s">
        <v>961</v>
      </c>
      <c r="E479">
        <v>2026</v>
      </c>
      <c r="F479" t="s">
        <v>526</v>
      </c>
      <c r="G479" t="s">
        <v>156</v>
      </c>
      <c r="H479" s="1">
        <v>46080</v>
      </c>
      <c r="I479" s="1">
        <v>46171</v>
      </c>
      <c r="J479" s="1">
        <v>46171</v>
      </c>
      <c r="K479" s="1">
        <v>46197</v>
      </c>
      <c r="L479" s="1">
        <v>46204</v>
      </c>
      <c r="N479" t="s">
        <v>962</v>
      </c>
      <c r="O479" t="s">
        <v>266</v>
      </c>
      <c r="P479" s="19" t="s">
        <v>963</v>
      </c>
      <c r="Q479" t="s">
        <v>964</v>
      </c>
      <c r="R479" t="str">
        <f t="shared" ca="1" si="7"/>
        <v>Passée</v>
      </c>
    </row>
    <row r="480" spans="1:18" ht="15.6" customHeight="1">
      <c r="A480" s="15" t="s">
        <v>1047</v>
      </c>
      <c r="B480" s="15" t="s">
        <v>430</v>
      </c>
      <c r="C480" s="15" t="s">
        <v>431</v>
      </c>
      <c r="D480" s="15" t="s">
        <v>961</v>
      </c>
      <c r="E480" s="15">
        <v>2026</v>
      </c>
      <c r="F480" s="15" t="s">
        <v>526</v>
      </c>
      <c r="G480" s="15" t="s">
        <v>157</v>
      </c>
      <c r="H480" s="16">
        <v>46112</v>
      </c>
      <c r="I480" s="16">
        <v>46203</v>
      </c>
      <c r="J480" s="16">
        <v>46203</v>
      </c>
      <c r="K480" s="16">
        <v>46226</v>
      </c>
      <c r="L480" s="16">
        <v>46233</v>
      </c>
      <c r="M480" s="15"/>
      <c r="N480" s="15" t="s">
        <v>962</v>
      </c>
      <c r="O480" s="15" t="s">
        <v>266</v>
      </c>
      <c r="P480" s="19" t="s">
        <v>963</v>
      </c>
      <c r="Q480" s="15" t="s">
        <v>964</v>
      </c>
      <c r="R480" t="str">
        <f t="shared" ca="1" si="7"/>
        <v>Passée</v>
      </c>
    </row>
    <row r="481" spans="1:18" ht="15.6" customHeight="1">
      <c r="A481" t="s">
        <v>1048</v>
      </c>
      <c r="B481" t="s">
        <v>430</v>
      </c>
      <c r="C481" t="s">
        <v>431</v>
      </c>
      <c r="D481" t="s">
        <v>961</v>
      </c>
      <c r="E481">
        <v>2026</v>
      </c>
      <c r="F481" t="s">
        <v>526</v>
      </c>
      <c r="G481" t="s">
        <v>158</v>
      </c>
      <c r="H481" s="1">
        <v>46142</v>
      </c>
      <c r="I481" s="1">
        <v>46234</v>
      </c>
      <c r="J481" s="1">
        <v>46234</v>
      </c>
      <c r="K481" s="1">
        <v>46259</v>
      </c>
      <c r="L481" s="1">
        <v>46266</v>
      </c>
      <c r="N481" t="s">
        <v>962</v>
      </c>
      <c r="O481" t="s">
        <v>266</v>
      </c>
      <c r="P481" s="19" t="s">
        <v>963</v>
      </c>
      <c r="Q481" t="s">
        <v>964</v>
      </c>
      <c r="R481" t="str">
        <f t="shared" ca="1" si="7"/>
        <v>Passée</v>
      </c>
    </row>
    <row r="482" spans="1:18" ht="15.6" customHeight="1">
      <c r="A482" s="15" t="s">
        <v>1049</v>
      </c>
      <c r="B482" s="15" t="s">
        <v>430</v>
      </c>
      <c r="C482" s="15" t="s">
        <v>431</v>
      </c>
      <c r="D482" s="15" t="s">
        <v>961</v>
      </c>
      <c r="E482" s="15">
        <v>2026</v>
      </c>
      <c r="F482" s="15" t="s">
        <v>526</v>
      </c>
      <c r="G482" s="15" t="s">
        <v>159</v>
      </c>
      <c r="H482" s="16">
        <v>46171</v>
      </c>
      <c r="I482" s="16">
        <v>46265</v>
      </c>
      <c r="J482" s="16">
        <v>46265</v>
      </c>
      <c r="K482" s="16">
        <v>46288</v>
      </c>
      <c r="L482" s="16">
        <v>46295</v>
      </c>
      <c r="M482" s="15"/>
      <c r="N482" s="15" t="s">
        <v>962</v>
      </c>
      <c r="O482" s="15" t="s">
        <v>266</v>
      </c>
      <c r="P482" s="19" t="s">
        <v>963</v>
      </c>
      <c r="Q482" s="15" t="s">
        <v>964</v>
      </c>
      <c r="R482" t="str">
        <f t="shared" ca="1" si="7"/>
        <v>Passée</v>
      </c>
    </row>
    <row r="483" spans="1:18" ht="15.6" customHeight="1">
      <c r="A483" t="s">
        <v>1050</v>
      </c>
      <c r="B483" t="s">
        <v>430</v>
      </c>
      <c r="C483" t="s">
        <v>431</v>
      </c>
      <c r="D483" t="s">
        <v>961</v>
      </c>
      <c r="E483">
        <v>2026</v>
      </c>
      <c r="F483" t="s">
        <v>526</v>
      </c>
      <c r="G483" t="s">
        <v>160</v>
      </c>
      <c r="H483" s="1">
        <v>46203</v>
      </c>
      <c r="I483" s="1">
        <v>46295</v>
      </c>
      <c r="J483" s="1">
        <v>46295</v>
      </c>
      <c r="K483" s="1">
        <v>46318</v>
      </c>
      <c r="L483" s="1">
        <v>46325</v>
      </c>
      <c r="N483" t="s">
        <v>962</v>
      </c>
      <c r="O483" t="s">
        <v>266</v>
      </c>
      <c r="P483" s="19" t="s">
        <v>963</v>
      </c>
      <c r="Q483" t="s">
        <v>964</v>
      </c>
      <c r="R483" t="str">
        <f t="shared" ca="1" si="7"/>
        <v>Passée</v>
      </c>
    </row>
    <row r="484" spans="1:18" ht="15.6" customHeight="1">
      <c r="A484" s="15" t="s">
        <v>1051</v>
      </c>
      <c r="B484" s="15" t="s">
        <v>430</v>
      </c>
      <c r="C484" s="15" t="s">
        <v>431</v>
      </c>
      <c r="D484" s="15" t="s">
        <v>961</v>
      </c>
      <c r="E484" s="15">
        <v>2026</v>
      </c>
      <c r="F484" s="15" t="s">
        <v>526</v>
      </c>
      <c r="G484" s="15" t="s">
        <v>161</v>
      </c>
      <c r="H484" s="16">
        <v>46234</v>
      </c>
      <c r="I484" s="16">
        <v>46325</v>
      </c>
      <c r="J484" s="16">
        <v>46325</v>
      </c>
      <c r="K484" s="16">
        <v>46350</v>
      </c>
      <c r="L484" s="16">
        <v>46357</v>
      </c>
      <c r="M484" s="15"/>
      <c r="N484" s="15" t="s">
        <v>962</v>
      </c>
      <c r="O484" s="15" t="s">
        <v>266</v>
      </c>
      <c r="P484" s="19" t="s">
        <v>963</v>
      </c>
      <c r="Q484" s="15" t="s">
        <v>964</v>
      </c>
      <c r="R484" t="str">
        <f t="shared" ca="1" si="7"/>
        <v>Passée</v>
      </c>
    </row>
    <row r="485" spans="1:18" ht="15.6" customHeight="1">
      <c r="A485" t="s">
        <v>1052</v>
      </c>
      <c r="B485" t="s">
        <v>430</v>
      </c>
      <c r="C485" t="s">
        <v>431</v>
      </c>
      <c r="D485" t="s">
        <v>961</v>
      </c>
      <c r="E485">
        <v>2026</v>
      </c>
      <c r="F485" t="s">
        <v>526</v>
      </c>
      <c r="G485" t="s">
        <v>162</v>
      </c>
      <c r="H485" s="1">
        <v>46265</v>
      </c>
      <c r="I485" s="1">
        <v>46356</v>
      </c>
      <c r="J485" s="1">
        <v>46356</v>
      </c>
      <c r="K485" s="1">
        <v>46379</v>
      </c>
      <c r="L485" s="1">
        <v>46387</v>
      </c>
      <c r="N485" t="s">
        <v>962</v>
      </c>
      <c r="O485" t="s">
        <v>266</v>
      </c>
      <c r="P485" s="19" t="s">
        <v>963</v>
      </c>
      <c r="Q485" t="s">
        <v>964</v>
      </c>
      <c r="R485" t="str">
        <f t="shared" ca="1" si="7"/>
        <v>Passée</v>
      </c>
    </row>
    <row r="486" spans="1:18" ht="15.6" customHeight="1">
      <c r="A486" s="15" t="s">
        <v>1053</v>
      </c>
      <c r="B486" s="15" t="s">
        <v>430</v>
      </c>
      <c r="C486" s="15" t="s">
        <v>431</v>
      </c>
      <c r="D486" s="15" t="s">
        <v>961</v>
      </c>
      <c r="E486" s="15">
        <v>2026</v>
      </c>
      <c r="F486" s="15" t="s">
        <v>526</v>
      </c>
      <c r="G486" s="15" t="s">
        <v>163</v>
      </c>
      <c r="H486" s="16">
        <v>46295</v>
      </c>
      <c r="I486" s="16">
        <v>46387</v>
      </c>
      <c r="J486" s="16">
        <v>46387</v>
      </c>
      <c r="K486" s="16">
        <v>46413</v>
      </c>
      <c r="L486" s="16">
        <v>46420</v>
      </c>
      <c r="M486" s="15"/>
      <c r="N486" s="15" t="s">
        <v>962</v>
      </c>
      <c r="O486" s="15" t="s">
        <v>266</v>
      </c>
      <c r="P486" s="19" t="s">
        <v>963</v>
      </c>
      <c r="Q486" s="15" t="s">
        <v>964</v>
      </c>
      <c r="R486" t="str">
        <f t="shared" ca="1" si="7"/>
        <v>À venir</v>
      </c>
    </row>
    <row r="487" spans="1:18" ht="15.6" customHeight="1">
      <c r="A487" t="s">
        <v>1054</v>
      </c>
      <c r="B487" t="s">
        <v>373</v>
      </c>
      <c r="C487" t="s">
        <v>374</v>
      </c>
      <c r="D487" t="s">
        <v>961</v>
      </c>
      <c r="E487">
        <v>2025</v>
      </c>
      <c r="F487" t="s">
        <v>526</v>
      </c>
      <c r="G487" t="s">
        <v>142</v>
      </c>
      <c r="H487" s="1">
        <v>45688</v>
      </c>
      <c r="I487" s="1">
        <v>45747</v>
      </c>
      <c r="J487" s="1">
        <v>45747</v>
      </c>
      <c r="K487" s="1">
        <v>45775</v>
      </c>
      <c r="L487" s="1">
        <v>45779</v>
      </c>
      <c r="N487" t="s">
        <v>962</v>
      </c>
      <c r="O487" t="s">
        <v>266</v>
      </c>
      <c r="P487" s="19" t="s">
        <v>963</v>
      </c>
      <c r="Q487" t="s">
        <v>964</v>
      </c>
      <c r="R487" t="str">
        <f t="shared" ca="1" si="7"/>
        <v>Passée</v>
      </c>
    </row>
    <row r="488" spans="1:18" ht="15.6" customHeight="1">
      <c r="A488" s="15" t="s">
        <v>1055</v>
      </c>
      <c r="B488" s="15" t="s">
        <v>373</v>
      </c>
      <c r="C488" s="15" t="s">
        <v>374</v>
      </c>
      <c r="D488" s="15" t="s">
        <v>961</v>
      </c>
      <c r="E488" s="15">
        <v>2025</v>
      </c>
      <c r="F488" s="15" t="s">
        <v>526</v>
      </c>
      <c r="G488" s="15" t="s">
        <v>143</v>
      </c>
      <c r="H488" s="16">
        <v>45716</v>
      </c>
      <c r="I488" s="16">
        <v>45777</v>
      </c>
      <c r="J488" s="16">
        <v>45777</v>
      </c>
      <c r="K488" s="16">
        <v>45805</v>
      </c>
      <c r="L488" s="16">
        <v>45811</v>
      </c>
      <c r="M488" s="15"/>
      <c r="N488" s="15" t="s">
        <v>962</v>
      </c>
      <c r="O488" s="15" t="s">
        <v>266</v>
      </c>
      <c r="P488" s="19" t="s">
        <v>963</v>
      </c>
      <c r="Q488" s="15" t="s">
        <v>964</v>
      </c>
      <c r="R488" t="str">
        <f t="shared" ca="1" si="7"/>
        <v>Passée</v>
      </c>
    </row>
    <row r="489" spans="1:18" ht="15.6" customHeight="1">
      <c r="A489" t="s">
        <v>1056</v>
      </c>
      <c r="B489" t="s">
        <v>373</v>
      </c>
      <c r="C489" t="s">
        <v>374</v>
      </c>
      <c r="D489" t="s">
        <v>961</v>
      </c>
      <c r="E489">
        <v>2025</v>
      </c>
      <c r="F489" t="s">
        <v>526</v>
      </c>
      <c r="G489" t="s">
        <v>144</v>
      </c>
      <c r="H489" s="1">
        <v>45747</v>
      </c>
      <c r="I489" s="1">
        <v>45807</v>
      </c>
      <c r="J489" s="1">
        <v>45807</v>
      </c>
      <c r="K489" s="1">
        <v>45835</v>
      </c>
      <c r="L489" s="1">
        <v>45840</v>
      </c>
      <c r="N489" t="s">
        <v>962</v>
      </c>
      <c r="O489" t="s">
        <v>266</v>
      </c>
      <c r="P489" s="19" t="s">
        <v>963</v>
      </c>
      <c r="Q489" t="s">
        <v>964</v>
      </c>
      <c r="R489" t="str">
        <f t="shared" ca="1" si="7"/>
        <v>Passée</v>
      </c>
    </row>
    <row r="490" spans="1:18" ht="15.6" customHeight="1">
      <c r="A490" s="15" t="s">
        <v>1057</v>
      </c>
      <c r="B490" s="15" t="s">
        <v>373</v>
      </c>
      <c r="C490" s="15" t="s">
        <v>374</v>
      </c>
      <c r="D490" s="15" t="s">
        <v>961</v>
      </c>
      <c r="E490" s="15">
        <v>2025</v>
      </c>
      <c r="F490" s="15" t="s">
        <v>526</v>
      </c>
      <c r="G490" s="15" t="s">
        <v>145</v>
      </c>
      <c r="H490" s="16">
        <v>45777</v>
      </c>
      <c r="I490" s="16">
        <v>45838</v>
      </c>
      <c r="J490" s="16">
        <v>45838</v>
      </c>
      <c r="K490" s="16">
        <v>45862</v>
      </c>
      <c r="L490" s="16">
        <v>45867</v>
      </c>
      <c r="M490" s="15"/>
      <c r="N490" s="15" t="s">
        <v>962</v>
      </c>
      <c r="O490" s="15" t="s">
        <v>266</v>
      </c>
      <c r="P490" s="19" t="s">
        <v>963</v>
      </c>
      <c r="Q490" s="15" t="s">
        <v>964</v>
      </c>
      <c r="R490" t="str">
        <f t="shared" ca="1" si="7"/>
        <v>Passée</v>
      </c>
    </row>
    <row r="491" spans="1:18" ht="15.6" customHeight="1">
      <c r="A491" t="s">
        <v>1058</v>
      </c>
      <c r="B491" t="s">
        <v>373</v>
      </c>
      <c r="C491" t="s">
        <v>374</v>
      </c>
      <c r="D491" t="s">
        <v>961</v>
      </c>
      <c r="E491">
        <v>2025</v>
      </c>
      <c r="F491" t="s">
        <v>526</v>
      </c>
      <c r="G491" t="s">
        <v>146</v>
      </c>
      <c r="H491" s="1">
        <v>45807</v>
      </c>
      <c r="I491" s="1">
        <v>45869</v>
      </c>
      <c r="J491" s="1">
        <v>45869</v>
      </c>
      <c r="K491" s="1">
        <v>45896</v>
      </c>
      <c r="L491" s="1">
        <v>45901</v>
      </c>
      <c r="N491" t="s">
        <v>962</v>
      </c>
      <c r="O491" t="s">
        <v>266</v>
      </c>
      <c r="P491" s="19" t="s">
        <v>963</v>
      </c>
      <c r="Q491" t="s">
        <v>964</v>
      </c>
      <c r="R491" t="str">
        <f t="shared" ca="1" si="7"/>
        <v>Passée</v>
      </c>
    </row>
    <row r="492" spans="1:18" ht="15.6" customHeight="1">
      <c r="A492" s="15" t="s">
        <v>1059</v>
      </c>
      <c r="B492" s="15" t="s">
        <v>373</v>
      </c>
      <c r="C492" s="15" t="s">
        <v>374</v>
      </c>
      <c r="D492" s="15" t="s">
        <v>961</v>
      </c>
      <c r="E492" s="15">
        <v>2025</v>
      </c>
      <c r="F492" s="15" t="s">
        <v>526</v>
      </c>
      <c r="G492" s="15" t="s">
        <v>147</v>
      </c>
      <c r="H492" s="16">
        <v>45838</v>
      </c>
      <c r="I492" s="16">
        <v>45898</v>
      </c>
      <c r="J492" s="16">
        <v>45898</v>
      </c>
      <c r="K492" s="16">
        <v>45924</v>
      </c>
      <c r="L492" s="16">
        <v>45929</v>
      </c>
      <c r="M492" s="15"/>
      <c r="N492" s="15" t="s">
        <v>962</v>
      </c>
      <c r="O492" s="15" t="s">
        <v>266</v>
      </c>
      <c r="P492" s="19" t="s">
        <v>963</v>
      </c>
      <c r="Q492" s="15" t="s">
        <v>964</v>
      </c>
      <c r="R492" t="str">
        <f t="shared" ca="1" si="7"/>
        <v>Passée</v>
      </c>
    </row>
    <row r="493" spans="1:18" ht="15.6" customHeight="1">
      <c r="A493" t="s">
        <v>1060</v>
      </c>
      <c r="B493" t="s">
        <v>373</v>
      </c>
      <c r="C493" t="s">
        <v>374</v>
      </c>
      <c r="D493" t="s">
        <v>961</v>
      </c>
      <c r="E493">
        <v>2025</v>
      </c>
      <c r="F493" t="s">
        <v>526</v>
      </c>
      <c r="G493" t="s">
        <v>148</v>
      </c>
      <c r="H493" s="1">
        <v>45869</v>
      </c>
      <c r="I493" s="1">
        <v>45930</v>
      </c>
      <c r="J493" s="1">
        <v>45930</v>
      </c>
      <c r="K493" s="1">
        <v>45954</v>
      </c>
      <c r="L493" s="1">
        <v>45959</v>
      </c>
      <c r="N493" t="s">
        <v>962</v>
      </c>
      <c r="O493" t="s">
        <v>266</v>
      </c>
      <c r="P493" s="19" t="s">
        <v>963</v>
      </c>
      <c r="Q493" t="s">
        <v>964</v>
      </c>
      <c r="R493" t="str">
        <f t="shared" ca="1" si="7"/>
        <v>Passée</v>
      </c>
    </row>
    <row r="494" spans="1:18" ht="15.6" customHeight="1">
      <c r="A494" s="15" t="s">
        <v>1061</v>
      </c>
      <c r="B494" s="15" t="s">
        <v>373</v>
      </c>
      <c r="C494" s="15" t="s">
        <v>374</v>
      </c>
      <c r="D494" s="15" t="s">
        <v>961</v>
      </c>
      <c r="E494" s="15">
        <v>2025</v>
      </c>
      <c r="F494" s="15" t="s">
        <v>526</v>
      </c>
      <c r="G494" s="15" t="s">
        <v>149</v>
      </c>
      <c r="H494" s="16">
        <v>45898</v>
      </c>
      <c r="I494" s="16">
        <v>45961</v>
      </c>
      <c r="J494" s="16">
        <v>45961</v>
      </c>
      <c r="K494" s="16">
        <v>45987</v>
      </c>
      <c r="L494" s="16">
        <v>45992</v>
      </c>
      <c r="M494" s="15"/>
      <c r="N494" s="15" t="s">
        <v>962</v>
      </c>
      <c r="O494" s="15" t="s">
        <v>266</v>
      </c>
      <c r="P494" s="19" t="s">
        <v>963</v>
      </c>
      <c r="Q494" s="15" t="s">
        <v>964</v>
      </c>
      <c r="R494" t="str">
        <f t="shared" ca="1" si="7"/>
        <v>Passée</v>
      </c>
    </row>
    <row r="495" spans="1:18" ht="15.6" customHeight="1">
      <c r="A495" t="s">
        <v>1062</v>
      </c>
      <c r="B495" t="s">
        <v>373</v>
      </c>
      <c r="C495" t="s">
        <v>374</v>
      </c>
      <c r="D495" t="s">
        <v>961</v>
      </c>
      <c r="E495">
        <v>2025</v>
      </c>
      <c r="F495" t="s">
        <v>526</v>
      </c>
      <c r="G495" t="s">
        <v>150</v>
      </c>
      <c r="H495" s="1">
        <v>45930</v>
      </c>
      <c r="I495" s="1">
        <v>45989</v>
      </c>
      <c r="J495" s="1">
        <v>45989</v>
      </c>
      <c r="K495" s="1">
        <v>46020</v>
      </c>
      <c r="L495" s="1">
        <v>46024</v>
      </c>
      <c r="N495" t="s">
        <v>962</v>
      </c>
      <c r="O495" t="s">
        <v>266</v>
      </c>
      <c r="P495" s="19" t="s">
        <v>963</v>
      </c>
      <c r="Q495" t="s">
        <v>964</v>
      </c>
      <c r="R495" t="str">
        <f t="shared" ca="1" si="7"/>
        <v>Passée</v>
      </c>
    </row>
    <row r="496" spans="1:18" ht="15.6" customHeight="1">
      <c r="A496" s="15" t="s">
        <v>1063</v>
      </c>
      <c r="B496" s="15" t="s">
        <v>373</v>
      </c>
      <c r="C496" s="15" t="s">
        <v>374</v>
      </c>
      <c r="D496" s="15" t="s">
        <v>961</v>
      </c>
      <c r="E496" s="15">
        <v>2025</v>
      </c>
      <c r="F496" s="15" t="s">
        <v>526</v>
      </c>
      <c r="G496" s="15" t="s">
        <v>151</v>
      </c>
      <c r="H496" s="16">
        <v>45961</v>
      </c>
      <c r="I496" s="16">
        <v>46022</v>
      </c>
      <c r="J496" s="16">
        <v>46022</v>
      </c>
      <c r="K496" s="16">
        <v>46049</v>
      </c>
      <c r="L496" s="16">
        <v>46052</v>
      </c>
      <c r="M496" s="15"/>
      <c r="N496" s="15" t="s">
        <v>962</v>
      </c>
      <c r="O496" s="15" t="s">
        <v>266</v>
      </c>
      <c r="P496" s="19" t="s">
        <v>963</v>
      </c>
      <c r="Q496" s="15" t="s">
        <v>964</v>
      </c>
      <c r="R496" t="str">
        <f t="shared" ca="1" si="7"/>
        <v>Passée</v>
      </c>
    </row>
    <row r="497" spans="1:18" ht="15.6" customHeight="1">
      <c r="A497" t="s">
        <v>1064</v>
      </c>
      <c r="B497" t="s">
        <v>373</v>
      </c>
      <c r="C497" t="s">
        <v>374</v>
      </c>
      <c r="D497" t="s">
        <v>961</v>
      </c>
      <c r="E497">
        <v>2026</v>
      </c>
      <c r="F497" t="s">
        <v>526</v>
      </c>
      <c r="G497" t="s">
        <v>152</v>
      </c>
      <c r="H497" s="1">
        <v>45989</v>
      </c>
      <c r="I497" s="1">
        <v>46052</v>
      </c>
      <c r="J497" s="1">
        <v>46052</v>
      </c>
      <c r="K497" s="1">
        <v>46078</v>
      </c>
      <c r="L497" s="1">
        <v>46083</v>
      </c>
      <c r="N497" t="s">
        <v>962</v>
      </c>
      <c r="O497" t="s">
        <v>266</v>
      </c>
      <c r="P497" s="19" t="s">
        <v>963</v>
      </c>
      <c r="Q497" t="s">
        <v>964</v>
      </c>
      <c r="R497" t="str">
        <f t="shared" ca="1" si="7"/>
        <v>Passée</v>
      </c>
    </row>
    <row r="498" spans="1:18" ht="15.6" customHeight="1">
      <c r="A498" s="15" t="s">
        <v>1065</v>
      </c>
      <c r="B498" s="15" t="s">
        <v>373</v>
      </c>
      <c r="C498" s="15" t="s">
        <v>374</v>
      </c>
      <c r="D498" s="15" t="s">
        <v>961</v>
      </c>
      <c r="E498" s="15">
        <v>2026</v>
      </c>
      <c r="F498" s="15" t="s">
        <v>526</v>
      </c>
      <c r="G498" s="15" t="s">
        <v>153</v>
      </c>
      <c r="H498" s="16">
        <v>46022</v>
      </c>
      <c r="I498" s="16">
        <v>46080</v>
      </c>
      <c r="J498" s="16">
        <v>46080</v>
      </c>
      <c r="K498" s="16">
        <v>46106</v>
      </c>
      <c r="L498" s="16">
        <v>46111</v>
      </c>
      <c r="M498" s="15"/>
      <c r="N498" s="15" t="s">
        <v>962</v>
      </c>
      <c r="O498" s="15" t="s">
        <v>266</v>
      </c>
      <c r="P498" s="19" t="s">
        <v>963</v>
      </c>
      <c r="Q498" s="15" t="s">
        <v>964</v>
      </c>
      <c r="R498" t="str">
        <f t="shared" ca="1" si="7"/>
        <v>Passée</v>
      </c>
    </row>
    <row r="499" spans="1:18" ht="15.6" customHeight="1">
      <c r="A499" t="s">
        <v>1066</v>
      </c>
      <c r="B499" t="s">
        <v>373</v>
      </c>
      <c r="C499" t="s">
        <v>374</v>
      </c>
      <c r="D499" t="s">
        <v>961</v>
      </c>
      <c r="E499">
        <v>2026</v>
      </c>
      <c r="F499" t="s">
        <v>526</v>
      </c>
      <c r="G499" t="s">
        <v>154</v>
      </c>
      <c r="H499" s="1">
        <v>46052</v>
      </c>
      <c r="I499" s="1">
        <v>46112</v>
      </c>
      <c r="J499" s="1">
        <v>46112</v>
      </c>
      <c r="K499" s="1">
        <v>46140</v>
      </c>
      <c r="L499" s="1">
        <v>46146</v>
      </c>
      <c r="N499" t="s">
        <v>962</v>
      </c>
      <c r="O499" t="s">
        <v>266</v>
      </c>
      <c r="P499" s="19" t="s">
        <v>963</v>
      </c>
      <c r="Q499" t="s">
        <v>964</v>
      </c>
      <c r="R499" t="str">
        <f t="shared" ca="1" si="7"/>
        <v>Passée</v>
      </c>
    </row>
    <row r="500" spans="1:18" ht="15.6" customHeight="1">
      <c r="A500" s="15" t="s">
        <v>1067</v>
      </c>
      <c r="B500" s="15" t="s">
        <v>373</v>
      </c>
      <c r="C500" s="15" t="s">
        <v>374</v>
      </c>
      <c r="D500" s="15" t="s">
        <v>961</v>
      </c>
      <c r="E500" s="15">
        <v>2026</v>
      </c>
      <c r="F500" s="15" t="s">
        <v>526</v>
      </c>
      <c r="G500" s="15" t="s">
        <v>155</v>
      </c>
      <c r="H500" s="16">
        <v>46080</v>
      </c>
      <c r="I500" s="16">
        <v>46142</v>
      </c>
      <c r="J500" s="16">
        <v>46142</v>
      </c>
      <c r="K500" s="16">
        <v>46171</v>
      </c>
      <c r="L500" s="16">
        <v>46176</v>
      </c>
      <c r="M500" s="15"/>
      <c r="N500" s="15" t="s">
        <v>962</v>
      </c>
      <c r="O500" s="15" t="s">
        <v>266</v>
      </c>
      <c r="P500" s="19" t="s">
        <v>963</v>
      </c>
      <c r="Q500" s="15" t="s">
        <v>964</v>
      </c>
      <c r="R500" t="str">
        <f t="shared" ca="1" si="7"/>
        <v>Passée</v>
      </c>
    </row>
    <row r="501" spans="1:18" ht="15.6" customHeight="1">
      <c r="A501" t="s">
        <v>1068</v>
      </c>
      <c r="B501" t="s">
        <v>373</v>
      </c>
      <c r="C501" t="s">
        <v>374</v>
      </c>
      <c r="D501" t="s">
        <v>961</v>
      </c>
      <c r="E501">
        <v>2026</v>
      </c>
      <c r="F501" t="s">
        <v>526</v>
      </c>
      <c r="G501" t="s">
        <v>156</v>
      </c>
      <c r="H501" s="1">
        <v>46112</v>
      </c>
      <c r="I501" s="1">
        <v>46171</v>
      </c>
      <c r="J501" s="1">
        <v>46171</v>
      </c>
      <c r="K501" s="1">
        <v>46198</v>
      </c>
      <c r="L501" s="1">
        <v>46203</v>
      </c>
      <c r="N501" t="s">
        <v>962</v>
      </c>
      <c r="O501" t="s">
        <v>266</v>
      </c>
      <c r="P501" s="19" t="s">
        <v>963</v>
      </c>
      <c r="Q501" t="s">
        <v>964</v>
      </c>
      <c r="R501" t="str">
        <f t="shared" ca="1" si="7"/>
        <v>Passée</v>
      </c>
    </row>
    <row r="502" spans="1:18" ht="15.6" customHeight="1">
      <c r="A502" s="15" t="s">
        <v>1069</v>
      </c>
      <c r="B502" s="15" t="s">
        <v>373</v>
      </c>
      <c r="C502" s="15" t="s">
        <v>374</v>
      </c>
      <c r="D502" s="15" t="s">
        <v>961</v>
      </c>
      <c r="E502" s="15">
        <v>2026</v>
      </c>
      <c r="F502" s="15" t="s">
        <v>526</v>
      </c>
      <c r="G502" s="15" t="s">
        <v>157</v>
      </c>
      <c r="H502" s="16">
        <v>46142</v>
      </c>
      <c r="I502" s="16">
        <v>46203</v>
      </c>
      <c r="J502" s="16">
        <v>46203</v>
      </c>
      <c r="K502" s="16">
        <v>46227</v>
      </c>
      <c r="L502" s="16">
        <v>46232</v>
      </c>
      <c r="M502" s="15"/>
      <c r="N502" s="15" t="s">
        <v>962</v>
      </c>
      <c r="O502" s="15" t="s">
        <v>266</v>
      </c>
      <c r="P502" s="19" t="s">
        <v>963</v>
      </c>
      <c r="Q502" s="15" t="s">
        <v>964</v>
      </c>
      <c r="R502" t="str">
        <f t="shared" ca="1" si="7"/>
        <v>Passée</v>
      </c>
    </row>
    <row r="503" spans="1:18" ht="15.6" customHeight="1">
      <c r="A503" t="s">
        <v>1070</v>
      </c>
      <c r="B503" t="s">
        <v>373</v>
      </c>
      <c r="C503" t="s">
        <v>374</v>
      </c>
      <c r="D503" t="s">
        <v>961</v>
      </c>
      <c r="E503">
        <v>2026</v>
      </c>
      <c r="F503" t="s">
        <v>526</v>
      </c>
      <c r="G503" t="s">
        <v>158</v>
      </c>
      <c r="H503" s="1">
        <v>46171</v>
      </c>
      <c r="I503" s="1">
        <v>46234</v>
      </c>
      <c r="J503" s="1">
        <v>46234</v>
      </c>
      <c r="K503" s="1">
        <v>46260</v>
      </c>
      <c r="L503" s="1">
        <v>46265</v>
      </c>
      <c r="N503" t="s">
        <v>962</v>
      </c>
      <c r="O503" t="s">
        <v>266</v>
      </c>
      <c r="P503" s="19" t="s">
        <v>963</v>
      </c>
      <c r="Q503" t="s">
        <v>964</v>
      </c>
      <c r="R503" t="str">
        <f t="shared" ca="1" si="7"/>
        <v>Passée</v>
      </c>
    </row>
    <row r="504" spans="1:18" ht="15.6" customHeight="1">
      <c r="A504" s="15" t="s">
        <v>1071</v>
      </c>
      <c r="B504" s="15" t="s">
        <v>373</v>
      </c>
      <c r="C504" s="15" t="s">
        <v>374</v>
      </c>
      <c r="D504" s="15" t="s">
        <v>961</v>
      </c>
      <c r="E504" s="15">
        <v>2026</v>
      </c>
      <c r="F504" s="15" t="s">
        <v>526</v>
      </c>
      <c r="G504" s="15" t="s">
        <v>159</v>
      </c>
      <c r="H504" s="16">
        <v>46203</v>
      </c>
      <c r="I504" s="16">
        <v>46265</v>
      </c>
      <c r="J504" s="16">
        <v>46265</v>
      </c>
      <c r="K504" s="16">
        <v>46289</v>
      </c>
      <c r="L504" s="16">
        <v>46294</v>
      </c>
      <c r="M504" s="15"/>
      <c r="N504" s="15" t="s">
        <v>962</v>
      </c>
      <c r="O504" s="15" t="s">
        <v>266</v>
      </c>
      <c r="P504" s="19" t="s">
        <v>963</v>
      </c>
      <c r="Q504" s="15" t="s">
        <v>964</v>
      </c>
      <c r="R504" t="str">
        <f t="shared" ca="1" si="7"/>
        <v>Passée</v>
      </c>
    </row>
    <row r="505" spans="1:18" ht="15.6" customHeight="1">
      <c r="A505" t="s">
        <v>1072</v>
      </c>
      <c r="B505" t="s">
        <v>373</v>
      </c>
      <c r="C505" t="s">
        <v>374</v>
      </c>
      <c r="D505" t="s">
        <v>961</v>
      </c>
      <c r="E505">
        <v>2026</v>
      </c>
      <c r="F505" t="s">
        <v>526</v>
      </c>
      <c r="G505" t="s">
        <v>160</v>
      </c>
      <c r="H505" s="1">
        <v>46234</v>
      </c>
      <c r="I505" s="1">
        <v>46295</v>
      </c>
      <c r="J505" s="1">
        <v>46295</v>
      </c>
      <c r="K505" s="1">
        <v>46321</v>
      </c>
      <c r="L505" s="1">
        <v>46324</v>
      </c>
      <c r="N505" t="s">
        <v>962</v>
      </c>
      <c r="O505" t="s">
        <v>266</v>
      </c>
      <c r="P505" s="19" t="s">
        <v>963</v>
      </c>
      <c r="Q505" t="s">
        <v>964</v>
      </c>
      <c r="R505" t="str">
        <f t="shared" ca="1" si="7"/>
        <v>Passée</v>
      </c>
    </row>
    <row r="506" spans="1:18" ht="15.6" customHeight="1">
      <c r="A506" s="15" t="s">
        <v>1073</v>
      </c>
      <c r="B506" s="15" t="s">
        <v>373</v>
      </c>
      <c r="C506" s="15" t="s">
        <v>374</v>
      </c>
      <c r="D506" s="15" t="s">
        <v>961</v>
      </c>
      <c r="E506" s="15">
        <v>2026</v>
      </c>
      <c r="F506" s="15" t="s">
        <v>526</v>
      </c>
      <c r="G506" s="15" t="s">
        <v>161</v>
      </c>
      <c r="H506" s="16">
        <v>46265</v>
      </c>
      <c r="I506" s="16">
        <v>46325</v>
      </c>
      <c r="J506" s="16">
        <v>46325</v>
      </c>
      <c r="K506" s="16">
        <v>46351</v>
      </c>
      <c r="L506" s="16">
        <v>46356</v>
      </c>
      <c r="M506" s="15"/>
      <c r="N506" s="15" t="s">
        <v>962</v>
      </c>
      <c r="O506" s="15" t="s">
        <v>266</v>
      </c>
      <c r="P506" s="19" t="s">
        <v>963</v>
      </c>
      <c r="Q506" s="15" t="s">
        <v>964</v>
      </c>
      <c r="R506" t="str">
        <f t="shared" ca="1" si="7"/>
        <v>Passée</v>
      </c>
    </row>
    <row r="507" spans="1:18" ht="15.6" customHeight="1">
      <c r="A507" t="s">
        <v>1074</v>
      </c>
      <c r="B507" t="s">
        <v>373</v>
      </c>
      <c r="C507" t="s">
        <v>374</v>
      </c>
      <c r="D507" t="s">
        <v>961</v>
      </c>
      <c r="E507">
        <v>2026</v>
      </c>
      <c r="F507" t="s">
        <v>526</v>
      </c>
      <c r="G507" t="s">
        <v>162</v>
      </c>
      <c r="H507" s="1">
        <v>46295</v>
      </c>
      <c r="I507" s="1">
        <v>46356</v>
      </c>
      <c r="J507" s="1">
        <v>46356</v>
      </c>
      <c r="K507" s="1">
        <v>46380</v>
      </c>
      <c r="L507" s="1">
        <v>46386</v>
      </c>
      <c r="N507" t="s">
        <v>962</v>
      </c>
      <c r="O507" t="s">
        <v>266</v>
      </c>
      <c r="P507" s="19" t="s">
        <v>963</v>
      </c>
      <c r="Q507" t="s">
        <v>964</v>
      </c>
      <c r="R507" t="str">
        <f t="shared" ca="1" si="7"/>
        <v>À venir</v>
      </c>
    </row>
    <row r="508" spans="1:18" ht="15.6" customHeight="1">
      <c r="A508" s="15" t="s">
        <v>1075</v>
      </c>
      <c r="B508" s="15" t="s">
        <v>373</v>
      </c>
      <c r="C508" s="15" t="s">
        <v>374</v>
      </c>
      <c r="D508" s="15" t="s">
        <v>961</v>
      </c>
      <c r="E508" s="15">
        <v>2026</v>
      </c>
      <c r="F508" s="15" t="s">
        <v>526</v>
      </c>
      <c r="G508" s="15" t="s">
        <v>163</v>
      </c>
      <c r="H508" s="16">
        <v>46325</v>
      </c>
      <c r="I508" s="16">
        <v>46387</v>
      </c>
      <c r="J508" s="16">
        <v>46387</v>
      </c>
      <c r="K508" s="16">
        <v>46414</v>
      </c>
      <c r="L508" s="16">
        <v>46419</v>
      </c>
      <c r="M508" s="15"/>
      <c r="N508" s="15" t="s">
        <v>962</v>
      </c>
      <c r="O508" s="15" t="s">
        <v>266</v>
      </c>
      <c r="P508" s="19" t="s">
        <v>963</v>
      </c>
      <c r="Q508" s="15" t="s">
        <v>964</v>
      </c>
      <c r="R508" t="str">
        <f t="shared" ca="1" si="7"/>
        <v>À venir</v>
      </c>
    </row>
    <row r="509" spans="1:18" ht="15.6" customHeight="1">
      <c r="A509" t="s">
        <v>1076</v>
      </c>
      <c r="B509" t="s">
        <v>375</v>
      </c>
      <c r="C509" t="s">
        <v>376</v>
      </c>
      <c r="D509" t="s">
        <v>961</v>
      </c>
      <c r="E509">
        <v>2025</v>
      </c>
      <c r="F509" t="s">
        <v>526</v>
      </c>
      <c r="G509" t="s">
        <v>142</v>
      </c>
      <c r="H509" s="1">
        <v>45688</v>
      </c>
      <c r="I509" s="1">
        <v>45747</v>
      </c>
      <c r="J509" s="1">
        <v>45747</v>
      </c>
      <c r="K509" s="1">
        <v>45775</v>
      </c>
      <c r="L509" s="1">
        <v>45779</v>
      </c>
      <c r="N509" t="s">
        <v>962</v>
      </c>
      <c r="O509" t="s">
        <v>266</v>
      </c>
      <c r="P509" s="19" t="s">
        <v>963</v>
      </c>
      <c r="Q509" t="s">
        <v>964</v>
      </c>
      <c r="R509" t="str">
        <f t="shared" ca="1" si="7"/>
        <v>Passée</v>
      </c>
    </row>
    <row r="510" spans="1:18" ht="15.6" customHeight="1">
      <c r="A510" s="15" t="s">
        <v>1077</v>
      </c>
      <c r="B510" s="15" t="s">
        <v>375</v>
      </c>
      <c r="C510" s="15" t="s">
        <v>376</v>
      </c>
      <c r="D510" s="15" t="s">
        <v>961</v>
      </c>
      <c r="E510" s="15">
        <v>2025</v>
      </c>
      <c r="F510" s="15" t="s">
        <v>526</v>
      </c>
      <c r="G510" s="15" t="s">
        <v>143</v>
      </c>
      <c r="H510" s="16">
        <v>45716</v>
      </c>
      <c r="I510" s="16">
        <v>45777</v>
      </c>
      <c r="J510" s="16">
        <v>45777</v>
      </c>
      <c r="K510" s="16">
        <v>45805</v>
      </c>
      <c r="L510" s="16">
        <v>45811</v>
      </c>
      <c r="M510" s="15"/>
      <c r="N510" s="15" t="s">
        <v>962</v>
      </c>
      <c r="O510" s="15" t="s">
        <v>266</v>
      </c>
      <c r="P510" s="19" t="s">
        <v>963</v>
      </c>
      <c r="Q510" s="15" t="s">
        <v>964</v>
      </c>
      <c r="R510" t="str">
        <f t="shared" ca="1" si="7"/>
        <v>Passée</v>
      </c>
    </row>
    <row r="511" spans="1:18" ht="15.6" customHeight="1">
      <c r="A511" t="s">
        <v>1078</v>
      </c>
      <c r="B511" t="s">
        <v>375</v>
      </c>
      <c r="C511" t="s">
        <v>376</v>
      </c>
      <c r="D511" t="s">
        <v>961</v>
      </c>
      <c r="E511">
        <v>2025</v>
      </c>
      <c r="F511" t="s">
        <v>526</v>
      </c>
      <c r="G511" t="s">
        <v>144</v>
      </c>
      <c r="H511" s="1">
        <v>45747</v>
      </c>
      <c r="I511" s="1">
        <v>45807</v>
      </c>
      <c r="J511" s="1">
        <v>45807</v>
      </c>
      <c r="K511" s="1">
        <v>45835</v>
      </c>
      <c r="L511" s="1">
        <v>45840</v>
      </c>
      <c r="N511" t="s">
        <v>962</v>
      </c>
      <c r="O511" t="s">
        <v>266</v>
      </c>
      <c r="P511" s="19" t="s">
        <v>963</v>
      </c>
      <c r="Q511" t="s">
        <v>964</v>
      </c>
      <c r="R511" t="str">
        <f t="shared" ca="1" si="7"/>
        <v>Passée</v>
      </c>
    </row>
    <row r="512" spans="1:18" ht="15.6" customHeight="1">
      <c r="A512" s="15" t="s">
        <v>1079</v>
      </c>
      <c r="B512" s="15" t="s">
        <v>375</v>
      </c>
      <c r="C512" s="15" t="s">
        <v>376</v>
      </c>
      <c r="D512" s="15" t="s">
        <v>961</v>
      </c>
      <c r="E512" s="15">
        <v>2025</v>
      </c>
      <c r="F512" s="15" t="s">
        <v>526</v>
      </c>
      <c r="G512" s="15" t="s">
        <v>145</v>
      </c>
      <c r="H512" s="16">
        <v>45777</v>
      </c>
      <c r="I512" s="16">
        <v>45838</v>
      </c>
      <c r="J512" s="16">
        <v>45838</v>
      </c>
      <c r="K512" s="16">
        <v>45862</v>
      </c>
      <c r="L512" s="16">
        <v>45867</v>
      </c>
      <c r="M512" s="15"/>
      <c r="N512" s="15" t="s">
        <v>962</v>
      </c>
      <c r="O512" s="15" t="s">
        <v>266</v>
      </c>
      <c r="P512" s="19" t="s">
        <v>963</v>
      </c>
      <c r="Q512" s="15" t="s">
        <v>964</v>
      </c>
      <c r="R512" t="str">
        <f t="shared" ca="1" si="7"/>
        <v>Passée</v>
      </c>
    </row>
    <row r="513" spans="1:18" ht="15.6" customHeight="1">
      <c r="A513" t="s">
        <v>1080</v>
      </c>
      <c r="B513" t="s">
        <v>375</v>
      </c>
      <c r="C513" t="s">
        <v>376</v>
      </c>
      <c r="D513" t="s">
        <v>961</v>
      </c>
      <c r="E513">
        <v>2025</v>
      </c>
      <c r="F513" t="s">
        <v>526</v>
      </c>
      <c r="G513" t="s">
        <v>146</v>
      </c>
      <c r="H513" s="1">
        <v>45807</v>
      </c>
      <c r="I513" s="1">
        <v>45869</v>
      </c>
      <c r="J513" s="1">
        <v>45869</v>
      </c>
      <c r="K513" s="1">
        <v>45896</v>
      </c>
      <c r="L513" s="1">
        <v>45901</v>
      </c>
      <c r="N513" t="s">
        <v>962</v>
      </c>
      <c r="O513" t="s">
        <v>266</v>
      </c>
      <c r="P513" s="19" t="s">
        <v>963</v>
      </c>
      <c r="Q513" t="s">
        <v>964</v>
      </c>
      <c r="R513" t="str">
        <f t="shared" ca="1" si="7"/>
        <v>Passée</v>
      </c>
    </row>
    <row r="514" spans="1:18" ht="15.6" customHeight="1">
      <c r="A514" s="15" t="s">
        <v>1081</v>
      </c>
      <c r="B514" s="15" t="s">
        <v>375</v>
      </c>
      <c r="C514" s="15" t="s">
        <v>376</v>
      </c>
      <c r="D514" s="15" t="s">
        <v>961</v>
      </c>
      <c r="E514" s="15">
        <v>2025</v>
      </c>
      <c r="F514" s="15" t="s">
        <v>526</v>
      </c>
      <c r="G514" s="15" t="s">
        <v>147</v>
      </c>
      <c r="H514" s="16">
        <v>45838</v>
      </c>
      <c r="I514" s="16">
        <v>45898</v>
      </c>
      <c r="J514" s="16">
        <v>45898</v>
      </c>
      <c r="K514" s="16">
        <v>45924</v>
      </c>
      <c r="L514" s="16">
        <v>45929</v>
      </c>
      <c r="M514" s="15"/>
      <c r="N514" s="15" t="s">
        <v>962</v>
      </c>
      <c r="O514" s="15" t="s">
        <v>266</v>
      </c>
      <c r="P514" s="19" t="s">
        <v>963</v>
      </c>
      <c r="Q514" s="15" t="s">
        <v>964</v>
      </c>
      <c r="R514" t="str">
        <f t="shared" ref="R514:R577" ca="1" si="8">IF(H514&gt;=TODAY(),"À venir","Passée")</f>
        <v>Passée</v>
      </c>
    </row>
    <row r="515" spans="1:18" ht="15.6" customHeight="1">
      <c r="A515" t="s">
        <v>1082</v>
      </c>
      <c r="B515" t="s">
        <v>375</v>
      </c>
      <c r="C515" t="s">
        <v>376</v>
      </c>
      <c r="D515" t="s">
        <v>961</v>
      </c>
      <c r="E515">
        <v>2025</v>
      </c>
      <c r="F515" t="s">
        <v>526</v>
      </c>
      <c r="G515" t="s">
        <v>148</v>
      </c>
      <c r="H515" s="1">
        <v>45869</v>
      </c>
      <c r="I515" s="1">
        <v>45930</v>
      </c>
      <c r="J515" s="1">
        <v>45930</v>
      </c>
      <c r="K515" s="1">
        <v>45954</v>
      </c>
      <c r="L515" s="1">
        <v>45959</v>
      </c>
      <c r="N515" t="s">
        <v>962</v>
      </c>
      <c r="O515" t="s">
        <v>266</v>
      </c>
      <c r="P515" s="19" t="s">
        <v>963</v>
      </c>
      <c r="Q515" t="s">
        <v>964</v>
      </c>
      <c r="R515" t="str">
        <f t="shared" ca="1" si="8"/>
        <v>Passée</v>
      </c>
    </row>
    <row r="516" spans="1:18" ht="15.6" customHeight="1">
      <c r="A516" s="15" t="s">
        <v>1083</v>
      </c>
      <c r="B516" s="15" t="s">
        <v>375</v>
      </c>
      <c r="C516" s="15" t="s">
        <v>376</v>
      </c>
      <c r="D516" s="15" t="s">
        <v>961</v>
      </c>
      <c r="E516" s="15">
        <v>2025</v>
      </c>
      <c r="F516" s="15" t="s">
        <v>526</v>
      </c>
      <c r="G516" s="15" t="s">
        <v>149</v>
      </c>
      <c r="H516" s="16">
        <v>45898</v>
      </c>
      <c r="I516" s="16">
        <v>45961</v>
      </c>
      <c r="J516" s="16">
        <v>45961</v>
      </c>
      <c r="K516" s="16">
        <v>45987</v>
      </c>
      <c r="L516" s="16">
        <v>45992</v>
      </c>
      <c r="M516" s="15"/>
      <c r="N516" s="15" t="s">
        <v>962</v>
      </c>
      <c r="O516" s="15" t="s">
        <v>266</v>
      </c>
      <c r="P516" s="19" t="s">
        <v>963</v>
      </c>
      <c r="Q516" s="15" t="s">
        <v>964</v>
      </c>
      <c r="R516" t="str">
        <f t="shared" ca="1" si="8"/>
        <v>Passée</v>
      </c>
    </row>
    <row r="517" spans="1:18" ht="15.6" customHeight="1">
      <c r="A517" t="s">
        <v>1084</v>
      </c>
      <c r="B517" t="s">
        <v>375</v>
      </c>
      <c r="C517" t="s">
        <v>376</v>
      </c>
      <c r="D517" t="s">
        <v>961</v>
      </c>
      <c r="E517">
        <v>2025</v>
      </c>
      <c r="F517" t="s">
        <v>526</v>
      </c>
      <c r="G517" t="s">
        <v>150</v>
      </c>
      <c r="H517" s="1">
        <v>45930</v>
      </c>
      <c r="I517" s="1">
        <v>45989</v>
      </c>
      <c r="J517" s="1">
        <v>45989</v>
      </c>
      <c r="K517" s="1">
        <v>46020</v>
      </c>
      <c r="L517" s="1">
        <v>46024</v>
      </c>
      <c r="N517" t="s">
        <v>962</v>
      </c>
      <c r="O517" t="s">
        <v>266</v>
      </c>
      <c r="P517" s="19" t="s">
        <v>963</v>
      </c>
      <c r="Q517" t="s">
        <v>964</v>
      </c>
      <c r="R517" t="str">
        <f t="shared" ca="1" si="8"/>
        <v>Passée</v>
      </c>
    </row>
    <row r="518" spans="1:18" ht="15.6" customHeight="1">
      <c r="A518" s="15" t="s">
        <v>1085</v>
      </c>
      <c r="B518" s="15" t="s">
        <v>375</v>
      </c>
      <c r="C518" s="15" t="s">
        <v>376</v>
      </c>
      <c r="D518" s="15" t="s">
        <v>961</v>
      </c>
      <c r="E518" s="15">
        <v>2025</v>
      </c>
      <c r="F518" s="15" t="s">
        <v>526</v>
      </c>
      <c r="G518" s="15" t="s">
        <v>151</v>
      </c>
      <c r="H518" s="16">
        <v>45961</v>
      </c>
      <c r="I518" s="16">
        <v>46022</v>
      </c>
      <c r="J518" s="16">
        <v>46022</v>
      </c>
      <c r="K518" s="16">
        <v>46049</v>
      </c>
      <c r="L518" s="16">
        <v>46052</v>
      </c>
      <c r="M518" s="15"/>
      <c r="N518" s="15" t="s">
        <v>962</v>
      </c>
      <c r="O518" s="15" t="s">
        <v>266</v>
      </c>
      <c r="P518" s="19" t="s">
        <v>963</v>
      </c>
      <c r="Q518" s="15" t="s">
        <v>964</v>
      </c>
      <c r="R518" t="str">
        <f t="shared" ca="1" si="8"/>
        <v>Passée</v>
      </c>
    </row>
    <row r="519" spans="1:18" ht="15.6" customHeight="1">
      <c r="A519" t="s">
        <v>1086</v>
      </c>
      <c r="B519" t="s">
        <v>375</v>
      </c>
      <c r="C519" t="s">
        <v>376</v>
      </c>
      <c r="D519" t="s">
        <v>961</v>
      </c>
      <c r="E519">
        <v>2026</v>
      </c>
      <c r="F519" t="s">
        <v>526</v>
      </c>
      <c r="G519" t="s">
        <v>152</v>
      </c>
      <c r="H519" s="1">
        <v>45989</v>
      </c>
      <c r="I519" s="1">
        <v>46052</v>
      </c>
      <c r="J519" s="1">
        <v>46052</v>
      </c>
      <c r="K519" s="1">
        <v>46078</v>
      </c>
      <c r="L519" s="1">
        <v>46083</v>
      </c>
      <c r="N519" t="s">
        <v>962</v>
      </c>
      <c r="O519" t="s">
        <v>266</v>
      </c>
      <c r="P519" s="19" t="s">
        <v>963</v>
      </c>
      <c r="Q519" t="s">
        <v>964</v>
      </c>
      <c r="R519" t="str">
        <f t="shared" ca="1" si="8"/>
        <v>Passée</v>
      </c>
    </row>
    <row r="520" spans="1:18" ht="15.6" customHeight="1">
      <c r="A520" s="15" t="s">
        <v>1087</v>
      </c>
      <c r="B520" s="15" t="s">
        <v>375</v>
      </c>
      <c r="C520" s="15" t="s">
        <v>376</v>
      </c>
      <c r="D520" s="15" t="s">
        <v>961</v>
      </c>
      <c r="E520" s="15">
        <v>2026</v>
      </c>
      <c r="F520" s="15" t="s">
        <v>526</v>
      </c>
      <c r="G520" s="15" t="s">
        <v>153</v>
      </c>
      <c r="H520" s="16">
        <v>46022</v>
      </c>
      <c r="I520" s="16">
        <v>46080</v>
      </c>
      <c r="J520" s="16">
        <v>46080</v>
      </c>
      <c r="K520" s="16">
        <v>46106</v>
      </c>
      <c r="L520" s="16">
        <v>46111</v>
      </c>
      <c r="M520" s="15"/>
      <c r="N520" s="15" t="s">
        <v>962</v>
      </c>
      <c r="O520" s="15" t="s">
        <v>266</v>
      </c>
      <c r="P520" s="19" t="s">
        <v>963</v>
      </c>
      <c r="Q520" s="15" t="s">
        <v>964</v>
      </c>
      <c r="R520" t="str">
        <f t="shared" ca="1" si="8"/>
        <v>Passée</v>
      </c>
    </row>
    <row r="521" spans="1:18" ht="15.6" customHeight="1">
      <c r="A521" t="s">
        <v>1088</v>
      </c>
      <c r="B521" t="s">
        <v>375</v>
      </c>
      <c r="C521" t="s">
        <v>376</v>
      </c>
      <c r="D521" t="s">
        <v>961</v>
      </c>
      <c r="E521">
        <v>2026</v>
      </c>
      <c r="F521" t="s">
        <v>526</v>
      </c>
      <c r="G521" t="s">
        <v>154</v>
      </c>
      <c r="H521" s="1">
        <v>46052</v>
      </c>
      <c r="I521" s="1">
        <v>46112</v>
      </c>
      <c r="J521" s="1">
        <v>46112</v>
      </c>
      <c r="K521" s="1">
        <v>46140</v>
      </c>
      <c r="L521" s="1">
        <v>46146</v>
      </c>
      <c r="N521" t="s">
        <v>962</v>
      </c>
      <c r="O521" t="s">
        <v>266</v>
      </c>
      <c r="P521" s="19" t="s">
        <v>963</v>
      </c>
      <c r="Q521" t="s">
        <v>964</v>
      </c>
      <c r="R521" t="str">
        <f t="shared" ca="1" si="8"/>
        <v>Passée</v>
      </c>
    </row>
    <row r="522" spans="1:18" ht="15.6" customHeight="1">
      <c r="A522" s="15" t="s">
        <v>1089</v>
      </c>
      <c r="B522" s="15" t="s">
        <v>375</v>
      </c>
      <c r="C522" s="15" t="s">
        <v>376</v>
      </c>
      <c r="D522" s="15" t="s">
        <v>961</v>
      </c>
      <c r="E522" s="15">
        <v>2026</v>
      </c>
      <c r="F522" s="15" t="s">
        <v>526</v>
      </c>
      <c r="G522" s="15" t="s">
        <v>155</v>
      </c>
      <c r="H522" s="16">
        <v>46080</v>
      </c>
      <c r="I522" s="16">
        <v>46142</v>
      </c>
      <c r="J522" s="16">
        <v>46142</v>
      </c>
      <c r="K522" s="16">
        <v>46171</v>
      </c>
      <c r="L522" s="16">
        <v>46176</v>
      </c>
      <c r="M522" s="15"/>
      <c r="N522" s="15" t="s">
        <v>962</v>
      </c>
      <c r="O522" s="15" t="s">
        <v>266</v>
      </c>
      <c r="P522" s="19" t="s">
        <v>963</v>
      </c>
      <c r="Q522" s="15" t="s">
        <v>964</v>
      </c>
      <c r="R522" t="str">
        <f t="shared" ca="1" si="8"/>
        <v>Passée</v>
      </c>
    </row>
    <row r="523" spans="1:18" ht="15.6" customHeight="1">
      <c r="A523" t="s">
        <v>1090</v>
      </c>
      <c r="B523" t="s">
        <v>375</v>
      </c>
      <c r="C523" t="s">
        <v>376</v>
      </c>
      <c r="D523" t="s">
        <v>961</v>
      </c>
      <c r="E523">
        <v>2026</v>
      </c>
      <c r="F523" t="s">
        <v>526</v>
      </c>
      <c r="G523" t="s">
        <v>156</v>
      </c>
      <c r="H523" s="1">
        <v>46112</v>
      </c>
      <c r="I523" s="1">
        <v>46171</v>
      </c>
      <c r="J523" s="1">
        <v>46171</v>
      </c>
      <c r="K523" s="1">
        <v>46198</v>
      </c>
      <c r="L523" s="1">
        <v>46203</v>
      </c>
      <c r="N523" t="s">
        <v>962</v>
      </c>
      <c r="O523" t="s">
        <v>266</v>
      </c>
      <c r="P523" s="19" t="s">
        <v>963</v>
      </c>
      <c r="Q523" t="s">
        <v>964</v>
      </c>
      <c r="R523" t="str">
        <f t="shared" ca="1" si="8"/>
        <v>Passée</v>
      </c>
    </row>
    <row r="524" spans="1:18" ht="15.6" customHeight="1">
      <c r="A524" s="15" t="s">
        <v>1091</v>
      </c>
      <c r="B524" s="15" t="s">
        <v>375</v>
      </c>
      <c r="C524" s="15" t="s">
        <v>376</v>
      </c>
      <c r="D524" s="15" t="s">
        <v>961</v>
      </c>
      <c r="E524" s="15">
        <v>2026</v>
      </c>
      <c r="F524" s="15" t="s">
        <v>526</v>
      </c>
      <c r="G524" s="15" t="s">
        <v>157</v>
      </c>
      <c r="H524" s="16">
        <v>46142</v>
      </c>
      <c r="I524" s="16">
        <v>46203</v>
      </c>
      <c r="J524" s="16">
        <v>46203</v>
      </c>
      <c r="K524" s="16">
        <v>46227</v>
      </c>
      <c r="L524" s="16">
        <v>46232</v>
      </c>
      <c r="M524" s="15"/>
      <c r="N524" s="15" t="s">
        <v>962</v>
      </c>
      <c r="O524" s="15" t="s">
        <v>266</v>
      </c>
      <c r="P524" s="19" t="s">
        <v>963</v>
      </c>
      <c r="Q524" s="15" t="s">
        <v>964</v>
      </c>
      <c r="R524" t="str">
        <f t="shared" ca="1" si="8"/>
        <v>Passée</v>
      </c>
    </row>
    <row r="525" spans="1:18" ht="15.6" customHeight="1">
      <c r="A525" t="s">
        <v>1092</v>
      </c>
      <c r="B525" t="s">
        <v>375</v>
      </c>
      <c r="C525" t="s">
        <v>376</v>
      </c>
      <c r="D525" t="s">
        <v>961</v>
      </c>
      <c r="E525">
        <v>2026</v>
      </c>
      <c r="F525" t="s">
        <v>526</v>
      </c>
      <c r="G525" t="s">
        <v>158</v>
      </c>
      <c r="H525" s="1">
        <v>46171</v>
      </c>
      <c r="I525" s="1">
        <v>46234</v>
      </c>
      <c r="J525" s="1">
        <v>46234</v>
      </c>
      <c r="K525" s="1">
        <v>46260</v>
      </c>
      <c r="L525" s="1">
        <v>46265</v>
      </c>
      <c r="N525" t="s">
        <v>962</v>
      </c>
      <c r="O525" t="s">
        <v>266</v>
      </c>
      <c r="P525" s="19" t="s">
        <v>963</v>
      </c>
      <c r="Q525" t="s">
        <v>964</v>
      </c>
      <c r="R525" t="str">
        <f t="shared" ca="1" si="8"/>
        <v>Passée</v>
      </c>
    </row>
    <row r="526" spans="1:18" ht="15.6" customHeight="1">
      <c r="A526" s="15" t="s">
        <v>1093</v>
      </c>
      <c r="B526" s="15" t="s">
        <v>375</v>
      </c>
      <c r="C526" s="15" t="s">
        <v>376</v>
      </c>
      <c r="D526" s="15" t="s">
        <v>961</v>
      </c>
      <c r="E526" s="15">
        <v>2026</v>
      </c>
      <c r="F526" s="15" t="s">
        <v>526</v>
      </c>
      <c r="G526" s="15" t="s">
        <v>159</v>
      </c>
      <c r="H526" s="16">
        <v>46203</v>
      </c>
      <c r="I526" s="16">
        <v>46265</v>
      </c>
      <c r="J526" s="16">
        <v>46265</v>
      </c>
      <c r="K526" s="16">
        <v>46289</v>
      </c>
      <c r="L526" s="16">
        <v>46294</v>
      </c>
      <c r="M526" s="15"/>
      <c r="N526" s="15" t="s">
        <v>962</v>
      </c>
      <c r="O526" s="15" t="s">
        <v>266</v>
      </c>
      <c r="P526" s="19" t="s">
        <v>963</v>
      </c>
      <c r="Q526" s="15" t="s">
        <v>964</v>
      </c>
      <c r="R526" t="str">
        <f t="shared" ca="1" si="8"/>
        <v>Passée</v>
      </c>
    </row>
    <row r="527" spans="1:18" ht="15.6" customHeight="1">
      <c r="A527" t="s">
        <v>1094</v>
      </c>
      <c r="B527" t="s">
        <v>375</v>
      </c>
      <c r="C527" t="s">
        <v>376</v>
      </c>
      <c r="D527" t="s">
        <v>961</v>
      </c>
      <c r="E527">
        <v>2026</v>
      </c>
      <c r="F527" t="s">
        <v>526</v>
      </c>
      <c r="G527" t="s">
        <v>160</v>
      </c>
      <c r="H527" s="1">
        <v>46234</v>
      </c>
      <c r="I527" s="1">
        <v>46295</v>
      </c>
      <c r="J527" s="1">
        <v>46295</v>
      </c>
      <c r="K527" s="1">
        <v>46321</v>
      </c>
      <c r="L527" s="1">
        <v>46324</v>
      </c>
      <c r="N527" t="s">
        <v>962</v>
      </c>
      <c r="O527" t="s">
        <v>266</v>
      </c>
      <c r="P527" s="19" t="s">
        <v>963</v>
      </c>
      <c r="Q527" t="s">
        <v>964</v>
      </c>
      <c r="R527" t="str">
        <f t="shared" ca="1" si="8"/>
        <v>Passée</v>
      </c>
    </row>
    <row r="528" spans="1:18" ht="15.6" customHeight="1">
      <c r="A528" s="15" t="s">
        <v>1095</v>
      </c>
      <c r="B528" s="15" t="s">
        <v>375</v>
      </c>
      <c r="C528" s="15" t="s">
        <v>376</v>
      </c>
      <c r="D528" s="15" t="s">
        <v>961</v>
      </c>
      <c r="E528" s="15">
        <v>2026</v>
      </c>
      <c r="F528" s="15" t="s">
        <v>526</v>
      </c>
      <c r="G528" s="15" t="s">
        <v>161</v>
      </c>
      <c r="H528" s="16">
        <v>46265</v>
      </c>
      <c r="I528" s="16">
        <v>46325</v>
      </c>
      <c r="J528" s="16">
        <v>46325</v>
      </c>
      <c r="K528" s="16">
        <v>46351</v>
      </c>
      <c r="L528" s="16">
        <v>46356</v>
      </c>
      <c r="M528" s="15"/>
      <c r="N528" s="15" t="s">
        <v>962</v>
      </c>
      <c r="O528" s="15" t="s">
        <v>266</v>
      </c>
      <c r="P528" s="19" t="s">
        <v>963</v>
      </c>
      <c r="Q528" s="15" t="s">
        <v>964</v>
      </c>
      <c r="R528" t="str">
        <f t="shared" ca="1" si="8"/>
        <v>Passée</v>
      </c>
    </row>
    <row r="529" spans="1:18" ht="15.6" customHeight="1">
      <c r="A529" t="s">
        <v>1096</v>
      </c>
      <c r="B529" t="s">
        <v>375</v>
      </c>
      <c r="C529" t="s">
        <v>376</v>
      </c>
      <c r="D529" t="s">
        <v>961</v>
      </c>
      <c r="E529">
        <v>2026</v>
      </c>
      <c r="F529" t="s">
        <v>526</v>
      </c>
      <c r="G529" t="s">
        <v>162</v>
      </c>
      <c r="H529" s="1">
        <v>46295</v>
      </c>
      <c r="I529" s="1">
        <v>46356</v>
      </c>
      <c r="J529" s="1">
        <v>46356</v>
      </c>
      <c r="K529" s="1">
        <v>46380</v>
      </c>
      <c r="L529" s="1">
        <v>46386</v>
      </c>
      <c r="N529" t="s">
        <v>962</v>
      </c>
      <c r="O529" t="s">
        <v>266</v>
      </c>
      <c r="P529" s="19" t="s">
        <v>963</v>
      </c>
      <c r="Q529" t="s">
        <v>964</v>
      </c>
      <c r="R529" t="str">
        <f t="shared" ca="1" si="8"/>
        <v>À venir</v>
      </c>
    </row>
    <row r="530" spans="1:18" ht="15.6" customHeight="1">
      <c r="A530" s="15" t="s">
        <v>1097</v>
      </c>
      <c r="B530" s="15" t="s">
        <v>375</v>
      </c>
      <c r="C530" s="15" t="s">
        <v>376</v>
      </c>
      <c r="D530" s="15" t="s">
        <v>961</v>
      </c>
      <c r="E530" s="15">
        <v>2026</v>
      </c>
      <c r="F530" s="15" t="s">
        <v>526</v>
      </c>
      <c r="G530" s="15" t="s">
        <v>163</v>
      </c>
      <c r="H530" s="16">
        <v>46325</v>
      </c>
      <c r="I530" s="16">
        <v>46387</v>
      </c>
      <c r="J530" s="16">
        <v>46387</v>
      </c>
      <c r="K530" s="16">
        <v>46414</v>
      </c>
      <c r="L530" s="16">
        <v>46419</v>
      </c>
      <c r="M530" s="15"/>
      <c r="N530" s="15" t="s">
        <v>962</v>
      </c>
      <c r="O530" s="15" t="s">
        <v>266</v>
      </c>
      <c r="P530" s="19" t="s">
        <v>963</v>
      </c>
      <c r="Q530" s="15" t="s">
        <v>964</v>
      </c>
      <c r="R530" t="str">
        <f t="shared" ca="1" si="8"/>
        <v>À venir</v>
      </c>
    </row>
    <row r="531" spans="1:18" ht="15.6" customHeight="1">
      <c r="A531" t="s">
        <v>1098</v>
      </c>
      <c r="B531" t="s">
        <v>205</v>
      </c>
      <c r="C531" t="s">
        <v>206</v>
      </c>
      <c r="D531" t="s">
        <v>961</v>
      </c>
      <c r="E531">
        <v>2025</v>
      </c>
      <c r="F531" t="s">
        <v>508</v>
      </c>
      <c r="G531" t="s">
        <v>150</v>
      </c>
      <c r="H531" s="1">
        <v>45950</v>
      </c>
      <c r="J531" s="1">
        <v>45964</v>
      </c>
      <c r="K531" s="1">
        <v>45993</v>
      </c>
      <c r="L531" s="1">
        <v>45999</v>
      </c>
      <c r="N531" t="s">
        <v>962</v>
      </c>
      <c r="O531" t="s">
        <v>266</v>
      </c>
      <c r="P531" s="19" t="s">
        <v>963</v>
      </c>
      <c r="Q531" t="s">
        <v>964</v>
      </c>
      <c r="R531" t="str">
        <f t="shared" ca="1" si="8"/>
        <v>Passée</v>
      </c>
    </row>
    <row r="532" spans="1:18" ht="15.6" customHeight="1">
      <c r="A532" s="15" t="s">
        <v>1099</v>
      </c>
      <c r="B532" s="15" t="s">
        <v>205</v>
      </c>
      <c r="C532" s="15" t="s">
        <v>206</v>
      </c>
      <c r="D532" s="15" t="s">
        <v>961</v>
      </c>
      <c r="E532" s="15">
        <v>2025</v>
      </c>
      <c r="F532" s="15" t="s">
        <v>508</v>
      </c>
      <c r="G532" s="15" t="s">
        <v>151</v>
      </c>
      <c r="H532" s="16">
        <v>45978</v>
      </c>
      <c r="I532" s="15"/>
      <c r="J532" s="16">
        <v>45992</v>
      </c>
      <c r="K532" s="16">
        <v>46027</v>
      </c>
      <c r="L532" s="16">
        <v>46031</v>
      </c>
      <c r="M532" s="15"/>
      <c r="N532" s="15" t="s">
        <v>962</v>
      </c>
      <c r="O532" s="15" t="s">
        <v>266</v>
      </c>
      <c r="P532" s="19" t="s">
        <v>963</v>
      </c>
      <c r="Q532" s="15" t="s">
        <v>964</v>
      </c>
      <c r="R532" t="str">
        <f t="shared" ca="1" si="8"/>
        <v>Passée</v>
      </c>
    </row>
    <row r="533" spans="1:18" ht="15.6" customHeight="1">
      <c r="A533" t="s">
        <v>1100</v>
      </c>
      <c r="B533" t="s">
        <v>205</v>
      </c>
      <c r="C533" t="s">
        <v>206</v>
      </c>
      <c r="D533" t="s">
        <v>961</v>
      </c>
      <c r="E533">
        <v>2026</v>
      </c>
      <c r="F533" t="s">
        <v>508</v>
      </c>
      <c r="G533" t="s">
        <v>152</v>
      </c>
      <c r="H533" s="1">
        <v>46006</v>
      </c>
      <c r="J533" s="1">
        <v>46024</v>
      </c>
      <c r="K533" s="1">
        <v>46055</v>
      </c>
      <c r="L533" s="1">
        <v>46059</v>
      </c>
      <c r="N533" t="s">
        <v>962</v>
      </c>
      <c r="O533" t="s">
        <v>266</v>
      </c>
      <c r="P533" s="19" t="s">
        <v>963</v>
      </c>
      <c r="Q533" t="s">
        <v>964</v>
      </c>
      <c r="R533" t="str">
        <f t="shared" ca="1" si="8"/>
        <v>Passée</v>
      </c>
    </row>
    <row r="534" spans="1:18" ht="15.6" customHeight="1">
      <c r="A534" s="15" t="s">
        <v>1101</v>
      </c>
      <c r="B534" s="15" t="s">
        <v>205</v>
      </c>
      <c r="C534" s="15" t="s">
        <v>206</v>
      </c>
      <c r="D534" s="15" t="s">
        <v>961</v>
      </c>
      <c r="E534" s="15">
        <v>2026</v>
      </c>
      <c r="F534" s="15" t="s">
        <v>508</v>
      </c>
      <c r="G534" s="15" t="s">
        <v>153</v>
      </c>
      <c r="H534" s="16">
        <v>46041</v>
      </c>
      <c r="I534" s="15"/>
      <c r="J534" s="16">
        <v>46055</v>
      </c>
      <c r="K534" s="16">
        <v>46084</v>
      </c>
      <c r="L534" s="16">
        <v>46090</v>
      </c>
      <c r="M534" s="15"/>
      <c r="N534" s="15" t="s">
        <v>962</v>
      </c>
      <c r="O534" s="15" t="s">
        <v>266</v>
      </c>
      <c r="P534" s="19" t="s">
        <v>963</v>
      </c>
      <c r="Q534" s="15" t="s">
        <v>964</v>
      </c>
      <c r="R534" t="str">
        <f t="shared" ca="1" si="8"/>
        <v>Passée</v>
      </c>
    </row>
    <row r="535" spans="1:18" ht="15.6" customHeight="1">
      <c r="A535" t="s">
        <v>1102</v>
      </c>
      <c r="B535" t="s">
        <v>205</v>
      </c>
      <c r="C535" t="s">
        <v>206</v>
      </c>
      <c r="D535" t="s">
        <v>961</v>
      </c>
      <c r="E535">
        <v>2026</v>
      </c>
      <c r="F535" t="s">
        <v>508</v>
      </c>
      <c r="G535" t="s">
        <v>154</v>
      </c>
      <c r="H535" s="1">
        <v>46069</v>
      </c>
      <c r="J535" s="1">
        <v>46083</v>
      </c>
      <c r="K535" s="1">
        <v>46112</v>
      </c>
      <c r="L535" s="1">
        <v>46120</v>
      </c>
      <c r="N535" t="s">
        <v>962</v>
      </c>
      <c r="O535" t="s">
        <v>266</v>
      </c>
      <c r="P535" s="19" t="s">
        <v>963</v>
      </c>
      <c r="Q535" t="s">
        <v>964</v>
      </c>
      <c r="R535" t="str">
        <f t="shared" ca="1" si="8"/>
        <v>Passée</v>
      </c>
    </row>
    <row r="536" spans="1:18" ht="15.6" customHeight="1">
      <c r="A536" s="15" t="s">
        <v>1103</v>
      </c>
      <c r="B536" s="15" t="s">
        <v>205</v>
      </c>
      <c r="C536" s="15" t="s">
        <v>206</v>
      </c>
      <c r="D536" s="15" t="s">
        <v>961</v>
      </c>
      <c r="E536" s="15">
        <v>2026</v>
      </c>
      <c r="F536" s="15" t="s">
        <v>508</v>
      </c>
      <c r="G536" s="15" t="s">
        <v>155</v>
      </c>
      <c r="H536" s="16">
        <v>46099</v>
      </c>
      <c r="I536" s="15"/>
      <c r="J536" s="16">
        <v>46113</v>
      </c>
      <c r="K536" s="16">
        <v>46147</v>
      </c>
      <c r="L536" s="16">
        <v>46153</v>
      </c>
      <c r="M536" s="15"/>
      <c r="N536" s="15" t="s">
        <v>962</v>
      </c>
      <c r="O536" s="15" t="s">
        <v>266</v>
      </c>
      <c r="P536" s="19" t="s">
        <v>963</v>
      </c>
      <c r="Q536" s="15" t="s">
        <v>964</v>
      </c>
      <c r="R536" t="str">
        <f t="shared" ca="1" si="8"/>
        <v>Passée</v>
      </c>
    </row>
    <row r="537" spans="1:18" ht="15.6" customHeight="1">
      <c r="A537" t="s">
        <v>1104</v>
      </c>
      <c r="B537" t="s">
        <v>205</v>
      </c>
      <c r="C537" t="s">
        <v>206</v>
      </c>
      <c r="D537" t="s">
        <v>961</v>
      </c>
      <c r="E537">
        <v>2026</v>
      </c>
      <c r="F537" t="s">
        <v>508</v>
      </c>
      <c r="G537" t="s">
        <v>156</v>
      </c>
      <c r="H537" s="1">
        <v>46129</v>
      </c>
      <c r="J537" s="1">
        <v>46146</v>
      </c>
      <c r="K537" s="1">
        <v>46177</v>
      </c>
      <c r="L537" s="1">
        <v>46183</v>
      </c>
      <c r="N537" t="s">
        <v>962</v>
      </c>
      <c r="O537" t="s">
        <v>266</v>
      </c>
      <c r="P537" s="19" t="s">
        <v>963</v>
      </c>
      <c r="Q537" t="s">
        <v>964</v>
      </c>
      <c r="R537" t="str">
        <f t="shared" ca="1" si="8"/>
        <v>Passée</v>
      </c>
    </row>
    <row r="538" spans="1:18" ht="15.6" customHeight="1">
      <c r="A538" s="15" t="s">
        <v>1105</v>
      </c>
      <c r="B538" s="15" t="s">
        <v>205</v>
      </c>
      <c r="C538" s="15" t="s">
        <v>206</v>
      </c>
      <c r="D538" s="15" t="s">
        <v>961</v>
      </c>
      <c r="E538" s="15">
        <v>2026</v>
      </c>
      <c r="F538" s="15" t="s">
        <v>508</v>
      </c>
      <c r="G538" s="15" t="s">
        <v>157</v>
      </c>
      <c r="H538" s="16">
        <v>46157</v>
      </c>
      <c r="I538" s="15"/>
      <c r="J538" s="16">
        <v>46174</v>
      </c>
      <c r="K538" s="16">
        <v>46204</v>
      </c>
      <c r="L538" s="16">
        <v>46210</v>
      </c>
      <c r="M538" s="15"/>
      <c r="N538" s="15" t="s">
        <v>962</v>
      </c>
      <c r="O538" s="15" t="s">
        <v>266</v>
      </c>
      <c r="P538" s="19" t="s">
        <v>963</v>
      </c>
      <c r="Q538" s="15" t="s">
        <v>964</v>
      </c>
      <c r="R538" t="str">
        <f t="shared" ca="1" si="8"/>
        <v>Passée</v>
      </c>
    </row>
    <row r="539" spans="1:18" ht="15.6" customHeight="1">
      <c r="A539" t="s">
        <v>1106</v>
      </c>
      <c r="B539" t="s">
        <v>205</v>
      </c>
      <c r="C539" t="s">
        <v>206</v>
      </c>
      <c r="D539" t="s">
        <v>961</v>
      </c>
      <c r="E539">
        <v>2026</v>
      </c>
      <c r="F539" t="s">
        <v>508</v>
      </c>
      <c r="G539" t="s">
        <v>158</v>
      </c>
      <c r="H539" s="1">
        <v>46189</v>
      </c>
      <c r="J539" s="1">
        <v>46204</v>
      </c>
      <c r="K539" s="1">
        <v>46233</v>
      </c>
      <c r="L539" s="1">
        <v>46239</v>
      </c>
      <c r="N539" t="s">
        <v>962</v>
      </c>
      <c r="O539" t="s">
        <v>266</v>
      </c>
      <c r="P539" s="19" t="s">
        <v>963</v>
      </c>
      <c r="Q539" t="s">
        <v>964</v>
      </c>
      <c r="R539" t="str">
        <f t="shared" ca="1" si="8"/>
        <v>Passée</v>
      </c>
    </row>
    <row r="540" spans="1:18" ht="15.6" customHeight="1">
      <c r="A540" s="15" t="s">
        <v>1107</v>
      </c>
      <c r="B540" s="15" t="s">
        <v>205</v>
      </c>
      <c r="C540" s="15" t="s">
        <v>206</v>
      </c>
      <c r="D540" s="15" t="s">
        <v>961</v>
      </c>
      <c r="E540" s="15">
        <v>2026</v>
      </c>
      <c r="F540" s="15" t="s">
        <v>508</v>
      </c>
      <c r="G540" s="15" t="s">
        <v>159</v>
      </c>
      <c r="H540" s="16">
        <v>46223</v>
      </c>
      <c r="I540" s="15"/>
      <c r="J540" s="16">
        <v>46237</v>
      </c>
      <c r="K540" s="16">
        <v>46266</v>
      </c>
      <c r="L540" s="16">
        <v>46272</v>
      </c>
      <c r="M540" s="15"/>
      <c r="N540" s="15" t="s">
        <v>962</v>
      </c>
      <c r="O540" s="15" t="s">
        <v>266</v>
      </c>
      <c r="P540" s="19" t="s">
        <v>963</v>
      </c>
      <c r="Q540" s="15" t="s">
        <v>964</v>
      </c>
      <c r="R540" t="str">
        <f t="shared" ca="1" si="8"/>
        <v>Passée</v>
      </c>
    </row>
    <row r="541" spans="1:18" ht="15.6" customHeight="1">
      <c r="A541" t="s">
        <v>1108</v>
      </c>
      <c r="B541" t="s">
        <v>205</v>
      </c>
      <c r="C541" t="s">
        <v>206</v>
      </c>
      <c r="D541" t="s">
        <v>961</v>
      </c>
      <c r="E541">
        <v>2026</v>
      </c>
      <c r="F541" t="s">
        <v>508</v>
      </c>
      <c r="G541" t="s">
        <v>160</v>
      </c>
      <c r="H541" s="1">
        <v>46252</v>
      </c>
      <c r="J541" s="1">
        <v>46266</v>
      </c>
      <c r="K541" s="1">
        <v>46295</v>
      </c>
      <c r="L541" s="1">
        <v>46301</v>
      </c>
      <c r="N541" t="s">
        <v>962</v>
      </c>
      <c r="O541" t="s">
        <v>266</v>
      </c>
      <c r="P541" s="19" t="s">
        <v>963</v>
      </c>
      <c r="Q541" t="s">
        <v>964</v>
      </c>
      <c r="R541" t="str">
        <f t="shared" ca="1" si="8"/>
        <v>Passée</v>
      </c>
    </row>
    <row r="542" spans="1:18" ht="15.6" customHeight="1">
      <c r="A542" s="15" t="s">
        <v>1109</v>
      </c>
      <c r="B542" s="15" t="s">
        <v>205</v>
      </c>
      <c r="C542" s="15" t="s">
        <v>206</v>
      </c>
      <c r="D542" s="15" t="s">
        <v>961</v>
      </c>
      <c r="E542" s="15">
        <v>2026</v>
      </c>
      <c r="F542" s="15" t="s">
        <v>508</v>
      </c>
      <c r="G542" s="15" t="s">
        <v>161</v>
      </c>
      <c r="H542" s="16">
        <v>46282</v>
      </c>
      <c r="I542" s="15"/>
      <c r="J542" s="16">
        <v>46296</v>
      </c>
      <c r="K542" s="16">
        <v>46325</v>
      </c>
      <c r="L542" s="16">
        <v>46331</v>
      </c>
      <c r="M542" s="15"/>
      <c r="N542" s="15" t="s">
        <v>962</v>
      </c>
      <c r="O542" s="15" t="s">
        <v>266</v>
      </c>
      <c r="P542" s="19" t="s">
        <v>963</v>
      </c>
      <c r="Q542" s="15" t="s">
        <v>964</v>
      </c>
      <c r="R542" t="str">
        <f t="shared" ca="1" si="8"/>
        <v>À venir</v>
      </c>
    </row>
    <row r="543" spans="1:18" ht="15.6" customHeight="1">
      <c r="A543" t="s">
        <v>1110</v>
      </c>
      <c r="B543" t="s">
        <v>205</v>
      </c>
      <c r="C543" t="s">
        <v>206</v>
      </c>
      <c r="D543" t="s">
        <v>961</v>
      </c>
      <c r="E543">
        <v>2026</v>
      </c>
      <c r="F543" t="s">
        <v>508</v>
      </c>
      <c r="G543" t="s">
        <v>162</v>
      </c>
      <c r="H543" s="1">
        <v>46314</v>
      </c>
      <c r="J543" s="1">
        <v>46328</v>
      </c>
      <c r="K543" s="1">
        <v>46357</v>
      </c>
      <c r="L543" s="1">
        <v>46363</v>
      </c>
      <c r="N543" t="s">
        <v>962</v>
      </c>
      <c r="O543" t="s">
        <v>266</v>
      </c>
      <c r="P543" s="19" t="s">
        <v>963</v>
      </c>
      <c r="Q543" t="s">
        <v>964</v>
      </c>
      <c r="R543" t="str">
        <f t="shared" ca="1" si="8"/>
        <v>À venir</v>
      </c>
    </row>
    <row r="544" spans="1:18" ht="15.6" customHeight="1">
      <c r="A544" s="15" t="s">
        <v>1111</v>
      </c>
      <c r="B544" s="15" t="s">
        <v>205</v>
      </c>
      <c r="C544" s="15" t="s">
        <v>206</v>
      </c>
      <c r="D544" s="15" t="s">
        <v>961</v>
      </c>
      <c r="E544" s="15">
        <v>2026</v>
      </c>
      <c r="F544" s="15" t="s">
        <v>508</v>
      </c>
      <c r="G544" s="15" t="s">
        <v>163</v>
      </c>
      <c r="H544" s="16">
        <v>46343</v>
      </c>
      <c r="I544" s="15"/>
      <c r="J544" s="16">
        <v>46357</v>
      </c>
      <c r="K544" s="16">
        <v>46388</v>
      </c>
      <c r="L544" s="16">
        <v>46394</v>
      </c>
      <c r="M544" s="15"/>
      <c r="N544" s="15" t="s">
        <v>962</v>
      </c>
      <c r="O544" s="15" t="s">
        <v>266</v>
      </c>
      <c r="P544" s="19" t="s">
        <v>963</v>
      </c>
      <c r="Q544" s="15" t="s">
        <v>964</v>
      </c>
      <c r="R544" t="str">
        <f t="shared" ca="1" si="8"/>
        <v>À venir</v>
      </c>
    </row>
    <row r="545" spans="1:18" ht="15.6" customHeight="1">
      <c r="A545" t="s">
        <v>1112</v>
      </c>
      <c r="B545" t="s">
        <v>205</v>
      </c>
      <c r="C545" t="s">
        <v>206</v>
      </c>
      <c r="D545" t="s">
        <v>961</v>
      </c>
      <c r="E545">
        <v>2027</v>
      </c>
      <c r="F545" t="s">
        <v>508</v>
      </c>
      <c r="G545" t="s">
        <v>204</v>
      </c>
      <c r="H545" s="1">
        <v>46372</v>
      </c>
      <c r="J545" s="1">
        <v>46388</v>
      </c>
      <c r="K545" s="1">
        <v>46419</v>
      </c>
      <c r="L545" s="1">
        <v>46423</v>
      </c>
      <c r="N545" t="s">
        <v>962</v>
      </c>
      <c r="O545" t="s">
        <v>266</v>
      </c>
      <c r="P545" s="19" t="s">
        <v>963</v>
      </c>
      <c r="Q545" t="s">
        <v>964</v>
      </c>
      <c r="R545" t="str">
        <f t="shared" ca="1" si="8"/>
        <v>À venir</v>
      </c>
    </row>
    <row r="546" spans="1:18" ht="15.6" customHeight="1">
      <c r="A546" s="15" t="s">
        <v>1113</v>
      </c>
      <c r="B546" s="15" t="s">
        <v>205</v>
      </c>
      <c r="C546" s="15" t="s">
        <v>206</v>
      </c>
      <c r="D546" s="15" t="s">
        <v>961</v>
      </c>
      <c r="E546" s="15">
        <v>2025</v>
      </c>
      <c r="F546" s="15" t="s">
        <v>526</v>
      </c>
      <c r="G546" s="15" t="s">
        <v>148</v>
      </c>
      <c r="H546" s="16">
        <v>45835</v>
      </c>
      <c r="I546" s="15"/>
      <c r="J546" s="16">
        <v>45901</v>
      </c>
      <c r="K546" s="16">
        <v>45930</v>
      </c>
      <c r="L546" s="16">
        <v>45936</v>
      </c>
      <c r="M546" s="15"/>
      <c r="N546" s="15" t="s">
        <v>962</v>
      </c>
      <c r="O546" s="15" t="s">
        <v>266</v>
      </c>
      <c r="P546" s="19" t="s">
        <v>963</v>
      </c>
      <c r="Q546" s="15" t="s">
        <v>964</v>
      </c>
      <c r="R546" t="str">
        <f t="shared" ca="1" si="8"/>
        <v>Passée</v>
      </c>
    </row>
    <row r="547" spans="1:18" ht="15.6" customHeight="1">
      <c r="A547" t="s">
        <v>1114</v>
      </c>
      <c r="B547" t="s">
        <v>205</v>
      </c>
      <c r="C547" t="s">
        <v>206</v>
      </c>
      <c r="D547" t="s">
        <v>961</v>
      </c>
      <c r="E547">
        <v>2025</v>
      </c>
      <c r="F547" t="s">
        <v>526</v>
      </c>
      <c r="G547" t="s">
        <v>149</v>
      </c>
      <c r="H547" s="1">
        <v>45867</v>
      </c>
      <c r="J547" s="1">
        <v>45931</v>
      </c>
      <c r="K547" s="1">
        <v>45960</v>
      </c>
      <c r="L547" s="1">
        <v>45966</v>
      </c>
      <c r="N547" t="s">
        <v>962</v>
      </c>
      <c r="O547" t="s">
        <v>266</v>
      </c>
      <c r="P547" s="19" t="s">
        <v>963</v>
      </c>
      <c r="Q547" t="s">
        <v>964</v>
      </c>
      <c r="R547" t="str">
        <f t="shared" ca="1" si="8"/>
        <v>Passée</v>
      </c>
    </row>
    <row r="548" spans="1:18" ht="15.6" customHeight="1">
      <c r="A548" s="15" t="s">
        <v>1115</v>
      </c>
      <c r="B548" s="15" t="s">
        <v>205</v>
      </c>
      <c r="C548" s="15" t="s">
        <v>206</v>
      </c>
      <c r="D548" s="15" t="s">
        <v>961</v>
      </c>
      <c r="E548" s="15">
        <v>2025</v>
      </c>
      <c r="F548" s="15" t="s">
        <v>526</v>
      </c>
      <c r="G548" s="15" t="s">
        <v>150</v>
      </c>
      <c r="H548" s="16">
        <v>45901</v>
      </c>
      <c r="I548" s="15"/>
      <c r="J548" s="16">
        <v>45964</v>
      </c>
      <c r="K548" s="16">
        <v>45993</v>
      </c>
      <c r="L548" s="16">
        <v>45999</v>
      </c>
      <c r="M548" s="15"/>
      <c r="N548" s="15" t="s">
        <v>962</v>
      </c>
      <c r="O548" s="15" t="s">
        <v>266</v>
      </c>
      <c r="P548" s="19" t="s">
        <v>963</v>
      </c>
      <c r="Q548" s="15" t="s">
        <v>964</v>
      </c>
      <c r="R548" t="str">
        <f t="shared" ca="1" si="8"/>
        <v>Passée</v>
      </c>
    </row>
    <row r="549" spans="1:18" ht="15.6" customHeight="1">
      <c r="A549" t="s">
        <v>1116</v>
      </c>
      <c r="B549" t="s">
        <v>205</v>
      </c>
      <c r="C549" t="s">
        <v>206</v>
      </c>
      <c r="D549" t="s">
        <v>961</v>
      </c>
      <c r="E549">
        <v>2025</v>
      </c>
      <c r="F549" t="s">
        <v>526</v>
      </c>
      <c r="G549" t="s">
        <v>151</v>
      </c>
      <c r="H549" s="1">
        <v>45929</v>
      </c>
      <c r="J549" s="1">
        <v>45992</v>
      </c>
      <c r="K549" s="1">
        <v>46027</v>
      </c>
      <c r="L549" s="1">
        <v>46031</v>
      </c>
      <c r="N549" t="s">
        <v>962</v>
      </c>
      <c r="O549" t="s">
        <v>266</v>
      </c>
      <c r="P549" s="19" t="s">
        <v>963</v>
      </c>
      <c r="Q549" t="s">
        <v>964</v>
      </c>
      <c r="R549" t="str">
        <f t="shared" ca="1" si="8"/>
        <v>Passée</v>
      </c>
    </row>
    <row r="550" spans="1:18" ht="15.6" customHeight="1">
      <c r="A550" s="15" t="s">
        <v>1117</v>
      </c>
      <c r="B550" s="15" t="s">
        <v>205</v>
      </c>
      <c r="C550" s="15" t="s">
        <v>206</v>
      </c>
      <c r="D550" s="15" t="s">
        <v>961</v>
      </c>
      <c r="E550" s="15">
        <v>2026</v>
      </c>
      <c r="F550" s="15" t="s">
        <v>526</v>
      </c>
      <c r="G550" s="15" t="s">
        <v>152</v>
      </c>
      <c r="H550" s="16">
        <v>45957</v>
      </c>
      <c r="I550" s="15"/>
      <c r="J550" s="16">
        <v>46024</v>
      </c>
      <c r="K550" s="16">
        <v>46055</v>
      </c>
      <c r="L550" s="16">
        <v>46059</v>
      </c>
      <c r="M550" s="15"/>
      <c r="N550" s="15" t="s">
        <v>962</v>
      </c>
      <c r="O550" s="15" t="s">
        <v>266</v>
      </c>
      <c r="P550" s="19" t="s">
        <v>963</v>
      </c>
      <c r="Q550" s="15" t="s">
        <v>964</v>
      </c>
      <c r="R550" t="str">
        <f t="shared" ca="1" si="8"/>
        <v>Passée</v>
      </c>
    </row>
    <row r="551" spans="1:18" ht="15.6" customHeight="1">
      <c r="A551" t="s">
        <v>1118</v>
      </c>
      <c r="B551" t="s">
        <v>205</v>
      </c>
      <c r="C551" t="s">
        <v>206</v>
      </c>
      <c r="D551" t="s">
        <v>961</v>
      </c>
      <c r="E551">
        <v>2026</v>
      </c>
      <c r="F551" t="s">
        <v>526</v>
      </c>
      <c r="G551" t="s">
        <v>153</v>
      </c>
      <c r="H551" s="1">
        <v>45986</v>
      </c>
      <c r="J551" s="1">
        <v>46055</v>
      </c>
      <c r="K551" s="1">
        <v>46084</v>
      </c>
      <c r="L551" s="1">
        <v>46090</v>
      </c>
      <c r="N551" t="s">
        <v>962</v>
      </c>
      <c r="O551" t="s">
        <v>266</v>
      </c>
      <c r="P551" s="19" t="s">
        <v>963</v>
      </c>
      <c r="Q551" t="s">
        <v>964</v>
      </c>
      <c r="R551" t="str">
        <f t="shared" ca="1" si="8"/>
        <v>Passée</v>
      </c>
    </row>
    <row r="552" spans="1:18" ht="15.6" customHeight="1">
      <c r="A552" s="15" t="s">
        <v>1119</v>
      </c>
      <c r="B552" s="15" t="s">
        <v>205</v>
      </c>
      <c r="C552" s="15" t="s">
        <v>206</v>
      </c>
      <c r="D552" s="15" t="s">
        <v>961</v>
      </c>
      <c r="E552" s="15">
        <v>2026</v>
      </c>
      <c r="F552" s="15" t="s">
        <v>526</v>
      </c>
      <c r="G552" s="15" t="s">
        <v>154</v>
      </c>
      <c r="H552" s="16">
        <v>46014</v>
      </c>
      <c r="I552" s="15"/>
      <c r="J552" s="16">
        <v>46083</v>
      </c>
      <c r="K552" s="16">
        <v>46112</v>
      </c>
      <c r="L552" s="16">
        <v>46120</v>
      </c>
      <c r="M552" s="15"/>
      <c r="N552" s="15" t="s">
        <v>962</v>
      </c>
      <c r="O552" s="15" t="s">
        <v>266</v>
      </c>
      <c r="P552" s="19" t="s">
        <v>963</v>
      </c>
      <c r="Q552" s="15" t="s">
        <v>964</v>
      </c>
      <c r="R552" t="str">
        <f t="shared" ca="1" si="8"/>
        <v>Passée</v>
      </c>
    </row>
    <row r="553" spans="1:18" ht="15.6" customHeight="1">
      <c r="A553" t="s">
        <v>1120</v>
      </c>
      <c r="B553" t="s">
        <v>205</v>
      </c>
      <c r="C553" t="s">
        <v>206</v>
      </c>
      <c r="D553" t="s">
        <v>961</v>
      </c>
      <c r="E553">
        <v>2026</v>
      </c>
      <c r="F553" t="s">
        <v>526</v>
      </c>
      <c r="G553" t="s">
        <v>155</v>
      </c>
      <c r="H553" s="1">
        <v>46050</v>
      </c>
      <c r="J553" s="1">
        <v>46113</v>
      </c>
      <c r="K553" s="1">
        <v>46147</v>
      </c>
      <c r="L553" s="1">
        <v>46153</v>
      </c>
      <c r="N553" t="s">
        <v>962</v>
      </c>
      <c r="O553" t="s">
        <v>266</v>
      </c>
      <c r="P553" s="19" t="s">
        <v>963</v>
      </c>
      <c r="Q553" t="s">
        <v>964</v>
      </c>
      <c r="R553" t="str">
        <f t="shared" ca="1" si="8"/>
        <v>Passée</v>
      </c>
    </row>
    <row r="554" spans="1:18" ht="15.6" customHeight="1">
      <c r="A554" s="15" t="s">
        <v>1121</v>
      </c>
      <c r="B554" s="15" t="s">
        <v>205</v>
      </c>
      <c r="C554" s="15" t="s">
        <v>206</v>
      </c>
      <c r="D554" s="15" t="s">
        <v>961</v>
      </c>
      <c r="E554" s="15">
        <v>2026</v>
      </c>
      <c r="F554" s="15" t="s">
        <v>526</v>
      </c>
      <c r="G554" s="15" t="s">
        <v>156</v>
      </c>
      <c r="H554" s="16">
        <v>46078</v>
      </c>
      <c r="I554" s="15"/>
      <c r="J554" s="16">
        <v>46146</v>
      </c>
      <c r="K554" s="16">
        <v>46177</v>
      </c>
      <c r="L554" s="16">
        <v>46183</v>
      </c>
      <c r="M554" s="15"/>
      <c r="N554" s="15" t="s">
        <v>962</v>
      </c>
      <c r="O554" s="15" t="s">
        <v>266</v>
      </c>
      <c r="P554" s="19" t="s">
        <v>963</v>
      </c>
      <c r="Q554" s="15" t="s">
        <v>964</v>
      </c>
      <c r="R554" t="str">
        <f t="shared" ca="1" si="8"/>
        <v>Passée</v>
      </c>
    </row>
    <row r="555" spans="1:18" ht="15.6" customHeight="1">
      <c r="A555" t="s">
        <v>1122</v>
      </c>
      <c r="B555" t="s">
        <v>205</v>
      </c>
      <c r="C555" t="s">
        <v>206</v>
      </c>
      <c r="D555" t="s">
        <v>961</v>
      </c>
      <c r="E555">
        <v>2026</v>
      </c>
      <c r="F555" t="s">
        <v>526</v>
      </c>
      <c r="G555" t="s">
        <v>157</v>
      </c>
      <c r="H555" s="1">
        <v>46104</v>
      </c>
      <c r="J555" s="1">
        <v>46174</v>
      </c>
      <c r="K555" s="1">
        <v>46204</v>
      </c>
      <c r="L555" s="1">
        <v>46210</v>
      </c>
      <c r="N555" t="s">
        <v>962</v>
      </c>
      <c r="O555" t="s">
        <v>266</v>
      </c>
      <c r="P555" s="19" t="s">
        <v>963</v>
      </c>
      <c r="Q555" t="s">
        <v>964</v>
      </c>
      <c r="R555" t="str">
        <f t="shared" ca="1" si="8"/>
        <v>Passée</v>
      </c>
    </row>
    <row r="556" spans="1:18" ht="15.6" customHeight="1">
      <c r="A556" s="15" t="s">
        <v>1123</v>
      </c>
      <c r="B556" s="15" t="s">
        <v>205</v>
      </c>
      <c r="C556" s="15" t="s">
        <v>206</v>
      </c>
      <c r="D556" s="15" t="s">
        <v>961</v>
      </c>
      <c r="E556" s="15">
        <v>2026</v>
      </c>
      <c r="F556" s="15" t="s">
        <v>526</v>
      </c>
      <c r="G556" s="15" t="s">
        <v>158</v>
      </c>
      <c r="H556" s="16">
        <v>46135</v>
      </c>
      <c r="I556" s="15"/>
      <c r="J556" s="16">
        <v>46204</v>
      </c>
      <c r="K556" s="16">
        <v>46233</v>
      </c>
      <c r="L556" s="16">
        <v>46239</v>
      </c>
      <c r="M556" s="15"/>
      <c r="N556" s="15" t="s">
        <v>962</v>
      </c>
      <c r="O556" s="15" t="s">
        <v>266</v>
      </c>
      <c r="P556" s="19" t="s">
        <v>963</v>
      </c>
      <c r="Q556" s="15" t="s">
        <v>964</v>
      </c>
      <c r="R556" t="str">
        <f t="shared" ca="1" si="8"/>
        <v>Passée</v>
      </c>
    </row>
    <row r="557" spans="1:18" ht="15.6" customHeight="1">
      <c r="A557" t="s">
        <v>1124</v>
      </c>
      <c r="B557" t="s">
        <v>205</v>
      </c>
      <c r="C557" t="s">
        <v>206</v>
      </c>
      <c r="D557" t="s">
        <v>961</v>
      </c>
      <c r="E557">
        <v>2026</v>
      </c>
      <c r="F557" t="s">
        <v>526</v>
      </c>
      <c r="G557" t="s">
        <v>159</v>
      </c>
      <c r="H557" s="1">
        <v>46171</v>
      </c>
      <c r="J557" s="1">
        <v>46237</v>
      </c>
      <c r="K557" s="1">
        <v>46266</v>
      </c>
      <c r="L557" s="1">
        <v>46272</v>
      </c>
      <c r="N557" t="s">
        <v>962</v>
      </c>
      <c r="O557" t="s">
        <v>266</v>
      </c>
      <c r="P557" s="19" t="s">
        <v>963</v>
      </c>
      <c r="Q557" t="s">
        <v>964</v>
      </c>
      <c r="R557" t="str">
        <f t="shared" ca="1" si="8"/>
        <v>Passée</v>
      </c>
    </row>
    <row r="558" spans="1:18" ht="15.6" customHeight="1">
      <c r="A558" s="15" t="s">
        <v>1125</v>
      </c>
      <c r="B558" s="15" t="s">
        <v>205</v>
      </c>
      <c r="C558" s="15" t="s">
        <v>206</v>
      </c>
      <c r="D558" s="15" t="s">
        <v>961</v>
      </c>
      <c r="E558" s="15">
        <v>2026</v>
      </c>
      <c r="F558" s="15" t="s">
        <v>526</v>
      </c>
      <c r="G558" s="15" t="s">
        <v>160</v>
      </c>
      <c r="H558" s="16">
        <v>46203</v>
      </c>
      <c r="I558" s="15"/>
      <c r="J558" s="16">
        <v>46266</v>
      </c>
      <c r="K558" s="16">
        <v>46295</v>
      </c>
      <c r="L558" s="16">
        <v>46301</v>
      </c>
      <c r="M558" s="15"/>
      <c r="N558" s="15" t="s">
        <v>962</v>
      </c>
      <c r="O558" s="15" t="s">
        <v>266</v>
      </c>
      <c r="P558" s="19" t="s">
        <v>963</v>
      </c>
      <c r="Q558" s="15" t="s">
        <v>964</v>
      </c>
      <c r="R558" t="str">
        <f t="shared" ca="1" si="8"/>
        <v>Passée</v>
      </c>
    </row>
    <row r="559" spans="1:18" ht="15.6" customHeight="1">
      <c r="A559" t="s">
        <v>1126</v>
      </c>
      <c r="B559" t="s">
        <v>205</v>
      </c>
      <c r="C559" t="s">
        <v>206</v>
      </c>
      <c r="D559" t="s">
        <v>961</v>
      </c>
      <c r="E559">
        <v>2026</v>
      </c>
      <c r="F559" t="s">
        <v>526</v>
      </c>
      <c r="G559" t="s">
        <v>161</v>
      </c>
      <c r="H559" s="1">
        <v>46233</v>
      </c>
      <c r="J559" s="1">
        <v>46296</v>
      </c>
      <c r="K559" s="1">
        <v>46325</v>
      </c>
      <c r="L559" s="1">
        <v>46331</v>
      </c>
      <c r="N559" t="s">
        <v>962</v>
      </c>
      <c r="O559" t="s">
        <v>266</v>
      </c>
      <c r="P559" s="19" t="s">
        <v>963</v>
      </c>
      <c r="Q559" t="s">
        <v>964</v>
      </c>
      <c r="R559" t="str">
        <f t="shared" ca="1" si="8"/>
        <v>Passée</v>
      </c>
    </row>
    <row r="560" spans="1:18" ht="15.6" customHeight="1">
      <c r="A560" s="15" t="s">
        <v>1127</v>
      </c>
      <c r="B560" s="15" t="s">
        <v>205</v>
      </c>
      <c r="C560" s="15" t="s">
        <v>206</v>
      </c>
      <c r="D560" s="15" t="s">
        <v>961</v>
      </c>
      <c r="E560" s="15">
        <v>2026</v>
      </c>
      <c r="F560" s="15" t="s">
        <v>526</v>
      </c>
      <c r="G560" s="15" t="s">
        <v>162</v>
      </c>
      <c r="H560" s="16">
        <v>46265</v>
      </c>
      <c r="I560" s="15"/>
      <c r="J560" s="16">
        <v>46328</v>
      </c>
      <c r="K560" s="16">
        <v>46357</v>
      </c>
      <c r="L560" s="16">
        <v>46363</v>
      </c>
      <c r="M560" s="15"/>
      <c r="N560" s="15" t="s">
        <v>962</v>
      </c>
      <c r="O560" s="15" t="s">
        <v>266</v>
      </c>
      <c r="P560" s="19" t="s">
        <v>963</v>
      </c>
      <c r="Q560" s="15" t="s">
        <v>964</v>
      </c>
      <c r="R560" t="str">
        <f t="shared" ca="1" si="8"/>
        <v>Passée</v>
      </c>
    </row>
    <row r="561" spans="1:18" ht="15.6" customHeight="1">
      <c r="A561" t="s">
        <v>1128</v>
      </c>
      <c r="B561" t="s">
        <v>205</v>
      </c>
      <c r="C561" t="s">
        <v>206</v>
      </c>
      <c r="D561" t="s">
        <v>961</v>
      </c>
      <c r="E561">
        <v>2026</v>
      </c>
      <c r="F561" t="s">
        <v>526</v>
      </c>
      <c r="G561" t="s">
        <v>163</v>
      </c>
      <c r="H561" s="1">
        <v>46294</v>
      </c>
      <c r="J561" s="1">
        <v>46357</v>
      </c>
      <c r="K561" s="1">
        <v>46388</v>
      </c>
      <c r="L561" s="1">
        <v>46394</v>
      </c>
      <c r="N561" t="s">
        <v>962</v>
      </c>
      <c r="O561" t="s">
        <v>266</v>
      </c>
      <c r="P561" s="19" t="s">
        <v>963</v>
      </c>
      <c r="Q561" t="s">
        <v>964</v>
      </c>
      <c r="R561" t="str">
        <f t="shared" ca="1" si="8"/>
        <v>À venir</v>
      </c>
    </row>
    <row r="562" spans="1:18" ht="15.6" customHeight="1">
      <c r="A562" s="15" t="s">
        <v>1129</v>
      </c>
      <c r="B562" s="15" t="s">
        <v>205</v>
      </c>
      <c r="C562" s="15" t="s">
        <v>206</v>
      </c>
      <c r="D562" s="15" t="s">
        <v>961</v>
      </c>
      <c r="E562" s="15">
        <v>2027</v>
      </c>
      <c r="F562" s="15" t="s">
        <v>526</v>
      </c>
      <c r="G562" s="15" t="s">
        <v>204</v>
      </c>
      <c r="H562" s="16">
        <v>46323</v>
      </c>
      <c r="I562" s="15"/>
      <c r="J562" s="16">
        <v>46388</v>
      </c>
      <c r="K562" s="16">
        <v>46419</v>
      </c>
      <c r="L562" s="16">
        <v>46423</v>
      </c>
      <c r="M562" s="15"/>
      <c r="N562" s="15" t="s">
        <v>962</v>
      </c>
      <c r="O562" s="15" t="s">
        <v>266</v>
      </c>
      <c r="P562" s="19" t="s">
        <v>963</v>
      </c>
      <c r="Q562" s="15" t="s">
        <v>964</v>
      </c>
      <c r="R562" t="str">
        <f t="shared" ca="1" si="8"/>
        <v>À venir</v>
      </c>
    </row>
    <row r="563" spans="1:18" ht="15.6" customHeight="1">
      <c r="A563" t="s">
        <v>1130</v>
      </c>
      <c r="B563" t="s">
        <v>205</v>
      </c>
      <c r="C563" t="s">
        <v>206</v>
      </c>
      <c r="D563" t="s">
        <v>961</v>
      </c>
      <c r="E563">
        <v>2027</v>
      </c>
      <c r="F563" t="s">
        <v>526</v>
      </c>
      <c r="G563" t="s">
        <v>207</v>
      </c>
      <c r="H563" s="1">
        <v>46352</v>
      </c>
      <c r="J563" s="1">
        <v>46419</v>
      </c>
      <c r="K563" s="1">
        <v>46448</v>
      </c>
      <c r="L563" s="1">
        <v>46454</v>
      </c>
      <c r="N563" t="s">
        <v>962</v>
      </c>
      <c r="O563" t="s">
        <v>266</v>
      </c>
      <c r="P563" s="19" t="s">
        <v>963</v>
      </c>
      <c r="Q563" t="s">
        <v>964</v>
      </c>
      <c r="R563" t="str">
        <f t="shared" ca="1" si="8"/>
        <v>À venir</v>
      </c>
    </row>
    <row r="564" spans="1:18" ht="15.6" customHeight="1">
      <c r="A564" s="15" t="s">
        <v>1131</v>
      </c>
      <c r="B564" s="15" t="s">
        <v>205</v>
      </c>
      <c r="C564" s="15" t="s">
        <v>206</v>
      </c>
      <c r="D564" s="15" t="s">
        <v>961</v>
      </c>
      <c r="E564" s="15">
        <v>2027</v>
      </c>
      <c r="F564" s="15" t="s">
        <v>526</v>
      </c>
      <c r="G564" s="15" t="s">
        <v>208</v>
      </c>
      <c r="H564" s="16">
        <v>46384</v>
      </c>
      <c r="I564" s="15"/>
      <c r="J564" s="16">
        <v>46447</v>
      </c>
      <c r="K564" s="16">
        <v>46476</v>
      </c>
      <c r="L564" s="16">
        <v>46482</v>
      </c>
      <c r="M564" s="15"/>
      <c r="N564" s="15" t="s">
        <v>962</v>
      </c>
      <c r="O564" s="15" t="s">
        <v>266</v>
      </c>
      <c r="P564" s="19" t="s">
        <v>963</v>
      </c>
      <c r="Q564" s="15" t="s">
        <v>964</v>
      </c>
      <c r="R564" t="str">
        <f t="shared" ca="1" si="8"/>
        <v>À venir</v>
      </c>
    </row>
    <row r="565" spans="1:18" ht="15.6" customHeight="1">
      <c r="A565" t="s">
        <v>1132</v>
      </c>
      <c r="B565" t="s">
        <v>220</v>
      </c>
      <c r="C565" t="s">
        <v>221</v>
      </c>
      <c r="D565" t="s">
        <v>1133</v>
      </c>
      <c r="E565">
        <v>2026</v>
      </c>
      <c r="F565" t="s">
        <v>508</v>
      </c>
      <c r="G565" t="s">
        <v>157</v>
      </c>
      <c r="H565" s="1">
        <v>46189</v>
      </c>
      <c r="I565" s="1">
        <v>46203</v>
      </c>
      <c r="J565" s="1">
        <v>46203</v>
      </c>
      <c r="L565" s="1">
        <v>46199</v>
      </c>
      <c r="N565" t="s">
        <v>962</v>
      </c>
      <c r="O565" t="s">
        <v>266</v>
      </c>
      <c r="P565" s="19" t="s">
        <v>963</v>
      </c>
      <c r="Q565" t="s">
        <v>964</v>
      </c>
      <c r="R565" t="str">
        <f t="shared" ca="1" si="8"/>
        <v>Passée</v>
      </c>
    </row>
    <row r="566" spans="1:18" ht="15.6" customHeight="1">
      <c r="A566" s="15" t="s">
        <v>1134</v>
      </c>
      <c r="B566" s="15" t="s">
        <v>220</v>
      </c>
      <c r="C566" s="15" t="s">
        <v>221</v>
      </c>
      <c r="D566" s="15" t="s">
        <v>1133</v>
      </c>
      <c r="E566" s="15">
        <v>2026</v>
      </c>
      <c r="F566" s="15" t="s">
        <v>508</v>
      </c>
      <c r="G566" s="15" t="s">
        <v>160</v>
      </c>
      <c r="H566" s="16">
        <v>46281</v>
      </c>
      <c r="I566" s="16">
        <v>46295</v>
      </c>
      <c r="J566" s="16">
        <v>46295</v>
      </c>
      <c r="K566" s="15"/>
      <c r="L566" s="16">
        <v>46291</v>
      </c>
      <c r="M566" s="15"/>
      <c r="N566" s="15" t="s">
        <v>962</v>
      </c>
      <c r="O566" s="15" t="s">
        <v>266</v>
      </c>
      <c r="P566" s="19" t="s">
        <v>963</v>
      </c>
      <c r="Q566" s="15" t="s">
        <v>964</v>
      </c>
      <c r="R566" t="str">
        <f t="shared" ca="1" si="8"/>
        <v>À venir</v>
      </c>
    </row>
    <row r="567" spans="1:18" ht="15.6" customHeight="1">
      <c r="A567" t="s">
        <v>1135</v>
      </c>
      <c r="B567" t="s">
        <v>220</v>
      </c>
      <c r="C567" t="s">
        <v>221</v>
      </c>
      <c r="D567" t="s">
        <v>1133</v>
      </c>
      <c r="E567">
        <v>2026</v>
      </c>
      <c r="F567" t="s">
        <v>508</v>
      </c>
      <c r="G567" t="s">
        <v>163</v>
      </c>
      <c r="H567" s="1">
        <v>46368</v>
      </c>
      <c r="I567" s="1">
        <v>46387</v>
      </c>
      <c r="J567" s="1">
        <v>46387</v>
      </c>
      <c r="L567" s="1">
        <v>46385</v>
      </c>
      <c r="N567" t="s">
        <v>962</v>
      </c>
      <c r="O567" t="s">
        <v>266</v>
      </c>
      <c r="P567" s="19" t="s">
        <v>963</v>
      </c>
      <c r="Q567" t="s">
        <v>964</v>
      </c>
      <c r="R567" t="str">
        <f t="shared" ca="1" si="8"/>
        <v>À venir</v>
      </c>
    </row>
    <row r="568" spans="1:18" ht="15.6" customHeight="1">
      <c r="A568" s="15" t="s">
        <v>1136</v>
      </c>
      <c r="B568" s="15" t="s">
        <v>229</v>
      </c>
      <c r="C568" s="15" t="s">
        <v>221</v>
      </c>
      <c r="D568" s="15" t="s">
        <v>1133</v>
      </c>
      <c r="E568" s="15">
        <v>2026</v>
      </c>
      <c r="F568" s="15" t="s">
        <v>508</v>
      </c>
      <c r="G568" s="15" t="s">
        <v>157</v>
      </c>
      <c r="H568" s="16">
        <v>46189</v>
      </c>
      <c r="I568" s="16">
        <v>46203</v>
      </c>
      <c r="J568" s="16">
        <v>46203</v>
      </c>
      <c r="K568" s="15"/>
      <c r="L568" s="16">
        <v>46199</v>
      </c>
      <c r="M568" s="15"/>
      <c r="N568" s="15" t="s">
        <v>962</v>
      </c>
      <c r="O568" s="15" t="s">
        <v>266</v>
      </c>
      <c r="P568" s="19" t="s">
        <v>963</v>
      </c>
      <c r="Q568" s="15" t="s">
        <v>964</v>
      </c>
      <c r="R568" t="str">
        <f t="shared" ca="1" si="8"/>
        <v>Passée</v>
      </c>
    </row>
    <row r="569" spans="1:18" ht="15.6" customHeight="1">
      <c r="A569" t="s">
        <v>1137</v>
      </c>
      <c r="B569" t="s">
        <v>229</v>
      </c>
      <c r="C569" t="s">
        <v>221</v>
      </c>
      <c r="D569" t="s">
        <v>1133</v>
      </c>
      <c r="E569">
        <v>2026</v>
      </c>
      <c r="F569" t="s">
        <v>508</v>
      </c>
      <c r="G569" t="s">
        <v>160</v>
      </c>
      <c r="H569" s="1">
        <v>46281</v>
      </c>
      <c r="I569" s="1">
        <v>46295</v>
      </c>
      <c r="J569" s="1">
        <v>46295</v>
      </c>
      <c r="L569" s="1">
        <v>46291</v>
      </c>
      <c r="N569" t="s">
        <v>962</v>
      </c>
      <c r="O569" t="s">
        <v>266</v>
      </c>
      <c r="P569" s="19" t="s">
        <v>963</v>
      </c>
      <c r="Q569" t="s">
        <v>964</v>
      </c>
      <c r="R569" t="str">
        <f t="shared" ca="1" si="8"/>
        <v>À venir</v>
      </c>
    </row>
    <row r="570" spans="1:18" ht="15.6" customHeight="1">
      <c r="A570" s="15" t="s">
        <v>1138</v>
      </c>
      <c r="B570" s="15" t="s">
        <v>229</v>
      </c>
      <c r="C570" s="15" t="s">
        <v>221</v>
      </c>
      <c r="D570" s="15" t="s">
        <v>1133</v>
      </c>
      <c r="E570" s="15">
        <v>2026</v>
      </c>
      <c r="F570" s="15" t="s">
        <v>508</v>
      </c>
      <c r="G570" s="15" t="s">
        <v>163</v>
      </c>
      <c r="H570" s="16">
        <v>46368</v>
      </c>
      <c r="I570" s="16">
        <v>46387</v>
      </c>
      <c r="J570" s="16">
        <v>46387</v>
      </c>
      <c r="K570" s="15"/>
      <c r="L570" s="16">
        <v>46385</v>
      </c>
      <c r="M570" s="15"/>
      <c r="N570" s="15" t="s">
        <v>962</v>
      </c>
      <c r="O570" s="15" t="s">
        <v>266</v>
      </c>
      <c r="P570" s="19" t="s">
        <v>963</v>
      </c>
      <c r="Q570" s="15" t="s">
        <v>964</v>
      </c>
      <c r="R570" t="str">
        <f t="shared" ca="1" si="8"/>
        <v>À venir</v>
      </c>
    </row>
    <row r="571" spans="1:18" ht="15.6" customHeight="1">
      <c r="A571" t="s">
        <v>1139</v>
      </c>
      <c r="B571" t="s">
        <v>230</v>
      </c>
      <c r="C571" t="s">
        <v>231</v>
      </c>
      <c r="D571" t="s">
        <v>1133</v>
      </c>
      <c r="E571">
        <v>2026</v>
      </c>
      <c r="F571" t="s">
        <v>508</v>
      </c>
      <c r="G571" t="s">
        <v>157</v>
      </c>
      <c r="H571" s="1">
        <v>46189</v>
      </c>
      <c r="I571" s="1">
        <v>46203</v>
      </c>
      <c r="J571" s="1">
        <v>46203</v>
      </c>
      <c r="L571" s="1">
        <v>46199</v>
      </c>
      <c r="N571" t="s">
        <v>962</v>
      </c>
      <c r="O571" t="s">
        <v>266</v>
      </c>
      <c r="P571" s="19" t="s">
        <v>963</v>
      </c>
      <c r="Q571" t="s">
        <v>964</v>
      </c>
      <c r="R571" t="str">
        <f t="shared" ca="1" si="8"/>
        <v>Passée</v>
      </c>
    </row>
    <row r="572" spans="1:18" ht="15.6" customHeight="1">
      <c r="A572" s="15" t="s">
        <v>1140</v>
      </c>
      <c r="B572" s="15" t="s">
        <v>230</v>
      </c>
      <c r="C572" s="15" t="s">
        <v>231</v>
      </c>
      <c r="D572" s="15" t="s">
        <v>1133</v>
      </c>
      <c r="E572" s="15">
        <v>2026</v>
      </c>
      <c r="F572" s="15" t="s">
        <v>508</v>
      </c>
      <c r="G572" s="15" t="s">
        <v>160</v>
      </c>
      <c r="H572" s="16">
        <v>46281</v>
      </c>
      <c r="I572" s="16">
        <v>46295</v>
      </c>
      <c r="J572" s="16">
        <v>46295</v>
      </c>
      <c r="K572" s="15"/>
      <c r="L572" s="16">
        <v>46291</v>
      </c>
      <c r="M572" s="15"/>
      <c r="N572" s="15" t="s">
        <v>962</v>
      </c>
      <c r="O572" s="15" t="s">
        <v>266</v>
      </c>
      <c r="P572" s="19" t="s">
        <v>963</v>
      </c>
      <c r="Q572" s="15" t="s">
        <v>964</v>
      </c>
      <c r="R572" t="str">
        <f t="shared" ca="1" si="8"/>
        <v>À venir</v>
      </c>
    </row>
    <row r="573" spans="1:18" ht="15.6" customHeight="1">
      <c r="A573" t="s">
        <v>1141</v>
      </c>
      <c r="B573" t="s">
        <v>230</v>
      </c>
      <c r="C573" t="s">
        <v>231</v>
      </c>
      <c r="D573" t="s">
        <v>1133</v>
      </c>
      <c r="E573">
        <v>2026</v>
      </c>
      <c r="F573" t="s">
        <v>508</v>
      </c>
      <c r="G573" t="s">
        <v>163</v>
      </c>
      <c r="H573" s="1">
        <v>46368</v>
      </c>
      <c r="I573" s="1">
        <v>46387</v>
      </c>
      <c r="J573" s="1">
        <v>46387</v>
      </c>
      <c r="L573" s="1">
        <v>46385</v>
      </c>
      <c r="N573" t="s">
        <v>962</v>
      </c>
      <c r="O573" t="s">
        <v>266</v>
      </c>
      <c r="P573" s="19" t="s">
        <v>963</v>
      </c>
      <c r="Q573" t="s">
        <v>964</v>
      </c>
      <c r="R573" t="str">
        <f t="shared" ca="1" si="8"/>
        <v>À venir</v>
      </c>
    </row>
    <row r="574" spans="1:18" ht="15.6">
      <c r="A574" s="15" t="s">
        <v>1142</v>
      </c>
      <c r="B574" s="15" t="s">
        <v>126</v>
      </c>
      <c r="C574" s="15" t="s">
        <v>127</v>
      </c>
      <c r="D574" s="15" t="s">
        <v>961</v>
      </c>
      <c r="E574" s="15">
        <v>2025</v>
      </c>
      <c r="F574" s="15" t="s">
        <v>526</v>
      </c>
      <c r="G574" s="15" t="s">
        <v>142</v>
      </c>
      <c r="H574" s="16">
        <v>45709</v>
      </c>
      <c r="I574" s="16">
        <v>45747</v>
      </c>
      <c r="J574" s="16">
        <v>45747</v>
      </c>
      <c r="K574" s="16">
        <v>45770</v>
      </c>
      <c r="L574" s="16">
        <v>45775</v>
      </c>
      <c r="M574" s="15"/>
      <c r="N574" s="15" t="s">
        <v>1143</v>
      </c>
      <c r="O574" s="15" t="s">
        <v>266</v>
      </c>
      <c r="P574" s="19" t="s">
        <v>963</v>
      </c>
      <c r="Q574" s="15" t="s">
        <v>1144</v>
      </c>
      <c r="R574" t="str">
        <f t="shared" ca="1" si="8"/>
        <v>Passée</v>
      </c>
    </row>
    <row r="575" spans="1:18" ht="15.6">
      <c r="A575" t="s">
        <v>1145</v>
      </c>
      <c r="B575" t="s">
        <v>126</v>
      </c>
      <c r="C575" t="s">
        <v>127</v>
      </c>
      <c r="D575" t="s">
        <v>961</v>
      </c>
      <c r="E575">
        <v>2025</v>
      </c>
      <c r="F575" t="s">
        <v>526</v>
      </c>
      <c r="G575" t="s">
        <v>143</v>
      </c>
      <c r="H575" s="1">
        <v>45737</v>
      </c>
      <c r="I575" s="1">
        <v>45777</v>
      </c>
      <c r="J575" s="1">
        <v>45777</v>
      </c>
      <c r="K575" s="1">
        <v>45800</v>
      </c>
      <c r="L575" s="1">
        <v>45805</v>
      </c>
      <c r="N575" t="s">
        <v>1143</v>
      </c>
      <c r="O575" t="s">
        <v>266</v>
      </c>
      <c r="P575" s="19" t="s">
        <v>963</v>
      </c>
      <c r="Q575" t="s">
        <v>1144</v>
      </c>
      <c r="R575" t="str">
        <f t="shared" ca="1" si="8"/>
        <v>Passée</v>
      </c>
    </row>
    <row r="576" spans="1:18" ht="15.6">
      <c r="A576" s="15" t="s">
        <v>1146</v>
      </c>
      <c r="B576" s="15" t="s">
        <v>126</v>
      </c>
      <c r="C576" s="15" t="s">
        <v>127</v>
      </c>
      <c r="D576" s="15" t="s">
        <v>961</v>
      </c>
      <c r="E576" s="15">
        <v>2025</v>
      </c>
      <c r="F576" s="15" t="s">
        <v>526</v>
      </c>
      <c r="G576" s="15" t="s">
        <v>144</v>
      </c>
      <c r="H576" s="16">
        <v>45769</v>
      </c>
      <c r="I576" s="16">
        <v>45807</v>
      </c>
      <c r="J576" s="16">
        <v>45807</v>
      </c>
      <c r="K576" s="16">
        <v>45832</v>
      </c>
      <c r="L576" s="16">
        <v>45835</v>
      </c>
      <c r="M576" s="15"/>
      <c r="N576" s="15" t="s">
        <v>1143</v>
      </c>
      <c r="O576" s="15" t="s">
        <v>266</v>
      </c>
      <c r="P576" s="19" t="s">
        <v>963</v>
      </c>
      <c r="Q576" s="15" t="s">
        <v>1144</v>
      </c>
      <c r="R576" t="str">
        <f t="shared" ca="1" si="8"/>
        <v>Passée</v>
      </c>
    </row>
    <row r="577" spans="1:18" ht="15.6">
      <c r="A577" t="s">
        <v>1147</v>
      </c>
      <c r="B577" t="s">
        <v>126</v>
      </c>
      <c r="C577" t="s">
        <v>127</v>
      </c>
      <c r="D577" t="s">
        <v>961</v>
      </c>
      <c r="E577">
        <v>2025</v>
      </c>
      <c r="F577" t="s">
        <v>526</v>
      </c>
      <c r="G577" t="s">
        <v>145</v>
      </c>
      <c r="H577" s="1">
        <v>45798</v>
      </c>
      <c r="I577" s="1">
        <v>45838</v>
      </c>
      <c r="J577" s="1">
        <v>45838</v>
      </c>
      <c r="K577" s="1">
        <v>45859</v>
      </c>
      <c r="L577" s="1">
        <v>45862</v>
      </c>
      <c r="N577" t="s">
        <v>1143</v>
      </c>
      <c r="O577" t="s">
        <v>266</v>
      </c>
      <c r="P577" s="19" t="s">
        <v>963</v>
      </c>
      <c r="Q577" t="s">
        <v>1144</v>
      </c>
      <c r="R577" t="str">
        <f t="shared" ca="1" si="8"/>
        <v>Passée</v>
      </c>
    </row>
    <row r="578" spans="1:18" ht="15.6">
      <c r="A578" s="15" t="s">
        <v>1148</v>
      </c>
      <c r="B578" s="15" t="s">
        <v>126</v>
      </c>
      <c r="C578" s="15" t="s">
        <v>127</v>
      </c>
      <c r="D578" s="15" t="s">
        <v>961</v>
      </c>
      <c r="E578" s="15">
        <v>2025</v>
      </c>
      <c r="F578" s="15" t="s">
        <v>526</v>
      </c>
      <c r="G578" s="15" t="s">
        <v>146</v>
      </c>
      <c r="H578" s="16">
        <v>45832</v>
      </c>
      <c r="I578" s="16">
        <v>45869</v>
      </c>
      <c r="J578" s="16">
        <v>45869</v>
      </c>
      <c r="K578" s="16">
        <v>45891</v>
      </c>
      <c r="L578" s="16">
        <v>45896</v>
      </c>
      <c r="M578" s="15"/>
      <c r="N578" s="15" t="s">
        <v>1143</v>
      </c>
      <c r="O578" s="15" t="s">
        <v>266</v>
      </c>
      <c r="P578" s="19" t="s">
        <v>963</v>
      </c>
      <c r="Q578" s="15" t="s">
        <v>1144</v>
      </c>
      <c r="R578" t="str">
        <f t="shared" ref="R578:R603" ca="1" si="9">IF(H578&gt;=TODAY(),"À venir","Passée")</f>
        <v>Passée</v>
      </c>
    </row>
    <row r="579" spans="1:18" ht="15.6">
      <c r="A579" t="s">
        <v>1149</v>
      </c>
      <c r="B579" t="s">
        <v>126</v>
      </c>
      <c r="C579" t="s">
        <v>127</v>
      </c>
      <c r="D579" t="s">
        <v>961</v>
      </c>
      <c r="E579">
        <v>2025</v>
      </c>
      <c r="F579" t="s">
        <v>526</v>
      </c>
      <c r="G579" t="s">
        <v>147</v>
      </c>
      <c r="H579" s="1">
        <v>45859</v>
      </c>
      <c r="I579" s="1">
        <v>45898</v>
      </c>
      <c r="J579" s="1">
        <v>45898</v>
      </c>
      <c r="K579" s="1">
        <v>45919</v>
      </c>
      <c r="L579" s="1">
        <v>45924</v>
      </c>
      <c r="N579" t="s">
        <v>1143</v>
      </c>
      <c r="O579" t="s">
        <v>266</v>
      </c>
      <c r="P579" s="19" t="s">
        <v>963</v>
      </c>
      <c r="Q579" t="s">
        <v>1144</v>
      </c>
      <c r="R579" t="str">
        <f t="shared" ca="1" si="9"/>
        <v>Passée</v>
      </c>
    </row>
    <row r="580" spans="1:18" ht="15.6">
      <c r="A580" s="15" t="s">
        <v>1150</v>
      </c>
      <c r="B580" s="15" t="s">
        <v>126</v>
      </c>
      <c r="C580" s="15" t="s">
        <v>127</v>
      </c>
      <c r="D580" s="15" t="s">
        <v>961</v>
      </c>
      <c r="E580" s="15">
        <v>2025</v>
      </c>
      <c r="F580" s="15" t="s">
        <v>526</v>
      </c>
      <c r="G580" s="15" t="s">
        <v>148</v>
      </c>
      <c r="H580" s="16">
        <v>45890</v>
      </c>
      <c r="I580" s="16">
        <v>45930</v>
      </c>
      <c r="J580" s="16">
        <v>45930</v>
      </c>
      <c r="K580" s="16">
        <v>45951</v>
      </c>
      <c r="L580" s="16">
        <v>45954</v>
      </c>
      <c r="M580" s="15"/>
      <c r="N580" s="15" t="s">
        <v>1143</v>
      </c>
      <c r="O580" s="15" t="s">
        <v>266</v>
      </c>
      <c r="P580" s="19" t="s">
        <v>963</v>
      </c>
      <c r="Q580" s="15" t="s">
        <v>1144</v>
      </c>
      <c r="R580" t="str">
        <f t="shared" ca="1" si="9"/>
        <v>Passée</v>
      </c>
    </row>
    <row r="581" spans="1:18" ht="15.6">
      <c r="A581" t="s">
        <v>1151</v>
      </c>
      <c r="B581" t="s">
        <v>126</v>
      </c>
      <c r="C581" t="s">
        <v>127</v>
      </c>
      <c r="D581" t="s">
        <v>961</v>
      </c>
      <c r="E581">
        <v>2025</v>
      </c>
      <c r="F581" t="s">
        <v>526</v>
      </c>
      <c r="G581" t="s">
        <v>149</v>
      </c>
      <c r="H581" s="1">
        <v>45922</v>
      </c>
      <c r="I581" s="1">
        <v>45961</v>
      </c>
      <c r="J581" s="1">
        <v>45961</v>
      </c>
      <c r="K581" s="1">
        <v>45982</v>
      </c>
      <c r="L581" s="1">
        <v>45987</v>
      </c>
      <c r="N581" t="s">
        <v>1143</v>
      </c>
      <c r="O581" t="s">
        <v>266</v>
      </c>
      <c r="P581" s="19" t="s">
        <v>963</v>
      </c>
      <c r="Q581" t="s">
        <v>1144</v>
      </c>
      <c r="R581" t="str">
        <f t="shared" ca="1" si="9"/>
        <v>Passée</v>
      </c>
    </row>
    <row r="582" spans="1:18" ht="15.6">
      <c r="A582" s="15" t="s">
        <v>1152</v>
      </c>
      <c r="B582" s="15" t="s">
        <v>126</v>
      </c>
      <c r="C582" s="15" t="s">
        <v>127</v>
      </c>
      <c r="D582" s="15" t="s">
        <v>961</v>
      </c>
      <c r="E582" s="15">
        <v>2025</v>
      </c>
      <c r="F582" s="15" t="s">
        <v>526</v>
      </c>
      <c r="G582" s="15" t="s">
        <v>150</v>
      </c>
      <c r="H582" s="16">
        <v>45951</v>
      </c>
      <c r="I582" s="16">
        <v>45989</v>
      </c>
      <c r="J582" s="16">
        <v>45989</v>
      </c>
      <c r="K582" s="16">
        <v>46010</v>
      </c>
      <c r="L582" s="16">
        <v>46020</v>
      </c>
      <c r="M582" s="15"/>
      <c r="N582" s="15" t="s">
        <v>1143</v>
      </c>
      <c r="O582" s="15" t="s">
        <v>266</v>
      </c>
      <c r="P582" s="19" t="s">
        <v>963</v>
      </c>
      <c r="Q582" s="15" t="s">
        <v>1144</v>
      </c>
      <c r="R582" t="str">
        <f t="shared" ca="1" si="9"/>
        <v>Passée</v>
      </c>
    </row>
    <row r="583" spans="1:18" ht="15.6">
      <c r="A583" t="s">
        <v>1153</v>
      </c>
      <c r="B583" t="s">
        <v>126</v>
      </c>
      <c r="C583" t="s">
        <v>127</v>
      </c>
      <c r="D583" t="s">
        <v>961</v>
      </c>
      <c r="E583">
        <v>2025</v>
      </c>
      <c r="F583" t="s">
        <v>526</v>
      </c>
      <c r="G583" t="s">
        <v>151</v>
      </c>
      <c r="H583" s="1">
        <v>45982</v>
      </c>
      <c r="I583" s="1">
        <v>46022</v>
      </c>
      <c r="J583" s="1">
        <v>46022</v>
      </c>
      <c r="K583" s="1">
        <v>46044</v>
      </c>
      <c r="L583" s="1">
        <v>46049</v>
      </c>
      <c r="N583" t="s">
        <v>1143</v>
      </c>
      <c r="O583" t="s">
        <v>266</v>
      </c>
      <c r="P583" s="19" t="s">
        <v>963</v>
      </c>
      <c r="Q583" t="s">
        <v>1144</v>
      </c>
      <c r="R583" t="str">
        <f t="shared" ca="1" si="9"/>
        <v>Passée</v>
      </c>
    </row>
    <row r="584" spans="1:18" ht="15.6">
      <c r="A584" s="15" t="s">
        <v>1154</v>
      </c>
      <c r="B584" s="15" t="s">
        <v>126</v>
      </c>
      <c r="C584" s="15" t="s">
        <v>127</v>
      </c>
      <c r="D584" s="15" t="s">
        <v>961</v>
      </c>
      <c r="E584" s="15">
        <v>2026</v>
      </c>
      <c r="F584" s="15" t="s">
        <v>526</v>
      </c>
      <c r="G584" s="15" t="s">
        <v>152</v>
      </c>
      <c r="H584" s="16">
        <v>46013</v>
      </c>
      <c r="I584" s="16">
        <v>46052</v>
      </c>
      <c r="J584" s="16">
        <v>46052</v>
      </c>
      <c r="K584" s="16">
        <v>46073</v>
      </c>
      <c r="L584" s="16">
        <v>46078</v>
      </c>
      <c r="M584" s="15"/>
      <c r="N584" s="15" t="s">
        <v>1143</v>
      </c>
      <c r="O584" s="15" t="s">
        <v>266</v>
      </c>
      <c r="P584" s="19" t="s">
        <v>963</v>
      </c>
      <c r="Q584" s="15" t="s">
        <v>1144</v>
      </c>
      <c r="R584" t="str">
        <f t="shared" ca="1" si="9"/>
        <v>Passée</v>
      </c>
    </row>
    <row r="585" spans="1:18" ht="15.6">
      <c r="A585" t="s">
        <v>1155</v>
      </c>
      <c r="B585" t="s">
        <v>126</v>
      </c>
      <c r="C585" t="s">
        <v>127</v>
      </c>
      <c r="D585" t="s">
        <v>961</v>
      </c>
      <c r="E585">
        <v>2026</v>
      </c>
      <c r="F585" t="s">
        <v>526</v>
      </c>
      <c r="G585" t="s">
        <v>153</v>
      </c>
      <c r="H585" s="1">
        <v>46043</v>
      </c>
      <c r="I585" s="1">
        <v>46080</v>
      </c>
      <c r="J585" s="1">
        <v>46080</v>
      </c>
      <c r="K585" s="1">
        <v>46101</v>
      </c>
      <c r="L585" s="1">
        <v>46106</v>
      </c>
      <c r="N585" t="s">
        <v>1143</v>
      </c>
      <c r="O585" t="s">
        <v>266</v>
      </c>
      <c r="P585" s="19" t="s">
        <v>963</v>
      </c>
      <c r="Q585" t="s">
        <v>1144</v>
      </c>
      <c r="R585" t="str">
        <f t="shared" ca="1" si="9"/>
        <v>Passée</v>
      </c>
    </row>
    <row r="586" spans="1:18" ht="15.6">
      <c r="A586" s="15" t="s">
        <v>1156</v>
      </c>
      <c r="B586" s="15" t="s">
        <v>126</v>
      </c>
      <c r="C586" s="15" t="s">
        <v>127</v>
      </c>
      <c r="D586" s="15" t="s">
        <v>961</v>
      </c>
      <c r="E586" s="15">
        <v>2026</v>
      </c>
      <c r="F586" s="15" t="s">
        <v>526</v>
      </c>
      <c r="G586" s="15" t="s">
        <v>154</v>
      </c>
      <c r="H586" s="16">
        <v>46076</v>
      </c>
      <c r="I586" s="16">
        <v>46112</v>
      </c>
      <c r="J586" s="16">
        <v>46112</v>
      </c>
      <c r="K586" s="16">
        <v>46134</v>
      </c>
      <c r="L586" s="16">
        <v>46139</v>
      </c>
      <c r="M586" s="15"/>
      <c r="N586" s="15" t="s">
        <v>1143</v>
      </c>
      <c r="O586" s="15" t="s">
        <v>266</v>
      </c>
      <c r="P586" s="19" t="s">
        <v>963</v>
      </c>
      <c r="Q586" s="15" t="s">
        <v>1144</v>
      </c>
      <c r="R586" t="str">
        <f t="shared" ca="1" si="9"/>
        <v>Passée</v>
      </c>
    </row>
    <row r="587" spans="1:18" ht="15.6">
      <c r="A587" t="s">
        <v>1157</v>
      </c>
      <c r="B587" t="s">
        <v>126</v>
      </c>
      <c r="C587" t="s">
        <v>127</v>
      </c>
      <c r="D587" t="s">
        <v>961</v>
      </c>
      <c r="E587">
        <v>2026</v>
      </c>
      <c r="F587" t="s">
        <v>526</v>
      </c>
      <c r="G587" t="s">
        <v>155</v>
      </c>
      <c r="H587" s="1">
        <v>46104</v>
      </c>
      <c r="I587" s="1">
        <v>46142</v>
      </c>
      <c r="J587" s="1">
        <v>46142</v>
      </c>
      <c r="K587" s="1">
        <v>46168</v>
      </c>
      <c r="L587" s="1">
        <v>46171</v>
      </c>
      <c r="N587" t="s">
        <v>1143</v>
      </c>
      <c r="O587" t="s">
        <v>266</v>
      </c>
      <c r="P587" s="19" t="s">
        <v>963</v>
      </c>
      <c r="Q587" t="s">
        <v>1144</v>
      </c>
      <c r="R587" t="str">
        <f t="shared" ca="1" si="9"/>
        <v>Passée</v>
      </c>
    </row>
    <row r="588" spans="1:18" ht="15.6">
      <c r="A588" s="15" t="s">
        <v>1158</v>
      </c>
      <c r="B588" s="15" t="s">
        <v>126</v>
      </c>
      <c r="C588" s="15" t="s">
        <v>127</v>
      </c>
      <c r="D588" s="15" t="s">
        <v>961</v>
      </c>
      <c r="E588" s="15">
        <v>2026</v>
      </c>
      <c r="F588" s="15" t="s">
        <v>526</v>
      </c>
      <c r="G588" s="15" t="s">
        <v>156</v>
      </c>
      <c r="H588" s="16">
        <v>46133</v>
      </c>
      <c r="I588" s="16">
        <v>46171</v>
      </c>
      <c r="J588" s="16">
        <v>46171</v>
      </c>
      <c r="K588" s="16">
        <v>46192</v>
      </c>
      <c r="L588" s="16">
        <v>46198</v>
      </c>
      <c r="M588" s="15"/>
      <c r="N588" s="15" t="s">
        <v>1143</v>
      </c>
      <c r="O588" s="15" t="s">
        <v>266</v>
      </c>
      <c r="P588" s="19" t="s">
        <v>963</v>
      </c>
      <c r="Q588" s="15" t="s">
        <v>1144</v>
      </c>
      <c r="R588" t="str">
        <f t="shared" ca="1" si="9"/>
        <v>Passée</v>
      </c>
    </row>
    <row r="589" spans="1:18" ht="15.6">
      <c r="A589" t="s">
        <v>1159</v>
      </c>
      <c r="B589" t="s">
        <v>126</v>
      </c>
      <c r="C589" t="s">
        <v>127</v>
      </c>
      <c r="D589" t="s">
        <v>961</v>
      </c>
      <c r="E589">
        <v>2026</v>
      </c>
      <c r="F589" t="s">
        <v>526</v>
      </c>
      <c r="G589" t="s">
        <v>157</v>
      </c>
      <c r="H589" s="1">
        <v>46163</v>
      </c>
      <c r="I589" s="1">
        <v>46203</v>
      </c>
      <c r="J589" s="1">
        <v>46203</v>
      </c>
      <c r="K589" s="1">
        <v>46224</v>
      </c>
      <c r="L589" s="1">
        <v>46227</v>
      </c>
      <c r="N589" t="s">
        <v>1143</v>
      </c>
      <c r="O589" t="s">
        <v>266</v>
      </c>
      <c r="P589" s="19" t="s">
        <v>963</v>
      </c>
      <c r="Q589" t="s">
        <v>1144</v>
      </c>
      <c r="R589" t="str">
        <f t="shared" ca="1" si="9"/>
        <v>Passée</v>
      </c>
    </row>
    <row r="590" spans="1:18" ht="15.6">
      <c r="A590" s="15" t="s">
        <v>1160</v>
      </c>
      <c r="B590" s="15" t="s">
        <v>126</v>
      </c>
      <c r="C590" s="15" t="s">
        <v>127</v>
      </c>
      <c r="D590" s="15" t="s">
        <v>961</v>
      </c>
      <c r="E590" s="15">
        <v>2026</v>
      </c>
      <c r="F590" s="15" t="s">
        <v>526</v>
      </c>
      <c r="G590" s="15" t="s">
        <v>158</v>
      </c>
      <c r="H590" s="16">
        <v>46195</v>
      </c>
      <c r="I590" s="16">
        <v>46234</v>
      </c>
      <c r="J590" s="16">
        <v>46234</v>
      </c>
      <c r="K590" s="16">
        <v>46255</v>
      </c>
      <c r="L590" s="16">
        <v>46260</v>
      </c>
      <c r="M590" s="15"/>
      <c r="N590" s="15" t="s">
        <v>1143</v>
      </c>
      <c r="O590" s="15" t="s">
        <v>266</v>
      </c>
      <c r="P590" s="19" t="s">
        <v>963</v>
      </c>
      <c r="Q590" s="15" t="s">
        <v>1144</v>
      </c>
      <c r="R590" t="str">
        <f t="shared" ca="1" si="9"/>
        <v>Passée</v>
      </c>
    </row>
    <row r="591" spans="1:18" ht="15.6">
      <c r="A591" t="s">
        <v>1161</v>
      </c>
      <c r="B591" t="s">
        <v>126</v>
      </c>
      <c r="C591" t="s">
        <v>127</v>
      </c>
      <c r="D591" t="s">
        <v>961</v>
      </c>
      <c r="E591">
        <v>2026</v>
      </c>
      <c r="F591" t="s">
        <v>526</v>
      </c>
      <c r="G591" t="s">
        <v>159</v>
      </c>
      <c r="H591" s="1">
        <v>46224</v>
      </c>
      <c r="I591" s="1">
        <v>46265</v>
      </c>
      <c r="J591" s="1">
        <v>46265</v>
      </c>
      <c r="K591" s="1">
        <v>46286</v>
      </c>
      <c r="L591" s="1">
        <v>46289</v>
      </c>
      <c r="N591" t="s">
        <v>1143</v>
      </c>
      <c r="O591" t="s">
        <v>266</v>
      </c>
      <c r="P591" s="19" t="s">
        <v>963</v>
      </c>
      <c r="Q591" t="s">
        <v>1144</v>
      </c>
      <c r="R591" t="str">
        <f t="shared" ca="1" si="9"/>
        <v>Passée</v>
      </c>
    </row>
    <row r="592" spans="1:18" ht="15.6">
      <c r="A592" s="15" t="s">
        <v>1162</v>
      </c>
      <c r="B592" s="15" t="s">
        <v>126</v>
      </c>
      <c r="C592" s="15" t="s">
        <v>127</v>
      </c>
      <c r="D592" s="15" t="s">
        <v>961</v>
      </c>
      <c r="E592" s="15">
        <v>2026</v>
      </c>
      <c r="F592" s="15" t="s">
        <v>526</v>
      </c>
      <c r="G592" s="15" t="s">
        <v>160</v>
      </c>
      <c r="H592" s="16">
        <v>46255</v>
      </c>
      <c r="I592" s="16">
        <v>46295</v>
      </c>
      <c r="J592" s="16">
        <v>46295</v>
      </c>
      <c r="K592" s="16">
        <v>46316</v>
      </c>
      <c r="L592" s="16">
        <v>46321</v>
      </c>
      <c r="M592" s="15"/>
      <c r="N592" s="15" t="s">
        <v>1143</v>
      </c>
      <c r="O592" s="15" t="s">
        <v>266</v>
      </c>
      <c r="P592" s="19" t="s">
        <v>963</v>
      </c>
      <c r="Q592" s="15" t="s">
        <v>1144</v>
      </c>
      <c r="R592" t="str">
        <f t="shared" ca="1" si="9"/>
        <v>Passée</v>
      </c>
    </row>
    <row r="593" spans="1:18" ht="15.6">
      <c r="A593" t="s">
        <v>1163</v>
      </c>
      <c r="B593" t="s">
        <v>126</v>
      </c>
      <c r="C593" t="s">
        <v>127</v>
      </c>
      <c r="D593" t="s">
        <v>961</v>
      </c>
      <c r="E593">
        <v>2026</v>
      </c>
      <c r="F593" t="s">
        <v>526</v>
      </c>
      <c r="G593" t="s">
        <v>161</v>
      </c>
      <c r="H593" s="1">
        <v>46286</v>
      </c>
      <c r="I593" s="1">
        <v>46325</v>
      </c>
      <c r="J593" s="1">
        <v>46325</v>
      </c>
      <c r="K593" s="1">
        <v>46346</v>
      </c>
      <c r="L593" s="1">
        <v>46351</v>
      </c>
      <c r="N593" t="s">
        <v>1143</v>
      </c>
      <c r="O593" t="s">
        <v>266</v>
      </c>
      <c r="P593" s="19" t="s">
        <v>963</v>
      </c>
      <c r="Q593" t="s">
        <v>1144</v>
      </c>
      <c r="R593" t="str">
        <f t="shared" ca="1" si="9"/>
        <v>À venir</v>
      </c>
    </row>
    <row r="594" spans="1:18" ht="15.6">
      <c r="A594" s="15" t="s">
        <v>1164</v>
      </c>
      <c r="B594" s="15" t="s">
        <v>126</v>
      </c>
      <c r="C594" s="15" t="s">
        <v>127</v>
      </c>
      <c r="D594" s="15" t="s">
        <v>961</v>
      </c>
      <c r="E594" s="15">
        <v>2026</v>
      </c>
      <c r="F594" s="15" t="s">
        <v>526</v>
      </c>
      <c r="G594" s="15" t="s">
        <v>162</v>
      </c>
      <c r="H594" s="16">
        <v>46316</v>
      </c>
      <c r="I594" s="16">
        <v>46356</v>
      </c>
      <c r="J594" s="16">
        <v>46356</v>
      </c>
      <c r="K594" s="16">
        <v>46377</v>
      </c>
      <c r="L594" s="16">
        <v>46380</v>
      </c>
      <c r="M594" s="15"/>
      <c r="N594" s="15" t="s">
        <v>1143</v>
      </c>
      <c r="O594" s="15" t="s">
        <v>266</v>
      </c>
      <c r="P594" s="19" t="s">
        <v>963</v>
      </c>
      <c r="Q594" s="15" t="s">
        <v>1144</v>
      </c>
      <c r="R594" t="str">
        <f t="shared" ca="1" si="9"/>
        <v>À venir</v>
      </c>
    </row>
    <row r="595" spans="1:18" ht="15.6">
      <c r="A595" t="s">
        <v>1165</v>
      </c>
      <c r="B595" t="s">
        <v>126</v>
      </c>
      <c r="C595" t="s">
        <v>127</v>
      </c>
      <c r="D595" t="s">
        <v>961</v>
      </c>
      <c r="E595">
        <v>2026</v>
      </c>
      <c r="F595" t="s">
        <v>526</v>
      </c>
      <c r="G595" t="s">
        <v>163</v>
      </c>
      <c r="H595" s="1">
        <v>46349</v>
      </c>
      <c r="I595" s="1">
        <v>46387</v>
      </c>
      <c r="J595" s="1">
        <v>46387</v>
      </c>
      <c r="K595" s="1">
        <v>46408</v>
      </c>
      <c r="L595" s="1">
        <v>46413</v>
      </c>
      <c r="N595" t="s">
        <v>1143</v>
      </c>
      <c r="O595" t="s">
        <v>266</v>
      </c>
      <c r="P595" s="19" t="s">
        <v>963</v>
      </c>
      <c r="Q595" t="s">
        <v>1144</v>
      </c>
      <c r="R595" t="str">
        <f t="shared" ca="1" si="9"/>
        <v>À venir</v>
      </c>
    </row>
    <row r="596" spans="1:18" ht="15.6">
      <c r="A596" s="15" t="s">
        <v>1166</v>
      </c>
      <c r="B596" s="15" t="s">
        <v>333</v>
      </c>
      <c r="C596" s="15" t="s">
        <v>334</v>
      </c>
      <c r="D596" s="15" t="s">
        <v>1167</v>
      </c>
      <c r="E596" s="15">
        <v>2026</v>
      </c>
      <c r="F596" s="15" t="s">
        <v>526</v>
      </c>
      <c r="G596" s="15" t="s">
        <v>154</v>
      </c>
      <c r="H596" s="16">
        <v>46078</v>
      </c>
      <c r="I596" s="16">
        <v>46106</v>
      </c>
      <c r="J596" s="16">
        <v>46106</v>
      </c>
      <c r="K596" s="15"/>
      <c r="L596" s="16">
        <v>46113</v>
      </c>
      <c r="M596" s="15"/>
      <c r="N596" s="15" t="s">
        <v>1143</v>
      </c>
      <c r="O596" s="15" t="s">
        <v>266</v>
      </c>
      <c r="P596" s="19" t="s">
        <v>963</v>
      </c>
      <c r="Q596" s="15" t="s">
        <v>1144</v>
      </c>
      <c r="R596" t="str">
        <f t="shared" ca="1" si="9"/>
        <v>Passée</v>
      </c>
    </row>
    <row r="597" spans="1:18" ht="15.6">
      <c r="A597" t="s">
        <v>1168</v>
      </c>
      <c r="B597" t="s">
        <v>333</v>
      </c>
      <c r="C597" t="s">
        <v>334</v>
      </c>
      <c r="D597" t="s">
        <v>1167</v>
      </c>
      <c r="E597">
        <v>2026</v>
      </c>
      <c r="F597" t="s">
        <v>526</v>
      </c>
      <c r="G597" t="s">
        <v>157</v>
      </c>
      <c r="H597" s="1">
        <v>46169</v>
      </c>
      <c r="I597" s="1">
        <v>46197</v>
      </c>
      <c r="J597" s="1">
        <v>46197</v>
      </c>
      <c r="L597" s="1">
        <v>46204</v>
      </c>
      <c r="N597" t="s">
        <v>1143</v>
      </c>
      <c r="O597" t="s">
        <v>266</v>
      </c>
      <c r="P597" s="19" t="s">
        <v>963</v>
      </c>
      <c r="Q597" t="s">
        <v>1144</v>
      </c>
      <c r="R597" t="str">
        <f t="shared" ca="1" si="9"/>
        <v>Passée</v>
      </c>
    </row>
    <row r="598" spans="1:18" ht="15.6">
      <c r="A598" s="15" t="s">
        <v>1169</v>
      </c>
      <c r="B598" s="15" t="s">
        <v>333</v>
      </c>
      <c r="C598" s="15" t="s">
        <v>334</v>
      </c>
      <c r="D598" s="15" t="s">
        <v>1167</v>
      </c>
      <c r="E598" s="15">
        <v>2026</v>
      </c>
      <c r="F598" s="15" t="s">
        <v>526</v>
      </c>
      <c r="G598" s="15" t="s">
        <v>160</v>
      </c>
      <c r="H598" s="16">
        <v>46267</v>
      </c>
      <c r="I598" s="16">
        <v>46295</v>
      </c>
      <c r="J598" s="16">
        <v>46295</v>
      </c>
      <c r="K598" s="15"/>
      <c r="L598" s="16">
        <v>46302</v>
      </c>
      <c r="M598" s="15"/>
      <c r="N598" s="15" t="s">
        <v>1143</v>
      </c>
      <c r="O598" s="15" t="s">
        <v>266</v>
      </c>
      <c r="P598" s="19" t="s">
        <v>963</v>
      </c>
      <c r="Q598" s="15" t="s">
        <v>1144</v>
      </c>
      <c r="R598" t="str">
        <f t="shared" ca="1" si="9"/>
        <v>À venir</v>
      </c>
    </row>
    <row r="599" spans="1:18" ht="15.6">
      <c r="A599" t="s">
        <v>1170</v>
      </c>
      <c r="B599" t="s">
        <v>333</v>
      </c>
      <c r="C599" t="s">
        <v>334</v>
      </c>
      <c r="D599" t="s">
        <v>1167</v>
      </c>
      <c r="E599">
        <v>2026</v>
      </c>
      <c r="F599" t="s">
        <v>526</v>
      </c>
      <c r="G599" t="s">
        <v>163</v>
      </c>
      <c r="H599" s="1">
        <v>46358</v>
      </c>
      <c r="I599" s="1">
        <v>46386</v>
      </c>
      <c r="J599" s="1">
        <v>46386</v>
      </c>
      <c r="L599" s="1">
        <v>46394</v>
      </c>
      <c r="N599" t="s">
        <v>1143</v>
      </c>
      <c r="O599" t="s">
        <v>266</v>
      </c>
      <c r="P599" s="19" t="s">
        <v>963</v>
      </c>
      <c r="Q599" t="s">
        <v>1144</v>
      </c>
      <c r="R599" t="str">
        <f t="shared" ca="1" si="9"/>
        <v>À venir</v>
      </c>
    </row>
    <row r="600" spans="1:18" ht="15.6">
      <c r="A600" s="15" t="s">
        <v>1171</v>
      </c>
      <c r="B600" s="15" t="s">
        <v>213</v>
      </c>
      <c r="C600" s="15" t="s">
        <v>214</v>
      </c>
      <c r="D600" s="15" t="s">
        <v>1167</v>
      </c>
      <c r="E600" s="15">
        <v>2026</v>
      </c>
      <c r="F600" s="15" t="s">
        <v>526</v>
      </c>
      <c r="G600" s="15" t="s">
        <v>154</v>
      </c>
      <c r="H600" s="16">
        <v>46078</v>
      </c>
      <c r="I600" s="16">
        <v>46106</v>
      </c>
      <c r="J600" s="16">
        <v>46106</v>
      </c>
      <c r="K600" s="15"/>
      <c r="L600" s="16">
        <v>46113</v>
      </c>
      <c r="M600" s="15"/>
      <c r="N600" s="15" t="s">
        <v>1143</v>
      </c>
      <c r="O600" s="15" t="s">
        <v>266</v>
      </c>
      <c r="P600" s="19" t="s">
        <v>963</v>
      </c>
      <c r="Q600" s="15" t="s">
        <v>1144</v>
      </c>
      <c r="R600" t="str">
        <f t="shared" ca="1" si="9"/>
        <v>Passée</v>
      </c>
    </row>
    <row r="601" spans="1:18" ht="15.6">
      <c r="A601" t="s">
        <v>1172</v>
      </c>
      <c r="B601" t="s">
        <v>213</v>
      </c>
      <c r="C601" t="s">
        <v>214</v>
      </c>
      <c r="D601" t="s">
        <v>1167</v>
      </c>
      <c r="E601">
        <v>2026</v>
      </c>
      <c r="F601" t="s">
        <v>526</v>
      </c>
      <c r="G601" t="s">
        <v>157</v>
      </c>
      <c r="H601" s="1">
        <v>46169</v>
      </c>
      <c r="I601" s="1">
        <v>46197</v>
      </c>
      <c r="J601" s="1">
        <v>46197</v>
      </c>
      <c r="L601" s="1">
        <v>46204</v>
      </c>
      <c r="N601" t="s">
        <v>1143</v>
      </c>
      <c r="O601" t="s">
        <v>266</v>
      </c>
      <c r="P601" s="19" t="s">
        <v>963</v>
      </c>
      <c r="Q601" t="s">
        <v>1144</v>
      </c>
      <c r="R601" t="str">
        <f t="shared" ca="1" si="9"/>
        <v>Passée</v>
      </c>
    </row>
    <row r="602" spans="1:18" ht="15.6">
      <c r="A602" s="15" t="s">
        <v>1173</v>
      </c>
      <c r="B602" s="15" t="s">
        <v>213</v>
      </c>
      <c r="C602" s="15" t="s">
        <v>214</v>
      </c>
      <c r="D602" s="15" t="s">
        <v>1167</v>
      </c>
      <c r="E602" s="15">
        <v>2026</v>
      </c>
      <c r="F602" s="15" t="s">
        <v>526</v>
      </c>
      <c r="G602" s="15" t="s">
        <v>160</v>
      </c>
      <c r="H602" s="16">
        <v>46267</v>
      </c>
      <c r="I602" s="16">
        <v>46295</v>
      </c>
      <c r="J602" s="16">
        <v>46295</v>
      </c>
      <c r="K602" s="15"/>
      <c r="L602" s="16">
        <v>46302</v>
      </c>
      <c r="M602" s="15"/>
      <c r="N602" s="15" t="s">
        <v>1143</v>
      </c>
      <c r="O602" s="15" t="s">
        <v>266</v>
      </c>
      <c r="P602" s="19" t="s">
        <v>963</v>
      </c>
      <c r="Q602" s="15" t="s">
        <v>1144</v>
      </c>
      <c r="R602" t="str">
        <f t="shared" ca="1" si="9"/>
        <v>À venir</v>
      </c>
    </row>
    <row r="603" spans="1:18" ht="15.6">
      <c r="A603" t="s">
        <v>1174</v>
      </c>
      <c r="B603" t="s">
        <v>213</v>
      </c>
      <c r="C603" t="s">
        <v>214</v>
      </c>
      <c r="D603" t="s">
        <v>1167</v>
      </c>
      <c r="E603">
        <v>2026</v>
      </c>
      <c r="F603" t="s">
        <v>526</v>
      </c>
      <c r="G603" t="s">
        <v>163</v>
      </c>
      <c r="H603" s="1">
        <v>46358</v>
      </c>
      <c r="I603" s="1">
        <v>46386</v>
      </c>
      <c r="J603" s="1">
        <v>46386</v>
      </c>
      <c r="L603" s="1">
        <v>46394</v>
      </c>
      <c r="N603" t="s">
        <v>1143</v>
      </c>
      <c r="O603" t="s">
        <v>266</v>
      </c>
      <c r="P603" s="19" t="s">
        <v>963</v>
      </c>
      <c r="Q603" t="s">
        <v>1144</v>
      </c>
      <c r="R603" t="str">
        <f t="shared" ca="1" si="9"/>
        <v>À venir</v>
      </c>
    </row>
    <row r="604" spans="1:18" ht="15.6">
      <c r="A604" t="s">
        <v>1175</v>
      </c>
      <c r="B604" t="s">
        <v>471</v>
      </c>
      <c r="C604" t="s">
        <v>472</v>
      </c>
      <c r="D604" t="s">
        <v>1176</v>
      </c>
      <c r="E604">
        <v>2025</v>
      </c>
      <c r="F604" t="s">
        <v>508</v>
      </c>
      <c r="G604" t="s">
        <v>148</v>
      </c>
      <c r="H604" s="1">
        <v>45924</v>
      </c>
      <c r="I604" s="1">
        <v>45930</v>
      </c>
      <c r="J604" s="1">
        <v>45931</v>
      </c>
      <c r="K604" s="1">
        <v>45959</v>
      </c>
      <c r="L604" s="1">
        <v>45925</v>
      </c>
      <c r="N604" t="s">
        <v>1177</v>
      </c>
      <c r="O604" t="s">
        <v>510</v>
      </c>
      <c r="P604" s="19" t="s">
        <v>1178</v>
      </c>
      <c r="Q604" s="74">
        <v>46252.583333333336</v>
      </c>
      <c r="R604" t="s">
        <v>1179</v>
      </c>
    </row>
    <row r="605" spans="1:18" ht="15.6">
      <c r="A605" t="s">
        <v>1180</v>
      </c>
      <c r="B605" t="s">
        <v>471</v>
      </c>
      <c r="C605" t="s">
        <v>472</v>
      </c>
      <c r="D605" t="s">
        <v>1176</v>
      </c>
      <c r="E605">
        <v>2025</v>
      </c>
      <c r="F605" t="s">
        <v>508</v>
      </c>
      <c r="G605" t="s">
        <v>149</v>
      </c>
      <c r="H605" s="1">
        <v>45957</v>
      </c>
      <c r="I605" s="1">
        <v>45961</v>
      </c>
      <c r="J605" s="1">
        <v>45964</v>
      </c>
      <c r="K605" s="1">
        <v>45993</v>
      </c>
      <c r="L605" s="1">
        <v>45958</v>
      </c>
      <c r="N605" t="s">
        <v>1177</v>
      </c>
      <c r="O605" t="s">
        <v>510</v>
      </c>
      <c r="P605" s="19" t="s">
        <v>1178</v>
      </c>
      <c r="Q605" s="74">
        <v>46252.583333333336</v>
      </c>
      <c r="R605" t="s">
        <v>1179</v>
      </c>
    </row>
    <row r="606" spans="1:18" ht="15.6">
      <c r="A606" t="s">
        <v>1181</v>
      </c>
      <c r="B606" t="s">
        <v>471</v>
      </c>
      <c r="C606" t="s">
        <v>472</v>
      </c>
      <c r="D606" t="s">
        <v>1176</v>
      </c>
      <c r="E606">
        <v>2025</v>
      </c>
      <c r="F606" t="s">
        <v>508</v>
      </c>
      <c r="G606" t="s">
        <v>150</v>
      </c>
      <c r="H606" s="1">
        <v>45982</v>
      </c>
      <c r="I606" s="1">
        <v>45991</v>
      </c>
      <c r="J606" s="1">
        <v>45992</v>
      </c>
      <c r="K606" s="1">
        <v>46021</v>
      </c>
      <c r="L606" s="1">
        <v>45985</v>
      </c>
      <c r="N606" t="s">
        <v>1177</v>
      </c>
      <c r="O606" t="s">
        <v>510</v>
      </c>
      <c r="P606" s="19" t="s">
        <v>1178</v>
      </c>
      <c r="Q606" s="74">
        <v>46252.583333333336</v>
      </c>
      <c r="R606" t="s">
        <v>1179</v>
      </c>
    </row>
    <row r="607" spans="1:18" ht="15.6">
      <c r="A607" t="s">
        <v>1182</v>
      </c>
      <c r="B607" t="s">
        <v>471</v>
      </c>
      <c r="C607" t="s">
        <v>472</v>
      </c>
      <c r="D607" t="s">
        <v>1176</v>
      </c>
      <c r="E607">
        <v>2025</v>
      </c>
      <c r="F607" t="s">
        <v>508</v>
      </c>
      <c r="G607" t="s">
        <v>151</v>
      </c>
      <c r="H607" s="1">
        <v>46014</v>
      </c>
      <c r="I607" s="1">
        <v>46022</v>
      </c>
      <c r="J607" s="1">
        <v>46024</v>
      </c>
      <c r="K607" s="1">
        <v>46052</v>
      </c>
      <c r="L607" s="1">
        <v>46015</v>
      </c>
      <c r="N607" t="s">
        <v>1177</v>
      </c>
      <c r="O607" t="s">
        <v>510</v>
      </c>
      <c r="P607" s="19" t="s">
        <v>1178</v>
      </c>
      <c r="Q607" s="74">
        <v>46252.583333333336</v>
      </c>
      <c r="R607" t="s">
        <v>1179</v>
      </c>
    </row>
    <row r="608" spans="1:18" ht="15.6">
      <c r="A608" t="s">
        <v>1183</v>
      </c>
      <c r="B608" t="s">
        <v>471</v>
      </c>
      <c r="C608" t="s">
        <v>472</v>
      </c>
      <c r="D608" t="s">
        <v>1176</v>
      </c>
      <c r="E608">
        <v>2026</v>
      </c>
      <c r="F608" t="s">
        <v>508</v>
      </c>
      <c r="G608" t="s">
        <v>152</v>
      </c>
      <c r="H608" s="1">
        <v>46048</v>
      </c>
      <c r="I608" s="1">
        <v>46053</v>
      </c>
      <c r="J608" s="1">
        <v>46055</v>
      </c>
      <c r="K608" s="1">
        <v>46083</v>
      </c>
      <c r="L608" s="1">
        <v>46049</v>
      </c>
      <c r="N608" t="s">
        <v>1177</v>
      </c>
      <c r="O608" t="s">
        <v>510</v>
      </c>
      <c r="P608" s="19" t="s">
        <v>1178</v>
      </c>
      <c r="Q608" s="74">
        <v>46252.583333333336</v>
      </c>
      <c r="R608" t="s">
        <v>1179</v>
      </c>
    </row>
    <row r="609" spans="1:18" ht="15.6">
      <c r="A609" t="s">
        <v>1184</v>
      </c>
      <c r="B609" t="s">
        <v>471</v>
      </c>
      <c r="C609" t="s">
        <v>472</v>
      </c>
      <c r="D609" t="s">
        <v>1176</v>
      </c>
      <c r="E609">
        <v>2026</v>
      </c>
      <c r="F609" t="s">
        <v>508</v>
      </c>
      <c r="G609" t="s">
        <v>153</v>
      </c>
      <c r="H609" s="1">
        <v>46076</v>
      </c>
      <c r="I609" s="1">
        <v>46081</v>
      </c>
      <c r="J609" s="1">
        <v>46083</v>
      </c>
      <c r="K609" s="1">
        <v>46108</v>
      </c>
      <c r="L609" s="1">
        <v>46077</v>
      </c>
      <c r="N609" t="s">
        <v>1177</v>
      </c>
      <c r="O609" t="s">
        <v>510</v>
      </c>
      <c r="P609" s="19" t="s">
        <v>1178</v>
      </c>
      <c r="Q609" s="74">
        <v>46252.583333333336</v>
      </c>
      <c r="R609" t="s">
        <v>1179</v>
      </c>
    </row>
    <row r="610" spans="1:18" ht="15.6">
      <c r="A610" t="s">
        <v>1185</v>
      </c>
      <c r="B610" t="s">
        <v>471</v>
      </c>
      <c r="C610" t="s">
        <v>472</v>
      </c>
      <c r="D610" t="s">
        <v>1176</v>
      </c>
      <c r="E610">
        <v>2026</v>
      </c>
      <c r="F610" t="s">
        <v>508</v>
      </c>
      <c r="G610" t="s">
        <v>154</v>
      </c>
      <c r="H610" s="1">
        <v>46106</v>
      </c>
      <c r="I610" s="1">
        <v>46112</v>
      </c>
      <c r="J610" s="1">
        <v>46113</v>
      </c>
      <c r="K610" s="1">
        <v>46142</v>
      </c>
      <c r="L610" s="1">
        <v>46107</v>
      </c>
      <c r="N610" t="s">
        <v>1177</v>
      </c>
      <c r="O610" t="s">
        <v>510</v>
      </c>
      <c r="P610" s="19" t="s">
        <v>1178</v>
      </c>
      <c r="Q610" s="74">
        <v>46252.583333333336</v>
      </c>
      <c r="R610" t="s">
        <v>1179</v>
      </c>
    </row>
    <row r="611" spans="1:18" ht="15.6">
      <c r="A611" t="s">
        <v>1186</v>
      </c>
      <c r="B611" t="s">
        <v>471</v>
      </c>
      <c r="C611" t="s">
        <v>472</v>
      </c>
      <c r="D611" t="s">
        <v>1176</v>
      </c>
      <c r="E611">
        <v>2026</v>
      </c>
      <c r="F611" t="s">
        <v>508</v>
      </c>
      <c r="G611" t="s">
        <v>155</v>
      </c>
      <c r="H611" s="1">
        <v>46136</v>
      </c>
      <c r="I611" s="1">
        <v>46142</v>
      </c>
      <c r="J611" s="1">
        <v>46147</v>
      </c>
      <c r="K611" s="1">
        <v>46176</v>
      </c>
      <c r="L611" s="1">
        <v>46139</v>
      </c>
      <c r="N611" t="s">
        <v>1177</v>
      </c>
      <c r="O611" t="s">
        <v>510</v>
      </c>
      <c r="P611" s="19" t="s">
        <v>1178</v>
      </c>
      <c r="Q611" s="74">
        <v>46252.583333333336</v>
      </c>
      <c r="R611" t="s">
        <v>1179</v>
      </c>
    </row>
    <row r="612" spans="1:18" ht="15.6">
      <c r="A612" t="s">
        <v>1187</v>
      </c>
      <c r="B612" t="s">
        <v>471</v>
      </c>
      <c r="C612" t="s">
        <v>472</v>
      </c>
      <c r="D612" t="s">
        <v>1176</v>
      </c>
      <c r="E612">
        <v>2026</v>
      </c>
      <c r="F612" t="s">
        <v>508</v>
      </c>
      <c r="G612" t="s">
        <v>156</v>
      </c>
      <c r="H612" s="1">
        <v>46164</v>
      </c>
      <c r="I612" s="1">
        <v>46173</v>
      </c>
      <c r="J612" s="1">
        <v>46174</v>
      </c>
      <c r="K612" s="1">
        <v>46203</v>
      </c>
      <c r="L612" s="1">
        <v>46168</v>
      </c>
      <c r="N612" t="s">
        <v>1177</v>
      </c>
      <c r="O612" t="s">
        <v>510</v>
      </c>
      <c r="P612" s="19" t="s">
        <v>1178</v>
      </c>
      <c r="Q612" s="74">
        <v>46252.583333333336</v>
      </c>
      <c r="R612" t="s">
        <v>1179</v>
      </c>
    </row>
    <row r="613" spans="1:18" ht="15.6">
      <c r="A613" t="s">
        <v>1188</v>
      </c>
      <c r="B613" t="s">
        <v>471</v>
      </c>
      <c r="C613" t="s">
        <v>472</v>
      </c>
      <c r="D613" t="s">
        <v>1176</v>
      </c>
      <c r="E613">
        <v>2026</v>
      </c>
      <c r="F613" t="s">
        <v>508</v>
      </c>
      <c r="G613" t="s">
        <v>157</v>
      </c>
      <c r="H613" s="1">
        <v>46197</v>
      </c>
      <c r="I613" s="1">
        <v>46203</v>
      </c>
      <c r="J613" s="1">
        <v>46204</v>
      </c>
      <c r="K613" s="1">
        <v>46232</v>
      </c>
      <c r="L613" s="1">
        <v>46198</v>
      </c>
      <c r="N613" t="s">
        <v>1177</v>
      </c>
      <c r="O613" t="s">
        <v>510</v>
      </c>
      <c r="P613" s="19" t="s">
        <v>1178</v>
      </c>
      <c r="Q613" s="74">
        <v>46252.583333333336</v>
      </c>
      <c r="R613" t="s">
        <v>1179</v>
      </c>
    </row>
    <row r="614" spans="1:18" ht="15.6">
      <c r="A614" t="s">
        <v>1189</v>
      </c>
      <c r="B614" t="s">
        <v>471</v>
      </c>
      <c r="C614" t="s">
        <v>472</v>
      </c>
      <c r="D614" t="s">
        <v>1176</v>
      </c>
      <c r="E614">
        <v>2026</v>
      </c>
      <c r="F614" t="s">
        <v>508</v>
      </c>
      <c r="G614" t="s">
        <v>158</v>
      </c>
      <c r="H614" s="1">
        <v>46230</v>
      </c>
      <c r="I614" s="1">
        <v>46234</v>
      </c>
      <c r="J614" s="1">
        <v>46237</v>
      </c>
      <c r="K614" s="1">
        <v>46262</v>
      </c>
      <c r="L614" s="1">
        <v>46231</v>
      </c>
      <c r="N614" t="s">
        <v>1177</v>
      </c>
      <c r="O614" t="s">
        <v>510</v>
      </c>
      <c r="P614" s="19" t="s">
        <v>1178</v>
      </c>
      <c r="Q614" s="74">
        <v>46252.583333333336</v>
      </c>
      <c r="R614" t="s">
        <v>1179</v>
      </c>
    </row>
    <row r="615" spans="1:18" ht="15.6">
      <c r="A615" t="s">
        <v>1190</v>
      </c>
      <c r="B615" t="s">
        <v>471</v>
      </c>
      <c r="C615" t="s">
        <v>472</v>
      </c>
      <c r="D615" t="s">
        <v>1176</v>
      </c>
      <c r="E615">
        <v>2026</v>
      </c>
      <c r="F615" t="s">
        <v>508</v>
      </c>
      <c r="G615" t="s">
        <v>159</v>
      </c>
      <c r="H615" s="1">
        <v>46258</v>
      </c>
      <c r="I615" s="1">
        <v>46265</v>
      </c>
      <c r="J615" s="1">
        <v>46266</v>
      </c>
      <c r="K615" s="1">
        <v>46294</v>
      </c>
      <c r="L615" s="1">
        <v>46259</v>
      </c>
      <c r="N615" t="s">
        <v>1177</v>
      </c>
      <c r="O615" t="s">
        <v>510</v>
      </c>
      <c r="P615" s="19" t="s">
        <v>1178</v>
      </c>
      <c r="Q615" s="74">
        <v>46252.583333333336</v>
      </c>
      <c r="R615" t="s">
        <v>1191</v>
      </c>
    </row>
    <row r="616" spans="1:18" ht="15.6">
      <c r="A616" t="s">
        <v>1192</v>
      </c>
      <c r="B616" t="s">
        <v>471</v>
      </c>
      <c r="C616" t="s">
        <v>472</v>
      </c>
      <c r="D616" t="s">
        <v>1176</v>
      </c>
      <c r="E616">
        <v>2026</v>
      </c>
      <c r="F616" t="s">
        <v>508</v>
      </c>
      <c r="G616" t="s">
        <v>160</v>
      </c>
      <c r="H616" s="1">
        <v>46289</v>
      </c>
      <c r="I616" s="1">
        <v>46295</v>
      </c>
      <c r="J616" s="1">
        <v>46296</v>
      </c>
      <c r="K616" s="1">
        <v>46324</v>
      </c>
      <c r="L616" s="1">
        <v>46290</v>
      </c>
      <c r="N616" t="s">
        <v>1177</v>
      </c>
      <c r="O616" t="s">
        <v>510</v>
      </c>
      <c r="P616" s="19" t="s">
        <v>1178</v>
      </c>
      <c r="Q616" s="74">
        <v>46252.583333333336</v>
      </c>
      <c r="R616" t="s">
        <v>1191</v>
      </c>
    </row>
    <row r="617" spans="1:18" ht="15.6">
      <c r="A617" t="s">
        <v>1193</v>
      </c>
      <c r="B617" t="s">
        <v>471</v>
      </c>
      <c r="C617" t="s">
        <v>472</v>
      </c>
      <c r="D617" t="s">
        <v>1176</v>
      </c>
      <c r="E617">
        <v>2026</v>
      </c>
      <c r="F617" t="s">
        <v>508</v>
      </c>
      <c r="G617" t="s">
        <v>161</v>
      </c>
      <c r="H617" s="1">
        <v>46321</v>
      </c>
      <c r="I617" s="1">
        <v>46326</v>
      </c>
      <c r="J617" s="1">
        <v>46328</v>
      </c>
      <c r="K617" s="1">
        <v>46357</v>
      </c>
      <c r="L617" s="1">
        <v>46322</v>
      </c>
      <c r="N617" t="s">
        <v>1177</v>
      </c>
      <c r="O617" t="s">
        <v>510</v>
      </c>
      <c r="P617" s="19" t="s">
        <v>1178</v>
      </c>
      <c r="Q617" s="74">
        <v>46252.583333333336</v>
      </c>
      <c r="R617" t="s">
        <v>1191</v>
      </c>
    </row>
    <row r="618" spans="1:18" ht="15.6">
      <c r="A618" t="s">
        <v>1194</v>
      </c>
      <c r="B618" t="s">
        <v>471</v>
      </c>
      <c r="C618" t="s">
        <v>472</v>
      </c>
      <c r="D618" t="s">
        <v>1176</v>
      </c>
      <c r="E618">
        <v>2026</v>
      </c>
      <c r="F618" t="s">
        <v>508</v>
      </c>
      <c r="G618" t="s">
        <v>162</v>
      </c>
      <c r="H618" s="1">
        <v>46349</v>
      </c>
      <c r="I618" s="1">
        <v>46356</v>
      </c>
      <c r="J618" s="1">
        <v>46357</v>
      </c>
      <c r="K618" s="1">
        <v>46386</v>
      </c>
      <c r="L618" s="1">
        <v>46350</v>
      </c>
      <c r="N618" t="s">
        <v>1177</v>
      </c>
      <c r="O618" t="s">
        <v>510</v>
      </c>
      <c r="P618" s="19" t="s">
        <v>1178</v>
      </c>
      <c r="Q618" s="74">
        <v>46252.583333333336</v>
      </c>
      <c r="R618" t="s">
        <v>1191</v>
      </c>
    </row>
    <row r="619" spans="1:18" ht="15.6">
      <c r="A619" t="s">
        <v>1195</v>
      </c>
      <c r="B619" t="s">
        <v>471</v>
      </c>
      <c r="C619" t="s">
        <v>472</v>
      </c>
      <c r="D619" t="s">
        <v>1176</v>
      </c>
      <c r="E619">
        <v>2026</v>
      </c>
      <c r="F619" t="s">
        <v>508</v>
      </c>
      <c r="G619" t="s">
        <v>163</v>
      </c>
      <c r="H619" s="1">
        <v>46379</v>
      </c>
      <c r="I619" s="1">
        <v>46387</v>
      </c>
      <c r="J619" s="1">
        <v>46391</v>
      </c>
      <c r="K619" s="1">
        <v>46419</v>
      </c>
      <c r="L619" s="1">
        <v>46380</v>
      </c>
      <c r="N619" t="s">
        <v>1177</v>
      </c>
      <c r="O619" t="s">
        <v>510</v>
      </c>
      <c r="P619" s="19" t="s">
        <v>1178</v>
      </c>
      <c r="Q619" s="74">
        <v>46252.583333333336</v>
      </c>
      <c r="R619" t="s">
        <v>1191</v>
      </c>
    </row>
    <row r="620" spans="1:18" ht="15.6">
      <c r="A620" t="s">
        <v>1196</v>
      </c>
      <c r="B620" t="s">
        <v>471</v>
      </c>
      <c r="C620" t="s">
        <v>472</v>
      </c>
      <c r="D620" t="s">
        <v>1176</v>
      </c>
      <c r="E620">
        <v>2025</v>
      </c>
      <c r="F620" t="s">
        <v>526</v>
      </c>
      <c r="G620" t="s">
        <v>151</v>
      </c>
      <c r="H620" s="1">
        <v>46006</v>
      </c>
      <c r="I620" s="1">
        <v>46022</v>
      </c>
      <c r="J620" s="1">
        <v>46022</v>
      </c>
      <c r="K620" s="1">
        <v>46052</v>
      </c>
      <c r="L620" s="1">
        <v>46066</v>
      </c>
      <c r="N620" t="s">
        <v>1177</v>
      </c>
      <c r="O620" t="s">
        <v>510</v>
      </c>
      <c r="P620" s="19" t="s">
        <v>1178</v>
      </c>
      <c r="Q620" s="74">
        <v>46252.583333333336</v>
      </c>
      <c r="R620" t="s">
        <v>1179</v>
      </c>
    </row>
    <row r="621" spans="1:18" ht="15.6">
      <c r="A621" t="s">
        <v>1197</v>
      </c>
      <c r="B621" t="s">
        <v>471</v>
      </c>
      <c r="C621" t="s">
        <v>472</v>
      </c>
      <c r="D621" t="s">
        <v>1176</v>
      </c>
      <c r="E621">
        <v>2026</v>
      </c>
      <c r="F621" t="s">
        <v>526</v>
      </c>
      <c r="G621" t="s">
        <v>154</v>
      </c>
      <c r="H621" s="1">
        <v>46098</v>
      </c>
      <c r="I621" s="1">
        <v>46112</v>
      </c>
      <c r="J621" s="1">
        <v>46112</v>
      </c>
      <c r="K621" s="1">
        <v>46142</v>
      </c>
      <c r="L621" s="1">
        <v>46161</v>
      </c>
      <c r="N621" t="s">
        <v>1177</v>
      </c>
      <c r="O621" t="s">
        <v>510</v>
      </c>
      <c r="P621" s="19" t="s">
        <v>1178</v>
      </c>
      <c r="Q621" s="74">
        <v>46252.583333333336</v>
      </c>
      <c r="R621" t="s">
        <v>1179</v>
      </c>
    </row>
    <row r="622" spans="1:18" ht="15.6">
      <c r="A622" t="s">
        <v>1198</v>
      </c>
      <c r="B622" t="s">
        <v>471</v>
      </c>
      <c r="C622" t="s">
        <v>472</v>
      </c>
      <c r="D622" t="s">
        <v>1176</v>
      </c>
      <c r="E622">
        <v>2026</v>
      </c>
      <c r="F622" t="s">
        <v>526</v>
      </c>
      <c r="G622" t="s">
        <v>157</v>
      </c>
      <c r="H622" s="1">
        <v>46185</v>
      </c>
      <c r="I622" s="1">
        <v>46203</v>
      </c>
      <c r="J622" s="1">
        <v>46203</v>
      </c>
      <c r="K622" s="1">
        <v>46232</v>
      </c>
      <c r="L622" s="1">
        <v>46246</v>
      </c>
      <c r="N622" t="s">
        <v>1177</v>
      </c>
      <c r="O622" t="s">
        <v>510</v>
      </c>
      <c r="P622" s="19" t="s">
        <v>1178</v>
      </c>
      <c r="Q622" s="74">
        <v>46252.583333333336</v>
      </c>
      <c r="R622" t="s">
        <v>1179</v>
      </c>
    </row>
    <row r="623" spans="1:18" ht="15.6">
      <c r="A623" t="s">
        <v>1199</v>
      </c>
      <c r="B623" t="s">
        <v>471</v>
      </c>
      <c r="C623" t="s">
        <v>472</v>
      </c>
      <c r="D623" t="s">
        <v>1176</v>
      </c>
      <c r="E623">
        <v>2026</v>
      </c>
      <c r="F623" t="s">
        <v>526</v>
      </c>
      <c r="G623" t="s">
        <v>160</v>
      </c>
      <c r="H623" s="1">
        <v>46281</v>
      </c>
      <c r="I623" s="1">
        <v>46295</v>
      </c>
      <c r="J623" s="1">
        <v>46295</v>
      </c>
      <c r="K623" s="1">
        <v>46324</v>
      </c>
      <c r="L623" s="1">
        <v>46339</v>
      </c>
      <c r="N623" t="s">
        <v>1177</v>
      </c>
      <c r="O623" t="s">
        <v>510</v>
      </c>
      <c r="P623" s="19" t="s">
        <v>1178</v>
      </c>
      <c r="Q623" s="74">
        <v>46252.583333333336</v>
      </c>
      <c r="R623" t="s">
        <v>1191</v>
      </c>
    </row>
    <row r="624" spans="1:18" ht="15.6">
      <c r="A624" t="s">
        <v>1200</v>
      </c>
      <c r="B624" t="s">
        <v>471</v>
      </c>
      <c r="C624" t="s">
        <v>472</v>
      </c>
      <c r="D624" t="s">
        <v>1176</v>
      </c>
      <c r="E624">
        <v>2026</v>
      </c>
      <c r="F624" t="s">
        <v>526</v>
      </c>
      <c r="G624" t="s">
        <v>163</v>
      </c>
      <c r="H624" s="1">
        <v>46371</v>
      </c>
      <c r="I624" s="1">
        <v>46387</v>
      </c>
      <c r="J624" s="1">
        <v>46387</v>
      </c>
      <c r="K624" s="1">
        <v>46419</v>
      </c>
      <c r="L624" s="1">
        <v>46434</v>
      </c>
      <c r="N624" t="s">
        <v>1177</v>
      </c>
      <c r="O624" t="s">
        <v>510</v>
      </c>
      <c r="P624" s="19" t="s">
        <v>1178</v>
      </c>
      <c r="Q624" s="74">
        <v>46252.583333333336</v>
      </c>
      <c r="R624" t="s">
        <v>1191</v>
      </c>
    </row>
    <row r="625" spans="1:18" ht="15.6">
      <c r="A625" t="s">
        <v>1201</v>
      </c>
      <c r="B625" t="s">
        <v>411</v>
      </c>
      <c r="C625" t="s">
        <v>412</v>
      </c>
      <c r="D625" t="s">
        <v>1202</v>
      </c>
      <c r="E625">
        <v>2025</v>
      </c>
      <c r="F625" t="s">
        <v>526</v>
      </c>
      <c r="G625" t="s">
        <v>151</v>
      </c>
      <c r="H625" s="1">
        <v>46020</v>
      </c>
      <c r="I625" s="1">
        <v>46022</v>
      </c>
      <c r="J625" s="1">
        <v>46022</v>
      </c>
      <c r="K625" s="1">
        <v>46044</v>
      </c>
      <c r="L625" s="1">
        <v>46049</v>
      </c>
      <c r="N625" t="s">
        <v>1203</v>
      </c>
      <c r="O625" t="s">
        <v>266</v>
      </c>
      <c r="P625" s="19" t="s">
        <v>1204</v>
      </c>
      <c r="Q625" s="74">
        <v>46252.666666666664</v>
      </c>
      <c r="R625" t="s">
        <v>1179</v>
      </c>
    </row>
    <row r="626" spans="1:18" ht="15.6">
      <c r="A626" t="s">
        <v>1205</v>
      </c>
      <c r="B626" t="s">
        <v>411</v>
      </c>
      <c r="C626" t="s">
        <v>412</v>
      </c>
      <c r="D626" t="s">
        <v>1202</v>
      </c>
      <c r="E626">
        <v>2026</v>
      </c>
      <c r="F626" t="s">
        <v>526</v>
      </c>
      <c r="G626" t="s">
        <v>152</v>
      </c>
      <c r="H626" s="1">
        <v>46050</v>
      </c>
      <c r="I626" s="1">
        <v>46052</v>
      </c>
      <c r="J626" s="1">
        <v>46052</v>
      </c>
      <c r="K626" s="1">
        <v>46073</v>
      </c>
      <c r="L626" s="1">
        <v>46078</v>
      </c>
      <c r="N626" t="s">
        <v>1203</v>
      </c>
      <c r="O626" t="s">
        <v>266</v>
      </c>
      <c r="P626" s="19" t="s">
        <v>1204</v>
      </c>
      <c r="Q626" s="74">
        <v>46252.666666666664</v>
      </c>
      <c r="R626" t="s">
        <v>1179</v>
      </c>
    </row>
    <row r="627" spans="1:18" ht="15.6">
      <c r="A627" t="s">
        <v>1206</v>
      </c>
      <c r="B627" t="s">
        <v>411</v>
      </c>
      <c r="C627" t="s">
        <v>412</v>
      </c>
      <c r="D627" t="s">
        <v>1202</v>
      </c>
      <c r="E627">
        <v>2026</v>
      </c>
      <c r="F627" t="s">
        <v>526</v>
      </c>
      <c r="G627" t="s">
        <v>153</v>
      </c>
      <c r="H627" s="1">
        <v>46078</v>
      </c>
      <c r="I627" s="1">
        <v>46080</v>
      </c>
      <c r="J627" s="1">
        <v>46080</v>
      </c>
      <c r="K627" s="1">
        <v>46101</v>
      </c>
      <c r="L627" s="1">
        <v>46106</v>
      </c>
      <c r="N627" t="s">
        <v>1203</v>
      </c>
      <c r="O627" t="s">
        <v>266</v>
      </c>
      <c r="P627" s="19" t="s">
        <v>1204</v>
      </c>
      <c r="Q627" s="74">
        <v>46252.666666666664</v>
      </c>
      <c r="R627" t="s">
        <v>1179</v>
      </c>
    </row>
    <row r="628" spans="1:18" ht="15.6">
      <c r="A628" t="s">
        <v>1207</v>
      </c>
      <c r="B628" t="s">
        <v>411</v>
      </c>
      <c r="C628" t="s">
        <v>412</v>
      </c>
      <c r="D628" t="s">
        <v>1202</v>
      </c>
      <c r="E628">
        <v>2026</v>
      </c>
      <c r="F628" t="s">
        <v>526</v>
      </c>
      <c r="G628" t="s">
        <v>154</v>
      </c>
      <c r="H628" s="1">
        <v>46108</v>
      </c>
      <c r="I628" s="1">
        <v>46112</v>
      </c>
      <c r="J628" s="1">
        <v>46112</v>
      </c>
      <c r="K628" s="1">
        <v>46135</v>
      </c>
      <c r="L628" s="1">
        <v>46140</v>
      </c>
      <c r="N628" t="s">
        <v>1203</v>
      </c>
      <c r="O628" t="s">
        <v>266</v>
      </c>
      <c r="P628" s="19" t="s">
        <v>1204</v>
      </c>
      <c r="Q628" s="74">
        <v>46252.666666666664</v>
      </c>
      <c r="R628" t="s">
        <v>1179</v>
      </c>
    </row>
    <row r="629" spans="1:18" ht="15.6">
      <c r="A629" t="s">
        <v>1208</v>
      </c>
      <c r="B629" t="s">
        <v>411</v>
      </c>
      <c r="C629" t="s">
        <v>412</v>
      </c>
      <c r="D629" t="s">
        <v>1202</v>
      </c>
      <c r="E629">
        <v>2026</v>
      </c>
      <c r="F629" t="s">
        <v>526</v>
      </c>
      <c r="G629" t="s">
        <v>155</v>
      </c>
      <c r="H629" s="1">
        <v>46140</v>
      </c>
      <c r="I629" s="1">
        <v>46142</v>
      </c>
      <c r="J629" s="1">
        <v>46142</v>
      </c>
      <c r="K629" s="1">
        <v>46168</v>
      </c>
      <c r="L629" s="1">
        <v>46171</v>
      </c>
      <c r="N629" t="s">
        <v>1203</v>
      </c>
      <c r="O629" t="s">
        <v>266</v>
      </c>
      <c r="P629" s="19" t="s">
        <v>1204</v>
      </c>
      <c r="Q629" s="74">
        <v>46252.666666666664</v>
      </c>
      <c r="R629" t="s">
        <v>1179</v>
      </c>
    </row>
    <row r="630" spans="1:18" ht="15.6">
      <c r="A630" t="s">
        <v>1209</v>
      </c>
      <c r="B630" t="s">
        <v>411</v>
      </c>
      <c r="C630" t="s">
        <v>412</v>
      </c>
      <c r="D630" t="s">
        <v>1202</v>
      </c>
      <c r="E630">
        <v>2026</v>
      </c>
      <c r="F630" t="s">
        <v>526</v>
      </c>
      <c r="G630" t="s">
        <v>156</v>
      </c>
      <c r="H630" s="1">
        <v>46169</v>
      </c>
      <c r="I630" s="1">
        <v>46171</v>
      </c>
      <c r="J630" s="1">
        <v>46171</v>
      </c>
      <c r="K630" s="1">
        <v>46192</v>
      </c>
      <c r="L630" s="1">
        <v>46198</v>
      </c>
      <c r="N630" t="s">
        <v>1203</v>
      </c>
      <c r="O630" t="s">
        <v>266</v>
      </c>
      <c r="P630" s="19" t="s">
        <v>1204</v>
      </c>
      <c r="Q630" s="74">
        <v>46252.666666666664</v>
      </c>
      <c r="R630" t="s">
        <v>1179</v>
      </c>
    </row>
    <row r="631" spans="1:18" ht="15.6">
      <c r="A631" t="s">
        <v>1210</v>
      </c>
      <c r="B631" t="s">
        <v>411</v>
      </c>
      <c r="C631" t="s">
        <v>412</v>
      </c>
      <c r="D631" t="s">
        <v>1202</v>
      </c>
      <c r="E631">
        <v>2026</v>
      </c>
      <c r="F631" t="s">
        <v>526</v>
      </c>
      <c r="G631" t="s">
        <v>157</v>
      </c>
      <c r="H631" s="1">
        <v>46199</v>
      </c>
      <c r="I631" s="1">
        <v>46203</v>
      </c>
      <c r="J631" s="1">
        <v>46203</v>
      </c>
      <c r="K631" s="1">
        <v>46224</v>
      </c>
      <c r="L631" s="1">
        <v>46227</v>
      </c>
      <c r="N631" t="s">
        <v>1203</v>
      </c>
      <c r="O631" t="s">
        <v>266</v>
      </c>
      <c r="P631" s="19" t="s">
        <v>1204</v>
      </c>
      <c r="Q631" s="74">
        <v>46252.666666666664</v>
      </c>
      <c r="R631" t="s">
        <v>1179</v>
      </c>
    </row>
    <row r="632" spans="1:18" ht="15.6">
      <c r="A632" t="s">
        <v>1211</v>
      </c>
      <c r="B632" t="s">
        <v>411</v>
      </c>
      <c r="C632" t="s">
        <v>412</v>
      </c>
      <c r="D632" t="s">
        <v>1202</v>
      </c>
      <c r="E632">
        <v>2026</v>
      </c>
      <c r="F632" t="s">
        <v>526</v>
      </c>
      <c r="G632" t="s">
        <v>158</v>
      </c>
      <c r="H632" s="1">
        <v>46232</v>
      </c>
      <c r="I632" s="1">
        <v>46234</v>
      </c>
      <c r="J632" s="1">
        <v>46234</v>
      </c>
      <c r="K632" s="1">
        <v>46255</v>
      </c>
      <c r="L632" s="1">
        <v>46260</v>
      </c>
      <c r="N632" t="s">
        <v>1203</v>
      </c>
      <c r="O632" t="s">
        <v>266</v>
      </c>
      <c r="P632" s="19" t="s">
        <v>1204</v>
      </c>
      <c r="Q632" s="74">
        <v>46252.666666666664</v>
      </c>
      <c r="R632" t="s">
        <v>1179</v>
      </c>
    </row>
    <row r="633" spans="1:18" ht="15.6">
      <c r="A633" t="s">
        <v>1212</v>
      </c>
      <c r="B633" t="s">
        <v>411</v>
      </c>
      <c r="C633" t="s">
        <v>412</v>
      </c>
      <c r="D633" t="s">
        <v>1202</v>
      </c>
      <c r="E633">
        <v>2026</v>
      </c>
      <c r="F633" t="s">
        <v>526</v>
      </c>
      <c r="G633" t="s">
        <v>159</v>
      </c>
      <c r="H633" s="1">
        <v>46261</v>
      </c>
      <c r="I633" s="1">
        <v>46265</v>
      </c>
      <c r="J633" s="1">
        <v>46265</v>
      </c>
      <c r="K633" s="1">
        <v>46286</v>
      </c>
      <c r="L633" s="1">
        <v>46289</v>
      </c>
      <c r="N633" t="s">
        <v>1203</v>
      </c>
      <c r="O633" t="s">
        <v>266</v>
      </c>
      <c r="P633" s="19" t="s">
        <v>1204</v>
      </c>
      <c r="Q633" s="74">
        <v>46252.666666666664</v>
      </c>
      <c r="R633" t="s">
        <v>1191</v>
      </c>
    </row>
    <row r="634" spans="1:18" ht="15.6">
      <c r="A634" t="s">
        <v>1213</v>
      </c>
      <c r="B634" t="s">
        <v>411</v>
      </c>
      <c r="C634" t="s">
        <v>412</v>
      </c>
      <c r="D634" t="s">
        <v>1202</v>
      </c>
      <c r="E634">
        <v>2026</v>
      </c>
      <c r="F634" t="s">
        <v>526</v>
      </c>
      <c r="G634" t="s">
        <v>160</v>
      </c>
      <c r="H634" s="1">
        <v>46293</v>
      </c>
      <c r="I634" s="1">
        <v>46295</v>
      </c>
      <c r="J634" s="1">
        <v>46295</v>
      </c>
      <c r="K634" s="1">
        <v>46316</v>
      </c>
      <c r="L634" s="1">
        <v>46321</v>
      </c>
      <c r="N634" t="s">
        <v>1203</v>
      </c>
      <c r="O634" t="s">
        <v>266</v>
      </c>
      <c r="P634" s="19" t="s">
        <v>1204</v>
      </c>
      <c r="Q634" s="74">
        <v>46252.666666666664</v>
      </c>
      <c r="R634" t="s">
        <v>1191</v>
      </c>
    </row>
    <row r="635" spans="1:18" ht="15.6">
      <c r="A635" t="s">
        <v>1214</v>
      </c>
      <c r="B635" t="s">
        <v>411</v>
      </c>
      <c r="C635" t="s">
        <v>412</v>
      </c>
      <c r="D635" t="s">
        <v>1202</v>
      </c>
      <c r="E635">
        <v>2026</v>
      </c>
      <c r="F635" t="s">
        <v>526</v>
      </c>
      <c r="G635" t="s">
        <v>161</v>
      </c>
      <c r="H635" s="1">
        <v>46323</v>
      </c>
      <c r="I635" s="1">
        <v>46325</v>
      </c>
      <c r="J635" s="1">
        <v>46325</v>
      </c>
      <c r="K635" s="1">
        <v>46346</v>
      </c>
      <c r="L635" s="1">
        <v>46351</v>
      </c>
      <c r="N635" t="s">
        <v>1203</v>
      </c>
      <c r="O635" t="s">
        <v>266</v>
      </c>
      <c r="P635" s="19" t="s">
        <v>1204</v>
      </c>
      <c r="Q635" s="74">
        <v>46252.666666666664</v>
      </c>
      <c r="R635" t="s">
        <v>1191</v>
      </c>
    </row>
    <row r="636" spans="1:18" ht="15.6">
      <c r="A636" t="s">
        <v>1215</v>
      </c>
      <c r="B636" t="s">
        <v>411</v>
      </c>
      <c r="C636" t="s">
        <v>412</v>
      </c>
      <c r="D636" t="s">
        <v>1202</v>
      </c>
      <c r="E636">
        <v>2026</v>
      </c>
      <c r="F636" t="s">
        <v>526</v>
      </c>
      <c r="G636" t="s">
        <v>162</v>
      </c>
      <c r="H636" s="1">
        <v>46352</v>
      </c>
      <c r="I636" s="1">
        <v>46356</v>
      </c>
      <c r="J636" s="1">
        <v>46356</v>
      </c>
      <c r="K636" s="1">
        <v>46377</v>
      </c>
      <c r="L636" s="1">
        <v>46384</v>
      </c>
      <c r="N636" t="s">
        <v>1203</v>
      </c>
      <c r="O636" t="s">
        <v>266</v>
      </c>
      <c r="P636" s="19" t="s">
        <v>1204</v>
      </c>
      <c r="Q636" s="74">
        <v>46252.666666666664</v>
      </c>
      <c r="R636" t="s">
        <v>1191</v>
      </c>
    </row>
    <row r="637" spans="1:18" ht="15.6">
      <c r="A637" t="s">
        <v>1216</v>
      </c>
      <c r="B637" t="s">
        <v>411</v>
      </c>
      <c r="C637" t="s">
        <v>412</v>
      </c>
      <c r="D637" t="s">
        <v>1202</v>
      </c>
      <c r="E637">
        <v>2026</v>
      </c>
      <c r="F637" t="s">
        <v>526</v>
      </c>
      <c r="G637" t="s">
        <v>163</v>
      </c>
      <c r="H637" s="1">
        <v>46385</v>
      </c>
      <c r="I637" s="1">
        <v>46387</v>
      </c>
      <c r="J637" s="1">
        <v>46387</v>
      </c>
      <c r="K637" s="1">
        <v>46409</v>
      </c>
      <c r="L637" s="1">
        <v>46414</v>
      </c>
      <c r="N637" t="s">
        <v>1203</v>
      </c>
      <c r="O637" t="s">
        <v>266</v>
      </c>
      <c r="P637" s="19" t="s">
        <v>1204</v>
      </c>
      <c r="Q637" s="74">
        <v>46252.666666666664</v>
      </c>
      <c r="R637" t="s">
        <v>1191</v>
      </c>
    </row>
    <row r="638" spans="1:18" ht="15.6">
      <c r="A638" t="s">
        <v>1217</v>
      </c>
      <c r="B638" t="s">
        <v>268</v>
      </c>
      <c r="C638" t="s">
        <v>269</v>
      </c>
      <c r="D638" t="s">
        <v>1218</v>
      </c>
      <c r="E638">
        <v>2025</v>
      </c>
      <c r="F638" t="s">
        <v>526</v>
      </c>
      <c r="G638" t="s">
        <v>151</v>
      </c>
      <c r="H638" s="1">
        <v>46022</v>
      </c>
      <c r="I638" s="1">
        <v>46053</v>
      </c>
      <c r="J638" s="1">
        <v>46053</v>
      </c>
      <c r="K638" s="1"/>
      <c r="L638" s="1">
        <v>46081</v>
      </c>
      <c r="M638" t="s">
        <v>1219</v>
      </c>
      <c r="N638" t="s">
        <v>1220</v>
      </c>
      <c r="O638" t="s">
        <v>266</v>
      </c>
      <c r="P638" s="19" t="s">
        <v>1221</v>
      </c>
      <c r="Q638" s="74">
        <v>46252.666666666664</v>
      </c>
      <c r="R638" t="s">
        <v>1179</v>
      </c>
    </row>
    <row r="639" spans="1:18" ht="15.6">
      <c r="A639" t="s">
        <v>1222</v>
      </c>
      <c r="B639" t="s">
        <v>268</v>
      </c>
      <c r="C639" t="s">
        <v>269</v>
      </c>
      <c r="D639" t="s">
        <v>1218</v>
      </c>
      <c r="E639">
        <v>2026</v>
      </c>
      <c r="F639" t="s">
        <v>526</v>
      </c>
      <c r="G639" t="s">
        <v>152</v>
      </c>
      <c r="H639" s="1">
        <v>46053</v>
      </c>
      <c r="I639" s="1">
        <v>46081</v>
      </c>
      <c r="J639" s="1">
        <v>46081</v>
      </c>
      <c r="K639" s="1"/>
      <c r="L639" s="1">
        <v>46112</v>
      </c>
      <c r="M639" t="s">
        <v>1223</v>
      </c>
      <c r="N639" t="s">
        <v>1220</v>
      </c>
      <c r="O639" t="s">
        <v>266</v>
      </c>
      <c r="P639" s="19" t="s">
        <v>1221</v>
      </c>
      <c r="Q639" s="74">
        <v>46252.666666666664</v>
      </c>
      <c r="R639" t="s">
        <v>1179</v>
      </c>
    </row>
    <row r="640" spans="1:18" ht="15.6">
      <c r="A640" t="s">
        <v>1224</v>
      </c>
      <c r="B640" t="s">
        <v>268</v>
      </c>
      <c r="C640" t="s">
        <v>269</v>
      </c>
      <c r="D640" t="s">
        <v>1218</v>
      </c>
      <c r="E640">
        <v>2026</v>
      </c>
      <c r="F640" t="s">
        <v>526</v>
      </c>
      <c r="G640" t="s">
        <v>153</v>
      </c>
      <c r="H640" s="1">
        <v>46081</v>
      </c>
      <c r="I640" s="1">
        <v>46112</v>
      </c>
      <c r="J640" s="1">
        <v>46112</v>
      </c>
      <c r="K640" s="1"/>
      <c r="L640" s="1">
        <v>46142</v>
      </c>
      <c r="M640" t="s">
        <v>1225</v>
      </c>
      <c r="N640" t="s">
        <v>1220</v>
      </c>
      <c r="O640" t="s">
        <v>266</v>
      </c>
      <c r="P640" s="19" t="s">
        <v>1221</v>
      </c>
      <c r="Q640" s="74">
        <v>46252.666666666664</v>
      </c>
      <c r="R640" t="s">
        <v>1179</v>
      </c>
    </row>
    <row r="641" spans="1:18" ht="15.6">
      <c r="A641" t="s">
        <v>1226</v>
      </c>
      <c r="B641" t="s">
        <v>268</v>
      </c>
      <c r="C641" t="s">
        <v>269</v>
      </c>
      <c r="D641" t="s">
        <v>1218</v>
      </c>
      <c r="E641">
        <v>2026</v>
      </c>
      <c r="F641" t="s">
        <v>526</v>
      </c>
      <c r="G641" t="s">
        <v>154</v>
      </c>
      <c r="H641" s="1">
        <v>46112</v>
      </c>
      <c r="I641" s="1">
        <v>46142</v>
      </c>
      <c r="J641" s="1">
        <v>46142</v>
      </c>
      <c r="K641" s="1"/>
      <c r="L641" s="1">
        <v>46173</v>
      </c>
      <c r="M641" t="s">
        <v>1227</v>
      </c>
      <c r="N641" t="s">
        <v>1220</v>
      </c>
      <c r="O641" t="s">
        <v>266</v>
      </c>
      <c r="P641" s="19" t="s">
        <v>1221</v>
      </c>
      <c r="Q641" s="74">
        <v>46252.666666666664</v>
      </c>
      <c r="R641" t="s">
        <v>1179</v>
      </c>
    </row>
    <row r="642" spans="1:18" ht="15.6">
      <c r="A642" t="s">
        <v>1228</v>
      </c>
      <c r="B642" t="s">
        <v>268</v>
      </c>
      <c r="C642" t="s">
        <v>269</v>
      </c>
      <c r="D642" t="s">
        <v>1218</v>
      </c>
      <c r="E642">
        <v>2026</v>
      </c>
      <c r="F642" t="s">
        <v>526</v>
      </c>
      <c r="G642" t="s">
        <v>155</v>
      </c>
      <c r="H642" s="1">
        <v>46142</v>
      </c>
      <c r="I642" s="1">
        <v>46173</v>
      </c>
      <c r="J642" s="1">
        <v>46173</v>
      </c>
      <c r="K642" s="1"/>
      <c r="L642" s="1">
        <v>46203</v>
      </c>
      <c r="M642" t="s">
        <v>1229</v>
      </c>
      <c r="N642" t="s">
        <v>1220</v>
      </c>
      <c r="O642" t="s">
        <v>266</v>
      </c>
      <c r="P642" s="19" t="s">
        <v>1221</v>
      </c>
      <c r="Q642" s="74">
        <v>46252.666666666664</v>
      </c>
      <c r="R642" t="s">
        <v>1179</v>
      </c>
    </row>
    <row r="643" spans="1:18" ht="15.6">
      <c r="A643" t="s">
        <v>1230</v>
      </c>
      <c r="B643" t="s">
        <v>268</v>
      </c>
      <c r="C643" t="s">
        <v>269</v>
      </c>
      <c r="D643" t="s">
        <v>1218</v>
      </c>
      <c r="E643">
        <v>2026</v>
      </c>
      <c r="F643" t="s">
        <v>526</v>
      </c>
      <c r="G643" t="s">
        <v>156</v>
      </c>
      <c r="H643" s="1">
        <v>46173</v>
      </c>
      <c r="I643" s="1">
        <v>46203</v>
      </c>
      <c r="J643" s="1">
        <v>46203</v>
      </c>
      <c r="K643" s="1"/>
      <c r="L643" s="1">
        <v>46234</v>
      </c>
      <c r="M643" t="s">
        <v>1231</v>
      </c>
      <c r="N643" t="s">
        <v>1220</v>
      </c>
      <c r="O643" t="s">
        <v>266</v>
      </c>
      <c r="P643" s="19" t="s">
        <v>1221</v>
      </c>
      <c r="Q643" s="74">
        <v>46252.666666666664</v>
      </c>
      <c r="R643" t="s">
        <v>1179</v>
      </c>
    </row>
    <row r="644" spans="1:18" ht="15.6">
      <c r="A644" t="s">
        <v>1232</v>
      </c>
      <c r="B644" t="s">
        <v>268</v>
      </c>
      <c r="C644" t="s">
        <v>269</v>
      </c>
      <c r="D644" t="s">
        <v>1218</v>
      </c>
      <c r="E644">
        <v>2026</v>
      </c>
      <c r="F644" t="s">
        <v>526</v>
      </c>
      <c r="G644" t="s">
        <v>157</v>
      </c>
      <c r="H644" s="1">
        <v>46203</v>
      </c>
      <c r="I644" s="1">
        <v>46234</v>
      </c>
      <c r="J644" s="1">
        <v>46234</v>
      </c>
      <c r="K644" s="1"/>
      <c r="L644" s="1">
        <v>46265</v>
      </c>
      <c r="M644" t="s">
        <v>1233</v>
      </c>
      <c r="N644" t="s">
        <v>1220</v>
      </c>
      <c r="O644" t="s">
        <v>266</v>
      </c>
      <c r="P644" s="19" t="s">
        <v>1221</v>
      </c>
      <c r="Q644" s="74">
        <v>46252.666666666664</v>
      </c>
      <c r="R644" t="s">
        <v>1179</v>
      </c>
    </row>
    <row r="645" spans="1:18" ht="15.6">
      <c r="A645" t="s">
        <v>1234</v>
      </c>
      <c r="B645" t="s">
        <v>268</v>
      </c>
      <c r="C645" t="s">
        <v>269</v>
      </c>
      <c r="D645" t="s">
        <v>1218</v>
      </c>
      <c r="E645">
        <v>2026</v>
      </c>
      <c r="F645" t="s">
        <v>526</v>
      </c>
      <c r="G645" t="s">
        <v>158</v>
      </c>
      <c r="H645" s="1">
        <v>46234</v>
      </c>
      <c r="I645" s="1">
        <v>46265</v>
      </c>
      <c r="J645" s="1">
        <v>46265</v>
      </c>
      <c r="K645" s="1"/>
      <c r="L645" s="1">
        <v>46295</v>
      </c>
      <c r="M645" t="s">
        <v>1235</v>
      </c>
      <c r="N645" t="s">
        <v>1220</v>
      </c>
      <c r="O645" t="s">
        <v>266</v>
      </c>
      <c r="P645" s="19" t="s">
        <v>1221</v>
      </c>
      <c r="Q645" s="74">
        <v>46252.666666666664</v>
      </c>
      <c r="R645" t="s">
        <v>1191</v>
      </c>
    </row>
    <row r="646" spans="1:18" ht="15.6">
      <c r="A646" t="s">
        <v>1236</v>
      </c>
      <c r="B646" t="s">
        <v>268</v>
      </c>
      <c r="C646" t="s">
        <v>269</v>
      </c>
      <c r="D646" t="s">
        <v>1218</v>
      </c>
      <c r="E646">
        <v>2026</v>
      </c>
      <c r="F646" t="s">
        <v>526</v>
      </c>
      <c r="G646" t="s">
        <v>159</v>
      </c>
      <c r="H646" s="1">
        <v>46265</v>
      </c>
      <c r="I646" s="1">
        <v>46295</v>
      </c>
      <c r="J646" s="1">
        <v>46295</v>
      </c>
      <c r="K646" s="1"/>
      <c r="L646" s="1">
        <v>46326</v>
      </c>
      <c r="M646" t="s">
        <v>1237</v>
      </c>
      <c r="N646" t="s">
        <v>1220</v>
      </c>
      <c r="O646" t="s">
        <v>266</v>
      </c>
      <c r="P646" s="19" t="s">
        <v>1221</v>
      </c>
      <c r="Q646" s="74">
        <v>46252.666666666664</v>
      </c>
      <c r="R646" t="s">
        <v>1191</v>
      </c>
    </row>
    <row r="647" spans="1:18" ht="15.6">
      <c r="A647" t="s">
        <v>1238</v>
      </c>
      <c r="B647" t="s">
        <v>268</v>
      </c>
      <c r="C647" t="s">
        <v>269</v>
      </c>
      <c r="D647" t="s">
        <v>1218</v>
      </c>
      <c r="E647">
        <v>2026</v>
      </c>
      <c r="F647" t="s">
        <v>526</v>
      </c>
      <c r="G647" t="s">
        <v>160</v>
      </c>
      <c r="H647" s="1">
        <v>46295</v>
      </c>
      <c r="I647" s="1">
        <v>46326</v>
      </c>
      <c r="J647" s="1">
        <v>46326</v>
      </c>
      <c r="K647" s="1"/>
      <c r="L647" s="1">
        <v>46356</v>
      </c>
      <c r="M647" t="s">
        <v>1239</v>
      </c>
      <c r="N647" t="s">
        <v>1220</v>
      </c>
      <c r="O647" t="s">
        <v>266</v>
      </c>
      <c r="P647" s="19" t="s">
        <v>1221</v>
      </c>
      <c r="Q647" s="74">
        <v>46252.666666666664</v>
      </c>
      <c r="R647" t="s">
        <v>1191</v>
      </c>
    </row>
    <row r="648" spans="1:18" ht="15.6">
      <c r="A648" t="s">
        <v>1240</v>
      </c>
      <c r="B648" t="s">
        <v>268</v>
      </c>
      <c r="C648" t="s">
        <v>269</v>
      </c>
      <c r="D648" t="s">
        <v>1218</v>
      </c>
      <c r="E648">
        <v>2026</v>
      </c>
      <c r="F648" t="s">
        <v>526</v>
      </c>
      <c r="G648" t="s">
        <v>161</v>
      </c>
      <c r="H648" s="1">
        <v>46326</v>
      </c>
      <c r="I648" s="1">
        <v>46356</v>
      </c>
      <c r="J648" s="1">
        <v>46356</v>
      </c>
      <c r="K648" s="1"/>
      <c r="L648" s="1">
        <v>46387</v>
      </c>
      <c r="M648" t="s">
        <v>1241</v>
      </c>
      <c r="N648" t="s">
        <v>1220</v>
      </c>
      <c r="O648" t="s">
        <v>266</v>
      </c>
      <c r="P648" s="19" t="s">
        <v>1221</v>
      </c>
      <c r="Q648" s="74">
        <v>46252.666666666664</v>
      </c>
      <c r="R648" t="s">
        <v>1191</v>
      </c>
    </row>
    <row r="649" spans="1:18" ht="15.6">
      <c r="A649" t="s">
        <v>1242</v>
      </c>
      <c r="B649" t="s">
        <v>268</v>
      </c>
      <c r="C649" t="s">
        <v>269</v>
      </c>
      <c r="D649" t="s">
        <v>1218</v>
      </c>
      <c r="E649">
        <v>2026</v>
      </c>
      <c r="F649" t="s">
        <v>526</v>
      </c>
      <c r="G649" t="s">
        <v>162</v>
      </c>
      <c r="H649" s="1">
        <v>46356</v>
      </c>
      <c r="I649" s="1">
        <v>46387</v>
      </c>
      <c r="J649" s="1">
        <v>46387</v>
      </c>
      <c r="K649" s="1"/>
      <c r="L649" s="1">
        <v>46418</v>
      </c>
      <c r="M649" t="s">
        <v>1243</v>
      </c>
      <c r="N649" t="s">
        <v>1220</v>
      </c>
      <c r="O649" t="s">
        <v>266</v>
      </c>
      <c r="P649" s="19" t="s">
        <v>1221</v>
      </c>
      <c r="Q649" s="74">
        <v>46252.666666666664</v>
      </c>
      <c r="R649" t="s">
        <v>1191</v>
      </c>
    </row>
    <row r="650" spans="1:18" ht="15.6">
      <c r="A650" t="s">
        <v>1244</v>
      </c>
      <c r="B650" t="s">
        <v>276</v>
      </c>
      <c r="C650" t="s">
        <v>277</v>
      </c>
      <c r="D650" t="s">
        <v>1218</v>
      </c>
      <c r="E650">
        <v>2025</v>
      </c>
      <c r="F650" t="s">
        <v>526</v>
      </c>
      <c r="G650" t="s">
        <v>151</v>
      </c>
      <c r="H650" s="1">
        <v>46022</v>
      </c>
      <c r="I650" s="1">
        <v>46053</v>
      </c>
      <c r="J650" s="1">
        <v>46053</v>
      </c>
      <c r="K650" s="1"/>
      <c r="L650" s="1">
        <v>46081</v>
      </c>
      <c r="M650" t="s">
        <v>1219</v>
      </c>
      <c r="N650" t="s">
        <v>1220</v>
      </c>
      <c r="O650" t="s">
        <v>266</v>
      </c>
      <c r="P650" s="19" t="s">
        <v>1221</v>
      </c>
      <c r="Q650" s="74">
        <v>46252.666666666664</v>
      </c>
      <c r="R650" t="s">
        <v>1179</v>
      </c>
    </row>
    <row r="651" spans="1:18" ht="15.6">
      <c r="A651" t="s">
        <v>1245</v>
      </c>
      <c r="B651" t="s">
        <v>276</v>
      </c>
      <c r="C651" t="s">
        <v>277</v>
      </c>
      <c r="D651" t="s">
        <v>1218</v>
      </c>
      <c r="E651">
        <v>2026</v>
      </c>
      <c r="F651" t="s">
        <v>526</v>
      </c>
      <c r="G651" t="s">
        <v>152</v>
      </c>
      <c r="H651" s="1">
        <v>46053</v>
      </c>
      <c r="I651" s="1">
        <v>46081</v>
      </c>
      <c r="J651" s="1">
        <v>46081</v>
      </c>
      <c r="K651" s="1"/>
      <c r="L651" s="1">
        <v>46112</v>
      </c>
      <c r="M651" t="s">
        <v>1223</v>
      </c>
      <c r="N651" t="s">
        <v>1220</v>
      </c>
      <c r="O651" t="s">
        <v>266</v>
      </c>
      <c r="P651" s="19" t="s">
        <v>1221</v>
      </c>
      <c r="Q651" s="74">
        <v>46252.666666666664</v>
      </c>
      <c r="R651" t="s">
        <v>1179</v>
      </c>
    </row>
    <row r="652" spans="1:18" ht="15.6">
      <c r="A652" t="s">
        <v>1246</v>
      </c>
      <c r="B652" t="s">
        <v>276</v>
      </c>
      <c r="C652" t="s">
        <v>277</v>
      </c>
      <c r="D652" t="s">
        <v>1218</v>
      </c>
      <c r="E652">
        <v>2026</v>
      </c>
      <c r="F652" t="s">
        <v>526</v>
      </c>
      <c r="G652" t="s">
        <v>153</v>
      </c>
      <c r="H652" s="1">
        <v>46081</v>
      </c>
      <c r="I652" s="1">
        <v>46112</v>
      </c>
      <c r="J652" s="1">
        <v>46112</v>
      </c>
      <c r="K652" s="1"/>
      <c r="L652" s="1">
        <v>46142</v>
      </c>
      <c r="M652" t="s">
        <v>1225</v>
      </c>
      <c r="N652" t="s">
        <v>1220</v>
      </c>
      <c r="O652" t="s">
        <v>266</v>
      </c>
      <c r="P652" s="19" t="s">
        <v>1221</v>
      </c>
      <c r="Q652" s="74">
        <v>46252.666666666664</v>
      </c>
      <c r="R652" t="s">
        <v>1179</v>
      </c>
    </row>
    <row r="653" spans="1:18" ht="15.6">
      <c r="A653" t="s">
        <v>1247</v>
      </c>
      <c r="B653" t="s">
        <v>276</v>
      </c>
      <c r="C653" t="s">
        <v>277</v>
      </c>
      <c r="D653" t="s">
        <v>1218</v>
      </c>
      <c r="E653">
        <v>2026</v>
      </c>
      <c r="F653" t="s">
        <v>526</v>
      </c>
      <c r="G653" t="s">
        <v>154</v>
      </c>
      <c r="H653" s="1">
        <v>46112</v>
      </c>
      <c r="I653" s="1">
        <v>46142</v>
      </c>
      <c r="J653" s="1">
        <v>46142</v>
      </c>
      <c r="K653" s="1"/>
      <c r="L653" s="1">
        <v>46173</v>
      </c>
      <c r="M653" t="s">
        <v>1227</v>
      </c>
      <c r="N653" t="s">
        <v>1220</v>
      </c>
      <c r="O653" t="s">
        <v>266</v>
      </c>
      <c r="P653" s="19" t="s">
        <v>1221</v>
      </c>
      <c r="Q653" s="74">
        <v>46252.666666666664</v>
      </c>
      <c r="R653" t="s">
        <v>1179</v>
      </c>
    </row>
    <row r="654" spans="1:18" ht="15.6">
      <c r="A654" t="s">
        <v>1248</v>
      </c>
      <c r="B654" t="s">
        <v>276</v>
      </c>
      <c r="C654" t="s">
        <v>277</v>
      </c>
      <c r="D654" t="s">
        <v>1218</v>
      </c>
      <c r="E654">
        <v>2026</v>
      </c>
      <c r="F654" t="s">
        <v>526</v>
      </c>
      <c r="G654" t="s">
        <v>155</v>
      </c>
      <c r="H654" s="1">
        <v>46142</v>
      </c>
      <c r="I654" s="1">
        <v>46173</v>
      </c>
      <c r="J654" s="1">
        <v>46173</v>
      </c>
      <c r="K654" s="1"/>
      <c r="L654" s="1">
        <v>46203</v>
      </c>
      <c r="M654" t="s">
        <v>1229</v>
      </c>
      <c r="N654" t="s">
        <v>1220</v>
      </c>
      <c r="O654" t="s">
        <v>266</v>
      </c>
      <c r="P654" s="19" t="s">
        <v>1221</v>
      </c>
      <c r="Q654" s="74">
        <v>46252.666666666664</v>
      </c>
      <c r="R654" t="s">
        <v>1179</v>
      </c>
    </row>
    <row r="655" spans="1:18" ht="15.6">
      <c r="A655" t="s">
        <v>1249</v>
      </c>
      <c r="B655" t="s">
        <v>276</v>
      </c>
      <c r="C655" t="s">
        <v>277</v>
      </c>
      <c r="D655" t="s">
        <v>1218</v>
      </c>
      <c r="E655">
        <v>2026</v>
      </c>
      <c r="F655" t="s">
        <v>526</v>
      </c>
      <c r="G655" t="s">
        <v>156</v>
      </c>
      <c r="H655" s="1">
        <v>46173</v>
      </c>
      <c r="I655" s="1">
        <v>46203</v>
      </c>
      <c r="J655" s="1">
        <v>46203</v>
      </c>
      <c r="K655" s="1"/>
      <c r="L655" s="1">
        <v>46234</v>
      </c>
      <c r="M655" t="s">
        <v>1231</v>
      </c>
      <c r="N655" t="s">
        <v>1220</v>
      </c>
      <c r="O655" t="s">
        <v>266</v>
      </c>
      <c r="P655" s="19" t="s">
        <v>1221</v>
      </c>
      <c r="Q655" s="74">
        <v>46252.666666666664</v>
      </c>
      <c r="R655" t="s">
        <v>1179</v>
      </c>
    </row>
    <row r="656" spans="1:18" ht="15.6">
      <c r="A656" t="s">
        <v>1250</v>
      </c>
      <c r="B656" t="s">
        <v>276</v>
      </c>
      <c r="C656" t="s">
        <v>277</v>
      </c>
      <c r="D656" t="s">
        <v>1218</v>
      </c>
      <c r="E656">
        <v>2026</v>
      </c>
      <c r="F656" t="s">
        <v>526</v>
      </c>
      <c r="G656" t="s">
        <v>157</v>
      </c>
      <c r="H656" s="1">
        <v>46203</v>
      </c>
      <c r="I656" s="1">
        <v>46234</v>
      </c>
      <c r="J656" s="1">
        <v>46234</v>
      </c>
      <c r="K656" s="1"/>
      <c r="L656" s="1">
        <v>46265</v>
      </c>
      <c r="M656" t="s">
        <v>1233</v>
      </c>
      <c r="N656" t="s">
        <v>1220</v>
      </c>
      <c r="O656" t="s">
        <v>266</v>
      </c>
      <c r="P656" s="19" t="s">
        <v>1221</v>
      </c>
      <c r="Q656" s="74">
        <v>46252.666666666664</v>
      </c>
      <c r="R656" t="s">
        <v>1179</v>
      </c>
    </row>
    <row r="657" spans="1:18" ht="15.6">
      <c r="A657" t="s">
        <v>1251</v>
      </c>
      <c r="B657" t="s">
        <v>276</v>
      </c>
      <c r="C657" t="s">
        <v>277</v>
      </c>
      <c r="D657" t="s">
        <v>1218</v>
      </c>
      <c r="E657">
        <v>2026</v>
      </c>
      <c r="F657" t="s">
        <v>526</v>
      </c>
      <c r="G657" t="s">
        <v>158</v>
      </c>
      <c r="H657" s="1">
        <v>46234</v>
      </c>
      <c r="I657" s="1">
        <v>46265</v>
      </c>
      <c r="J657" s="1">
        <v>46265</v>
      </c>
      <c r="K657" s="1"/>
      <c r="L657" s="1">
        <v>46295</v>
      </c>
      <c r="M657" t="s">
        <v>1235</v>
      </c>
      <c r="N657" t="s">
        <v>1220</v>
      </c>
      <c r="O657" t="s">
        <v>266</v>
      </c>
      <c r="P657" s="19" t="s">
        <v>1221</v>
      </c>
      <c r="Q657" s="74">
        <v>46252.666666666664</v>
      </c>
      <c r="R657" t="s">
        <v>1191</v>
      </c>
    </row>
    <row r="658" spans="1:18" ht="15.6">
      <c r="A658" t="s">
        <v>1252</v>
      </c>
      <c r="B658" t="s">
        <v>276</v>
      </c>
      <c r="C658" t="s">
        <v>277</v>
      </c>
      <c r="D658" t="s">
        <v>1218</v>
      </c>
      <c r="E658">
        <v>2026</v>
      </c>
      <c r="F658" t="s">
        <v>526</v>
      </c>
      <c r="G658" t="s">
        <v>159</v>
      </c>
      <c r="H658" s="1">
        <v>46265</v>
      </c>
      <c r="I658" s="1">
        <v>46295</v>
      </c>
      <c r="J658" s="1">
        <v>46295</v>
      </c>
      <c r="K658" s="1"/>
      <c r="L658" s="1">
        <v>46326</v>
      </c>
      <c r="M658" t="s">
        <v>1237</v>
      </c>
      <c r="N658" t="s">
        <v>1220</v>
      </c>
      <c r="O658" t="s">
        <v>266</v>
      </c>
      <c r="P658" s="19" t="s">
        <v>1221</v>
      </c>
      <c r="Q658" s="74">
        <v>46252.666666666664</v>
      </c>
      <c r="R658" t="s">
        <v>1191</v>
      </c>
    </row>
    <row r="659" spans="1:18" ht="15.6">
      <c r="A659" t="s">
        <v>1253</v>
      </c>
      <c r="B659" t="s">
        <v>276</v>
      </c>
      <c r="C659" t="s">
        <v>277</v>
      </c>
      <c r="D659" t="s">
        <v>1218</v>
      </c>
      <c r="E659">
        <v>2026</v>
      </c>
      <c r="F659" t="s">
        <v>526</v>
      </c>
      <c r="G659" t="s">
        <v>160</v>
      </c>
      <c r="H659" s="1">
        <v>46295</v>
      </c>
      <c r="I659" s="1">
        <v>46326</v>
      </c>
      <c r="J659" s="1">
        <v>46326</v>
      </c>
      <c r="K659" s="1"/>
      <c r="L659" s="1">
        <v>46356</v>
      </c>
      <c r="M659" t="s">
        <v>1239</v>
      </c>
      <c r="N659" t="s">
        <v>1220</v>
      </c>
      <c r="O659" t="s">
        <v>266</v>
      </c>
      <c r="P659" s="19" t="s">
        <v>1221</v>
      </c>
      <c r="Q659" s="74">
        <v>46252.666666666664</v>
      </c>
      <c r="R659" t="s">
        <v>1191</v>
      </c>
    </row>
    <row r="660" spans="1:18" ht="15.6">
      <c r="A660" t="s">
        <v>1254</v>
      </c>
      <c r="B660" t="s">
        <v>276</v>
      </c>
      <c r="C660" t="s">
        <v>277</v>
      </c>
      <c r="D660" t="s">
        <v>1218</v>
      </c>
      <c r="E660">
        <v>2026</v>
      </c>
      <c r="F660" t="s">
        <v>526</v>
      </c>
      <c r="G660" t="s">
        <v>161</v>
      </c>
      <c r="H660" s="1">
        <v>46326</v>
      </c>
      <c r="I660" s="1">
        <v>46356</v>
      </c>
      <c r="J660" s="1">
        <v>46356</v>
      </c>
      <c r="K660" s="1"/>
      <c r="L660" s="1">
        <v>46387</v>
      </c>
      <c r="M660" t="s">
        <v>1241</v>
      </c>
      <c r="N660" t="s">
        <v>1220</v>
      </c>
      <c r="O660" t="s">
        <v>266</v>
      </c>
      <c r="P660" s="19" t="s">
        <v>1221</v>
      </c>
      <c r="Q660" s="74">
        <v>46252.666666666664</v>
      </c>
      <c r="R660" t="s">
        <v>1191</v>
      </c>
    </row>
    <row r="661" spans="1:18" ht="15.6">
      <c r="A661" t="s">
        <v>1255</v>
      </c>
      <c r="B661" t="s">
        <v>276</v>
      </c>
      <c r="C661" t="s">
        <v>277</v>
      </c>
      <c r="D661" t="s">
        <v>1218</v>
      </c>
      <c r="E661">
        <v>2026</v>
      </c>
      <c r="F661" t="s">
        <v>526</v>
      </c>
      <c r="G661" t="s">
        <v>162</v>
      </c>
      <c r="H661" s="1">
        <v>46356</v>
      </c>
      <c r="I661" s="1">
        <v>46387</v>
      </c>
      <c r="J661" s="1">
        <v>46387</v>
      </c>
      <c r="K661" s="1"/>
      <c r="L661" s="1">
        <v>46418</v>
      </c>
      <c r="M661" t="s">
        <v>1243</v>
      </c>
      <c r="N661" t="s">
        <v>1220</v>
      </c>
      <c r="O661" t="s">
        <v>266</v>
      </c>
      <c r="P661" s="19" t="s">
        <v>1221</v>
      </c>
      <c r="Q661" s="74">
        <v>46252.666666666664</v>
      </c>
      <c r="R661" t="s">
        <v>1191</v>
      </c>
    </row>
    <row r="662" spans="1:18" ht="15.6">
      <c r="A662" t="s">
        <v>1256</v>
      </c>
      <c r="B662" t="s">
        <v>278</v>
      </c>
      <c r="C662" t="s">
        <v>279</v>
      </c>
      <c r="D662" t="s">
        <v>1218</v>
      </c>
      <c r="E662">
        <v>2025</v>
      </c>
      <c r="F662" t="s">
        <v>526</v>
      </c>
      <c r="G662" t="s">
        <v>151</v>
      </c>
      <c r="H662" s="1">
        <v>46022</v>
      </c>
      <c r="I662" s="1">
        <v>46053</v>
      </c>
      <c r="J662" s="1">
        <v>46053</v>
      </c>
      <c r="K662" s="1"/>
      <c r="L662" s="1">
        <v>46081</v>
      </c>
      <c r="M662" t="s">
        <v>1219</v>
      </c>
      <c r="N662" t="s">
        <v>1220</v>
      </c>
      <c r="O662" t="s">
        <v>266</v>
      </c>
      <c r="P662" s="19" t="s">
        <v>1221</v>
      </c>
      <c r="Q662" s="74">
        <v>46252.666666666664</v>
      </c>
      <c r="R662" t="s">
        <v>1179</v>
      </c>
    </row>
    <row r="663" spans="1:18" ht="15.6">
      <c r="A663" t="s">
        <v>1257</v>
      </c>
      <c r="B663" t="s">
        <v>278</v>
      </c>
      <c r="C663" t="s">
        <v>279</v>
      </c>
      <c r="D663" t="s">
        <v>1218</v>
      </c>
      <c r="E663">
        <v>2026</v>
      </c>
      <c r="F663" t="s">
        <v>526</v>
      </c>
      <c r="G663" t="s">
        <v>152</v>
      </c>
      <c r="H663" s="1">
        <v>46053</v>
      </c>
      <c r="I663" s="1">
        <v>46081</v>
      </c>
      <c r="J663" s="1">
        <v>46081</v>
      </c>
      <c r="K663" s="1"/>
      <c r="L663" s="1">
        <v>46112</v>
      </c>
      <c r="M663" t="s">
        <v>1223</v>
      </c>
      <c r="N663" t="s">
        <v>1220</v>
      </c>
      <c r="O663" t="s">
        <v>266</v>
      </c>
      <c r="P663" s="19" t="s">
        <v>1221</v>
      </c>
      <c r="Q663" s="74">
        <v>46252.666666666664</v>
      </c>
      <c r="R663" t="s">
        <v>1179</v>
      </c>
    </row>
    <row r="664" spans="1:18" ht="15.6">
      <c r="A664" t="s">
        <v>1258</v>
      </c>
      <c r="B664" t="s">
        <v>278</v>
      </c>
      <c r="C664" t="s">
        <v>279</v>
      </c>
      <c r="D664" t="s">
        <v>1218</v>
      </c>
      <c r="E664">
        <v>2026</v>
      </c>
      <c r="F664" t="s">
        <v>526</v>
      </c>
      <c r="G664" t="s">
        <v>153</v>
      </c>
      <c r="H664" s="1">
        <v>46081</v>
      </c>
      <c r="I664" s="1">
        <v>46112</v>
      </c>
      <c r="J664" s="1">
        <v>46112</v>
      </c>
      <c r="K664" s="1"/>
      <c r="L664" s="1">
        <v>46142</v>
      </c>
      <c r="M664" t="s">
        <v>1225</v>
      </c>
      <c r="N664" t="s">
        <v>1220</v>
      </c>
      <c r="O664" t="s">
        <v>266</v>
      </c>
      <c r="P664" s="19" t="s">
        <v>1221</v>
      </c>
      <c r="Q664" s="74">
        <v>46252.666666666664</v>
      </c>
      <c r="R664" t="s">
        <v>1179</v>
      </c>
    </row>
    <row r="665" spans="1:18" ht="15.6">
      <c r="A665" t="s">
        <v>1259</v>
      </c>
      <c r="B665" t="s">
        <v>278</v>
      </c>
      <c r="C665" t="s">
        <v>279</v>
      </c>
      <c r="D665" t="s">
        <v>1218</v>
      </c>
      <c r="E665">
        <v>2026</v>
      </c>
      <c r="F665" t="s">
        <v>526</v>
      </c>
      <c r="G665" t="s">
        <v>154</v>
      </c>
      <c r="H665" s="1">
        <v>46112</v>
      </c>
      <c r="I665" s="1">
        <v>46142</v>
      </c>
      <c r="J665" s="1">
        <v>46142</v>
      </c>
      <c r="K665" s="1"/>
      <c r="L665" s="1">
        <v>46173</v>
      </c>
      <c r="M665" t="s">
        <v>1227</v>
      </c>
      <c r="N665" t="s">
        <v>1220</v>
      </c>
      <c r="O665" t="s">
        <v>266</v>
      </c>
      <c r="P665" s="19" t="s">
        <v>1221</v>
      </c>
      <c r="Q665" s="74">
        <v>46252.666666666664</v>
      </c>
      <c r="R665" t="s">
        <v>1179</v>
      </c>
    </row>
    <row r="666" spans="1:18" ht="15.6">
      <c r="A666" t="s">
        <v>1260</v>
      </c>
      <c r="B666" t="s">
        <v>278</v>
      </c>
      <c r="C666" t="s">
        <v>279</v>
      </c>
      <c r="D666" t="s">
        <v>1218</v>
      </c>
      <c r="E666">
        <v>2026</v>
      </c>
      <c r="F666" t="s">
        <v>526</v>
      </c>
      <c r="G666" t="s">
        <v>155</v>
      </c>
      <c r="H666" s="1">
        <v>46142</v>
      </c>
      <c r="I666" s="1">
        <v>46173</v>
      </c>
      <c r="J666" s="1">
        <v>46173</v>
      </c>
      <c r="K666" s="1"/>
      <c r="L666" s="1">
        <v>46203</v>
      </c>
      <c r="M666" t="s">
        <v>1229</v>
      </c>
      <c r="N666" t="s">
        <v>1220</v>
      </c>
      <c r="O666" t="s">
        <v>266</v>
      </c>
      <c r="P666" s="19" t="s">
        <v>1221</v>
      </c>
      <c r="Q666" s="74">
        <v>46252.666666666664</v>
      </c>
      <c r="R666" t="s">
        <v>1179</v>
      </c>
    </row>
    <row r="667" spans="1:18" ht="15.6">
      <c r="A667" t="s">
        <v>1261</v>
      </c>
      <c r="B667" t="s">
        <v>278</v>
      </c>
      <c r="C667" t="s">
        <v>279</v>
      </c>
      <c r="D667" t="s">
        <v>1218</v>
      </c>
      <c r="E667">
        <v>2026</v>
      </c>
      <c r="F667" t="s">
        <v>526</v>
      </c>
      <c r="G667" t="s">
        <v>156</v>
      </c>
      <c r="H667" s="1">
        <v>46173</v>
      </c>
      <c r="I667" s="1">
        <v>46203</v>
      </c>
      <c r="J667" s="1">
        <v>46203</v>
      </c>
      <c r="K667" s="1"/>
      <c r="L667" s="1">
        <v>46234</v>
      </c>
      <c r="M667" t="s">
        <v>1231</v>
      </c>
      <c r="N667" t="s">
        <v>1220</v>
      </c>
      <c r="O667" t="s">
        <v>266</v>
      </c>
      <c r="P667" s="19" t="s">
        <v>1221</v>
      </c>
      <c r="Q667" s="74">
        <v>46252.666666666664</v>
      </c>
      <c r="R667" t="s">
        <v>1179</v>
      </c>
    </row>
    <row r="668" spans="1:18" ht="15.6">
      <c r="A668" t="s">
        <v>1262</v>
      </c>
      <c r="B668" t="s">
        <v>278</v>
      </c>
      <c r="C668" t="s">
        <v>279</v>
      </c>
      <c r="D668" t="s">
        <v>1218</v>
      </c>
      <c r="E668">
        <v>2026</v>
      </c>
      <c r="F668" t="s">
        <v>526</v>
      </c>
      <c r="G668" t="s">
        <v>157</v>
      </c>
      <c r="H668" s="1">
        <v>46203</v>
      </c>
      <c r="I668" s="1">
        <v>46234</v>
      </c>
      <c r="J668" s="1">
        <v>46234</v>
      </c>
      <c r="K668" s="1"/>
      <c r="L668" s="1">
        <v>46265</v>
      </c>
      <c r="M668" t="s">
        <v>1233</v>
      </c>
      <c r="N668" t="s">
        <v>1220</v>
      </c>
      <c r="O668" t="s">
        <v>266</v>
      </c>
      <c r="P668" s="19" t="s">
        <v>1221</v>
      </c>
      <c r="Q668" s="74">
        <v>46252.666666666664</v>
      </c>
      <c r="R668" t="s">
        <v>1179</v>
      </c>
    </row>
    <row r="669" spans="1:18" ht="15.6">
      <c r="A669" t="s">
        <v>1263</v>
      </c>
      <c r="B669" t="s">
        <v>278</v>
      </c>
      <c r="C669" t="s">
        <v>279</v>
      </c>
      <c r="D669" t="s">
        <v>1218</v>
      </c>
      <c r="E669">
        <v>2026</v>
      </c>
      <c r="F669" t="s">
        <v>526</v>
      </c>
      <c r="G669" t="s">
        <v>158</v>
      </c>
      <c r="H669" s="1">
        <v>46234</v>
      </c>
      <c r="I669" s="1">
        <v>46265</v>
      </c>
      <c r="J669" s="1">
        <v>46265</v>
      </c>
      <c r="K669" s="1"/>
      <c r="L669" s="1">
        <v>46295</v>
      </c>
      <c r="M669" t="s">
        <v>1235</v>
      </c>
      <c r="N669" t="s">
        <v>1220</v>
      </c>
      <c r="O669" t="s">
        <v>266</v>
      </c>
      <c r="P669" s="19" t="s">
        <v>1221</v>
      </c>
      <c r="Q669" s="74">
        <v>46252.666666666664</v>
      </c>
      <c r="R669" t="s">
        <v>1191</v>
      </c>
    </row>
    <row r="670" spans="1:18" ht="15.6">
      <c r="A670" t="s">
        <v>1264</v>
      </c>
      <c r="B670" t="s">
        <v>278</v>
      </c>
      <c r="C670" t="s">
        <v>279</v>
      </c>
      <c r="D670" t="s">
        <v>1218</v>
      </c>
      <c r="E670">
        <v>2026</v>
      </c>
      <c r="F670" t="s">
        <v>526</v>
      </c>
      <c r="G670" t="s">
        <v>159</v>
      </c>
      <c r="H670" s="1">
        <v>46265</v>
      </c>
      <c r="I670" s="1">
        <v>46295</v>
      </c>
      <c r="J670" s="1">
        <v>46295</v>
      </c>
      <c r="K670" s="1"/>
      <c r="L670" s="1">
        <v>46326</v>
      </c>
      <c r="M670" t="s">
        <v>1237</v>
      </c>
      <c r="N670" t="s">
        <v>1220</v>
      </c>
      <c r="O670" t="s">
        <v>266</v>
      </c>
      <c r="P670" s="19" t="s">
        <v>1221</v>
      </c>
      <c r="Q670" s="74">
        <v>46252.666666666664</v>
      </c>
      <c r="R670" t="s">
        <v>1191</v>
      </c>
    </row>
    <row r="671" spans="1:18" ht="15.6">
      <c r="A671" t="s">
        <v>1265</v>
      </c>
      <c r="B671" t="s">
        <v>278</v>
      </c>
      <c r="C671" t="s">
        <v>279</v>
      </c>
      <c r="D671" t="s">
        <v>1218</v>
      </c>
      <c r="E671">
        <v>2026</v>
      </c>
      <c r="F671" t="s">
        <v>526</v>
      </c>
      <c r="G671" t="s">
        <v>160</v>
      </c>
      <c r="H671" s="1">
        <v>46295</v>
      </c>
      <c r="I671" s="1">
        <v>46326</v>
      </c>
      <c r="J671" s="1">
        <v>46326</v>
      </c>
      <c r="K671" s="1"/>
      <c r="L671" s="1">
        <v>46356</v>
      </c>
      <c r="M671" t="s">
        <v>1239</v>
      </c>
      <c r="N671" t="s">
        <v>1220</v>
      </c>
      <c r="O671" t="s">
        <v>266</v>
      </c>
      <c r="P671" s="19" t="s">
        <v>1221</v>
      </c>
      <c r="Q671" s="74">
        <v>46252.666666666664</v>
      </c>
      <c r="R671" t="s">
        <v>1191</v>
      </c>
    </row>
    <row r="672" spans="1:18" ht="15.6">
      <c r="A672" t="s">
        <v>1266</v>
      </c>
      <c r="B672" t="s">
        <v>278</v>
      </c>
      <c r="C672" t="s">
        <v>279</v>
      </c>
      <c r="D672" t="s">
        <v>1218</v>
      </c>
      <c r="E672">
        <v>2026</v>
      </c>
      <c r="F672" t="s">
        <v>526</v>
      </c>
      <c r="G672" t="s">
        <v>161</v>
      </c>
      <c r="H672" s="1">
        <v>46326</v>
      </c>
      <c r="I672" s="1">
        <v>46356</v>
      </c>
      <c r="J672" s="1">
        <v>46356</v>
      </c>
      <c r="K672" s="1"/>
      <c r="L672" s="1">
        <v>46387</v>
      </c>
      <c r="M672" t="s">
        <v>1241</v>
      </c>
      <c r="N672" t="s">
        <v>1220</v>
      </c>
      <c r="O672" t="s">
        <v>266</v>
      </c>
      <c r="P672" s="19" t="s">
        <v>1221</v>
      </c>
      <c r="Q672" s="74">
        <v>46252.666666666664</v>
      </c>
      <c r="R672" t="s">
        <v>1191</v>
      </c>
    </row>
    <row r="673" spans="1:18" ht="15.6">
      <c r="A673" t="s">
        <v>1267</v>
      </c>
      <c r="B673" t="s">
        <v>278</v>
      </c>
      <c r="C673" t="s">
        <v>279</v>
      </c>
      <c r="D673" t="s">
        <v>1218</v>
      </c>
      <c r="E673">
        <v>2026</v>
      </c>
      <c r="F673" t="s">
        <v>526</v>
      </c>
      <c r="G673" t="s">
        <v>162</v>
      </c>
      <c r="H673" s="1">
        <v>46356</v>
      </c>
      <c r="I673" s="1">
        <v>46387</v>
      </c>
      <c r="J673" s="1">
        <v>46387</v>
      </c>
      <c r="K673" s="1"/>
      <c r="L673" s="1">
        <v>46418</v>
      </c>
      <c r="M673" t="s">
        <v>1243</v>
      </c>
      <c r="N673" t="s">
        <v>1220</v>
      </c>
      <c r="O673" t="s">
        <v>266</v>
      </c>
      <c r="P673" s="19" t="s">
        <v>1221</v>
      </c>
      <c r="Q673" s="74">
        <v>46252.666666666664</v>
      </c>
      <c r="R673" t="s">
        <v>1191</v>
      </c>
    </row>
    <row r="674" spans="1:18" ht="15.6">
      <c r="A674" t="s">
        <v>1268</v>
      </c>
      <c r="B674" t="s">
        <v>320</v>
      </c>
      <c r="C674" t="s">
        <v>321</v>
      </c>
      <c r="D674" t="s">
        <v>1269</v>
      </c>
      <c r="E674">
        <v>2025</v>
      </c>
      <c r="F674" t="s">
        <v>508</v>
      </c>
      <c r="G674" t="s">
        <v>325</v>
      </c>
      <c r="H674" s="1">
        <v>45734</v>
      </c>
      <c r="I674" s="1">
        <v>45748</v>
      </c>
      <c r="J674" s="1">
        <v>45748</v>
      </c>
      <c r="K674" s="1">
        <v>45796</v>
      </c>
      <c r="L674" s="1">
        <v>45750</v>
      </c>
      <c r="N674" t="s">
        <v>1270</v>
      </c>
      <c r="O674" t="s">
        <v>266</v>
      </c>
      <c r="P674" s="19" t="s">
        <v>1271</v>
      </c>
      <c r="Q674" s="74">
        <v>46252.708333333336</v>
      </c>
      <c r="R674" t="s">
        <v>1179</v>
      </c>
    </row>
    <row r="675" spans="1:18" ht="15.6">
      <c r="A675" t="s">
        <v>1272</v>
      </c>
      <c r="B675" t="s">
        <v>320</v>
      </c>
      <c r="C675" t="s">
        <v>321</v>
      </c>
      <c r="D675" t="s">
        <v>1269</v>
      </c>
      <c r="E675">
        <v>2025</v>
      </c>
      <c r="F675" t="s">
        <v>526</v>
      </c>
      <c r="G675" t="s">
        <v>325</v>
      </c>
      <c r="H675" s="1">
        <v>45720</v>
      </c>
      <c r="I675" s="1">
        <v>45748</v>
      </c>
      <c r="J675" s="1">
        <v>45748</v>
      </c>
      <c r="K675" s="1">
        <v>45796</v>
      </c>
      <c r="L675" s="1">
        <v>45799</v>
      </c>
      <c r="M675" t="s">
        <v>1273</v>
      </c>
      <c r="N675" t="s">
        <v>1270</v>
      </c>
      <c r="O675" t="s">
        <v>266</v>
      </c>
      <c r="P675" s="19" t="s">
        <v>1271</v>
      </c>
      <c r="Q675" s="74">
        <v>46252.708333333336</v>
      </c>
      <c r="R675" t="s">
        <v>1179</v>
      </c>
    </row>
    <row r="676" spans="1:18" ht="15.6">
      <c r="A676" t="s">
        <v>1274</v>
      </c>
      <c r="B676" t="s">
        <v>320</v>
      </c>
      <c r="C676" t="s">
        <v>321</v>
      </c>
      <c r="D676" t="s">
        <v>1269</v>
      </c>
      <c r="E676">
        <v>2025</v>
      </c>
      <c r="F676" t="s">
        <v>508</v>
      </c>
      <c r="G676" t="s">
        <v>326</v>
      </c>
      <c r="H676" s="1">
        <v>45824</v>
      </c>
      <c r="I676" s="1">
        <v>45839</v>
      </c>
      <c r="J676" s="1">
        <v>45839</v>
      </c>
      <c r="K676" s="1">
        <v>45880</v>
      </c>
      <c r="L676" s="1">
        <v>45841</v>
      </c>
      <c r="N676" t="s">
        <v>1270</v>
      </c>
      <c r="O676" t="s">
        <v>266</v>
      </c>
      <c r="P676" s="19" t="s">
        <v>1271</v>
      </c>
      <c r="Q676" s="74">
        <v>46252.708333333336</v>
      </c>
      <c r="R676" t="s">
        <v>1179</v>
      </c>
    </row>
    <row r="677" spans="1:18" ht="15.6">
      <c r="A677" t="s">
        <v>1275</v>
      </c>
      <c r="B677" t="s">
        <v>320</v>
      </c>
      <c r="C677" t="s">
        <v>321</v>
      </c>
      <c r="D677" t="s">
        <v>1269</v>
      </c>
      <c r="E677">
        <v>2025</v>
      </c>
      <c r="F677" t="s">
        <v>526</v>
      </c>
      <c r="G677" t="s">
        <v>326</v>
      </c>
      <c r="H677" s="1">
        <v>45807</v>
      </c>
      <c r="I677" s="1">
        <v>45839</v>
      </c>
      <c r="J677" s="1">
        <v>45839</v>
      </c>
      <c r="K677" s="1">
        <v>45880</v>
      </c>
      <c r="L677" s="1">
        <v>45883</v>
      </c>
      <c r="M677" t="s">
        <v>1273</v>
      </c>
      <c r="N677" t="s">
        <v>1270</v>
      </c>
      <c r="O677" t="s">
        <v>266</v>
      </c>
      <c r="P677" s="19" t="s">
        <v>1271</v>
      </c>
      <c r="Q677" s="74">
        <v>46252.708333333336</v>
      </c>
      <c r="R677" t="s">
        <v>1179</v>
      </c>
    </row>
    <row r="678" spans="1:18" ht="15.6">
      <c r="A678" t="s">
        <v>1276</v>
      </c>
      <c r="B678" t="s">
        <v>320</v>
      </c>
      <c r="C678" t="s">
        <v>321</v>
      </c>
      <c r="D678" t="s">
        <v>1269</v>
      </c>
      <c r="E678">
        <v>2025</v>
      </c>
      <c r="F678" t="s">
        <v>508</v>
      </c>
      <c r="G678" t="s">
        <v>327</v>
      </c>
      <c r="H678" s="1">
        <v>45917</v>
      </c>
      <c r="I678" s="1">
        <v>45931</v>
      </c>
      <c r="J678" s="1">
        <v>45931</v>
      </c>
      <c r="K678" s="1">
        <v>45972</v>
      </c>
      <c r="L678" s="1">
        <v>45933</v>
      </c>
      <c r="N678" t="s">
        <v>1270</v>
      </c>
      <c r="O678" t="s">
        <v>266</v>
      </c>
      <c r="P678" s="19" t="s">
        <v>1271</v>
      </c>
      <c r="Q678" s="74">
        <v>46252.708333333336</v>
      </c>
      <c r="R678" t="s">
        <v>1179</v>
      </c>
    </row>
    <row r="679" spans="1:18" ht="15.6">
      <c r="A679" t="s">
        <v>1277</v>
      </c>
      <c r="B679" t="s">
        <v>320</v>
      </c>
      <c r="C679" t="s">
        <v>321</v>
      </c>
      <c r="D679" t="s">
        <v>1269</v>
      </c>
      <c r="E679">
        <v>2025</v>
      </c>
      <c r="F679" t="s">
        <v>526</v>
      </c>
      <c r="G679" t="s">
        <v>327</v>
      </c>
      <c r="H679" s="1">
        <v>45903</v>
      </c>
      <c r="I679" s="1">
        <v>45931</v>
      </c>
      <c r="J679" s="1">
        <v>45931</v>
      </c>
      <c r="K679" s="1">
        <v>45972</v>
      </c>
      <c r="L679" s="1">
        <v>45975</v>
      </c>
      <c r="M679" t="s">
        <v>1273</v>
      </c>
      <c r="N679" t="s">
        <v>1270</v>
      </c>
      <c r="O679" t="s">
        <v>266</v>
      </c>
      <c r="P679" s="19" t="s">
        <v>1271</v>
      </c>
      <c r="Q679" s="74">
        <v>46252.708333333336</v>
      </c>
      <c r="R679" t="s">
        <v>1179</v>
      </c>
    </row>
    <row r="680" spans="1:18" ht="15.6">
      <c r="A680" t="s">
        <v>1278</v>
      </c>
      <c r="B680" t="s">
        <v>320</v>
      </c>
      <c r="C680" t="s">
        <v>321</v>
      </c>
      <c r="D680" t="s">
        <v>1269</v>
      </c>
      <c r="E680">
        <v>2025</v>
      </c>
      <c r="F680" t="s">
        <v>508</v>
      </c>
      <c r="G680" t="s">
        <v>328</v>
      </c>
      <c r="H680" s="1">
        <v>46007</v>
      </c>
      <c r="I680" s="1">
        <v>46024</v>
      </c>
      <c r="J680" s="1">
        <v>46024</v>
      </c>
      <c r="K680" s="1">
        <v>46093</v>
      </c>
      <c r="L680" s="1">
        <v>46028</v>
      </c>
      <c r="N680" t="s">
        <v>1270</v>
      </c>
      <c r="O680" t="s">
        <v>266</v>
      </c>
      <c r="P680" s="19" t="s">
        <v>1271</v>
      </c>
      <c r="Q680" s="74">
        <v>46252.708333333336</v>
      </c>
      <c r="R680" t="s">
        <v>1179</v>
      </c>
    </row>
    <row r="681" spans="1:18" ht="15.6">
      <c r="A681" t="s">
        <v>1279</v>
      </c>
      <c r="B681" t="s">
        <v>320</v>
      </c>
      <c r="C681" t="s">
        <v>321</v>
      </c>
      <c r="D681" t="s">
        <v>1269</v>
      </c>
      <c r="E681">
        <v>2025</v>
      </c>
      <c r="F681" t="s">
        <v>526</v>
      </c>
      <c r="G681" t="s">
        <v>328</v>
      </c>
      <c r="H681" s="1">
        <v>45993</v>
      </c>
      <c r="I681" s="1">
        <v>46024</v>
      </c>
      <c r="J681" s="1">
        <v>46024</v>
      </c>
      <c r="K681" s="1">
        <v>46093</v>
      </c>
      <c r="L681" s="1">
        <v>46098</v>
      </c>
      <c r="M681" t="s">
        <v>1273</v>
      </c>
      <c r="N681" t="s">
        <v>1270</v>
      </c>
      <c r="O681" t="s">
        <v>266</v>
      </c>
      <c r="P681" s="19" t="s">
        <v>1271</v>
      </c>
      <c r="Q681" s="74">
        <v>46252.708333333336</v>
      </c>
      <c r="R681" t="s">
        <v>1179</v>
      </c>
    </row>
    <row r="682" spans="1:18" ht="15.6">
      <c r="A682" t="s">
        <v>1280</v>
      </c>
      <c r="B682" t="s">
        <v>320</v>
      </c>
      <c r="C682" t="s">
        <v>321</v>
      </c>
      <c r="D682" t="s">
        <v>1269</v>
      </c>
      <c r="E682">
        <v>2026</v>
      </c>
      <c r="F682" t="s">
        <v>508</v>
      </c>
      <c r="G682" t="s">
        <v>329</v>
      </c>
      <c r="H682" s="1">
        <v>46099</v>
      </c>
      <c r="I682" s="1">
        <v>46113</v>
      </c>
      <c r="J682" s="1">
        <v>46113</v>
      </c>
      <c r="K682" s="1">
        <v>46161</v>
      </c>
      <c r="L682" s="1">
        <v>46119</v>
      </c>
      <c r="N682" t="s">
        <v>1270</v>
      </c>
      <c r="O682" t="s">
        <v>266</v>
      </c>
      <c r="P682" s="19" t="s">
        <v>1271</v>
      </c>
      <c r="Q682" s="74">
        <v>46252.708333333336</v>
      </c>
      <c r="R682" t="s">
        <v>1179</v>
      </c>
    </row>
    <row r="683" spans="1:18" ht="15.6">
      <c r="A683" t="s">
        <v>1281</v>
      </c>
      <c r="B683" t="s">
        <v>320</v>
      </c>
      <c r="C683" t="s">
        <v>321</v>
      </c>
      <c r="D683" t="s">
        <v>1269</v>
      </c>
      <c r="E683">
        <v>2026</v>
      </c>
      <c r="F683" t="s">
        <v>526</v>
      </c>
      <c r="G683" t="s">
        <v>329</v>
      </c>
      <c r="H683" s="1">
        <v>46085</v>
      </c>
      <c r="I683" s="1">
        <v>46113</v>
      </c>
      <c r="J683" s="1">
        <v>46113</v>
      </c>
      <c r="K683" s="1">
        <v>46161</v>
      </c>
      <c r="L683" s="1">
        <v>46168</v>
      </c>
      <c r="M683" t="s">
        <v>1273</v>
      </c>
      <c r="N683" t="s">
        <v>1270</v>
      </c>
      <c r="O683" t="s">
        <v>266</v>
      </c>
      <c r="P683" s="19" t="s">
        <v>1271</v>
      </c>
      <c r="Q683" s="74">
        <v>46252.708333333336</v>
      </c>
      <c r="R683" t="s">
        <v>1179</v>
      </c>
    </row>
    <row r="684" spans="1:18" ht="15.6">
      <c r="A684" t="s">
        <v>1282</v>
      </c>
      <c r="B684" t="s">
        <v>320</v>
      </c>
      <c r="C684" t="s">
        <v>321</v>
      </c>
      <c r="D684" t="s">
        <v>1269</v>
      </c>
      <c r="E684">
        <v>2026</v>
      </c>
      <c r="F684" t="s">
        <v>508</v>
      </c>
      <c r="G684" t="s">
        <v>330</v>
      </c>
      <c r="H684" s="1">
        <v>46189</v>
      </c>
      <c r="I684" s="1">
        <v>46204</v>
      </c>
      <c r="J684" s="1">
        <v>46204</v>
      </c>
      <c r="K684" s="1">
        <v>46245</v>
      </c>
      <c r="L684" s="1">
        <v>46206</v>
      </c>
      <c r="N684" t="s">
        <v>1270</v>
      </c>
      <c r="O684" t="s">
        <v>266</v>
      </c>
      <c r="P684" s="19" t="s">
        <v>1271</v>
      </c>
      <c r="Q684" s="74">
        <v>46252.708333333336</v>
      </c>
      <c r="R684" t="s">
        <v>1179</v>
      </c>
    </row>
    <row r="685" spans="1:18" ht="15.6">
      <c r="A685" t="s">
        <v>1283</v>
      </c>
      <c r="B685" t="s">
        <v>320</v>
      </c>
      <c r="C685" t="s">
        <v>321</v>
      </c>
      <c r="D685" t="s">
        <v>1269</v>
      </c>
      <c r="E685">
        <v>2026</v>
      </c>
      <c r="F685" t="s">
        <v>526</v>
      </c>
      <c r="G685" t="s">
        <v>330</v>
      </c>
      <c r="H685" s="1">
        <v>46175</v>
      </c>
      <c r="I685" s="1">
        <v>46204</v>
      </c>
      <c r="J685" s="1">
        <v>46204</v>
      </c>
      <c r="K685" s="1">
        <v>46245</v>
      </c>
      <c r="L685" s="1">
        <v>46251</v>
      </c>
      <c r="M685" t="s">
        <v>1273</v>
      </c>
      <c r="N685" t="s">
        <v>1270</v>
      </c>
      <c r="O685" t="s">
        <v>266</v>
      </c>
      <c r="P685" s="19" t="s">
        <v>1271</v>
      </c>
      <c r="Q685" s="74">
        <v>46252.708333333336</v>
      </c>
      <c r="R685" t="s">
        <v>1179</v>
      </c>
    </row>
    <row r="686" spans="1:18" ht="15.6">
      <c r="A686" t="s">
        <v>1284</v>
      </c>
      <c r="B686" t="s">
        <v>320</v>
      </c>
      <c r="C686" t="s">
        <v>321</v>
      </c>
      <c r="D686" t="s">
        <v>1269</v>
      </c>
      <c r="E686">
        <v>2026</v>
      </c>
      <c r="F686" t="s">
        <v>508</v>
      </c>
      <c r="G686" t="s">
        <v>331</v>
      </c>
      <c r="H686" s="1">
        <v>46282</v>
      </c>
      <c r="I686" s="1">
        <v>46296</v>
      </c>
      <c r="J686" s="1">
        <v>46296</v>
      </c>
      <c r="K686" s="1">
        <v>46337</v>
      </c>
      <c r="L686" s="1">
        <v>46300</v>
      </c>
      <c r="N686" t="s">
        <v>1270</v>
      </c>
      <c r="O686" t="s">
        <v>266</v>
      </c>
      <c r="P686" s="19" t="s">
        <v>1271</v>
      </c>
      <c r="Q686" s="74">
        <v>46252.708333333336</v>
      </c>
      <c r="R686" t="s">
        <v>1191</v>
      </c>
    </row>
    <row r="687" spans="1:18" ht="15.6">
      <c r="A687" t="s">
        <v>1285</v>
      </c>
      <c r="B687" t="s">
        <v>320</v>
      </c>
      <c r="C687" t="s">
        <v>321</v>
      </c>
      <c r="D687" t="s">
        <v>1269</v>
      </c>
      <c r="E687">
        <v>2026</v>
      </c>
      <c r="F687" t="s">
        <v>526</v>
      </c>
      <c r="G687" t="s">
        <v>331</v>
      </c>
      <c r="H687" s="1">
        <v>46268</v>
      </c>
      <c r="I687" s="1">
        <v>46296</v>
      </c>
      <c r="J687" s="1">
        <v>46296</v>
      </c>
      <c r="K687" s="1">
        <v>46337</v>
      </c>
      <c r="L687" s="1">
        <v>46343</v>
      </c>
      <c r="M687" t="s">
        <v>1273</v>
      </c>
      <c r="N687" t="s">
        <v>1270</v>
      </c>
      <c r="O687" t="s">
        <v>266</v>
      </c>
      <c r="P687" s="19" t="s">
        <v>1271</v>
      </c>
      <c r="Q687" s="74">
        <v>46252.708333333336</v>
      </c>
      <c r="R687" t="s">
        <v>1191</v>
      </c>
    </row>
    <row r="688" spans="1:18" ht="15.6">
      <c r="A688" t="s">
        <v>1286</v>
      </c>
      <c r="B688" t="s">
        <v>320</v>
      </c>
      <c r="C688" t="s">
        <v>321</v>
      </c>
      <c r="D688" t="s">
        <v>1269</v>
      </c>
      <c r="E688">
        <v>2026</v>
      </c>
      <c r="F688" t="s">
        <v>508</v>
      </c>
      <c r="G688" t="s">
        <v>332</v>
      </c>
      <c r="H688" s="1">
        <v>46372</v>
      </c>
      <c r="I688" s="1">
        <v>46391</v>
      </c>
      <c r="J688" s="1">
        <v>46391</v>
      </c>
      <c r="K688" s="1">
        <v>46458</v>
      </c>
      <c r="L688" s="1">
        <v>46393</v>
      </c>
      <c r="N688" t="s">
        <v>1270</v>
      </c>
      <c r="O688" t="s">
        <v>266</v>
      </c>
      <c r="P688" s="19" t="s">
        <v>1271</v>
      </c>
      <c r="Q688" s="74">
        <v>46252.708333333336</v>
      </c>
      <c r="R688" t="s">
        <v>1191</v>
      </c>
    </row>
    <row r="689" spans="1:18" ht="15.6">
      <c r="A689" t="s">
        <v>1287</v>
      </c>
      <c r="B689" t="s">
        <v>320</v>
      </c>
      <c r="C689" t="s">
        <v>321</v>
      </c>
      <c r="D689" t="s">
        <v>1269</v>
      </c>
      <c r="E689">
        <v>2026</v>
      </c>
      <c r="F689" t="s">
        <v>526</v>
      </c>
      <c r="G689" t="s">
        <v>332</v>
      </c>
      <c r="H689" s="1">
        <v>46358</v>
      </c>
      <c r="I689" s="1">
        <v>46391</v>
      </c>
      <c r="J689" s="1">
        <v>46391</v>
      </c>
      <c r="K689" s="1">
        <v>46458</v>
      </c>
      <c r="L689" s="1">
        <v>46464</v>
      </c>
      <c r="M689" t="s">
        <v>1273</v>
      </c>
      <c r="N689" t="s">
        <v>1270</v>
      </c>
      <c r="O689" t="s">
        <v>266</v>
      </c>
      <c r="P689" s="19" t="s">
        <v>1271</v>
      </c>
      <c r="Q689" s="74">
        <v>46252.708333333336</v>
      </c>
      <c r="R689" t="s">
        <v>1191</v>
      </c>
    </row>
    <row r="690" spans="1:18" ht="15.6">
      <c r="A690" t="s">
        <v>1288</v>
      </c>
      <c r="B690" t="s">
        <v>263</v>
      </c>
      <c r="C690" t="s">
        <v>264</v>
      </c>
      <c r="D690" t="s">
        <v>1289</v>
      </c>
      <c r="E690">
        <v>2026</v>
      </c>
      <c r="F690" t="s">
        <v>508</v>
      </c>
      <c r="G690" t="s">
        <v>152</v>
      </c>
      <c r="H690" s="1">
        <v>46015</v>
      </c>
      <c r="I690" s="1">
        <v>46022</v>
      </c>
      <c r="J690" s="1">
        <v>46023</v>
      </c>
      <c r="K690" s="1">
        <v>46052</v>
      </c>
      <c r="L690" s="1">
        <v>46015</v>
      </c>
      <c r="N690" t="s">
        <v>1290</v>
      </c>
      <c r="O690" t="s">
        <v>266</v>
      </c>
      <c r="P690" s="19" t="s">
        <v>1291</v>
      </c>
      <c r="Q690" s="74">
        <v>46252.708333333336</v>
      </c>
      <c r="R690" t="s">
        <v>1179</v>
      </c>
    </row>
    <row r="691" spans="1:18" ht="15.6">
      <c r="A691" t="s">
        <v>1292</v>
      </c>
      <c r="B691" t="s">
        <v>263</v>
      </c>
      <c r="C691" t="s">
        <v>264</v>
      </c>
      <c r="D691" t="s">
        <v>1289</v>
      </c>
      <c r="E691">
        <v>2026</v>
      </c>
      <c r="F691" t="s">
        <v>526</v>
      </c>
      <c r="G691" t="s">
        <v>152</v>
      </c>
      <c r="H691" s="1">
        <v>46024</v>
      </c>
      <c r="I691" s="1">
        <v>46053</v>
      </c>
      <c r="J691" s="1">
        <v>46053</v>
      </c>
      <c r="K691" s="1">
        <v>46080</v>
      </c>
      <c r="L691" s="1">
        <v>46113</v>
      </c>
      <c r="M691" t="s">
        <v>1293</v>
      </c>
      <c r="N691" t="s">
        <v>1290</v>
      </c>
      <c r="O691" t="s">
        <v>266</v>
      </c>
      <c r="P691" s="19" t="s">
        <v>1291</v>
      </c>
      <c r="Q691" s="74">
        <v>46252.708333333336</v>
      </c>
      <c r="R691" t="s">
        <v>1179</v>
      </c>
    </row>
    <row r="692" spans="1:18" ht="15.6">
      <c r="A692" t="s">
        <v>1294</v>
      </c>
      <c r="B692" t="s">
        <v>263</v>
      </c>
      <c r="C692" t="s">
        <v>264</v>
      </c>
      <c r="D692" t="s">
        <v>1289</v>
      </c>
      <c r="E692">
        <v>2026</v>
      </c>
      <c r="F692" t="s">
        <v>508</v>
      </c>
      <c r="G692" t="s">
        <v>153</v>
      </c>
      <c r="H692" s="1">
        <v>46049</v>
      </c>
      <c r="I692" s="1">
        <v>46053</v>
      </c>
      <c r="J692" s="1">
        <v>46054</v>
      </c>
      <c r="K692" s="1">
        <v>46080</v>
      </c>
      <c r="L692" s="1">
        <v>46049</v>
      </c>
      <c r="N692" t="s">
        <v>1290</v>
      </c>
      <c r="O692" t="s">
        <v>266</v>
      </c>
      <c r="P692" s="19" t="s">
        <v>1291</v>
      </c>
      <c r="Q692" s="74">
        <v>46252.708333333336</v>
      </c>
      <c r="R692" t="s">
        <v>1179</v>
      </c>
    </row>
    <row r="693" spans="1:18" ht="15.6">
      <c r="A693" t="s">
        <v>1295</v>
      </c>
      <c r="B693" t="s">
        <v>263</v>
      </c>
      <c r="C693" t="s">
        <v>264</v>
      </c>
      <c r="D693" t="s">
        <v>1289</v>
      </c>
      <c r="E693">
        <v>2026</v>
      </c>
      <c r="F693" t="s">
        <v>526</v>
      </c>
      <c r="G693" t="s">
        <v>153</v>
      </c>
      <c r="H693" s="1">
        <v>46055</v>
      </c>
      <c r="I693" s="1">
        <v>46081</v>
      </c>
      <c r="J693" s="1">
        <v>46081</v>
      </c>
      <c r="K693" s="1">
        <v>46108</v>
      </c>
      <c r="L693" s="1">
        <v>46141</v>
      </c>
      <c r="M693" t="s">
        <v>1293</v>
      </c>
      <c r="N693" t="s">
        <v>1290</v>
      </c>
      <c r="O693" t="s">
        <v>266</v>
      </c>
      <c r="P693" s="19" t="s">
        <v>1291</v>
      </c>
      <c r="Q693" s="74">
        <v>46252.708333333336</v>
      </c>
      <c r="R693" t="s">
        <v>1179</v>
      </c>
    </row>
    <row r="694" spans="1:18" ht="15.6">
      <c r="A694" t="s">
        <v>1296</v>
      </c>
      <c r="B694" t="s">
        <v>263</v>
      </c>
      <c r="C694" t="s">
        <v>264</v>
      </c>
      <c r="D694" t="s">
        <v>1289</v>
      </c>
      <c r="E694">
        <v>2026</v>
      </c>
      <c r="F694" t="s">
        <v>508</v>
      </c>
      <c r="G694" t="s">
        <v>154</v>
      </c>
      <c r="H694" s="1">
        <v>46077</v>
      </c>
      <c r="I694" s="1">
        <v>46081</v>
      </c>
      <c r="J694" s="1">
        <v>46082</v>
      </c>
      <c r="K694" s="1">
        <v>46108</v>
      </c>
      <c r="L694" s="1">
        <v>46077</v>
      </c>
      <c r="N694" t="s">
        <v>1290</v>
      </c>
      <c r="O694" t="s">
        <v>266</v>
      </c>
      <c r="P694" s="19" t="s">
        <v>1291</v>
      </c>
      <c r="Q694" s="74">
        <v>46252.708333333336</v>
      </c>
      <c r="R694" t="s">
        <v>1179</v>
      </c>
    </row>
    <row r="695" spans="1:18" ht="15.6">
      <c r="A695" t="s">
        <v>1297</v>
      </c>
      <c r="B695" t="s">
        <v>263</v>
      </c>
      <c r="C695" t="s">
        <v>264</v>
      </c>
      <c r="D695" t="s">
        <v>1289</v>
      </c>
      <c r="E695">
        <v>2026</v>
      </c>
      <c r="F695" t="s">
        <v>526</v>
      </c>
      <c r="G695" t="s">
        <v>154</v>
      </c>
      <c r="H695" s="1">
        <v>46083</v>
      </c>
      <c r="I695" s="1">
        <v>46112</v>
      </c>
      <c r="J695" s="1">
        <v>46112</v>
      </c>
      <c r="K695" s="1">
        <v>46142</v>
      </c>
      <c r="L695" s="1">
        <v>46172</v>
      </c>
      <c r="M695" t="s">
        <v>1293</v>
      </c>
      <c r="N695" t="s">
        <v>1290</v>
      </c>
      <c r="O695" t="s">
        <v>266</v>
      </c>
      <c r="P695" s="19" t="s">
        <v>1291</v>
      </c>
      <c r="Q695" s="74">
        <v>46252.708333333336</v>
      </c>
      <c r="R695" t="s">
        <v>1179</v>
      </c>
    </row>
    <row r="696" spans="1:18" ht="15.6">
      <c r="A696" t="s">
        <v>1298</v>
      </c>
      <c r="B696" t="s">
        <v>263</v>
      </c>
      <c r="C696" t="s">
        <v>264</v>
      </c>
      <c r="D696" t="s">
        <v>1289</v>
      </c>
      <c r="E696">
        <v>2026</v>
      </c>
      <c r="F696" t="s">
        <v>508</v>
      </c>
      <c r="G696" t="s">
        <v>155</v>
      </c>
      <c r="H696" s="1">
        <v>46107</v>
      </c>
      <c r="I696" s="1">
        <v>46112</v>
      </c>
      <c r="J696" s="1">
        <v>46113</v>
      </c>
      <c r="K696" s="1">
        <v>46142</v>
      </c>
      <c r="L696" s="1">
        <v>46107</v>
      </c>
      <c r="N696" t="s">
        <v>1290</v>
      </c>
      <c r="O696" t="s">
        <v>266</v>
      </c>
      <c r="P696" s="19" t="s">
        <v>1291</v>
      </c>
      <c r="Q696" s="74">
        <v>46252.708333333336</v>
      </c>
      <c r="R696" t="s">
        <v>1179</v>
      </c>
    </row>
    <row r="697" spans="1:18" ht="15.6">
      <c r="A697" t="s">
        <v>1299</v>
      </c>
      <c r="B697" t="s">
        <v>263</v>
      </c>
      <c r="C697" t="s">
        <v>264</v>
      </c>
      <c r="D697" t="s">
        <v>1289</v>
      </c>
      <c r="E697">
        <v>2026</v>
      </c>
      <c r="F697" t="s">
        <v>526</v>
      </c>
      <c r="G697" t="s">
        <v>155</v>
      </c>
      <c r="H697" s="1">
        <v>46113</v>
      </c>
      <c r="I697" s="1">
        <v>46142</v>
      </c>
      <c r="J697" s="1">
        <v>46142</v>
      </c>
      <c r="K697" s="1">
        <v>46171</v>
      </c>
      <c r="L697" s="1">
        <v>46202</v>
      </c>
      <c r="M697" t="s">
        <v>1293</v>
      </c>
      <c r="N697" t="s">
        <v>1290</v>
      </c>
      <c r="O697" t="s">
        <v>266</v>
      </c>
      <c r="P697" s="19" t="s">
        <v>1291</v>
      </c>
      <c r="Q697" s="74">
        <v>46252.708333333336</v>
      </c>
      <c r="R697" t="s">
        <v>1179</v>
      </c>
    </row>
    <row r="698" spans="1:18" ht="15.6">
      <c r="A698" t="s">
        <v>1300</v>
      </c>
      <c r="B698" t="s">
        <v>263</v>
      </c>
      <c r="C698" t="s">
        <v>264</v>
      </c>
      <c r="D698" t="s">
        <v>1289</v>
      </c>
      <c r="E698">
        <v>2026</v>
      </c>
      <c r="F698" t="s">
        <v>508</v>
      </c>
      <c r="G698" t="s">
        <v>156</v>
      </c>
      <c r="H698" s="1">
        <v>46139</v>
      </c>
      <c r="I698" s="1">
        <v>46142</v>
      </c>
      <c r="J698" s="1">
        <v>46143</v>
      </c>
      <c r="K698" s="1">
        <v>46171</v>
      </c>
      <c r="L698" s="1">
        <v>46139</v>
      </c>
      <c r="N698" t="s">
        <v>1290</v>
      </c>
      <c r="O698" t="s">
        <v>266</v>
      </c>
      <c r="P698" s="19" t="s">
        <v>1291</v>
      </c>
      <c r="Q698" s="74">
        <v>46252.708333333336</v>
      </c>
      <c r="R698" t="s">
        <v>1179</v>
      </c>
    </row>
    <row r="699" spans="1:18" ht="15.6">
      <c r="A699" t="s">
        <v>1301</v>
      </c>
      <c r="B699" t="s">
        <v>263</v>
      </c>
      <c r="C699" t="s">
        <v>264</v>
      </c>
      <c r="D699" t="s">
        <v>1289</v>
      </c>
      <c r="E699">
        <v>2026</v>
      </c>
      <c r="F699" t="s">
        <v>526</v>
      </c>
      <c r="G699" t="s">
        <v>156</v>
      </c>
      <c r="H699" s="1">
        <v>46147</v>
      </c>
      <c r="I699" s="1">
        <v>46173</v>
      </c>
      <c r="J699" s="1">
        <v>46173</v>
      </c>
      <c r="K699" s="1">
        <v>46203</v>
      </c>
      <c r="L699" s="1">
        <v>46233</v>
      </c>
      <c r="M699" t="s">
        <v>1293</v>
      </c>
      <c r="N699" t="s">
        <v>1290</v>
      </c>
      <c r="O699" t="s">
        <v>266</v>
      </c>
      <c r="P699" s="19" t="s">
        <v>1291</v>
      </c>
      <c r="Q699" s="74">
        <v>46252.708333333336</v>
      </c>
      <c r="R699" t="s">
        <v>1179</v>
      </c>
    </row>
    <row r="700" spans="1:18" ht="15.6">
      <c r="A700" t="s">
        <v>1302</v>
      </c>
      <c r="B700" t="s">
        <v>263</v>
      </c>
      <c r="C700" t="s">
        <v>264</v>
      </c>
      <c r="D700" t="s">
        <v>1289</v>
      </c>
      <c r="E700">
        <v>2026</v>
      </c>
      <c r="F700" t="s">
        <v>508</v>
      </c>
      <c r="G700" t="s">
        <v>157</v>
      </c>
      <c r="H700" s="1">
        <v>46168</v>
      </c>
      <c r="I700" s="1">
        <v>46173</v>
      </c>
      <c r="J700" s="1">
        <v>46174</v>
      </c>
      <c r="K700" s="1">
        <v>46203</v>
      </c>
      <c r="L700" s="1">
        <v>46168</v>
      </c>
      <c r="N700" t="s">
        <v>1290</v>
      </c>
      <c r="O700" t="s">
        <v>266</v>
      </c>
      <c r="P700" s="19" t="s">
        <v>1291</v>
      </c>
      <c r="Q700" s="74">
        <v>46252.708333333336</v>
      </c>
      <c r="R700" t="s">
        <v>1179</v>
      </c>
    </row>
    <row r="701" spans="1:18" ht="15.6">
      <c r="A701" t="s">
        <v>1303</v>
      </c>
      <c r="B701" t="s">
        <v>263</v>
      </c>
      <c r="C701" t="s">
        <v>264</v>
      </c>
      <c r="D701" t="s">
        <v>1289</v>
      </c>
      <c r="E701">
        <v>2026</v>
      </c>
      <c r="F701" t="s">
        <v>526</v>
      </c>
      <c r="G701" t="s">
        <v>157</v>
      </c>
      <c r="H701" s="1">
        <v>46174</v>
      </c>
      <c r="I701" s="1">
        <v>46203</v>
      </c>
      <c r="J701" s="1">
        <v>46203</v>
      </c>
      <c r="K701" s="1">
        <v>46233</v>
      </c>
      <c r="L701" s="1">
        <v>46263</v>
      </c>
      <c r="M701" t="s">
        <v>1293</v>
      </c>
      <c r="N701" t="s">
        <v>1290</v>
      </c>
      <c r="O701" t="s">
        <v>266</v>
      </c>
      <c r="P701" s="19" t="s">
        <v>1291</v>
      </c>
      <c r="Q701" s="74">
        <v>46252.708333333336</v>
      </c>
      <c r="R701" t="s">
        <v>1179</v>
      </c>
    </row>
    <row r="702" spans="1:18" ht="15.6">
      <c r="A702" t="s">
        <v>1304</v>
      </c>
      <c r="B702" t="s">
        <v>263</v>
      </c>
      <c r="C702" t="s">
        <v>264</v>
      </c>
      <c r="D702" t="s">
        <v>1289</v>
      </c>
      <c r="E702">
        <v>2026</v>
      </c>
      <c r="F702" t="s">
        <v>508</v>
      </c>
      <c r="G702" t="s">
        <v>158</v>
      </c>
      <c r="H702" s="1">
        <v>46198</v>
      </c>
      <c r="I702" s="1">
        <v>46203</v>
      </c>
      <c r="J702" s="1">
        <v>46204</v>
      </c>
      <c r="K702" s="1">
        <v>46233</v>
      </c>
      <c r="L702" s="1">
        <v>46198</v>
      </c>
      <c r="N702" t="s">
        <v>1290</v>
      </c>
      <c r="O702" t="s">
        <v>266</v>
      </c>
      <c r="P702" s="19" t="s">
        <v>1291</v>
      </c>
      <c r="Q702" s="74">
        <v>46252.708333333336</v>
      </c>
      <c r="R702" t="s">
        <v>1179</v>
      </c>
    </row>
    <row r="703" spans="1:18" ht="15.6">
      <c r="A703" t="s">
        <v>1305</v>
      </c>
      <c r="B703" t="s">
        <v>263</v>
      </c>
      <c r="C703" t="s">
        <v>264</v>
      </c>
      <c r="D703" t="s">
        <v>1289</v>
      </c>
      <c r="E703">
        <v>2026</v>
      </c>
      <c r="F703" t="s">
        <v>526</v>
      </c>
      <c r="G703" t="s">
        <v>158</v>
      </c>
      <c r="H703" s="1">
        <v>46204</v>
      </c>
      <c r="I703" s="1">
        <v>46234</v>
      </c>
      <c r="J703" s="1">
        <v>46234</v>
      </c>
      <c r="K703" s="1">
        <v>46262</v>
      </c>
      <c r="L703" s="1">
        <v>46294</v>
      </c>
      <c r="M703" t="s">
        <v>1293</v>
      </c>
      <c r="N703" t="s">
        <v>1290</v>
      </c>
      <c r="O703" t="s">
        <v>266</v>
      </c>
      <c r="P703" s="19" t="s">
        <v>1291</v>
      </c>
      <c r="Q703" s="74">
        <v>46252.708333333336</v>
      </c>
      <c r="R703" t="s">
        <v>1179</v>
      </c>
    </row>
    <row r="704" spans="1:18" ht="15.6">
      <c r="A704" t="s">
        <v>1306</v>
      </c>
      <c r="B704" t="s">
        <v>263</v>
      </c>
      <c r="C704" t="s">
        <v>264</v>
      </c>
      <c r="D704" t="s">
        <v>1289</v>
      </c>
      <c r="E704">
        <v>2026</v>
      </c>
      <c r="F704" t="s">
        <v>508</v>
      </c>
      <c r="G704" t="s">
        <v>159</v>
      </c>
      <c r="H704" s="1">
        <v>46231</v>
      </c>
      <c r="I704" s="1">
        <v>46234</v>
      </c>
      <c r="J704" s="1">
        <v>46235</v>
      </c>
      <c r="K704" s="1">
        <v>46262</v>
      </c>
      <c r="L704" s="1">
        <v>46231</v>
      </c>
      <c r="N704" t="s">
        <v>1290</v>
      </c>
      <c r="O704" t="s">
        <v>266</v>
      </c>
      <c r="P704" s="19" t="s">
        <v>1291</v>
      </c>
      <c r="Q704" s="74">
        <v>46252.708333333336</v>
      </c>
      <c r="R704" t="s">
        <v>1179</v>
      </c>
    </row>
    <row r="705" spans="1:18" ht="15.6">
      <c r="A705" t="s">
        <v>1307</v>
      </c>
      <c r="B705" t="s">
        <v>263</v>
      </c>
      <c r="C705" t="s">
        <v>264</v>
      </c>
      <c r="D705" t="s">
        <v>1289</v>
      </c>
      <c r="E705">
        <v>2026</v>
      </c>
      <c r="F705" t="s">
        <v>526</v>
      </c>
      <c r="G705" t="s">
        <v>159</v>
      </c>
      <c r="H705" s="1">
        <v>46237</v>
      </c>
      <c r="I705" s="1">
        <v>46265</v>
      </c>
      <c r="J705" s="1">
        <v>46265</v>
      </c>
      <c r="K705" s="1">
        <v>46294</v>
      </c>
      <c r="L705" s="1">
        <v>46325</v>
      </c>
      <c r="M705" t="s">
        <v>1293</v>
      </c>
      <c r="N705" t="s">
        <v>1290</v>
      </c>
      <c r="O705" t="s">
        <v>266</v>
      </c>
      <c r="P705" s="19" t="s">
        <v>1291</v>
      </c>
      <c r="Q705" s="74">
        <v>46252.708333333336</v>
      </c>
      <c r="R705" t="s">
        <v>1191</v>
      </c>
    </row>
    <row r="706" spans="1:18" ht="15.6">
      <c r="A706" t="s">
        <v>1308</v>
      </c>
      <c r="B706" t="s">
        <v>263</v>
      </c>
      <c r="C706" t="s">
        <v>264</v>
      </c>
      <c r="D706" t="s">
        <v>1289</v>
      </c>
      <c r="E706">
        <v>2026</v>
      </c>
      <c r="F706" t="s">
        <v>508</v>
      </c>
      <c r="G706" t="s">
        <v>160</v>
      </c>
      <c r="H706" s="1">
        <v>46259</v>
      </c>
      <c r="I706" s="1">
        <v>46265</v>
      </c>
      <c r="J706" s="1">
        <v>46266</v>
      </c>
      <c r="K706" s="1">
        <v>46294</v>
      </c>
      <c r="L706" s="1">
        <v>46259</v>
      </c>
      <c r="N706" t="s">
        <v>1290</v>
      </c>
      <c r="O706" t="s">
        <v>266</v>
      </c>
      <c r="P706" s="19" t="s">
        <v>1291</v>
      </c>
      <c r="Q706" s="74">
        <v>46252.708333333336</v>
      </c>
      <c r="R706" t="s">
        <v>1191</v>
      </c>
    </row>
    <row r="707" spans="1:18" ht="15.6">
      <c r="A707" t="s">
        <v>1309</v>
      </c>
      <c r="B707" t="s">
        <v>263</v>
      </c>
      <c r="C707" t="s">
        <v>264</v>
      </c>
      <c r="D707" t="s">
        <v>1289</v>
      </c>
      <c r="E707">
        <v>2026</v>
      </c>
      <c r="F707" t="s">
        <v>526</v>
      </c>
      <c r="G707" t="s">
        <v>160</v>
      </c>
      <c r="H707" s="1">
        <v>46266</v>
      </c>
      <c r="I707" s="1">
        <v>46295</v>
      </c>
      <c r="J707" s="1">
        <v>46295</v>
      </c>
      <c r="K707" s="1">
        <v>46323</v>
      </c>
      <c r="L707" s="1">
        <v>46355</v>
      </c>
      <c r="M707" t="s">
        <v>1293</v>
      </c>
      <c r="N707" t="s">
        <v>1290</v>
      </c>
      <c r="O707" t="s">
        <v>266</v>
      </c>
      <c r="P707" s="19" t="s">
        <v>1291</v>
      </c>
      <c r="Q707" s="74">
        <v>46252.708333333336</v>
      </c>
      <c r="R707" t="s">
        <v>1191</v>
      </c>
    </row>
    <row r="708" spans="1:18" ht="15.6">
      <c r="A708" t="s">
        <v>1310</v>
      </c>
      <c r="B708" t="s">
        <v>263</v>
      </c>
      <c r="C708" t="s">
        <v>264</v>
      </c>
      <c r="D708" t="s">
        <v>1289</v>
      </c>
      <c r="E708">
        <v>2026</v>
      </c>
      <c r="F708" t="s">
        <v>508</v>
      </c>
      <c r="G708" t="s">
        <v>161</v>
      </c>
      <c r="H708" s="1">
        <v>46290</v>
      </c>
      <c r="I708" s="1">
        <v>46295</v>
      </c>
      <c r="J708" s="1">
        <v>46296</v>
      </c>
      <c r="K708" s="1">
        <v>46324</v>
      </c>
      <c r="L708" s="1">
        <v>46290</v>
      </c>
      <c r="N708" t="s">
        <v>1290</v>
      </c>
      <c r="O708" t="s">
        <v>266</v>
      </c>
      <c r="P708" s="19" t="s">
        <v>1291</v>
      </c>
      <c r="Q708" s="74">
        <v>46252.708333333336</v>
      </c>
      <c r="R708" t="s">
        <v>1191</v>
      </c>
    </row>
    <row r="709" spans="1:18" ht="15.6">
      <c r="A709" t="s">
        <v>1311</v>
      </c>
      <c r="B709" t="s">
        <v>263</v>
      </c>
      <c r="C709" t="s">
        <v>264</v>
      </c>
      <c r="D709" t="s">
        <v>1289</v>
      </c>
      <c r="E709">
        <v>2026</v>
      </c>
      <c r="F709" t="s">
        <v>526</v>
      </c>
      <c r="G709" t="s">
        <v>161</v>
      </c>
      <c r="H709" s="1">
        <v>46296</v>
      </c>
      <c r="I709" s="1">
        <v>46326</v>
      </c>
      <c r="J709" s="1">
        <v>46326</v>
      </c>
      <c r="K709" s="1">
        <v>46356</v>
      </c>
      <c r="L709" s="1">
        <v>46386</v>
      </c>
      <c r="M709" t="s">
        <v>1293</v>
      </c>
      <c r="N709" t="s">
        <v>1290</v>
      </c>
      <c r="O709" t="s">
        <v>266</v>
      </c>
      <c r="P709" s="19" t="s">
        <v>1291</v>
      </c>
      <c r="Q709" s="74">
        <v>46252.708333333336</v>
      </c>
      <c r="R709" t="s">
        <v>1191</v>
      </c>
    </row>
    <row r="710" spans="1:18" ht="15.6">
      <c r="A710" t="s">
        <v>1312</v>
      </c>
      <c r="B710" t="s">
        <v>263</v>
      </c>
      <c r="C710" t="s">
        <v>264</v>
      </c>
      <c r="D710" t="s">
        <v>1289</v>
      </c>
      <c r="E710">
        <v>2026</v>
      </c>
      <c r="F710" t="s">
        <v>508</v>
      </c>
      <c r="G710" t="s">
        <v>162</v>
      </c>
      <c r="H710" s="1">
        <v>46322</v>
      </c>
      <c r="I710" s="1">
        <v>46326</v>
      </c>
      <c r="J710" s="1">
        <v>46327</v>
      </c>
      <c r="K710" s="1">
        <v>46354</v>
      </c>
      <c r="L710" s="1">
        <v>46322</v>
      </c>
      <c r="N710" t="s">
        <v>1290</v>
      </c>
      <c r="O710" t="s">
        <v>266</v>
      </c>
      <c r="P710" s="19" t="s">
        <v>1291</v>
      </c>
      <c r="Q710" s="74">
        <v>46252.708333333336</v>
      </c>
      <c r="R710" t="s">
        <v>1191</v>
      </c>
    </row>
    <row r="711" spans="1:18" ht="15.6">
      <c r="A711" t="s">
        <v>1313</v>
      </c>
      <c r="B711" t="s">
        <v>263</v>
      </c>
      <c r="C711" t="s">
        <v>264</v>
      </c>
      <c r="D711" t="s">
        <v>1289</v>
      </c>
      <c r="E711">
        <v>2026</v>
      </c>
      <c r="F711" t="s">
        <v>526</v>
      </c>
      <c r="G711" t="s">
        <v>162</v>
      </c>
      <c r="H711" s="1">
        <v>46328</v>
      </c>
      <c r="I711" s="1">
        <v>46356</v>
      </c>
      <c r="J711" s="1">
        <v>46356</v>
      </c>
      <c r="K711" s="1">
        <v>46386</v>
      </c>
      <c r="L711" s="1">
        <v>46416</v>
      </c>
      <c r="M711" t="s">
        <v>1293</v>
      </c>
      <c r="N711" t="s">
        <v>1290</v>
      </c>
      <c r="O711" t="s">
        <v>266</v>
      </c>
      <c r="P711" s="19" t="s">
        <v>1291</v>
      </c>
      <c r="Q711" s="74">
        <v>46252.708333333336</v>
      </c>
      <c r="R711" t="s">
        <v>1191</v>
      </c>
    </row>
    <row r="712" spans="1:18" ht="15.6">
      <c r="A712" t="s">
        <v>1314</v>
      </c>
      <c r="B712" t="s">
        <v>263</v>
      </c>
      <c r="C712" t="s">
        <v>264</v>
      </c>
      <c r="D712" t="s">
        <v>1289</v>
      </c>
      <c r="E712">
        <v>2026</v>
      </c>
      <c r="F712" t="s">
        <v>508</v>
      </c>
      <c r="G712" t="s">
        <v>163</v>
      </c>
      <c r="H712" s="1">
        <v>46350</v>
      </c>
      <c r="I712" s="1">
        <v>46356</v>
      </c>
      <c r="J712" s="1">
        <v>46357</v>
      </c>
      <c r="K712" s="1">
        <v>46386</v>
      </c>
      <c r="L712" s="1">
        <v>46350</v>
      </c>
      <c r="N712" t="s">
        <v>1290</v>
      </c>
      <c r="O712" t="s">
        <v>266</v>
      </c>
      <c r="P712" s="19" t="s">
        <v>1291</v>
      </c>
      <c r="Q712" s="74">
        <v>46252.708333333336</v>
      </c>
      <c r="R712" t="s">
        <v>1191</v>
      </c>
    </row>
    <row r="713" spans="1:18" ht="15.6">
      <c r="A713" t="s">
        <v>1315</v>
      </c>
      <c r="B713" t="s">
        <v>263</v>
      </c>
      <c r="C713" t="s">
        <v>264</v>
      </c>
      <c r="D713" t="s">
        <v>1289</v>
      </c>
      <c r="E713">
        <v>2026</v>
      </c>
      <c r="F713" t="s">
        <v>526</v>
      </c>
      <c r="G713" t="s">
        <v>163</v>
      </c>
      <c r="H713" s="1">
        <v>46357</v>
      </c>
      <c r="I713" s="1">
        <v>46387</v>
      </c>
      <c r="J713" s="1">
        <v>46387</v>
      </c>
      <c r="K713" s="1">
        <v>46416</v>
      </c>
      <c r="L713" s="1">
        <v>46447</v>
      </c>
      <c r="M713" t="s">
        <v>1293</v>
      </c>
      <c r="N713" t="s">
        <v>1290</v>
      </c>
      <c r="O713" t="s">
        <v>266</v>
      </c>
      <c r="P713" s="19" t="s">
        <v>1291</v>
      </c>
      <c r="Q713" s="74">
        <v>46252.708333333336</v>
      </c>
      <c r="R713" t="s">
        <v>1191</v>
      </c>
    </row>
    <row r="714" spans="1:18" ht="15.6">
      <c r="A714" t="s">
        <v>1316</v>
      </c>
      <c r="B714" t="s">
        <v>263</v>
      </c>
      <c r="C714" t="s">
        <v>264</v>
      </c>
      <c r="D714" t="s">
        <v>1289</v>
      </c>
      <c r="E714">
        <v>2027</v>
      </c>
      <c r="F714" t="s">
        <v>508</v>
      </c>
      <c r="G714" t="s">
        <v>204</v>
      </c>
      <c r="H714" s="1">
        <v>46380</v>
      </c>
      <c r="I714" s="1">
        <v>46387</v>
      </c>
      <c r="J714" s="1">
        <v>46388</v>
      </c>
      <c r="K714" s="1">
        <v>46416</v>
      </c>
      <c r="L714" s="1">
        <v>46380</v>
      </c>
      <c r="N714" t="s">
        <v>1290</v>
      </c>
      <c r="O714" t="s">
        <v>266</v>
      </c>
      <c r="P714" s="19" t="s">
        <v>1291</v>
      </c>
      <c r="Q714" s="74">
        <v>46252.708333333336</v>
      </c>
      <c r="R714" t="s">
        <v>1191</v>
      </c>
    </row>
    <row r="715" spans="1:18" ht="15.6">
      <c r="A715" t="s">
        <v>1317</v>
      </c>
      <c r="B715" t="s">
        <v>263</v>
      </c>
      <c r="C715" t="s">
        <v>264</v>
      </c>
      <c r="D715" t="s">
        <v>1289</v>
      </c>
      <c r="E715">
        <v>2027</v>
      </c>
      <c r="F715" t="s">
        <v>526</v>
      </c>
      <c r="G715" t="s">
        <v>204</v>
      </c>
      <c r="H715" s="1">
        <v>46391</v>
      </c>
      <c r="I715" s="1">
        <v>46418</v>
      </c>
      <c r="J715" s="1">
        <v>46418</v>
      </c>
      <c r="K715" s="1">
        <v>46444</v>
      </c>
      <c r="L715" s="1">
        <v>46478</v>
      </c>
      <c r="M715" t="s">
        <v>1293</v>
      </c>
      <c r="N715" t="s">
        <v>1290</v>
      </c>
      <c r="O715" t="s">
        <v>266</v>
      </c>
      <c r="P715" s="19" t="s">
        <v>1291</v>
      </c>
      <c r="Q715" s="74">
        <v>46252.708333333336</v>
      </c>
      <c r="R715" t="s">
        <v>1191</v>
      </c>
    </row>
  </sheetData>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 ref="P15" r:id="rId14" xr:uid="{00000000-0004-0000-0100-00000D000000}"/>
    <hyperlink ref="P16" r:id="rId15" xr:uid="{00000000-0004-0000-0100-00000E000000}"/>
    <hyperlink ref="P17" r:id="rId16" xr:uid="{00000000-0004-0000-0100-00000F000000}"/>
    <hyperlink ref="P18" r:id="rId17" xr:uid="{00000000-0004-0000-0100-000010000000}"/>
    <hyperlink ref="P19" r:id="rId18" xr:uid="{00000000-0004-0000-0100-000011000000}"/>
    <hyperlink ref="P20" r:id="rId19" xr:uid="{00000000-0004-0000-0100-000012000000}"/>
    <hyperlink ref="P21" r:id="rId20" xr:uid="{00000000-0004-0000-0100-000013000000}"/>
    <hyperlink ref="P22" r:id="rId21" xr:uid="{00000000-0004-0000-0100-000014000000}"/>
    <hyperlink ref="P23" r:id="rId22" xr:uid="{00000000-0004-0000-0100-000015000000}"/>
    <hyperlink ref="P24" r:id="rId23" xr:uid="{00000000-0004-0000-0100-000016000000}"/>
    <hyperlink ref="P25" r:id="rId24" xr:uid="{00000000-0004-0000-0100-000017000000}"/>
    <hyperlink ref="P26" r:id="rId25" xr:uid="{00000000-0004-0000-0100-000018000000}"/>
    <hyperlink ref="P27" r:id="rId26" xr:uid="{00000000-0004-0000-0100-000019000000}"/>
    <hyperlink ref="P28" r:id="rId27" xr:uid="{00000000-0004-0000-0100-00001A000000}"/>
    <hyperlink ref="P29" r:id="rId28" xr:uid="{00000000-0004-0000-0100-00001B000000}"/>
    <hyperlink ref="P30" r:id="rId29" xr:uid="{00000000-0004-0000-0100-00001C000000}"/>
    <hyperlink ref="P31" r:id="rId30" xr:uid="{00000000-0004-0000-0100-00001D000000}"/>
    <hyperlink ref="P32" r:id="rId31" xr:uid="{00000000-0004-0000-0100-00001E000000}"/>
    <hyperlink ref="P33" r:id="rId32" xr:uid="{00000000-0004-0000-0100-00001F000000}"/>
    <hyperlink ref="P34" r:id="rId33" xr:uid="{00000000-0004-0000-0100-000020000000}"/>
    <hyperlink ref="P35" r:id="rId34" xr:uid="{00000000-0004-0000-0100-000021000000}"/>
    <hyperlink ref="P36" r:id="rId35" xr:uid="{00000000-0004-0000-0100-000022000000}"/>
    <hyperlink ref="P37" r:id="rId36" xr:uid="{00000000-0004-0000-0100-000023000000}"/>
    <hyperlink ref="P38" r:id="rId37" xr:uid="{00000000-0004-0000-0100-000024000000}"/>
    <hyperlink ref="P39" r:id="rId38" xr:uid="{00000000-0004-0000-0100-000025000000}"/>
    <hyperlink ref="P40" r:id="rId39" xr:uid="{00000000-0004-0000-0100-000026000000}"/>
    <hyperlink ref="P41" r:id="rId40" xr:uid="{00000000-0004-0000-0100-000027000000}"/>
    <hyperlink ref="P42" r:id="rId41" xr:uid="{00000000-0004-0000-0100-000028000000}"/>
    <hyperlink ref="P43" r:id="rId42" xr:uid="{00000000-0004-0000-0100-000029000000}"/>
    <hyperlink ref="P44" r:id="rId43" xr:uid="{00000000-0004-0000-0100-00002A000000}"/>
    <hyperlink ref="P45" r:id="rId44" xr:uid="{00000000-0004-0000-0100-00002B000000}"/>
    <hyperlink ref="P46" r:id="rId45" xr:uid="{00000000-0004-0000-0100-00002C000000}"/>
    <hyperlink ref="P47" r:id="rId46" xr:uid="{00000000-0004-0000-0100-00002D000000}"/>
    <hyperlink ref="P48" r:id="rId47" xr:uid="{00000000-0004-0000-0100-00002E000000}"/>
    <hyperlink ref="P49" r:id="rId48" xr:uid="{00000000-0004-0000-0100-00002F000000}"/>
    <hyperlink ref="P50" r:id="rId49" xr:uid="{00000000-0004-0000-0100-000030000000}"/>
    <hyperlink ref="P51" r:id="rId50" xr:uid="{00000000-0004-0000-0100-000031000000}"/>
    <hyperlink ref="P52" r:id="rId51" xr:uid="{00000000-0004-0000-0100-000032000000}"/>
    <hyperlink ref="P53" r:id="rId52" xr:uid="{00000000-0004-0000-0100-000033000000}"/>
    <hyperlink ref="P54" r:id="rId53" xr:uid="{00000000-0004-0000-0100-000034000000}"/>
    <hyperlink ref="P55" r:id="rId54" xr:uid="{00000000-0004-0000-0100-000035000000}"/>
    <hyperlink ref="P56" r:id="rId55" xr:uid="{00000000-0004-0000-0100-000036000000}"/>
    <hyperlink ref="P57" r:id="rId56" xr:uid="{00000000-0004-0000-0100-000037000000}"/>
    <hyperlink ref="P58" r:id="rId57" xr:uid="{00000000-0004-0000-0100-000038000000}"/>
    <hyperlink ref="P59" r:id="rId58" xr:uid="{00000000-0004-0000-0100-000039000000}"/>
    <hyperlink ref="P60" r:id="rId59" xr:uid="{00000000-0004-0000-0100-00003A000000}"/>
    <hyperlink ref="P61" r:id="rId60" xr:uid="{00000000-0004-0000-0100-00003B000000}"/>
    <hyperlink ref="P62" r:id="rId61" xr:uid="{00000000-0004-0000-0100-00003C000000}"/>
    <hyperlink ref="P63" r:id="rId62" xr:uid="{00000000-0004-0000-0100-00003D000000}"/>
    <hyperlink ref="P64" r:id="rId63" xr:uid="{00000000-0004-0000-0100-00003E000000}"/>
    <hyperlink ref="P65" r:id="rId64" xr:uid="{00000000-0004-0000-0100-00003F000000}"/>
    <hyperlink ref="P66" r:id="rId65" xr:uid="{00000000-0004-0000-0100-000040000000}"/>
    <hyperlink ref="P67" r:id="rId66" xr:uid="{00000000-0004-0000-0100-000041000000}"/>
    <hyperlink ref="P68" r:id="rId67" xr:uid="{00000000-0004-0000-0100-000042000000}"/>
    <hyperlink ref="P69" r:id="rId68" xr:uid="{00000000-0004-0000-0100-000043000000}"/>
    <hyperlink ref="P70" r:id="rId69" xr:uid="{00000000-0004-0000-0100-000044000000}"/>
    <hyperlink ref="P71" r:id="rId70" xr:uid="{00000000-0004-0000-0100-000045000000}"/>
    <hyperlink ref="P72" r:id="rId71" xr:uid="{00000000-0004-0000-0100-000046000000}"/>
    <hyperlink ref="P73" r:id="rId72" xr:uid="{00000000-0004-0000-0100-000047000000}"/>
    <hyperlink ref="P74" r:id="rId73" xr:uid="{00000000-0004-0000-0100-000048000000}"/>
    <hyperlink ref="P75" r:id="rId74" xr:uid="{00000000-0004-0000-0100-000049000000}"/>
    <hyperlink ref="P76" r:id="rId75" xr:uid="{00000000-0004-0000-0100-00004A000000}"/>
    <hyperlink ref="P77" r:id="rId76" xr:uid="{00000000-0004-0000-0100-00004B000000}"/>
    <hyperlink ref="P78" r:id="rId77" xr:uid="{00000000-0004-0000-0100-00004C000000}"/>
    <hyperlink ref="P79" r:id="rId78" xr:uid="{00000000-0004-0000-0100-00004D000000}"/>
    <hyperlink ref="P80" r:id="rId79" xr:uid="{00000000-0004-0000-0100-00004E000000}"/>
    <hyperlink ref="P81" r:id="rId80" xr:uid="{00000000-0004-0000-0100-00004F000000}"/>
    <hyperlink ref="P82" r:id="rId81" xr:uid="{00000000-0004-0000-0100-000050000000}"/>
    <hyperlink ref="P83" r:id="rId82" xr:uid="{00000000-0004-0000-0100-000051000000}"/>
    <hyperlink ref="P84" r:id="rId83" xr:uid="{00000000-0004-0000-0100-000052000000}"/>
    <hyperlink ref="P85" r:id="rId84" xr:uid="{00000000-0004-0000-0100-000053000000}"/>
    <hyperlink ref="P86" r:id="rId85" xr:uid="{00000000-0004-0000-0100-000054000000}"/>
    <hyperlink ref="P87" r:id="rId86" xr:uid="{00000000-0004-0000-0100-000055000000}"/>
    <hyperlink ref="P88" r:id="rId87" xr:uid="{00000000-0004-0000-0100-000056000000}"/>
    <hyperlink ref="P89" r:id="rId88" xr:uid="{00000000-0004-0000-0100-000057000000}"/>
    <hyperlink ref="P90" r:id="rId89" xr:uid="{00000000-0004-0000-0100-000058000000}"/>
    <hyperlink ref="P91" r:id="rId90" xr:uid="{00000000-0004-0000-0100-000059000000}"/>
    <hyperlink ref="P92" r:id="rId91" xr:uid="{00000000-0004-0000-0100-00005A000000}"/>
    <hyperlink ref="P93" r:id="rId92" xr:uid="{00000000-0004-0000-0100-00005B000000}"/>
    <hyperlink ref="P94" r:id="rId93" xr:uid="{00000000-0004-0000-0100-00005C000000}"/>
    <hyperlink ref="P95" r:id="rId94" xr:uid="{00000000-0004-0000-0100-00005D000000}"/>
    <hyperlink ref="P96" r:id="rId95" xr:uid="{00000000-0004-0000-0100-00005E000000}"/>
    <hyperlink ref="P97" r:id="rId96" xr:uid="{00000000-0004-0000-0100-00005F000000}"/>
    <hyperlink ref="P98" r:id="rId97" xr:uid="{00000000-0004-0000-0100-000060000000}"/>
    <hyperlink ref="P99" r:id="rId98" xr:uid="{00000000-0004-0000-0100-000061000000}"/>
    <hyperlink ref="P100" r:id="rId99" xr:uid="{00000000-0004-0000-0100-000062000000}"/>
    <hyperlink ref="P101" r:id="rId100" xr:uid="{00000000-0004-0000-0100-000063000000}"/>
    <hyperlink ref="P102" r:id="rId101" xr:uid="{00000000-0004-0000-0100-000064000000}"/>
    <hyperlink ref="P103" r:id="rId102" xr:uid="{00000000-0004-0000-0100-000065000000}"/>
    <hyperlink ref="P104" r:id="rId103" xr:uid="{00000000-0004-0000-0100-000066000000}"/>
    <hyperlink ref="P105" r:id="rId104" xr:uid="{00000000-0004-0000-0100-000067000000}"/>
    <hyperlink ref="P106" r:id="rId105" xr:uid="{00000000-0004-0000-0100-000068000000}"/>
    <hyperlink ref="P107" r:id="rId106" xr:uid="{00000000-0004-0000-0100-000069000000}"/>
    <hyperlink ref="P108" r:id="rId107" xr:uid="{00000000-0004-0000-0100-00006A000000}"/>
    <hyperlink ref="P109" r:id="rId108" xr:uid="{00000000-0004-0000-0100-00006B000000}"/>
    <hyperlink ref="P110" r:id="rId109" xr:uid="{00000000-0004-0000-0100-00006C000000}"/>
    <hyperlink ref="P111" r:id="rId110" xr:uid="{00000000-0004-0000-0100-00006D000000}"/>
    <hyperlink ref="P112" r:id="rId111" xr:uid="{00000000-0004-0000-0100-00006E000000}"/>
    <hyperlink ref="P113" r:id="rId112" xr:uid="{00000000-0004-0000-0100-00006F000000}"/>
    <hyperlink ref="P114" r:id="rId113" xr:uid="{00000000-0004-0000-0100-000070000000}"/>
    <hyperlink ref="P115" r:id="rId114" xr:uid="{00000000-0004-0000-0100-000071000000}"/>
    <hyperlink ref="P116" r:id="rId115" xr:uid="{00000000-0004-0000-0100-000072000000}"/>
    <hyperlink ref="P117" r:id="rId116" xr:uid="{00000000-0004-0000-0100-000073000000}"/>
    <hyperlink ref="P118" r:id="rId117" xr:uid="{00000000-0004-0000-0100-000074000000}"/>
    <hyperlink ref="P119" r:id="rId118" xr:uid="{00000000-0004-0000-0100-000075000000}"/>
    <hyperlink ref="P120" r:id="rId119" xr:uid="{00000000-0004-0000-0100-000076000000}"/>
    <hyperlink ref="P121" r:id="rId120" xr:uid="{00000000-0004-0000-0100-000077000000}"/>
    <hyperlink ref="P122" r:id="rId121" xr:uid="{00000000-0004-0000-0100-000078000000}"/>
    <hyperlink ref="P123" r:id="rId122" xr:uid="{00000000-0004-0000-0100-000079000000}"/>
    <hyperlink ref="P124" r:id="rId123" xr:uid="{00000000-0004-0000-0100-00007A000000}"/>
    <hyperlink ref="P125" r:id="rId124" xr:uid="{00000000-0004-0000-0100-00007B000000}"/>
    <hyperlink ref="P126" r:id="rId125" xr:uid="{00000000-0004-0000-0100-00007C000000}"/>
    <hyperlink ref="P127" r:id="rId126" xr:uid="{00000000-0004-0000-0100-00007D000000}"/>
    <hyperlink ref="P128" r:id="rId127" xr:uid="{00000000-0004-0000-0100-00007E000000}"/>
    <hyperlink ref="P129" r:id="rId128" xr:uid="{00000000-0004-0000-0100-00007F000000}"/>
    <hyperlink ref="P130" r:id="rId129" xr:uid="{00000000-0004-0000-0100-000080000000}"/>
    <hyperlink ref="P131" r:id="rId130" xr:uid="{00000000-0004-0000-0100-000081000000}"/>
    <hyperlink ref="P132" r:id="rId131" xr:uid="{00000000-0004-0000-0100-000082000000}"/>
    <hyperlink ref="P133" r:id="rId132" xr:uid="{00000000-0004-0000-0100-000083000000}"/>
    <hyperlink ref="P134" r:id="rId133" xr:uid="{00000000-0004-0000-0100-000084000000}"/>
    <hyperlink ref="P135" r:id="rId134" xr:uid="{00000000-0004-0000-0100-000085000000}"/>
    <hyperlink ref="P136" r:id="rId135" xr:uid="{00000000-0004-0000-0100-000086000000}"/>
    <hyperlink ref="P137" r:id="rId136" xr:uid="{00000000-0004-0000-0100-000087000000}"/>
    <hyperlink ref="P138" r:id="rId137" xr:uid="{00000000-0004-0000-0100-000088000000}"/>
    <hyperlink ref="P139" r:id="rId138" xr:uid="{00000000-0004-0000-0100-000089000000}"/>
    <hyperlink ref="P140" r:id="rId139" xr:uid="{00000000-0004-0000-0100-00008A000000}"/>
    <hyperlink ref="P141" r:id="rId140" xr:uid="{00000000-0004-0000-0100-00008B000000}"/>
    <hyperlink ref="P142" r:id="rId141" xr:uid="{00000000-0004-0000-0100-00008C000000}"/>
    <hyperlink ref="P143" r:id="rId142" xr:uid="{00000000-0004-0000-0100-00008D000000}"/>
    <hyperlink ref="P144" r:id="rId143" xr:uid="{00000000-0004-0000-0100-00008E000000}"/>
    <hyperlink ref="P145" r:id="rId144" xr:uid="{00000000-0004-0000-0100-00008F000000}"/>
    <hyperlink ref="P146" r:id="rId145" xr:uid="{00000000-0004-0000-0100-000090000000}"/>
    <hyperlink ref="P147" r:id="rId146" xr:uid="{00000000-0004-0000-0100-000091000000}"/>
    <hyperlink ref="P148" r:id="rId147" xr:uid="{00000000-0004-0000-0100-000092000000}"/>
    <hyperlink ref="P149" r:id="rId148" xr:uid="{00000000-0004-0000-0100-000093000000}"/>
    <hyperlink ref="P150" r:id="rId149" xr:uid="{00000000-0004-0000-0100-000094000000}"/>
    <hyperlink ref="P151" r:id="rId150" xr:uid="{00000000-0004-0000-0100-000095000000}"/>
    <hyperlink ref="P152" r:id="rId151" xr:uid="{00000000-0004-0000-0100-000096000000}"/>
    <hyperlink ref="P153" r:id="rId152" xr:uid="{00000000-0004-0000-0100-000097000000}"/>
    <hyperlink ref="P154" r:id="rId153" xr:uid="{00000000-0004-0000-0100-000098000000}"/>
    <hyperlink ref="P155" r:id="rId154" xr:uid="{00000000-0004-0000-0100-000099000000}"/>
    <hyperlink ref="P156" r:id="rId155" xr:uid="{00000000-0004-0000-0100-00009A000000}"/>
    <hyperlink ref="P157" r:id="rId156" xr:uid="{00000000-0004-0000-0100-00009B000000}"/>
    <hyperlink ref="P158" r:id="rId157" xr:uid="{00000000-0004-0000-0100-00009C000000}"/>
    <hyperlink ref="P159" r:id="rId158" xr:uid="{00000000-0004-0000-0100-00009D000000}"/>
    <hyperlink ref="P160" r:id="rId159" xr:uid="{00000000-0004-0000-0100-00009E000000}"/>
    <hyperlink ref="P161" r:id="rId160" xr:uid="{00000000-0004-0000-0100-00009F000000}"/>
    <hyperlink ref="P162" r:id="rId161" xr:uid="{00000000-0004-0000-0100-0000A0000000}"/>
    <hyperlink ref="P163" r:id="rId162" xr:uid="{00000000-0004-0000-0100-0000A1000000}"/>
    <hyperlink ref="P164" r:id="rId163" xr:uid="{00000000-0004-0000-0100-0000A2000000}"/>
    <hyperlink ref="P165" r:id="rId164" xr:uid="{00000000-0004-0000-0100-0000A3000000}"/>
    <hyperlink ref="P166" r:id="rId165" xr:uid="{00000000-0004-0000-0100-0000A4000000}"/>
    <hyperlink ref="P167" r:id="rId166" xr:uid="{00000000-0004-0000-0100-0000A5000000}"/>
    <hyperlink ref="P168" r:id="rId167" xr:uid="{00000000-0004-0000-0100-0000A6000000}"/>
    <hyperlink ref="P169" r:id="rId168" xr:uid="{00000000-0004-0000-0100-0000A7000000}"/>
    <hyperlink ref="P170" r:id="rId169" xr:uid="{00000000-0004-0000-0100-0000A8000000}"/>
    <hyperlink ref="P171" r:id="rId170" xr:uid="{00000000-0004-0000-0100-0000A9000000}"/>
    <hyperlink ref="P172" r:id="rId171" xr:uid="{00000000-0004-0000-0100-0000AA000000}"/>
    <hyperlink ref="P173" r:id="rId172" xr:uid="{00000000-0004-0000-0100-0000AB000000}"/>
    <hyperlink ref="P174" r:id="rId173" xr:uid="{00000000-0004-0000-0100-0000AC000000}"/>
    <hyperlink ref="P175" r:id="rId174" xr:uid="{00000000-0004-0000-0100-0000AD000000}"/>
    <hyperlink ref="P176" r:id="rId175" xr:uid="{00000000-0004-0000-0100-0000AE000000}"/>
    <hyperlink ref="P177" r:id="rId176" xr:uid="{00000000-0004-0000-0100-0000AF000000}"/>
    <hyperlink ref="P178" r:id="rId177" xr:uid="{00000000-0004-0000-0100-0000B0000000}"/>
    <hyperlink ref="P179" r:id="rId178" xr:uid="{00000000-0004-0000-0100-0000B1000000}"/>
    <hyperlink ref="P180" r:id="rId179" xr:uid="{00000000-0004-0000-0100-0000B2000000}"/>
    <hyperlink ref="P181" r:id="rId180" xr:uid="{00000000-0004-0000-0100-0000B3000000}"/>
    <hyperlink ref="P182" r:id="rId181" xr:uid="{00000000-0004-0000-0100-0000B4000000}"/>
    <hyperlink ref="P183" r:id="rId182" xr:uid="{00000000-0004-0000-0100-0000B5000000}"/>
    <hyperlink ref="P184" r:id="rId183" xr:uid="{00000000-0004-0000-0100-0000B6000000}"/>
    <hyperlink ref="P185" r:id="rId184" xr:uid="{00000000-0004-0000-0100-0000B7000000}"/>
    <hyperlink ref="P186" r:id="rId185" xr:uid="{00000000-0004-0000-0100-0000B8000000}"/>
    <hyperlink ref="P187" r:id="rId186" xr:uid="{00000000-0004-0000-0100-0000B9000000}"/>
    <hyperlink ref="P188" r:id="rId187" xr:uid="{00000000-0004-0000-0100-0000BA000000}"/>
    <hyperlink ref="P189" r:id="rId188" xr:uid="{00000000-0004-0000-0100-0000BB000000}"/>
    <hyperlink ref="P190" r:id="rId189" xr:uid="{00000000-0004-0000-0100-0000BC000000}"/>
    <hyperlink ref="P191" r:id="rId190" xr:uid="{00000000-0004-0000-0100-0000BD000000}"/>
    <hyperlink ref="P192" r:id="rId191" xr:uid="{00000000-0004-0000-0100-0000BE000000}"/>
    <hyperlink ref="P193" r:id="rId192" xr:uid="{00000000-0004-0000-0100-0000BF000000}"/>
    <hyperlink ref="P194" r:id="rId193" xr:uid="{00000000-0004-0000-0100-0000C0000000}"/>
    <hyperlink ref="P195" r:id="rId194" xr:uid="{00000000-0004-0000-0100-0000C1000000}"/>
    <hyperlink ref="P196" r:id="rId195" xr:uid="{00000000-0004-0000-0100-0000C2000000}"/>
    <hyperlink ref="P197" r:id="rId196" xr:uid="{00000000-0004-0000-0100-0000C3000000}"/>
    <hyperlink ref="P198" r:id="rId197" xr:uid="{00000000-0004-0000-0100-0000C4000000}"/>
    <hyperlink ref="P199" r:id="rId198" xr:uid="{00000000-0004-0000-0100-0000C5000000}"/>
    <hyperlink ref="P200" r:id="rId199" xr:uid="{00000000-0004-0000-0100-0000C6000000}"/>
    <hyperlink ref="P201" r:id="rId200" xr:uid="{00000000-0004-0000-0100-0000C7000000}"/>
    <hyperlink ref="P202" r:id="rId201" xr:uid="{00000000-0004-0000-0100-0000C8000000}"/>
    <hyperlink ref="P203" r:id="rId202" xr:uid="{00000000-0004-0000-0100-0000C9000000}"/>
    <hyperlink ref="P204" r:id="rId203" xr:uid="{00000000-0004-0000-0100-0000CA000000}"/>
    <hyperlink ref="P205" r:id="rId204" xr:uid="{00000000-0004-0000-0100-0000CB000000}"/>
    <hyperlink ref="P206" r:id="rId205" xr:uid="{00000000-0004-0000-0100-0000CC000000}"/>
    <hyperlink ref="P207" r:id="rId206" xr:uid="{00000000-0004-0000-0100-0000CD000000}"/>
    <hyperlink ref="P208" r:id="rId207" xr:uid="{00000000-0004-0000-0100-0000CE000000}"/>
    <hyperlink ref="P209" r:id="rId208" xr:uid="{00000000-0004-0000-0100-0000CF000000}"/>
    <hyperlink ref="P210" r:id="rId209" xr:uid="{00000000-0004-0000-0100-0000D0000000}"/>
    <hyperlink ref="P211" r:id="rId210" xr:uid="{00000000-0004-0000-0100-0000D1000000}"/>
    <hyperlink ref="P212" r:id="rId211" xr:uid="{00000000-0004-0000-0100-0000D2000000}"/>
    <hyperlink ref="P213" r:id="rId212" xr:uid="{00000000-0004-0000-0100-0000D3000000}"/>
    <hyperlink ref="P214" r:id="rId213" xr:uid="{00000000-0004-0000-0100-0000D4000000}"/>
    <hyperlink ref="P215" r:id="rId214" xr:uid="{00000000-0004-0000-0100-0000D5000000}"/>
    <hyperlink ref="P216" r:id="rId215" xr:uid="{00000000-0004-0000-0100-0000D6000000}"/>
    <hyperlink ref="P217" r:id="rId216" xr:uid="{00000000-0004-0000-0100-0000D7000000}"/>
    <hyperlink ref="P218" r:id="rId217" xr:uid="{00000000-0004-0000-0100-0000D8000000}"/>
    <hyperlink ref="P219" r:id="rId218" xr:uid="{00000000-0004-0000-0100-0000D9000000}"/>
    <hyperlink ref="P220" r:id="rId219" xr:uid="{00000000-0004-0000-0100-0000DA000000}"/>
    <hyperlink ref="P221" r:id="rId220" xr:uid="{00000000-0004-0000-0100-0000DB000000}"/>
    <hyperlink ref="P222" r:id="rId221" xr:uid="{00000000-0004-0000-0100-0000DC000000}"/>
    <hyperlink ref="P223" r:id="rId222" xr:uid="{00000000-0004-0000-0100-0000DD000000}"/>
    <hyperlink ref="P224" r:id="rId223" xr:uid="{00000000-0004-0000-0100-0000DE000000}"/>
    <hyperlink ref="P225" r:id="rId224" xr:uid="{00000000-0004-0000-0100-0000DF000000}"/>
    <hyperlink ref="P226" r:id="rId225" xr:uid="{00000000-0004-0000-0100-0000E0000000}"/>
    <hyperlink ref="P227" r:id="rId226" xr:uid="{00000000-0004-0000-0100-0000E1000000}"/>
    <hyperlink ref="P228" r:id="rId227" xr:uid="{00000000-0004-0000-0100-0000E2000000}"/>
    <hyperlink ref="P229" r:id="rId228" xr:uid="{00000000-0004-0000-0100-0000E3000000}"/>
    <hyperlink ref="P230" r:id="rId229" xr:uid="{00000000-0004-0000-0100-0000E4000000}"/>
    <hyperlink ref="P231" r:id="rId230" xr:uid="{00000000-0004-0000-0100-0000E5000000}"/>
    <hyperlink ref="P232" r:id="rId231" xr:uid="{00000000-0004-0000-0100-0000E6000000}"/>
    <hyperlink ref="P233" r:id="rId232" xr:uid="{00000000-0004-0000-0100-0000E7000000}"/>
    <hyperlink ref="P234" r:id="rId233" xr:uid="{00000000-0004-0000-0100-0000E8000000}"/>
    <hyperlink ref="P235" r:id="rId234" xr:uid="{00000000-0004-0000-0100-0000E9000000}"/>
    <hyperlink ref="P236" r:id="rId235" xr:uid="{00000000-0004-0000-0100-0000EA000000}"/>
    <hyperlink ref="P237" r:id="rId236" xr:uid="{00000000-0004-0000-0100-0000EB000000}"/>
    <hyperlink ref="P238" r:id="rId237" xr:uid="{00000000-0004-0000-0100-0000EC000000}"/>
    <hyperlink ref="P239" r:id="rId238" xr:uid="{00000000-0004-0000-0100-0000ED000000}"/>
    <hyperlink ref="P240" r:id="rId239" xr:uid="{00000000-0004-0000-0100-0000EE000000}"/>
    <hyperlink ref="P241" r:id="rId240" xr:uid="{00000000-0004-0000-0100-0000EF000000}"/>
    <hyperlink ref="P242" r:id="rId241" xr:uid="{00000000-0004-0000-0100-0000F0000000}"/>
    <hyperlink ref="P243" r:id="rId242" xr:uid="{00000000-0004-0000-0100-0000F1000000}"/>
    <hyperlink ref="P244" r:id="rId243" xr:uid="{00000000-0004-0000-0100-0000F2000000}"/>
    <hyperlink ref="P245" r:id="rId244" xr:uid="{00000000-0004-0000-0100-0000F3000000}"/>
    <hyperlink ref="P246" r:id="rId245" xr:uid="{00000000-0004-0000-0100-0000F4000000}"/>
    <hyperlink ref="P247" r:id="rId246" xr:uid="{00000000-0004-0000-0100-0000F5000000}"/>
    <hyperlink ref="P248" r:id="rId247" xr:uid="{00000000-0004-0000-0100-0000F6000000}"/>
    <hyperlink ref="P249" r:id="rId248" xr:uid="{00000000-0004-0000-0100-0000F7000000}"/>
    <hyperlink ref="P250" r:id="rId249" xr:uid="{00000000-0004-0000-0100-0000F8000000}"/>
    <hyperlink ref="P251" r:id="rId250" xr:uid="{00000000-0004-0000-0100-0000F9000000}"/>
    <hyperlink ref="P252" r:id="rId251" xr:uid="{00000000-0004-0000-0100-0000FA000000}"/>
    <hyperlink ref="P253" r:id="rId252" xr:uid="{00000000-0004-0000-0100-0000FB000000}"/>
    <hyperlink ref="P254" r:id="rId253" xr:uid="{00000000-0004-0000-0100-0000FC000000}"/>
    <hyperlink ref="P255" r:id="rId254" xr:uid="{00000000-0004-0000-0100-0000FD000000}"/>
    <hyperlink ref="P256" r:id="rId255" xr:uid="{00000000-0004-0000-0100-0000FE000000}"/>
    <hyperlink ref="P257" r:id="rId256" xr:uid="{00000000-0004-0000-0100-0000FF000000}"/>
    <hyperlink ref="P258" r:id="rId257" xr:uid="{00000000-0004-0000-0100-000000010000}"/>
    <hyperlink ref="P259" r:id="rId258" xr:uid="{00000000-0004-0000-0100-000001010000}"/>
    <hyperlink ref="P260" r:id="rId259" xr:uid="{00000000-0004-0000-0100-000002010000}"/>
    <hyperlink ref="P261" r:id="rId260" xr:uid="{00000000-0004-0000-0100-000003010000}"/>
    <hyperlink ref="P262" r:id="rId261" xr:uid="{00000000-0004-0000-0100-000004010000}"/>
    <hyperlink ref="P263" r:id="rId262" xr:uid="{00000000-0004-0000-0100-000005010000}"/>
    <hyperlink ref="P264" r:id="rId263" xr:uid="{00000000-0004-0000-0100-000006010000}"/>
    <hyperlink ref="P265" r:id="rId264" xr:uid="{00000000-0004-0000-0100-000007010000}"/>
    <hyperlink ref="P266" r:id="rId265" xr:uid="{00000000-0004-0000-0100-000008010000}"/>
    <hyperlink ref="P267" r:id="rId266" xr:uid="{00000000-0004-0000-0100-000009010000}"/>
    <hyperlink ref="P268" r:id="rId267" xr:uid="{00000000-0004-0000-0100-00000A010000}"/>
    <hyperlink ref="P269" r:id="rId268" xr:uid="{00000000-0004-0000-0100-00000B010000}"/>
    <hyperlink ref="P270" r:id="rId269" xr:uid="{00000000-0004-0000-0100-00000C010000}"/>
    <hyperlink ref="P271" r:id="rId270" xr:uid="{00000000-0004-0000-0100-00000D010000}"/>
    <hyperlink ref="P272" r:id="rId271" xr:uid="{00000000-0004-0000-0100-00000E010000}"/>
    <hyperlink ref="P273" r:id="rId272" xr:uid="{00000000-0004-0000-0100-00000F010000}"/>
    <hyperlink ref="P274" r:id="rId273" xr:uid="{00000000-0004-0000-0100-000010010000}"/>
    <hyperlink ref="P275" r:id="rId274" xr:uid="{00000000-0004-0000-0100-000011010000}"/>
    <hyperlink ref="P276" r:id="rId275" xr:uid="{00000000-0004-0000-0100-000012010000}"/>
    <hyperlink ref="P277" r:id="rId276" xr:uid="{00000000-0004-0000-0100-000013010000}"/>
    <hyperlink ref="P278" r:id="rId277" xr:uid="{00000000-0004-0000-0100-000014010000}"/>
    <hyperlink ref="P279" r:id="rId278" xr:uid="{00000000-0004-0000-0100-000015010000}"/>
    <hyperlink ref="P280" r:id="rId279" xr:uid="{00000000-0004-0000-0100-000016010000}"/>
    <hyperlink ref="P281" r:id="rId280" xr:uid="{00000000-0004-0000-0100-000017010000}"/>
    <hyperlink ref="P282" r:id="rId281" xr:uid="{00000000-0004-0000-0100-000018010000}"/>
    <hyperlink ref="P283" r:id="rId282" xr:uid="{00000000-0004-0000-0100-000019010000}"/>
    <hyperlink ref="P284" r:id="rId283" xr:uid="{00000000-0004-0000-0100-00001A010000}"/>
    <hyperlink ref="P285" r:id="rId284" xr:uid="{00000000-0004-0000-0100-00001B010000}"/>
    <hyperlink ref="P286" r:id="rId285" xr:uid="{00000000-0004-0000-0100-00001C010000}"/>
    <hyperlink ref="P287" r:id="rId286" xr:uid="{00000000-0004-0000-0100-00001D010000}"/>
    <hyperlink ref="P288" r:id="rId287" xr:uid="{00000000-0004-0000-0100-00001E010000}"/>
    <hyperlink ref="P289" r:id="rId288" xr:uid="{00000000-0004-0000-0100-00001F010000}"/>
    <hyperlink ref="P290" r:id="rId289" xr:uid="{00000000-0004-0000-0100-000020010000}"/>
    <hyperlink ref="P291" r:id="rId290" xr:uid="{00000000-0004-0000-0100-000021010000}"/>
    <hyperlink ref="P292" r:id="rId291" xr:uid="{00000000-0004-0000-0100-000022010000}"/>
    <hyperlink ref="P293" r:id="rId292" xr:uid="{00000000-0004-0000-0100-000023010000}"/>
    <hyperlink ref="P294" r:id="rId293" xr:uid="{00000000-0004-0000-0100-000024010000}"/>
    <hyperlink ref="P295" r:id="rId294" xr:uid="{00000000-0004-0000-0100-000025010000}"/>
    <hyperlink ref="P296" r:id="rId295" xr:uid="{00000000-0004-0000-0100-000026010000}"/>
    <hyperlink ref="P297" r:id="rId296" xr:uid="{00000000-0004-0000-0100-000027010000}"/>
    <hyperlink ref="P298" r:id="rId297" xr:uid="{00000000-0004-0000-0100-000028010000}"/>
    <hyperlink ref="P299" r:id="rId298" xr:uid="{00000000-0004-0000-0100-000029010000}"/>
    <hyperlink ref="P300" r:id="rId299" xr:uid="{00000000-0004-0000-0100-00002A010000}"/>
    <hyperlink ref="P301" r:id="rId300" xr:uid="{00000000-0004-0000-0100-00002B010000}"/>
    <hyperlink ref="P302" r:id="rId301" xr:uid="{00000000-0004-0000-0100-00002C010000}"/>
    <hyperlink ref="P303" r:id="rId302" xr:uid="{00000000-0004-0000-0100-00002D010000}"/>
    <hyperlink ref="P304" r:id="rId303" xr:uid="{00000000-0004-0000-0100-00002E010000}"/>
    <hyperlink ref="P305" r:id="rId304" xr:uid="{00000000-0004-0000-0100-00002F010000}"/>
    <hyperlink ref="P306" r:id="rId305" xr:uid="{00000000-0004-0000-0100-000030010000}"/>
    <hyperlink ref="P307" r:id="rId306" xr:uid="{00000000-0004-0000-0100-000031010000}"/>
    <hyperlink ref="P308" r:id="rId307" xr:uid="{00000000-0004-0000-0100-000032010000}"/>
    <hyperlink ref="P309" r:id="rId308" xr:uid="{00000000-0004-0000-0100-000033010000}"/>
    <hyperlink ref="P310" r:id="rId309" xr:uid="{00000000-0004-0000-0100-000034010000}"/>
    <hyperlink ref="P311" r:id="rId310" xr:uid="{00000000-0004-0000-0100-000035010000}"/>
    <hyperlink ref="P312" r:id="rId311" xr:uid="{00000000-0004-0000-0100-000036010000}"/>
    <hyperlink ref="P313" r:id="rId312" xr:uid="{00000000-0004-0000-0100-000037010000}"/>
    <hyperlink ref="P314" r:id="rId313" xr:uid="{00000000-0004-0000-0100-000038010000}"/>
    <hyperlink ref="P315" r:id="rId314" xr:uid="{00000000-0004-0000-0100-000039010000}"/>
    <hyperlink ref="P316" r:id="rId315" xr:uid="{00000000-0004-0000-0100-00003A010000}"/>
    <hyperlink ref="P317" r:id="rId316" xr:uid="{00000000-0004-0000-0100-00003B010000}"/>
    <hyperlink ref="P318" r:id="rId317" xr:uid="{00000000-0004-0000-0100-00003C010000}"/>
    <hyperlink ref="P319" r:id="rId318" xr:uid="{00000000-0004-0000-0100-00003D010000}"/>
    <hyperlink ref="P320" r:id="rId319" xr:uid="{00000000-0004-0000-0100-00003E010000}"/>
    <hyperlink ref="P321" r:id="rId320" xr:uid="{00000000-0004-0000-0100-00003F010000}"/>
    <hyperlink ref="P322" r:id="rId321" xr:uid="{00000000-0004-0000-0100-000040010000}"/>
    <hyperlink ref="P323" r:id="rId322" xr:uid="{00000000-0004-0000-0100-000041010000}"/>
    <hyperlink ref="P324" r:id="rId323" xr:uid="{00000000-0004-0000-0100-000042010000}"/>
    <hyperlink ref="P325" r:id="rId324" xr:uid="{00000000-0004-0000-0100-000043010000}"/>
    <hyperlink ref="P326" r:id="rId325" xr:uid="{00000000-0004-0000-0100-000044010000}"/>
    <hyperlink ref="P327" r:id="rId326" xr:uid="{00000000-0004-0000-0100-000045010000}"/>
    <hyperlink ref="P328" r:id="rId327" xr:uid="{00000000-0004-0000-0100-000046010000}"/>
    <hyperlink ref="P329" r:id="rId328" xr:uid="{00000000-0004-0000-0100-000047010000}"/>
    <hyperlink ref="P330" r:id="rId329" xr:uid="{00000000-0004-0000-0100-000048010000}"/>
    <hyperlink ref="P331" r:id="rId330" xr:uid="{00000000-0004-0000-0100-000049010000}"/>
    <hyperlink ref="P332" r:id="rId331" xr:uid="{00000000-0004-0000-0100-00004A010000}"/>
    <hyperlink ref="P333" r:id="rId332" xr:uid="{00000000-0004-0000-0100-00004B010000}"/>
    <hyperlink ref="P334" r:id="rId333" xr:uid="{00000000-0004-0000-0100-00004C010000}"/>
    <hyperlink ref="P335" r:id="rId334" xr:uid="{00000000-0004-0000-0100-00004D010000}"/>
    <hyperlink ref="P336" r:id="rId335" xr:uid="{00000000-0004-0000-0100-00004E010000}"/>
    <hyperlink ref="P337" r:id="rId336" xr:uid="{00000000-0004-0000-0100-00004F010000}"/>
    <hyperlink ref="P338" r:id="rId337" xr:uid="{00000000-0004-0000-0100-000050010000}"/>
    <hyperlink ref="P339" r:id="rId338" xr:uid="{00000000-0004-0000-0100-000051010000}"/>
    <hyperlink ref="P340" r:id="rId339" xr:uid="{00000000-0004-0000-0100-000052010000}"/>
    <hyperlink ref="P341" r:id="rId340" xr:uid="{00000000-0004-0000-0100-000053010000}"/>
    <hyperlink ref="P342" r:id="rId341" xr:uid="{00000000-0004-0000-0100-000054010000}"/>
    <hyperlink ref="P343" r:id="rId342" xr:uid="{00000000-0004-0000-0100-000055010000}"/>
    <hyperlink ref="P344" r:id="rId343" xr:uid="{00000000-0004-0000-0100-000056010000}"/>
    <hyperlink ref="P345" r:id="rId344" xr:uid="{00000000-0004-0000-0100-000057010000}"/>
    <hyperlink ref="P346" r:id="rId345" xr:uid="{00000000-0004-0000-0100-000058010000}"/>
    <hyperlink ref="P347" r:id="rId346" xr:uid="{00000000-0004-0000-0100-000059010000}"/>
    <hyperlink ref="P348" r:id="rId347" xr:uid="{00000000-0004-0000-0100-00005A010000}"/>
    <hyperlink ref="P349" r:id="rId348" xr:uid="{00000000-0004-0000-0100-00005B010000}"/>
    <hyperlink ref="P350" r:id="rId349" xr:uid="{00000000-0004-0000-0100-00005C010000}"/>
    <hyperlink ref="P351" r:id="rId350" xr:uid="{00000000-0004-0000-0100-00005D010000}"/>
    <hyperlink ref="P352" r:id="rId351" xr:uid="{00000000-0004-0000-0100-00005E010000}"/>
    <hyperlink ref="P353" r:id="rId352" xr:uid="{00000000-0004-0000-0100-00005F010000}"/>
    <hyperlink ref="P354" r:id="rId353" xr:uid="{00000000-0004-0000-0100-000060010000}"/>
    <hyperlink ref="P355" r:id="rId354" xr:uid="{00000000-0004-0000-0100-000061010000}"/>
    <hyperlink ref="P356" r:id="rId355" xr:uid="{00000000-0004-0000-0100-000062010000}"/>
    <hyperlink ref="P357" r:id="rId356" xr:uid="{00000000-0004-0000-0100-000063010000}"/>
    <hyperlink ref="P358" r:id="rId357" xr:uid="{00000000-0004-0000-0100-000064010000}"/>
    <hyperlink ref="P359" r:id="rId358" xr:uid="{00000000-0004-0000-0100-000065010000}"/>
    <hyperlink ref="P360" r:id="rId359" xr:uid="{00000000-0004-0000-0100-000066010000}"/>
    <hyperlink ref="P361" r:id="rId360" xr:uid="{00000000-0004-0000-0100-000067010000}"/>
    <hyperlink ref="P362" r:id="rId361" xr:uid="{00000000-0004-0000-0100-000068010000}"/>
    <hyperlink ref="P363" r:id="rId362" xr:uid="{00000000-0004-0000-0100-000069010000}"/>
    <hyperlink ref="P364" r:id="rId363" xr:uid="{00000000-0004-0000-0100-00006A010000}"/>
    <hyperlink ref="P365" r:id="rId364" xr:uid="{00000000-0004-0000-0100-00006B010000}"/>
    <hyperlink ref="P366" r:id="rId365" xr:uid="{00000000-0004-0000-0100-00006C010000}"/>
    <hyperlink ref="P367" r:id="rId366" xr:uid="{00000000-0004-0000-0100-00006D010000}"/>
    <hyperlink ref="P368" r:id="rId367" xr:uid="{00000000-0004-0000-0100-00006E010000}"/>
    <hyperlink ref="P369" r:id="rId368" xr:uid="{00000000-0004-0000-0100-00006F010000}"/>
    <hyperlink ref="P370" r:id="rId369" xr:uid="{00000000-0004-0000-0100-000070010000}"/>
    <hyperlink ref="P371" r:id="rId370" xr:uid="{00000000-0004-0000-0100-000071010000}"/>
    <hyperlink ref="P372" r:id="rId371" xr:uid="{00000000-0004-0000-0100-000072010000}"/>
    <hyperlink ref="P373" r:id="rId372" xr:uid="{00000000-0004-0000-0100-000073010000}"/>
    <hyperlink ref="P374" r:id="rId373" xr:uid="{00000000-0004-0000-0100-000074010000}"/>
    <hyperlink ref="P375" r:id="rId374" xr:uid="{00000000-0004-0000-0100-000075010000}"/>
    <hyperlink ref="P376" r:id="rId375" xr:uid="{00000000-0004-0000-0100-000076010000}"/>
    <hyperlink ref="P377" r:id="rId376" xr:uid="{00000000-0004-0000-0100-000077010000}"/>
    <hyperlink ref="P378" r:id="rId377" xr:uid="{00000000-0004-0000-0100-000078010000}"/>
    <hyperlink ref="P379" r:id="rId378" xr:uid="{00000000-0004-0000-0100-000079010000}"/>
    <hyperlink ref="P380" r:id="rId379" xr:uid="{00000000-0004-0000-0100-00007A010000}"/>
    <hyperlink ref="P381" r:id="rId380" xr:uid="{00000000-0004-0000-0100-00007B010000}"/>
    <hyperlink ref="P382" r:id="rId381" xr:uid="{00000000-0004-0000-0100-00007C010000}"/>
    <hyperlink ref="P383" r:id="rId382" xr:uid="{00000000-0004-0000-0100-00007D010000}"/>
    <hyperlink ref="P384" r:id="rId383" xr:uid="{00000000-0004-0000-0100-00007E010000}"/>
    <hyperlink ref="P385" r:id="rId384" xr:uid="{00000000-0004-0000-0100-00007F010000}"/>
    <hyperlink ref="P386" r:id="rId385" xr:uid="{00000000-0004-0000-0100-000080010000}"/>
    <hyperlink ref="P387" r:id="rId386" xr:uid="{00000000-0004-0000-0100-000081010000}"/>
    <hyperlink ref="P388" r:id="rId387" xr:uid="{00000000-0004-0000-0100-000082010000}"/>
    <hyperlink ref="P389" r:id="rId388" xr:uid="{00000000-0004-0000-0100-000083010000}"/>
    <hyperlink ref="P390" r:id="rId389" xr:uid="{00000000-0004-0000-0100-000084010000}"/>
    <hyperlink ref="P391" r:id="rId390" xr:uid="{00000000-0004-0000-0100-000085010000}"/>
    <hyperlink ref="P392" r:id="rId391" xr:uid="{00000000-0004-0000-0100-000086010000}"/>
    <hyperlink ref="P393" r:id="rId392" xr:uid="{00000000-0004-0000-0100-000087010000}"/>
    <hyperlink ref="P394" r:id="rId393" xr:uid="{00000000-0004-0000-0100-000088010000}"/>
    <hyperlink ref="P395" r:id="rId394" xr:uid="{00000000-0004-0000-0100-000089010000}"/>
    <hyperlink ref="P396" r:id="rId395" xr:uid="{00000000-0004-0000-0100-00008A010000}"/>
    <hyperlink ref="P397" r:id="rId396" xr:uid="{00000000-0004-0000-0100-00008B010000}"/>
    <hyperlink ref="P398" r:id="rId397" xr:uid="{00000000-0004-0000-0100-00008C010000}"/>
    <hyperlink ref="P399" r:id="rId398" xr:uid="{00000000-0004-0000-0100-00008D010000}"/>
    <hyperlink ref="P400" r:id="rId399" xr:uid="{00000000-0004-0000-0100-00008E010000}"/>
    <hyperlink ref="P401" r:id="rId400" xr:uid="{00000000-0004-0000-0100-00008F010000}"/>
    <hyperlink ref="P402" r:id="rId401" xr:uid="{00000000-0004-0000-0100-000090010000}"/>
    <hyperlink ref="P403" r:id="rId402" xr:uid="{00000000-0004-0000-0100-000091010000}"/>
    <hyperlink ref="P404" r:id="rId403" xr:uid="{00000000-0004-0000-0100-000092010000}"/>
    <hyperlink ref="P405" r:id="rId404" xr:uid="{00000000-0004-0000-0100-000093010000}"/>
    <hyperlink ref="P406" r:id="rId405" xr:uid="{00000000-0004-0000-0100-000094010000}"/>
    <hyperlink ref="P407" r:id="rId406" xr:uid="{00000000-0004-0000-0100-000095010000}"/>
    <hyperlink ref="P408" r:id="rId407" xr:uid="{00000000-0004-0000-0100-000096010000}"/>
    <hyperlink ref="P409" r:id="rId408" xr:uid="{00000000-0004-0000-0100-000097010000}"/>
    <hyperlink ref="P410" r:id="rId409" xr:uid="{00000000-0004-0000-0100-000098010000}"/>
    <hyperlink ref="P411" r:id="rId410" xr:uid="{00000000-0004-0000-0100-000099010000}"/>
    <hyperlink ref="P412" r:id="rId411" xr:uid="{00000000-0004-0000-0100-00009A010000}"/>
    <hyperlink ref="P413" r:id="rId412" xr:uid="{00000000-0004-0000-0100-00009B010000}"/>
    <hyperlink ref="P414" r:id="rId413" xr:uid="{00000000-0004-0000-0100-00009C010000}"/>
    <hyperlink ref="P415" r:id="rId414" xr:uid="{00000000-0004-0000-0100-00009D010000}"/>
    <hyperlink ref="P416" r:id="rId415" xr:uid="{00000000-0004-0000-0100-00009E010000}"/>
    <hyperlink ref="P417" r:id="rId416" xr:uid="{00000000-0004-0000-0100-00009F010000}"/>
    <hyperlink ref="P418" r:id="rId417" xr:uid="{00000000-0004-0000-0100-0000A0010000}"/>
    <hyperlink ref="P419" r:id="rId418" xr:uid="{00000000-0004-0000-0100-0000A1010000}"/>
    <hyperlink ref="P420" r:id="rId419" xr:uid="{00000000-0004-0000-0100-0000A2010000}"/>
    <hyperlink ref="P421" r:id="rId420" xr:uid="{00000000-0004-0000-0100-0000A3010000}"/>
    <hyperlink ref="P422" r:id="rId421" xr:uid="{00000000-0004-0000-0100-0000A4010000}"/>
    <hyperlink ref="P423" r:id="rId422" xr:uid="{00000000-0004-0000-0100-0000A5010000}"/>
    <hyperlink ref="P424" r:id="rId423" xr:uid="{00000000-0004-0000-0100-0000A6010000}"/>
    <hyperlink ref="P425" r:id="rId424" xr:uid="{00000000-0004-0000-0100-0000A7010000}"/>
    <hyperlink ref="P426" r:id="rId425" xr:uid="{00000000-0004-0000-0100-0000A8010000}"/>
    <hyperlink ref="P427" r:id="rId426" xr:uid="{00000000-0004-0000-0100-0000A9010000}"/>
    <hyperlink ref="P428" r:id="rId427" xr:uid="{00000000-0004-0000-0100-0000AA010000}"/>
    <hyperlink ref="P429" r:id="rId428" xr:uid="{00000000-0004-0000-0100-0000AB010000}"/>
    <hyperlink ref="P430" r:id="rId429" xr:uid="{00000000-0004-0000-0100-0000AC010000}"/>
    <hyperlink ref="P431" r:id="rId430" xr:uid="{00000000-0004-0000-0100-0000AD010000}"/>
    <hyperlink ref="P432" r:id="rId431" xr:uid="{00000000-0004-0000-0100-0000AE010000}"/>
    <hyperlink ref="P433" r:id="rId432" xr:uid="{00000000-0004-0000-0100-0000AF010000}"/>
    <hyperlink ref="P434" r:id="rId433" xr:uid="{00000000-0004-0000-0100-0000B0010000}"/>
    <hyperlink ref="P435" r:id="rId434" xr:uid="{00000000-0004-0000-0100-0000B1010000}"/>
    <hyperlink ref="P436" r:id="rId435" xr:uid="{00000000-0004-0000-0100-0000B2010000}"/>
    <hyperlink ref="P437" r:id="rId436" xr:uid="{00000000-0004-0000-0100-0000B3010000}"/>
    <hyperlink ref="P438" r:id="rId437" xr:uid="{00000000-0004-0000-0100-0000B4010000}"/>
    <hyperlink ref="P439" r:id="rId438" xr:uid="{00000000-0004-0000-0100-0000B5010000}"/>
    <hyperlink ref="P440" r:id="rId439" xr:uid="{00000000-0004-0000-0100-0000B6010000}"/>
    <hyperlink ref="P441" r:id="rId440" xr:uid="{00000000-0004-0000-0100-0000B7010000}"/>
    <hyperlink ref="P442" r:id="rId441" xr:uid="{00000000-0004-0000-0100-0000B8010000}"/>
    <hyperlink ref="P443" r:id="rId442" xr:uid="{00000000-0004-0000-0100-0000B9010000}"/>
    <hyperlink ref="P444" r:id="rId443" xr:uid="{00000000-0004-0000-0100-0000BA010000}"/>
    <hyperlink ref="P445" r:id="rId444" xr:uid="{00000000-0004-0000-0100-0000BB010000}"/>
    <hyperlink ref="P446" r:id="rId445" xr:uid="{00000000-0004-0000-0100-0000BC010000}"/>
    <hyperlink ref="P447" r:id="rId446" xr:uid="{00000000-0004-0000-0100-0000BD010000}"/>
    <hyperlink ref="P448" r:id="rId447" xr:uid="{00000000-0004-0000-0100-0000BE010000}"/>
    <hyperlink ref="P449" r:id="rId448" xr:uid="{00000000-0004-0000-0100-0000BF010000}"/>
    <hyperlink ref="P450" r:id="rId449" xr:uid="{00000000-0004-0000-0100-0000C0010000}"/>
    <hyperlink ref="P451" r:id="rId450" xr:uid="{00000000-0004-0000-0100-0000C1010000}"/>
    <hyperlink ref="P452" r:id="rId451" xr:uid="{00000000-0004-0000-0100-0000C2010000}"/>
    <hyperlink ref="P453" r:id="rId452" xr:uid="{00000000-0004-0000-0100-0000C3010000}"/>
    <hyperlink ref="P454" r:id="rId453" xr:uid="{00000000-0004-0000-0100-0000C4010000}"/>
    <hyperlink ref="P455" r:id="rId454" xr:uid="{00000000-0004-0000-0100-0000C5010000}"/>
    <hyperlink ref="P456" r:id="rId455" xr:uid="{00000000-0004-0000-0100-0000C6010000}"/>
    <hyperlink ref="P457" r:id="rId456" xr:uid="{00000000-0004-0000-0100-0000C7010000}"/>
    <hyperlink ref="P458" r:id="rId457" xr:uid="{00000000-0004-0000-0100-0000C8010000}"/>
    <hyperlink ref="P459" r:id="rId458" xr:uid="{00000000-0004-0000-0100-0000C9010000}"/>
    <hyperlink ref="P460" r:id="rId459" xr:uid="{00000000-0004-0000-0100-0000CA010000}"/>
    <hyperlink ref="P461" r:id="rId460" xr:uid="{00000000-0004-0000-0100-0000CB010000}"/>
    <hyperlink ref="P462" r:id="rId461" xr:uid="{00000000-0004-0000-0100-0000CC010000}"/>
    <hyperlink ref="P463" r:id="rId462" xr:uid="{00000000-0004-0000-0100-0000CD010000}"/>
    <hyperlink ref="P464" r:id="rId463" xr:uid="{00000000-0004-0000-0100-0000CE010000}"/>
    <hyperlink ref="P465" r:id="rId464" xr:uid="{00000000-0004-0000-0100-0000CF010000}"/>
    <hyperlink ref="P466" r:id="rId465" xr:uid="{00000000-0004-0000-0100-0000D0010000}"/>
    <hyperlink ref="P467" r:id="rId466" xr:uid="{00000000-0004-0000-0100-0000D1010000}"/>
    <hyperlink ref="P468" r:id="rId467" xr:uid="{00000000-0004-0000-0100-0000D2010000}"/>
    <hyperlink ref="P469" r:id="rId468" xr:uid="{00000000-0004-0000-0100-0000D3010000}"/>
    <hyperlink ref="P470" r:id="rId469" xr:uid="{00000000-0004-0000-0100-0000D4010000}"/>
    <hyperlink ref="P471" r:id="rId470" xr:uid="{00000000-0004-0000-0100-0000D5010000}"/>
    <hyperlink ref="P472" r:id="rId471" xr:uid="{00000000-0004-0000-0100-0000D6010000}"/>
    <hyperlink ref="P473" r:id="rId472" xr:uid="{00000000-0004-0000-0100-0000D7010000}"/>
    <hyperlink ref="P474" r:id="rId473" xr:uid="{00000000-0004-0000-0100-0000D8010000}"/>
    <hyperlink ref="P475" r:id="rId474" xr:uid="{00000000-0004-0000-0100-0000D9010000}"/>
    <hyperlink ref="P476" r:id="rId475" xr:uid="{00000000-0004-0000-0100-0000DA010000}"/>
    <hyperlink ref="P477" r:id="rId476" xr:uid="{00000000-0004-0000-0100-0000DB010000}"/>
    <hyperlink ref="P478" r:id="rId477" xr:uid="{00000000-0004-0000-0100-0000DC010000}"/>
    <hyperlink ref="P479" r:id="rId478" xr:uid="{00000000-0004-0000-0100-0000DD010000}"/>
    <hyperlink ref="P480" r:id="rId479" xr:uid="{00000000-0004-0000-0100-0000DE010000}"/>
    <hyperlink ref="P481" r:id="rId480" xr:uid="{00000000-0004-0000-0100-0000DF010000}"/>
    <hyperlink ref="P482" r:id="rId481" xr:uid="{00000000-0004-0000-0100-0000E0010000}"/>
    <hyperlink ref="P483" r:id="rId482" xr:uid="{00000000-0004-0000-0100-0000E1010000}"/>
    <hyperlink ref="P484" r:id="rId483" xr:uid="{00000000-0004-0000-0100-0000E2010000}"/>
    <hyperlink ref="P485" r:id="rId484" xr:uid="{00000000-0004-0000-0100-0000E3010000}"/>
    <hyperlink ref="P486" r:id="rId485" xr:uid="{00000000-0004-0000-0100-0000E4010000}"/>
    <hyperlink ref="P487" r:id="rId486" xr:uid="{00000000-0004-0000-0100-0000E5010000}"/>
    <hyperlink ref="P488" r:id="rId487" xr:uid="{00000000-0004-0000-0100-0000E6010000}"/>
    <hyperlink ref="P489" r:id="rId488" xr:uid="{00000000-0004-0000-0100-0000E7010000}"/>
    <hyperlink ref="P490" r:id="rId489" xr:uid="{00000000-0004-0000-0100-0000E8010000}"/>
    <hyperlink ref="P491" r:id="rId490" xr:uid="{00000000-0004-0000-0100-0000E9010000}"/>
    <hyperlink ref="P492" r:id="rId491" xr:uid="{00000000-0004-0000-0100-0000EA010000}"/>
    <hyperlink ref="P493" r:id="rId492" xr:uid="{00000000-0004-0000-0100-0000EB010000}"/>
    <hyperlink ref="P494" r:id="rId493" xr:uid="{00000000-0004-0000-0100-0000EC010000}"/>
    <hyperlink ref="P495" r:id="rId494" xr:uid="{00000000-0004-0000-0100-0000ED010000}"/>
    <hyperlink ref="P496" r:id="rId495" xr:uid="{00000000-0004-0000-0100-0000EE010000}"/>
    <hyperlink ref="P497" r:id="rId496" xr:uid="{00000000-0004-0000-0100-0000EF010000}"/>
    <hyperlink ref="P498" r:id="rId497" xr:uid="{00000000-0004-0000-0100-0000F0010000}"/>
    <hyperlink ref="P499" r:id="rId498" xr:uid="{00000000-0004-0000-0100-0000F1010000}"/>
    <hyperlink ref="P500" r:id="rId499" xr:uid="{00000000-0004-0000-0100-0000F2010000}"/>
    <hyperlink ref="P501" r:id="rId500" xr:uid="{00000000-0004-0000-0100-0000F3010000}"/>
    <hyperlink ref="P502" r:id="rId501" xr:uid="{00000000-0004-0000-0100-0000F4010000}"/>
    <hyperlink ref="P503" r:id="rId502" xr:uid="{00000000-0004-0000-0100-0000F5010000}"/>
    <hyperlink ref="P504" r:id="rId503" xr:uid="{00000000-0004-0000-0100-0000F6010000}"/>
    <hyperlink ref="P505" r:id="rId504" xr:uid="{00000000-0004-0000-0100-0000F7010000}"/>
    <hyperlink ref="P506" r:id="rId505" xr:uid="{00000000-0004-0000-0100-0000F8010000}"/>
    <hyperlink ref="P507" r:id="rId506" xr:uid="{00000000-0004-0000-0100-0000F9010000}"/>
    <hyperlink ref="P508" r:id="rId507" xr:uid="{00000000-0004-0000-0100-0000FA010000}"/>
    <hyperlink ref="P509" r:id="rId508" xr:uid="{00000000-0004-0000-0100-0000FB010000}"/>
    <hyperlink ref="P510" r:id="rId509" xr:uid="{00000000-0004-0000-0100-0000FC010000}"/>
    <hyperlink ref="P511" r:id="rId510" xr:uid="{00000000-0004-0000-0100-0000FD010000}"/>
    <hyperlink ref="P512" r:id="rId511" xr:uid="{00000000-0004-0000-0100-0000FE010000}"/>
    <hyperlink ref="P513" r:id="rId512" xr:uid="{00000000-0004-0000-0100-0000FF010000}"/>
    <hyperlink ref="P514" r:id="rId513" xr:uid="{00000000-0004-0000-0100-000000020000}"/>
    <hyperlink ref="P515" r:id="rId514" xr:uid="{00000000-0004-0000-0100-000001020000}"/>
    <hyperlink ref="P516" r:id="rId515" xr:uid="{00000000-0004-0000-0100-000002020000}"/>
    <hyperlink ref="P517" r:id="rId516" xr:uid="{00000000-0004-0000-0100-000003020000}"/>
    <hyperlink ref="P518" r:id="rId517" xr:uid="{00000000-0004-0000-0100-000004020000}"/>
    <hyperlink ref="P519" r:id="rId518" xr:uid="{00000000-0004-0000-0100-000005020000}"/>
    <hyperlink ref="P520" r:id="rId519" xr:uid="{00000000-0004-0000-0100-000006020000}"/>
    <hyperlink ref="P521" r:id="rId520" xr:uid="{00000000-0004-0000-0100-000007020000}"/>
    <hyperlink ref="P522" r:id="rId521" xr:uid="{00000000-0004-0000-0100-000008020000}"/>
    <hyperlink ref="P523" r:id="rId522" xr:uid="{00000000-0004-0000-0100-000009020000}"/>
    <hyperlink ref="P524" r:id="rId523" xr:uid="{00000000-0004-0000-0100-00000A020000}"/>
    <hyperlink ref="P525" r:id="rId524" xr:uid="{00000000-0004-0000-0100-00000B020000}"/>
    <hyperlink ref="P526" r:id="rId525" xr:uid="{00000000-0004-0000-0100-00000C020000}"/>
    <hyperlink ref="P527" r:id="rId526" xr:uid="{00000000-0004-0000-0100-00000D020000}"/>
    <hyperlink ref="P528" r:id="rId527" xr:uid="{00000000-0004-0000-0100-00000E020000}"/>
    <hyperlink ref="P529" r:id="rId528" xr:uid="{00000000-0004-0000-0100-00000F020000}"/>
    <hyperlink ref="P530" r:id="rId529" xr:uid="{00000000-0004-0000-0100-000010020000}"/>
    <hyperlink ref="P531" r:id="rId530" xr:uid="{00000000-0004-0000-0100-000011020000}"/>
    <hyperlink ref="P532" r:id="rId531" xr:uid="{00000000-0004-0000-0100-000012020000}"/>
    <hyperlink ref="P533" r:id="rId532" xr:uid="{00000000-0004-0000-0100-000013020000}"/>
    <hyperlink ref="P534" r:id="rId533" xr:uid="{00000000-0004-0000-0100-000014020000}"/>
    <hyperlink ref="P535" r:id="rId534" xr:uid="{00000000-0004-0000-0100-000015020000}"/>
    <hyperlink ref="P536" r:id="rId535" xr:uid="{00000000-0004-0000-0100-000016020000}"/>
    <hyperlink ref="P537" r:id="rId536" xr:uid="{00000000-0004-0000-0100-000017020000}"/>
    <hyperlink ref="P538" r:id="rId537" xr:uid="{00000000-0004-0000-0100-000018020000}"/>
    <hyperlink ref="P539" r:id="rId538" xr:uid="{00000000-0004-0000-0100-000019020000}"/>
    <hyperlink ref="P540" r:id="rId539" xr:uid="{00000000-0004-0000-0100-00001A020000}"/>
    <hyperlink ref="P541" r:id="rId540" xr:uid="{00000000-0004-0000-0100-00001B020000}"/>
    <hyperlink ref="P542" r:id="rId541" xr:uid="{00000000-0004-0000-0100-00001C020000}"/>
    <hyperlink ref="P543" r:id="rId542" xr:uid="{00000000-0004-0000-0100-00001D020000}"/>
    <hyperlink ref="P544" r:id="rId543" xr:uid="{00000000-0004-0000-0100-00001E020000}"/>
    <hyperlink ref="P545" r:id="rId544" xr:uid="{00000000-0004-0000-0100-00001F020000}"/>
    <hyperlink ref="P546" r:id="rId545" xr:uid="{00000000-0004-0000-0100-000020020000}"/>
    <hyperlink ref="P547" r:id="rId546" xr:uid="{00000000-0004-0000-0100-000021020000}"/>
    <hyperlink ref="P548" r:id="rId547" xr:uid="{00000000-0004-0000-0100-000022020000}"/>
    <hyperlink ref="P549" r:id="rId548" xr:uid="{00000000-0004-0000-0100-000023020000}"/>
    <hyperlink ref="P550" r:id="rId549" xr:uid="{00000000-0004-0000-0100-000024020000}"/>
    <hyperlink ref="P551" r:id="rId550" xr:uid="{00000000-0004-0000-0100-000025020000}"/>
    <hyperlink ref="P552" r:id="rId551" xr:uid="{00000000-0004-0000-0100-000026020000}"/>
    <hyperlink ref="P553" r:id="rId552" xr:uid="{00000000-0004-0000-0100-000027020000}"/>
    <hyperlink ref="P554" r:id="rId553" xr:uid="{00000000-0004-0000-0100-000028020000}"/>
    <hyperlink ref="P555" r:id="rId554" xr:uid="{00000000-0004-0000-0100-000029020000}"/>
    <hyperlink ref="P556" r:id="rId555" xr:uid="{00000000-0004-0000-0100-00002A020000}"/>
    <hyperlink ref="P557" r:id="rId556" xr:uid="{00000000-0004-0000-0100-00002B020000}"/>
    <hyperlink ref="P558" r:id="rId557" xr:uid="{00000000-0004-0000-0100-00002C020000}"/>
    <hyperlink ref="P559" r:id="rId558" xr:uid="{00000000-0004-0000-0100-00002D020000}"/>
    <hyperlink ref="P560" r:id="rId559" xr:uid="{00000000-0004-0000-0100-00002E020000}"/>
    <hyperlink ref="P561" r:id="rId560" xr:uid="{00000000-0004-0000-0100-00002F020000}"/>
    <hyperlink ref="P562" r:id="rId561" xr:uid="{00000000-0004-0000-0100-000030020000}"/>
    <hyperlink ref="P563" r:id="rId562" xr:uid="{00000000-0004-0000-0100-000031020000}"/>
    <hyperlink ref="P564" r:id="rId563" xr:uid="{00000000-0004-0000-0100-000032020000}"/>
    <hyperlink ref="P565" r:id="rId564" xr:uid="{00000000-0004-0000-0100-000033020000}"/>
    <hyperlink ref="P566" r:id="rId565" xr:uid="{00000000-0004-0000-0100-000034020000}"/>
    <hyperlink ref="P567" r:id="rId566" xr:uid="{00000000-0004-0000-0100-000035020000}"/>
    <hyperlink ref="P568" r:id="rId567" xr:uid="{00000000-0004-0000-0100-000036020000}"/>
    <hyperlink ref="P569" r:id="rId568" xr:uid="{00000000-0004-0000-0100-000037020000}"/>
    <hyperlink ref="P570" r:id="rId569" xr:uid="{00000000-0004-0000-0100-000038020000}"/>
    <hyperlink ref="P571" r:id="rId570" xr:uid="{00000000-0004-0000-0100-000039020000}"/>
    <hyperlink ref="P572" r:id="rId571" xr:uid="{00000000-0004-0000-0100-00003A020000}"/>
    <hyperlink ref="P573" r:id="rId572" xr:uid="{00000000-0004-0000-0100-00003B020000}"/>
    <hyperlink ref="P574" r:id="rId573" xr:uid="{00000000-0004-0000-0100-00003C020000}"/>
    <hyperlink ref="P575" r:id="rId574" xr:uid="{00000000-0004-0000-0100-00003D020000}"/>
    <hyperlink ref="P576" r:id="rId575" xr:uid="{00000000-0004-0000-0100-00003E020000}"/>
    <hyperlink ref="P577" r:id="rId576" xr:uid="{00000000-0004-0000-0100-00003F020000}"/>
    <hyperlink ref="P578" r:id="rId577" xr:uid="{00000000-0004-0000-0100-000040020000}"/>
    <hyperlink ref="P579" r:id="rId578" xr:uid="{00000000-0004-0000-0100-000041020000}"/>
    <hyperlink ref="P580" r:id="rId579" xr:uid="{00000000-0004-0000-0100-000042020000}"/>
    <hyperlink ref="P581" r:id="rId580" xr:uid="{00000000-0004-0000-0100-000043020000}"/>
    <hyperlink ref="P582" r:id="rId581" xr:uid="{00000000-0004-0000-0100-000044020000}"/>
    <hyperlink ref="P583" r:id="rId582" xr:uid="{00000000-0004-0000-0100-000045020000}"/>
    <hyperlink ref="P584" r:id="rId583" xr:uid="{00000000-0004-0000-0100-000046020000}"/>
    <hyperlink ref="P585" r:id="rId584" xr:uid="{00000000-0004-0000-0100-000047020000}"/>
    <hyperlink ref="P586" r:id="rId585" xr:uid="{00000000-0004-0000-0100-000048020000}"/>
    <hyperlink ref="P587" r:id="rId586" xr:uid="{00000000-0004-0000-0100-000049020000}"/>
    <hyperlink ref="P588" r:id="rId587" xr:uid="{00000000-0004-0000-0100-00004A020000}"/>
    <hyperlink ref="P589" r:id="rId588" xr:uid="{00000000-0004-0000-0100-00004B020000}"/>
    <hyperlink ref="P590" r:id="rId589" xr:uid="{00000000-0004-0000-0100-00004C020000}"/>
    <hyperlink ref="P591" r:id="rId590" xr:uid="{00000000-0004-0000-0100-00004D020000}"/>
    <hyperlink ref="P592" r:id="rId591" xr:uid="{00000000-0004-0000-0100-00004E020000}"/>
    <hyperlink ref="P593" r:id="rId592" xr:uid="{00000000-0004-0000-0100-00004F020000}"/>
    <hyperlink ref="P594" r:id="rId593" xr:uid="{00000000-0004-0000-0100-000050020000}"/>
    <hyperlink ref="P595" r:id="rId594" xr:uid="{00000000-0004-0000-0100-000051020000}"/>
    <hyperlink ref="P596" r:id="rId595" xr:uid="{00000000-0004-0000-0100-000052020000}"/>
    <hyperlink ref="P597" r:id="rId596" xr:uid="{00000000-0004-0000-0100-000053020000}"/>
    <hyperlink ref="P598" r:id="rId597" xr:uid="{00000000-0004-0000-0100-000054020000}"/>
    <hyperlink ref="P599" r:id="rId598" xr:uid="{00000000-0004-0000-0100-000055020000}"/>
    <hyperlink ref="P600" r:id="rId599" xr:uid="{00000000-0004-0000-0100-000056020000}"/>
    <hyperlink ref="P601" r:id="rId600" xr:uid="{00000000-0004-0000-0100-000057020000}"/>
    <hyperlink ref="P602" r:id="rId601" xr:uid="{00000000-0004-0000-0100-000058020000}"/>
    <hyperlink ref="P603" r:id="rId602" xr:uid="{00000000-0004-0000-0100-000059020000}"/>
  </hyperlinks>
  <pageMargins left="0.75" right="0.75" top="1" bottom="1" header="0.5" footer="0.5"/>
  <tableParts count="1">
    <tablePart r:id="rId60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6"/>
  <sheetViews>
    <sheetView workbookViewId="0">
      <pane ySplit="1" topLeftCell="A49" activePane="bottomLeft" state="frozen"/>
      <selection pane="bottomLeft"/>
    </sheetView>
  </sheetViews>
  <sheetFormatPr defaultColWidth="8.7109375" defaultRowHeight="14.45"/>
  <cols>
    <col min="1" max="1" width="16" customWidth="1"/>
    <col min="2" max="2" width="40" customWidth="1"/>
    <col min="3" max="3" width="22" customWidth="1"/>
    <col min="4" max="4" width="26" customWidth="1"/>
    <col min="5" max="6" width="16" customWidth="1"/>
    <col min="7" max="7" width="30" customWidth="1"/>
    <col min="8" max="9" width="16" customWidth="1"/>
    <col min="10" max="10" width="20" customWidth="1"/>
    <col min="11" max="11" width="24" customWidth="1"/>
    <col min="12" max="12" width="52" customWidth="1"/>
  </cols>
  <sheetData>
    <row r="1" spans="1:12">
      <c r="A1" s="45" t="s">
        <v>0</v>
      </c>
      <c r="B1" s="45" t="s">
        <v>1</v>
      </c>
      <c r="C1" s="45" t="s">
        <v>2</v>
      </c>
      <c r="D1" s="45" t="s">
        <v>3</v>
      </c>
      <c r="E1" s="45" t="s">
        <v>1318</v>
      </c>
      <c r="F1" s="45" t="s">
        <v>1319</v>
      </c>
      <c r="G1" s="45" t="s">
        <v>501</v>
      </c>
      <c r="H1" s="45" t="s">
        <v>1320</v>
      </c>
      <c r="I1" s="45" t="s">
        <v>1321</v>
      </c>
      <c r="J1" s="45" t="s">
        <v>1322</v>
      </c>
      <c r="K1" s="45" t="s">
        <v>1323</v>
      </c>
      <c r="L1" s="45" t="s">
        <v>15</v>
      </c>
    </row>
    <row r="2" spans="1:12">
      <c r="A2" s="15" t="s">
        <v>237</v>
      </c>
      <c r="B2" s="15" t="s">
        <v>238</v>
      </c>
      <c r="C2" s="15" t="s">
        <v>234</v>
      </c>
      <c r="D2" s="15"/>
      <c r="E2" s="46" t="s">
        <v>1324</v>
      </c>
      <c r="F2" s="15" t="s">
        <v>1325</v>
      </c>
      <c r="G2" s="15" t="s">
        <v>1326</v>
      </c>
      <c r="J2" s="1">
        <v>46344</v>
      </c>
      <c r="K2" s="8" t="s">
        <v>1327</v>
      </c>
      <c r="L2" t="s">
        <v>192</v>
      </c>
    </row>
    <row r="3" spans="1:12">
      <c r="A3" t="s">
        <v>239</v>
      </c>
      <c r="B3" t="s">
        <v>240</v>
      </c>
      <c r="C3" t="s">
        <v>234</v>
      </c>
      <c r="E3" s="4" t="s">
        <v>1324</v>
      </c>
      <c r="F3" t="s">
        <v>1325</v>
      </c>
      <c r="G3" t="s">
        <v>1326</v>
      </c>
      <c r="J3" s="1">
        <v>46344</v>
      </c>
      <c r="K3" s="8" t="s">
        <v>1327</v>
      </c>
      <c r="L3" t="s">
        <v>192</v>
      </c>
    </row>
    <row r="4" spans="1:12">
      <c r="A4" s="15" t="s">
        <v>232</v>
      </c>
      <c r="B4" s="15" t="s">
        <v>233</v>
      </c>
      <c r="C4" s="15" t="s">
        <v>234</v>
      </c>
      <c r="D4" s="15"/>
      <c r="E4" s="46" t="s">
        <v>1324</v>
      </c>
      <c r="F4" s="15" t="s">
        <v>1325</v>
      </c>
      <c r="G4" s="15" t="s">
        <v>1326</v>
      </c>
      <c r="J4" s="1">
        <v>46344</v>
      </c>
      <c r="K4" s="8" t="s">
        <v>1327</v>
      </c>
      <c r="L4" t="s">
        <v>192</v>
      </c>
    </row>
    <row r="5" spans="1:12">
      <c r="A5" t="s">
        <v>235</v>
      </c>
      <c r="B5" t="s">
        <v>236</v>
      </c>
      <c r="C5" t="s">
        <v>234</v>
      </c>
      <c r="E5" s="4" t="s">
        <v>1324</v>
      </c>
      <c r="F5" t="s">
        <v>1325</v>
      </c>
      <c r="G5" t="s">
        <v>1326</v>
      </c>
      <c r="J5" s="1">
        <v>46344</v>
      </c>
      <c r="K5" s="8" t="s">
        <v>1327</v>
      </c>
      <c r="L5" t="s">
        <v>192</v>
      </c>
    </row>
    <row r="6" spans="1:12">
      <c r="A6" s="15" t="s">
        <v>283</v>
      </c>
      <c r="B6" s="15" t="s">
        <v>284</v>
      </c>
      <c r="C6" s="15" t="s">
        <v>234</v>
      </c>
      <c r="D6" s="15"/>
      <c r="E6" s="46" t="s">
        <v>1324</v>
      </c>
      <c r="F6" s="15" t="s">
        <v>1328</v>
      </c>
      <c r="G6" s="15"/>
      <c r="J6" s="1">
        <v>46013</v>
      </c>
      <c r="K6" s="9" t="s">
        <v>1329</v>
      </c>
      <c r="L6" t="s">
        <v>285</v>
      </c>
    </row>
    <row r="7" spans="1:12">
      <c r="A7" t="s">
        <v>250</v>
      </c>
      <c r="B7" t="s">
        <v>251</v>
      </c>
      <c r="C7" t="s">
        <v>234</v>
      </c>
      <c r="E7" t="s">
        <v>1330</v>
      </c>
      <c r="K7" s="10" t="s">
        <v>1331</v>
      </c>
    </row>
    <row r="8" spans="1:12">
      <c r="A8" s="15" t="s">
        <v>254</v>
      </c>
      <c r="B8" s="15" t="s">
        <v>255</v>
      </c>
      <c r="C8" s="15" t="s">
        <v>234</v>
      </c>
      <c r="D8" s="15"/>
      <c r="E8" s="15" t="s">
        <v>1330</v>
      </c>
      <c r="F8" s="15"/>
      <c r="G8" s="15"/>
      <c r="K8" s="10" t="s">
        <v>1331</v>
      </c>
    </row>
    <row r="9" spans="1:12">
      <c r="A9" t="s">
        <v>248</v>
      </c>
      <c r="B9" t="s">
        <v>249</v>
      </c>
      <c r="C9" t="s">
        <v>234</v>
      </c>
      <c r="E9" t="s">
        <v>1330</v>
      </c>
      <c r="K9" s="10" t="s">
        <v>1331</v>
      </c>
      <c r="L9" t="s">
        <v>212</v>
      </c>
    </row>
    <row r="10" spans="1:12">
      <c r="A10" s="15" t="s">
        <v>263</v>
      </c>
      <c r="B10" s="15" t="s">
        <v>264</v>
      </c>
      <c r="C10" s="15" t="s">
        <v>234</v>
      </c>
      <c r="D10" s="15"/>
      <c r="E10" s="15" t="s">
        <v>1330</v>
      </c>
      <c r="F10" s="15"/>
      <c r="G10" s="15"/>
      <c r="K10" s="10" t="s">
        <v>1331</v>
      </c>
    </row>
    <row r="11" spans="1:12">
      <c r="A11" t="s">
        <v>278</v>
      </c>
      <c r="B11" t="s">
        <v>279</v>
      </c>
      <c r="C11" t="s">
        <v>234</v>
      </c>
      <c r="E11" s="4" t="s">
        <v>1324</v>
      </c>
      <c r="F11" t="s">
        <v>1332</v>
      </c>
      <c r="G11" t="s">
        <v>1333</v>
      </c>
      <c r="K11" s="11" t="s">
        <v>1334</v>
      </c>
      <c r="L11" t="s">
        <v>270</v>
      </c>
    </row>
    <row r="12" spans="1:12">
      <c r="A12" s="15" t="s">
        <v>276</v>
      </c>
      <c r="B12" s="15" t="s">
        <v>277</v>
      </c>
      <c r="C12" s="15" t="s">
        <v>234</v>
      </c>
      <c r="D12" s="15"/>
      <c r="E12" s="46" t="s">
        <v>1324</v>
      </c>
      <c r="F12" s="15" t="s">
        <v>1332</v>
      </c>
      <c r="G12" s="15" t="s">
        <v>1333</v>
      </c>
      <c r="K12" s="11" t="s">
        <v>1334</v>
      </c>
      <c r="L12" t="s">
        <v>270</v>
      </c>
    </row>
    <row r="13" spans="1:12">
      <c r="A13" t="s">
        <v>268</v>
      </c>
      <c r="B13" t="s">
        <v>269</v>
      </c>
      <c r="C13" t="s">
        <v>234</v>
      </c>
      <c r="E13" s="4" t="s">
        <v>1324</v>
      </c>
      <c r="F13" t="s">
        <v>1332</v>
      </c>
      <c r="G13" t="s">
        <v>1333</v>
      </c>
      <c r="K13" s="11" t="s">
        <v>1334</v>
      </c>
      <c r="L13" t="s">
        <v>270</v>
      </c>
    </row>
    <row r="14" spans="1:12">
      <c r="A14" s="15" t="s">
        <v>302</v>
      </c>
      <c r="B14" s="15" t="s">
        <v>303</v>
      </c>
      <c r="C14" s="15" t="s">
        <v>234</v>
      </c>
      <c r="D14" s="15"/>
      <c r="E14" s="15" t="s">
        <v>1330</v>
      </c>
      <c r="F14" s="15"/>
      <c r="G14" s="15"/>
      <c r="K14" s="10" t="s">
        <v>1331</v>
      </c>
    </row>
    <row r="15" spans="1:12">
      <c r="A15" t="s">
        <v>299</v>
      </c>
      <c r="B15" t="s">
        <v>300</v>
      </c>
      <c r="C15" t="s">
        <v>234</v>
      </c>
      <c r="E15" t="s">
        <v>1330</v>
      </c>
      <c r="K15" s="10" t="s">
        <v>1331</v>
      </c>
    </row>
    <row r="16" spans="1:12">
      <c r="A16" s="15" t="s">
        <v>295</v>
      </c>
      <c r="B16" s="15" t="s">
        <v>296</v>
      </c>
      <c r="C16" s="15" t="s">
        <v>234</v>
      </c>
      <c r="D16" s="15"/>
      <c r="E16" s="15" t="s">
        <v>1330</v>
      </c>
      <c r="F16" s="15"/>
      <c r="G16" s="15"/>
      <c r="K16" s="10" t="s">
        <v>1331</v>
      </c>
    </row>
    <row r="17" spans="1:12">
      <c r="A17" t="s">
        <v>291</v>
      </c>
      <c r="B17" t="s">
        <v>292</v>
      </c>
      <c r="C17" t="s">
        <v>234</v>
      </c>
      <c r="E17" t="s">
        <v>1330</v>
      </c>
      <c r="K17" s="10" t="s">
        <v>1331</v>
      </c>
    </row>
    <row r="18" spans="1:12">
      <c r="A18" s="15" t="s">
        <v>280</v>
      </c>
      <c r="B18" s="15" t="s">
        <v>281</v>
      </c>
      <c r="C18" s="15" t="s">
        <v>234</v>
      </c>
      <c r="D18" s="15"/>
      <c r="E18" s="46" t="s">
        <v>1324</v>
      </c>
      <c r="F18" s="15" t="s">
        <v>1325</v>
      </c>
      <c r="G18" s="15" t="s">
        <v>1326</v>
      </c>
      <c r="J18" s="1">
        <v>46378</v>
      </c>
      <c r="K18" s="8" t="s">
        <v>1327</v>
      </c>
      <c r="L18" t="s">
        <v>282</v>
      </c>
    </row>
    <row r="19" spans="1:12">
      <c r="A19" t="s">
        <v>288</v>
      </c>
      <c r="B19" t="s">
        <v>289</v>
      </c>
      <c r="C19" t="s">
        <v>234</v>
      </c>
      <c r="E19" s="4" t="s">
        <v>1324</v>
      </c>
      <c r="F19" t="s">
        <v>1325</v>
      </c>
      <c r="G19" t="s">
        <v>1326</v>
      </c>
      <c r="J19" s="1">
        <v>46378</v>
      </c>
      <c r="K19" s="8" t="s">
        <v>1327</v>
      </c>
      <c r="L19" t="s">
        <v>290</v>
      </c>
    </row>
    <row r="20" spans="1:12">
      <c r="A20" s="15" t="s">
        <v>257</v>
      </c>
      <c r="B20" s="15" t="s">
        <v>258</v>
      </c>
      <c r="C20" s="15" t="s">
        <v>234</v>
      </c>
      <c r="D20" s="15"/>
      <c r="E20" s="15" t="s">
        <v>1330</v>
      </c>
      <c r="F20" s="15"/>
      <c r="G20" s="15"/>
      <c r="K20" s="10" t="s">
        <v>1331</v>
      </c>
    </row>
    <row r="21" spans="1:12">
      <c r="A21" t="s">
        <v>241</v>
      </c>
      <c r="B21" t="s">
        <v>242</v>
      </c>
      <c r="C21" t="s">
        <v>234</v>
      </c>
      <c r="E21" s="4" t="s">
        <v>1324</v>
      </c>
      <c r="F21" t="s">
        <v>1325</v>
      </c>
      <c r="G21" t="s">
        <v>1326</v>
      </c>
      <c r="J21" s="1">
        <v>46371</v>
      </c>
      <c r="K21" s="8" t="s">
        <v>1327</v>
      </c>
    </row>
    <row r="22" spans="1:12">
      <c r="A22" s="15" t="s">
        <v>244</v>
      </c>
      <c r="B22" s="15" t="s">
        <v>245</v>
      </c>
      <c r="C22" s="15" t="s">
        <v>234</v>
      </c>
      <c r="D22" s="15"/>
      <c r="E22" s="46" t="s">
        <v>1324</v>
      </c>
      <c r="F22" s="15" t="s">
        <v>1325</v>
      </c>
      <c r="G22" s="15" t="s">
        <v>1326</v>
      </c>
      <c r="J22" s="1">
        <v>46377</v>
      </c>
      <c r="K22" s="8" t="s">
        <v>1327</v>
      </c>
    </row>
    <row r="23" spans="1:12">
      <c r="A23" t="s">
        <v>260</v>
      </c>
      <c r="B23" t="s">
        <v>261</v>
      </c>
      <c r="C23" t="s">
        <v>234</v>
      </c>
      <c r="E23" s="4" t="s">
        <v>1324</v>
      </c>
      <c r="F23" t="s">
        <v>1325</v>
      </c>
      <c r="G23" t="s">
        <v>1326</v>
      </c>
      <c r="J23" s="1">
        <v>46377</v>
      </c>
      <c r="K23" s="8" t="s">
        <v>1327</v>
      </c>
    </row>
    <row r="24" spans="1:12">
      <c r="A24" s="15" t="s">
        <v>47</v>
      </c>
      <c r="B24" s="15" t="s">
        <v>48</v>
      </c>
      <c r="C24" s="15" t="s">
        <v>24</v>
      </c>
      <c r="D24" s="15"/>
      <c r="E24" s="15" t="s">
        <v>1330</v>
      </c>
      <c r="F24" s="15"/>
      <c r="G24" s="15"/>
      <c r="K24" s="10" t="s">
        <v>1331</v>
      </c>
    </row>
    <row r="25" spans="1:12">
      <c r="A25" t="s">
        <v>53</v>
      </c>
      <c r="B25" t="s">
        <v>54</v>
      </c>
      <c r="C25" t="s">
        <v>24</v>
      </c>
      <c r="E25" t="s">
        <v>1330</v>
      </c>
      <c r="K25" s="10" t="s">
        <v>1331</v>
      </c>
    </row>
    <row r="26" spans="1:12">
      <c r="A26" s="15" t="s">
        <v>56</v>
      </c>
      <c r="B26" s="15" t="s">
        <v>57</v>
      </c>
      <c r="C26" s="15" t="s">
        <v>24</v>
      </c>
      <c r="D26" s="15"/>
      <c r="E26" s="15" t="s">
        <v>1330</v>
      </c>
      <c r="F26" s="15"/>
      <c r="G26" s="15"/>
      <c r="K26" s="10" t="s">
        <v>1331</v>
      </c>
    </row>
    <row r="27" spans="1:12">
      <c r="A27" t="s">
        <v>59</v>
      </c>
      <c r="B27" t="s">
        <v>60</v>
      </c>
      <c r="C27" t="s">
        <v>24</v>
      </c>
      <c r="E27" t="s">
        <v>1330</v>
      </c>
      <c r="K27" s="10" t="s">
        <v>1331</v>
      </c>
    </row>
    <row r="28" spans="1:12">
      <c r="A28" s="15" t="s">
        <v>61</v>
      </c>
      <c r="B28" s="15" t="s">
        <v>62</v>
      </c>
      <c r="C28" s="15" t="s">
        <v>24</v>
      </c>
      <c r="D28" s="15"/>
      <c r="E28" s="15" t="s">
        <v>1330</v>
      </c>
      <c r="F28" s="15"/>
      <c r="G28" s="15"/>
      <c r="K28" s="10" t="s">
        <v>1331</v>
      </c>
    </row>
    <row r="29" spans="1:12">
      <c r="A29" t="s">
        <v>64</v>
      </c>
      <c r="B29" t="s">
        <v>65</v>
      </c>
      <c r="C29" t="s">
        <v>24</v>
      </c>
      <c r="E29" t="s">
        <v>1330</v>
      </c>
      <c r="K29" s="10" t="s">
        <v>1331</v>
      </c>
    </row>
    <row r="30" spans="1:12">
      <c r="A30" s="15" t="s">
        <v>66</v>
      </c>
      <c r="B30" s="15" t="s">
        <v>67</v>
      </c>
      <c r="C30" s="15" t="s">
        <v>24</v>
      </c>
      <c r="D30" s="15"/>
      <c r="E30" s="15" t="s">
        <v>1330</v>
      </c>
      <c r="F30" s="15"/>
      <c r="G30" s="15"/>
      <c r="K30" s="10" t="s">
        <v>1331</v>
      </c>
    </row>
    <row r="31" spans="1:12">
      <c r="A31" t="s">
        <v>76</v>
      </c>
      <c r="B31" t="s">
        <v>77</v>
      </c>
      <c r="C31" t="s">
        <v>24</v>
      </c>
      <c r="E31" t="s">
        <v>1330</v>
      </c>
      <c r="K31" s="10" t="s">
        <v>1331</v>
      </c>
    </row>
    <row r="32" spans="1:12">
      <c r="A32" s="15" t="s">
        <v>68</v>
      </c>
      <c r="B32" s="15" t="s">
        <v>69</v>
      </c>
      <c r="C32" s="15" t="s">
        <v>24</v>
      </c>
      <c r="D32" s="15"/>
      <c r="E32" s="15" t="s">
        <v>1330</v>
      </c>
      <c r="F32" s="15"/>
      <c r="G32" s="15"/>
      <c r="K32" s="10" t="s">
        <v>1331</v>
      </c>
    </row>
    <row r="33" spans="1:11">
      <c r="B33" t="s">
        <v>1335</v>
      </c>
      <c r="C33" t="s">
        <v>24</v>
      </c>
      <c r="E33" t="s">
        <v>1330</v>
      </c>
      <c r="K33" s="12" t="s">
        <v>1336</v>
      </c>
    </row>
    <row r="34" spans="1:11">
      <c r="A34" s="15" t="s">
        <v>71</v>
      </c>
      <c r="B34" s="15" t="s">
        <v>72</v>
      </c>
      <c r="C34" s="15" t="s">
        <v>24</v>
      </c>
      <c r="D34" s="15"/>
      <c r="E34" s="15" t="s">
        <v>1330</v>
      </c>
      <c r="F34" s="15"/>
      <c r="G34" s="15"/>
      <c r="K34" s="10" t="s">
        <v>1331</v>
      </c>
    </row>
    <row r="35" spans="1:11">
      <c r="A35" t="s">
        <v>74</v>
      </c>
      <c r="B35" t="s">
        <v>75</v>
      </c>
      <c r="C35" t="s">
        <v>24</v>
      </c>
      <c r="E35" t="s">
        <v>1330</v>
      </c>
      <c r="K35" s="10" t="s">
        <v>1331</v>
      </c>
    </row>
    <row r="36" spans="1:11">
      <c r="A36" s="15" t="s">
        <v>78</v>
      </c>
      <c r="B36" s="15" t="s">
        <v>79</v>
      </c>
      <c r="C36" s="15" t="s">
        <v>24</v>
      </c>
      <c r="D36" s="15"/>
      <c r="E36" s="15" t="s">
        <v>1330</v>
      </c>
      <c r="F36" s="15"/>
      <c r="G36" s="15"/>
      <c r="K36" s="10" t="s">
        <v>1331</v>
      </c>
    </row>
    <row r="37" spans="1:11">
      <c r="A37" t="s">
        <v>34</v>
      </c>
      <c r="B37" t="s">
        <v>35</v>
      </c>
      <c r="C37" t="s">
        <v>24</v>
      </c>
      <c r="E37" t="s">
        <v>1330</v>
      </c>
      <c r="K37" s="10" t="s">
        <v>1331</v>
      </c>
    </row>
    <row r="38" spans="1:11">
      <c r="A38" s="15" t="s">
        <v>37</v>
      </c>
      <c r="B38" s="15" t="s">
        <v>38</v>
      </c>
      <c r="C38" s="15" t="s">
        <v>24</v>
      </c>
      <c r="D38" s="15"/>
      <c r="E38" s="15" t="s">
        <v>1330</v>
      </c>
      <c r="F38" s="15"/>
      <c r="G38" s="15"/>
      <c r="K38" s="10" t="s">
        <v>1331</v>
      </c>
    </row>
    <row r="39" spans="1:11">
      <c r="A39" t="s">
        <v>22</v>
      </c>
      <c r="B39" t="s">
        <v>1337</v>
      </c>
      <c r="C39" t="s">
        <v>24</v>
      </c>
      <c r="E39" t="s">
        <v>1330</v>
      </c>
      <c r="K39" s="10" t="s">
        <v>1331</v>
      </c>
    </row>
    <row r="40" spans="1:11">
      <c r="A40" s="15" t="s">
        <v>44</v>
      </c>
      <c r="B40" s="15" t="s">
        <v>45</v>
      </c>
      <c r="C40" s="15" t="s">
        <v>24</v>
      </c>
      <c r="D40" s="15"/>
      <c r="E40" s="15" t="s">
        <v>1330</v>
      </c>
      <c r="F40" s="15"/>
      <c r="G40" s="15"/>
      <c r="K40" s="10" t="s">
        <v>1331</v>
      </c>
    </row>
    <row r="41" spans="1:11">
      <c r="A41" t="s">
        <v>41</v>
      </c>
      <c r="B41" t="s">
        <v>42</v>
      </c>
      <c r="C41" t="s">
        <v>24</v>
      </c>
      <c r="E41" t="s">
        <v>1330</v>
      </c>
      <c r="K41" s="10" t="s">
        <v>1331</v>
      </c>
    </row>
    <row r="42" spans="1:11">
      <c r="A42" s="15" t="s">
        <v>28</v>
      </c>
      <c r="B42" s="15" t="s">
        <v>29</v>
      </c>
      <c r="C42" s="15" t="s">
        <v>24</v>
      </c>
      <c r="D42" s="15"/>
      <c r="E42" s="15" t="s">
        <v>1330</v>
      </c>
      <c r="F42" s="15"/>
      <c r="G42" s="15"/>
      <c r="K42" s="10" t="s">
        <v>1331</v>
      </c>
    </row>
    <row r="43" spans="1:11">
      <c r="A43" t="s">
        <v>31</v>
      </c>
      <c r="B43" t="s">
        <v>32</v>
      </c>
      <c r="C43" t="s">
        <v>24</v>
      </c>
      <c r="E43" t="s">
        <v>1330</v>
      </c>
      <c r="K43" s="10" t="s">
        <v>1331</v>
      </c>
    </row>
    <row r="44" spans="1:11">
      <c r="A44" s="15" t="s">
        <v>80</v>
      </c>
      <c r="B44" s="15" t="s">
        <v>81</v>
      </c>
      <c r="C44" s="15" t="s">
        <v>24</v>
      </c>
      <c r="D44" s="15"/>
      <c r="E44" s="15" t="s">
        <v>1330</v>
      </c>
      <c r="F44" s="15"/>
      <c r="G44" s="15"/>
      <c r="K44" s="10" t="s">
        <v>1331</v>
      </c>
    </row>
    <row r="45" spans="1:11">
      <c r="A45" t="s">
        <v>50</v>
      </c>
      <c r="B45" t="s">
        <v>51</v>
      </c>
      <c r="C45" t="s">
        <v>24</v>
      </c>
      <c r="E45" t="s">
        <v>1330</v>
      </c>
      <c r="K45" s="10" t="s">
        <v>1331</v>
      </c>
    </row>
    <row r="46" spans="1:11">
      <c r="A46" s="15" t="s">
        <v>83</v>
      </c>
      <c r="B46" s="15" t="s">
        <v>84</v>
      </c>
      <c r="C46" s="15" t="s">
        <v>85</v>
      </c>
      <c r="D46" s="15"/>
      <c r="E46" s="15" t="s">
        <v>1330</v>
      </c>
      <c r="F46" s="15"/>
      <c r="G46" s="15"/>
      <c r="K46" s="10" t="s">
        <v>1331</v>
      </c>
    </row>
    <row r="47" spans="1:11">
      <c r="A47" t="s">
        <v>88</v>
      </c>
      <c r="B47" t="s">
        <v>89</v>
      </c>
      <c r="C47" t="s">
        <v>85</v>
      </c>
      <c r="E47" t="s">
        <v>1330</v>
      </c>
      <c r="K47" s="10" t="s">
        <v>1331</v>
      </c>
    </row>
    <row r="48" spans="1:11">
      <c r="A48" s="15"/>
      <c r="B48" s="15" t="s">
        <v>178</v>
      </c>
      <c r="C48" s="15" t="s">
        <v>85</v>
      </c>
      <c r="D48" s="15"/>
      <c r="E48" s="15" t="s">
        <v>1330</v>
      </c>
      <c r="F48" s="15"/>
      <c r="G48" s="15"/>
      <c r="K48" s="12" t="s">
        <v>1336</v>
      </c>
    </row>
    <row r="49" spans="1:12">
      <c r="A49" t="s">
        <v>106</v>
      </c>
      <c r="B49" t="s">
        <v>107</v>
      </c>
      <c r="C49" t="s">
        <v>85</v>
      </c>
      <c r="E49" t="s">
        <v>1330</v>
      </c>
      <c r="K49" s="10" t="s">
        <v>1331</v>
      </c>
    </row>
    <row r="50" spans="1:12">
      <c r="A50" s="15" t="s">
        <v>111</v>
      </c>
      <c r="B50" s="15" t="s">
        <v>112</v>
      </c>
      <c r="C50" s="15" t="s">
        <v>85</v>
      </c>
      <c r="D50" s="15"/>
      <c r="E50" s="15" t="s">
        <v>1330</v>
      </c>
      <c r="F50" s="15"/>
      <c r="G50" s="15"/>
      <c r="K50" s="10" t="s">
        <v>1331</v>
      </c>
    </row>
    <row r="51" spans="1:12">
      <c r="A51" t="s">
        <v>92</v>
      </c>
      <c r="B51" t="s">
        <v>1338</v>
      </c>
      <c r="C51" t="s">
        <v>85</v>
      </c>
      <c r="E51" t="s">
        <v>1330</v>
      </c>
      <c r="K51" s="10" t="s">
        <v>1331</v>
      </c>
    </row>
    <row r="52" spans="1:12">
      <c r="A52" s="15"/>
      <c r="B52" s="15" t="s">
        <v>119</v>
      </c>
      <c r="C52" s="15" t="s">
        <v>85</v>
      </c>
      <c r="D52" s="15"/>
      <c r="E52" s="15" t="s">
        <v>1330</v>
      </c>
      <c r="F52" s="15"/>
      <c r="G52" s="15"/>
      <c r="K52" s="12" t="s">
        <v>1336</v>
      </c>
    </row>
    <row r="53" spans="1:12">
      <c r="B53" t="s">
        <v>117</v>
      </c>
      <c r="C53" t="s">
        <v>85</v>
      </c>
      <c r="E53" t="s">
        <v>1330</v>
      </c>
      <c r="K53" s="12" t="s">
        <v>1336</v>
      </c>
      <c r="L53" t="s">
        <v>1339</v>
      </c>
    </row>
    <row r="54" spans="1:12">
      <c r="A54" s="15" t="s">
        <v>95</v>
      </c>
      <c r="B54" s="15" t="s">
        <v>96</v>
      </c>
      <c r="C54" s="15" t="s">
        <v>85</v>
      </c>
      <c r="D54" s="15"/>
      <c r="E54" s="15" t="s">
        <v>1330</v>
      </c>
      <c r="F54" s="15"/>
      <c r="G54" s="15"/>
      <c r="K54" s="10" t="s">
        <v>1331</v>
      </c>
    </row>
    <row r="55" spans="1:12">
      <c r="A55" t="s">
        <v>98</v>
      </c>
      <c r="B55" t="s">
        <v>99</v>
      </c>
      <c r="C55" t="s">
        <v>85</v>
      </c>
      <c r="E55" t="s">
        <v>1330</v>
      </c>
      <c r="K55" s="10" t="s">
        <v>1331</v>
      </c>
    </row>
    <row r="56" spans="1:12">
      <c r="A56" s="15" t="s">
        <v>126</v>
      </c>
      <c r="B56" s="15" t="s">
        <v>127</v>
      </c>
      <c r="C56" s="15" t="s">
        <v>85</v>
      </c>
      <c r="D56" s="15"/>
      <c r="E56" s="15" t="s">
        <v>1324</v>
      </c>
      <c r="F56" s="15"/>
      <c r="G56" s="15"/>
      <c r="J56" s="1">
        <v>46349</v>
      </c>
      <c r="K56" s="8" t="s">
        <v>1327</v>
      </c>
      <c r="L56" t="s">
        <v>1340</v>
      </c>
    </row>
    <row r="57" spans="1:12">
      <c r="A57" t="s">
        <v>100</v>
      </c>
      <c r="B57" t="s">
        <v>101</v>
      </c>
      <c r="C57" t="s">
        <v>85</v>
      </c>
      <c r="E57" t="s">
        <v>1330</v>
      </c>
      <c r="K57" s="10" t="s">
        <v>1331</v>
      </c>
    </row>
    <row r="58" spans="1:12">
      <c r="A58" s="15" t="s">
        <v>103</v>
      </c>
      <c r="B58" s="15" t="s">
        <v>104</v>
      </c>
      <c r="C58" s="15" t="s">
        <v>85</v>
      </c>
      <c r="D58" s="15"/>
      <c r="E58" s="15" t="s">
        <v>1330</v>
      </c>
      <c r="F58" s="15"/>
      <c r="G58" s="15"/>
      <c r="K58" s="10" t="s">
        <v>1331</v>
      </c>
    </row>
    <row r="59" spans="1:12">
      <c r="A59" t="s">
        <v>114</v>
      </c>
      <c r="B59" t="s">
        <v>115</v>
      </c>
      <c r="C59" t="s">
        <v>85</v>
      </c>
      <c r="E59" t="s">
        <v>1330</v>
      </c>
      <c r="K59" s="10" t="s">
        <v>1331</v>
      </c>
    </row>
    <row r="60" spans="1:12">
      <c r="A60" s="15" t="s">
        <v>121</v>
      </c>
      <c r="B60" s="15" t="s">
        <v>122</v>
      </c>
      <c r="C60" s="15" t="s">
        <v>85</v>
      </c>
      <c r="D60" s="15"/>
      <c r="E60" s="15" t="s">
        <v>1330</v>
      </c>
      <c r="F60" s="15"/>
      <c r="G60" s="15"/>
      <c r="K60" s="10" t="s">
        <v>1331</v>
      </c>
      <c r="L60" t="s">
        <v>123</v>
      </c>
    </row>
    <row r="61" spans="1:12">
      <c r="B61" t="s">
        <v>180</v>
      </c>
      <c r="C61" t="s">
        <v>85</v>
      </c>
      <c r="E61" t="s">
        <v>1330</v>
      </c>
      <c r="K61" s="12" t="s">
        <v>1336</v>
      </c>
    </row>
    <row r="62" spans="1:12">
      <c r="A62" s="15" t="s">
        <v>164</v>
      </c>
      <c r="B62" s="15" t="s">
        <v>165</v>
      </c>
      <c r="C62" s="15" t="s">
        <v>85</v>
      </c>
      <c r="D62" s="15"/>
      <c r="E62" s="15" t="s">
        <v>1330</v>
      </c>
      <c r="F62" s="15"/>
      <c r="G62" s="15"/>
      <c r="K62" s="10" t="s">
        <v>1331</v>
      </c>
    </row>
    <row r="63" spans="1:12">
      <c r="B63" t="s">
        <v>187</v>
      </c>
      <c r="C63" t="s">
        <v>85</v>
      </c>
      <c r="E63" t="s">
        <v>1330</v>
      </c>
      <c r="K63" s="12" t="s">
        <v>1336</v>
      </c>
    </row>
    <row r="64" spans="1:12">
      <c r="A64" s="15"/>
      <c r="B64" s="15" t="s">
        <v>185</v>
      </c>
      <c r="C64" s="15" t="s">
        <v>85</v>
      </c>
      <c r="D64" s="15"/>
      <c r="E64" s="15" t="s">
        <v>1330</v>
      </c>
      <c r="F64" s="15"/>
      <c r="G64" s="15"/>
      <c r="K64" s="12" t="s">
        <v>1336</v>
      </c>
    </row>
    <row r="65" spans="1:12">
      <c r="B65" t="s">
        <v>182</v>
      </c>
      <c r="C65" t="s">
        <v>85</v>
      </c>
      <c r="E65" t="s">
        <v>1330</v>
      </c>
      <c r="K65" s="12" t="s">
        <v>1336</v>
      </c>
    </row>
    <row r="66" spans="1:12">
      <c r="A66" s="15"/>
      <c r="B66" s="15" t="s">
        <v>183</v>
      </c>
      <c r="C66" s="15" t="s">
        <v>85</v>
      </c>
      <c r="D66" s="15"/>
      <c r="E66" s="15" t="s">
        <v>1330</v>
      </c>
      <c r="F66" s="15"/>
      <c r="G66" s="15"/>
      <c r="K66" s="12" t="s">
        <v>1336</v>
      </c>
    </row>
    <row r="67" spans="1:12">
      <c r="A67" t="s">
        <v>124</v>
      </c>
      <c r="B67" t="s">
        <v>125</v>
      </c>
      <c r="C67" t="s">
        <v>85</v>
      </c>
      <c r="E67" t="s">
        <v>1330</v>
      </c>
      <c r="K67" s="10" t="s">
        <v>1331</v>
      </c>
      <c r="L67" t="s">
        <v>123</v>
      </c>
    </row>
    <row r="68" spans="1:12">
      <c r="A68" s="15" t="s">
        <v>168</v>
      </c>
      <c r="B68" s="15" t="s">
        <v>169</v>
      </c>
      <c r="C68" s="15" t="s">
        <v>85</v>
      </c>
      <c r="D68" s="15"/>
      <c r="E68" s="15" t="s">
        <v>1330</v>
      </c>
      <c r="F68" s="15"/>
      <c r="G68" s="15"/>
      <c r="K68" s="10" t="s">
        <v>1331</v>
      </c>
    </row>
    <row r="69" spans="1:12">
      <c r="A69" t="s">
        <v>175</v>
      </c>
      <c r="B69" t="s">
        <v>176</v>
      </c>
      <c r="C69" t="s">
        <v>85</v>
      </c>
      <c r="E69" t="s">
        <v>1330</v>
      </c>
      <c r="K69" s="10" t="s">
        <v>1331</v>
      </c>
    </row>
    <row r="70" spans="1:12">
      <c r="A70" s="15" t="s">
        <v>171</v>
      </c>
      <c r="B70" s="15" t="s">
        <v>172</v>
      </c>
      <c r="C70" s="15" t="s">
        <v>85</v>
      </c>
      <c r="D70" s="15"/>
      <c r="E70" s="15" t="s">
        <v>1330</v>
      </c>
      <c r="F70" s="15"/>
      <c r="G70" s="15"/>
      <c r="K70" s="10" t="s">
        <v>1331</v>
      </c>
    </row>
    <row r="71" spans="1:12">
      <c r="A71" t="s">
        <v>193</v>
      </c>
      <c r="B71" t="s">
        <v>194</v>
      </c>
      <c r="C71" t="s">
        <v>191</v>
      </c>
      <c r="E71" s="4" t="s">
        <v>1324</v>
      </c>
      <c r="F71" t="s">
        <v>1325</v>
      </c>
      <c r="G71" t="s">
        <v>1326</v>
      </c>
      <c r="J71" s="1">
        <v>46344</v>
      </c>
      <c r="K71" s="8" t="s">
        <v>1327</v>
      </c>
    </row>
    <row r="72" spans="1:12">
      <c r="A72" s="15" t="s">
        <v>195</v>
      </c>
      <c r="B72" s="15" t="s">
        <v>196</v>
      </c>
      <c r="C72" s="15" t="s">
        <v>191</v>
      </c>
      <c r="D72" s="15"/>
      <c r="E72" s="46" t="s">
        <v>1324</v>
      </c>
      <c r="F72" s="15" t="s">
        <v>1325</v>
      </c>
      <c r="G72" s="15" t="s">
        <v>1326</v>
      </c>
      <c r="J72" s="1">
        <v>46344</v>
      </c>
      <c r="K72" s="8" t="s">
        <v>1327</v>
      </c>
    </row>
    <row r="73" spans="1:12">
      <c r="A73" t="s">
        <v>189</v>
      </c>
      <c r="B73" t="s">
        <v>190</v>
      </c>
      <c r="C73" t="s">
        <v>191</v>
      </c>
      <c r="E73" s="4" t="s">
        <v>1324</v>
      </c>
      <c r="F73" t="s">
        <v>1325</v>
      </c>
      <c r="G73" t="s">
        <v>1326</v>
      </c>
      <c r="J73" s="1">
        <v>46344</v>
      </c>
      <c r="K73" s="8" t="s">
        <v>1327</v>
      </c>
    </row>
    <row r="74" spans="1:12">
      <c r="A74" s="15" t="s">
        <v>209</v>
      </c>
      <c r="B74" s="15" t="s">
        <v>210</v>
      </c>
      <c r="C74" s="15" t="s">
        <v>191</v>
      </c>
      <c r="D74" s="15"/>
      <c r="E74" s="15" t="s">
        <v>1330</v>
      </c>
      <c r="F74" s="15"/>
      <c r="G74" s="15"/>
      <c r="K74" s="10" t="s">
        <v>1331</v>
      </c>
      <c r="L74" t="s">
        <v>212</v>
      </c>
    </row>
    <row r="75" spans="1:12">
      <c r="A75" t="s">
        <v>201</v>
      </c>
      <c r="B75" t="s">
        <v>202</v>
      </c>
      <c r="C75" t="s">
        <v>191</v>
      </c>
      <c r="E75" s="4" t="s">
        <v>1324</v>
      </c>
      <c r="F75" t="s">
        <v>1325</v>
      </c>
      <c r="G75" t="s">
        <v>1326</v>
      </c>
      <c r="J75" s="1">
        <v>46377</v>
      </c>
      <c r="K75" s="8" t="s">
        <v>1327</v>
      </c>
      <c r="L75" t="s">
        <v>203</v>
      </c>
    </row>
    <row r="76" spans="1:12">
      <c r="A76" s="15" t="s">
        <v>223</v>
      </c>
      <c r="B76" s="15" t="s">
        <v>224</v>
      </c>
      <c r="C76" s="15" t="s">
        <v>191</v>
      </c>
      <c r="D76" s="15"/>
      <c r="E76" s="15" t="s">
        <v>1330</v>
      </c>
      <c r="F76" s="15"/>
      <c r="G76" s="15"/>
      <c r="K76" s="10" t="s">
        <v>1331</v>
      </c>
    </row>
    <row r="77" spans="1:12">
      <c r="A77" t="s">
        <v>216</v>
      </c>
      <c r="B77" t="s">
        <v>217</v>
      </c>
      <c r="C77" t="s">
        <v>191</v>
      </c>
      <c r="E77" t="s">
        <v>1330</v>
      </c>
      <c r="K77" s="10" t="s">
        <v>1331</v>
      </c>
    </row>
    <row r="78" spans="1:12">
      <c r="A78" s="15" t="s">
        <v>225</v>
      </c>
      <c r="B78" s="15" t="s">
        <v>226</v>
      </c>
      <c r="C78" s="15" t="s">
        <v>191</v>
      </c>
      <c r="D78" s="15"/>
      <c r="E78" s="15" t="s">
        <v>1330</v>
      </c>
      <c r="F78" s="15"/>
      <c r="G78" s="15"/>
      <c r="K78" s="10" t="s">
        <v>1331</v>
      </c>
    </row>
    <row r="79" spans="1:12">
      <c r="A79" t="s">
        <v>205</v>
      </c>
      <c r="B79" t="s">
        <v>206</v>
      </c>
      <c r="C79" t="s">
        <v>191</v>
      </c>
      <c r="E79" t="s">
        <v>1324</v>
      </c>
      <c r="J79" s="1">
        <v>46384</v>
      </c>
      <c r="K79" s="8" t="s">
        <v>1327</v>
      </c>
    </row>
    <row r="80" spans="1:12">
      <c r="A80" s="15" t="s">
        <v>220</v>
      </c>
      <c r="B80" s="15" t="s">
        <v>221</v>
      </c>
      <c r="C80" s="15" t="s">
        <v>191</v>
      </c>
      <c r="D80" s="15"/>
      <c r="E80" s="15" t="s">
        <v>1324</v>
      </c>
      <c r="F80" s="15"/>
      <c r="G80" s="15"/>
      <c r="J80" s="1">
        <v>46368</v>
      </c>
      <c r="K80" s="8" t="s">
        <v>1327</v>
      </c>
      <c r="L80" t="s">
        <v>222</v>
      </c>
    </row>
    <row r="81" spans="1:12">
      <c r="A81" t="s">
        <v>229</v>
      </c>
      <c r="B81" t="s">
        <v>221</v>
      </c>
      <c r="C81" t="s">
        <v>191</v>
      </c>
      <c r="E81" t="s">
        <v>1324</v>
      </c>
      <c r="J81" s="1">
        <v>46368</v>
      </c>
      <c r="K81" s="8" t="s">
        <v>1327</v>
      </c>
      <c r="L81" t="s">
        <v>222</v>
      </c>
    </row>
    <row r="82" spans="1:12">
      <c r="A82" s="15" t="s">
        <v>230</v>
      </c>
      <c r="B82" s="15" t="s">
        <v>231</v>
      </c>
      <c r="C82" s="15" t="s">
        <v>191</v>
      </c>
      <c r="D82" s="15"/>
      <c r="E82" s="15" t="s">
        <v>1324</v>
      </c>
      <c r="F82" s="15"/>
      <c r="G82" s="15"/>
      <c r="J82" s="1">
        <v>46368</v>
      </c>
      <c r="K82" s="8" t="s">
        <v>1327</v>
      </c>
      <c r="L82" t="s">
        <v>222</v>
      </c>
    </row>
    <row r="83" spans="1:12">
      <c r="A83" t="s">
        <v>213</v>
      </c>
      <c r="B83" t="s">
        <v>214</v>
      </c>
      <c r="C83" t="s">
        <v>191</v>
      </c>
      <c r="E83" t="s">
        <v>1324</v>
      </c>
      <c r="J83" s="1">
        <v>46358</v>
      </c>
      <c r="K83" s="8" t="s">
        <v>1327</v>
      </c>
    </row>
    <row r="84" spans="1:12">
      <c r="A84" s="15" t="s">
        <v>197</v>
      </c>
      <c r="B84" s="15" t="s">
        <v>198</v>
      </c>
      <c r="C84" s="15" t="s">
        <v>191</v>
      </c>
      <c r="D84" s="15"/>
      <c r="E84" s="15" t="s">
        <v>1330</v>
      </c>
      <c r="F84" s="15"/>
      <c r="G84" s="15"/>
      <c r="K84" s="10" t="s">
        <v>1331</v>
      </c>
      <c r="L84" t="s">
        <v>335</v>
      </c>
    </row>
    <row r="85" spans="1:12">
      <c r="B85" t="s">
        <v>370</v>
      </c>
      <c r="C85" t="s">
        <v>306</v>
      </c>
      <c r="E85" t="s">
        <v>1330</v>
      </c>
      <c r="K85" s="12" t="s">
        <v>1336</v>
      </c>
    </row>
    <row r="86" spans="1:12">
      <c r="A86" s="15" t="s">
        <v>304</v>
      </c>
      <c r="B86" s="15" t="s">
        <v>305</v>
      </c>
      <c r="C86" s="15" t="s">
        <v>306</v>
      </c>
      <c r="D86" s="15"/>
      <c r="E86" s="46" t="s">
        <v>1324</v>
      </c>
      <c r="F86" s="15" t="s">
        <v>1325</v>
      </c>
      <c r="G86" s="15" t="s">
        <v>1326</v>
      </c>
      <c r="J86" s="1">
        <v>46365</v>
      </c>
      <c r="K86" s="8" t="s">
        <v>1327</v>
      </c>
      <c r="L86" t="s">
        <v>192</v>
      </c>
    </row>
    <row r="87" spans="1:12">
      <c r="A87" t="s">
        <v>307</v>
      </c>
      <c r="B87" t="s">
        <v>308</v>
      </c>
      <c r="C87" t="s">
        <v>306</v>
      </c>
      <c r="E87" s="4" t="s">
        <v>1324</v>
      </c>
      <c r="F87" t="s">
        <v>1325</v>
      </c>
      <c r="G87" t="s">
        <v>1326</v>
      </c>
      <c r="J87" s="1">
        <v>46365</v>
      </c>
      <c r="K87" s="8" t="s">
        <v>1327</v>
      </c>
      <c r="L87" t="s">
        <v>192</v>
      </c>
    </row>
    <row r="88" spans="1:12">
      <c r="A88" s="15" t="s">
        <v>309</v>
      </c>
      <c r="B88" s="15" t="s">
        <v>310</v>
      </c>
      <c r="C88" s="15" t="s">
        <v>306</v>
      </c>
      <c r="D88" s="15"/>
      <c r="E88" s="46" t="s">
        <v>1324</v>
      </c>
      <c r="F88" s="15" t="s">
        <v>1325</v>
      </c>
      <c r="G88" s="15" t="s">
        <v>1326</v>
      </c>
      <c r="J88" s="1">
        <v>46365</v>
      </c>
      <c r="K88" s="8" t="s">
        <v>1327</v>
      </c>
      <c r="L88" t="s">
        <v>192</v>
      </c>
    </row>
    <row r="89" spans="1:12">
      <c r="A89" t="s">
        <v>311</v>
      </c>
      <c r="B89" t="s">
        <v>312</v>
      </c>
      <c r="C89" t="s">
        <v>306</v>
      </c>
      <c r="E89" s="4" t="s">
        <v>1324</v>
      </c>
      <c r="F89" t="s">
        <v>1325</v>
      </c>
      <c r="G89" t="s">
        <v>1326</v>
      </c>
      <c r="J89" s="1">
        <v>46365</v>
      </c>
      <c r="K89" s="8" t="s">
        <v>1327</v>
      </c>
      <c r="L89" t="s">
        <v>192</v>
      </c>
    </row>
    <row r="90" spans="1:12">
      <c r="A90" s="15" t="s">
        <v>313</v>
      </c>
      <c r="B90" s="15" t="s">
        <v>314</v>
      </c>
      <c r="C90" s="15" t="s">
        <v>306</v>
      </c>
      <c r="D90" s="15"/>
      <c r="E90" s="46" t="s">
        <v>1324</v>
      </c>
      <c r="F90" s="15" t="s">
        <v>1325</v>
      </c>
      <c r="G90" s="15" t="s">
        <v>1326</v>
      </c>
      <c r="J90" s="1">
        <v>46365</v>
      </c>
      <c r="K90" s="8" t="s">
        <v>1327</v>
      </c>
      <c r="L90" t="s">
        <v>192</v>
      </c>
    </row>
    <row r="91" spans="1:12">
      <c r="A91" t="s">
        <v>315</v>
      </c>
      <c r="B91" t="s">
        <v>316</v>
      </c>
      <c r="C91" t="s">
        <v>306</v>
      </c>
      <c r="E91" s="4" t="s">
        <v>1324</v>
      </c>
      <c r="F91" t="s">
        <v>1325</v>
      </c>
      <c r="G91" t="s">
        <v>1326</v>
      </c>
      <c r="J91" s="1">
        <v>46365</v>
      </c>
      <c r="K91" s="8" t="s">
        <v>1327</v>
      </c>
      <c r="L91" t="s">
        <v>192</v>
      </c>
    </row>
    <row r="92" spans="1:12">
      <c r="A92" s="15" t="s">
        <v>424</v>
      </c>
      <c r="B92" s="15" t="s">
        <v>425</v>
      </c>
      <c r="C92" s="15" t="s">
        <v>306</v>
      </c>
      <c r="D92" s="15"/>
      <c r="E92" s="15" t="s">
        <v>1330</v>
      </c>
      <c r="F92" s="15"/>
      <c r="G92" s="15"/>
      <c r="K92" s="10" t="s">
        <v>1331</v>
      </c>
    </row>
    <row r="93" spans="1:12">
      <c r="A93" t="s">
        <v>427</v>
      </c>
      <c r="B93" t="s">
        <v>428</v>
      </c>
      <c r="C93" t="s">
        <v>306</v>
      </c>
      <c r="E93" t="s">
        <v>1330</v>
      </c>
      <c r="K93" s="10" t="s">
        <v>1331</v>
      </c>
    </row>
    <row r="94" spans="1:12">
      <c r="A94" s="15" t="s">
        <v>355</v>
      </c>
      <c r="B94" s="15" t="s">
        <v>356</v>
      </c>
      <c r="C94" s="15" t="s">
        <v>306</v>
      </c>
      <c r="D94" s="15"/>
      <c r="E94" s="15" t="s">
        <v>1330</v>
      </c>
      <c r="F94" s="15"/>
      <c r="G94" s="15"/>
      <c r="K94" s="10" t="s">
        <v>1331</v>
      </c>
    </row>
    <row r="95" spans="1:12">
      <c r="A95" t="s">
        <v>450</v>
      </c>
      <c r="B95" t="s">
        <v>451</v>
      </c>
      <c r="C95" t="s">
        <v>306</v>
      </c>
      <c r="E95" s="4" t="s">
        <v>1324</v>
      </c>
      <c r="F95" t="s">
        <v>1325</v>
      </c>
      <c r="G95" t="s">
        <v>1326</v>
      </c>
      <c r="J95" s="1">
        <v>46357</v>
      </c>
      <c r="K95" s="8" t="s">
        <v>1327</v>
      </c>
    </row>
    <row r="96" spans="1:12">
      <c r="A96" s="15" t="s">
        <v>349</v>
      </c>
      <c r="B96" s="15" t="s">
        <v>350</v>
      </c>
      <c r="C96" s="15" t="s">
        <v>306</v>
      </c>
      <c r="D96" s="15"/>
      <c r="E96" s="15" t="s">
        <v>1330</v>
      </c>
      <c r="F96" s="15"/>
      <c r="G96" s="15"/>
      <c r="K96" s="10" t="s">
        <v>1331</v>
      </c>
    </row>
    <row r="97" spans="1:12">
      <c r="A97" t="s">
        <v>471</v>
      </c>
      <c r="B97" t="s">
        <v>472</v>
      </c>
      <c r="C97" t="s">
        <v>306</v>
      </c>
      <c r="E97" t="s">
        <v>1330</v>
      </c>
      <c r="K97" s="10" t="s">
        <v>1331</v>
      </c>
    </row>
    <row r="98" spans="1:12">
      <c r="A98" s="15" t="s">
        <v>361</v>
      </c>
      <c r="B98" s="15" t="s">
        <v>362</v>
      </c>
      <c r="C98" s="15" t="s">
        <v>306</v>
      </c>
      <c r="D98" s="15"/>
      <c r="E98" s="15" t="s">
        <v>1330</v>
      </c>
      <c r="F98" s="15"/>
      <c r="G98" s="15"/>
      <c r="K98" s="10" t="s">
        <v>1331</v>
      </c>
    </row>
    <row r="99" spans="1:12">
      <c r="A99" t="s">
        <v>1341</v>
      </c>
      <c r="B99" t="s">
        <v>387</v>
      </c>
      <c r="C99" t="s">
        <v>306</v>
      </c>
      <c r="E99" t="s">
        <v>1330</v>
      </c>
      <c r="K99" s="10" t="s">
        <v>1331</v>
      </c>
    </row>
    <row r="100" spans="1:12">
      <c r="A100" s="15"/>
      <c r="B100" s="15" t="s">
        <v>368</v>
      </c>
      <c r="C100" s="15" t="s">
        <v>306</v>
      </c>
      <c r="D100" s="15"/>
      <c r="E100" s="15" t="s">
        <v>1330</v>
      </c>
      <c r="F100" s="15"/>
      <c r="G100" s="15"/>
      <c r="K100" s="12" t="s">
        <v>1336</v>
      </c>
    </row>
    <row r="101" spans="1:12">
      <c r="B101" t="s">
        <v>368</v>
      </c>
      <c r="C101" t="s">
        <v>306</v>
      </c>
      <c r="E101" t="s">
        <v>1330</v>
      </c>
      <c r="K101" s="12" t="s">
        <v>1336</v>
      </c>
    </row>
    <row r="102" spans="1:12">
      <c r="A102" s="15" t="s">
        <v>337</v>
      </c>
      <c r="B102" s="15" t="s">
        <v>338</v>
      </c>
      <c r="C102" s="15" t="s">
        <v>306</v>
      </c>
      <c r="D102" s="15"/>
      <c r="E102" s="46" t="s">
        <v>1324</v>
      </c>
      <c r="F102" s="15" t="s">
        <v>1325</v>
      </c>
      <c r="G102" s="15" t="s">
        <v>1326</v>
      </c>
      <c r="J102" s="1">
        <v>46378</v>
      </c>
      <c r="K102" s="8" t="s">
        <v>1327</v>
      </c>
      <c r="L102" t="s">
        <v>212</v>
      </c>
    </row>
    <row r="103" spans="1:12">
      <c r="A103" t="s">
        <v>484</v>
      </c>
      <c r="B103" t="s">
        <v>485</v>
      </c>
      <c r="C103" t="s">
        <v>306</v>
      </c>
      <c r="E103" t="s">
        <v>1330</v>
      </c>
      <c r="K103" s="10" t="s">
        <v>1331</v>
      </c>
    </row>
    <row r="104" spans="1:12">
      <c r="A104" s="15" t="s">
        <v>344</v>
      </c>
      <c r="B104" s="15" t="s">
        <v>345</v>
      </c>
      <c r="C104" s="15" t="s">
        <v>306</v>
      </c>
      <c r="D104" s="15"/>
      <c r="E104" s="15" t="s">
        <v>1330</v>
      </c>
      <c r="F104" s="15"/>
      <c r="G104" s="15"/>
      <c r="K104" s="10" t="s">
        <v>1331</v>
      </c>
    </row>
    <row r="105" spans="1:12">
      <c r="A105" t="s">
        <v>352</v>
      </c>
      <c r="B105" t="s">
        <v>353</v>
      </c>
      <c r="C105" t="s">
        <v>306</v>
      </c>
      <c r="E105" s="4" t="s">
        <v>1324</v>
      </c>
      <c r="F105" t="s">
        <v>1325</v>
      </c>
      <c r="G105" t="s">
        <v>1326</v>
      </c>
      <c r="J105" s="1">
        <v>46377</v>
      </c>
      <c r="K105" s="8" t="s">
        <v>1327</v>
      </c>
      <c r="L105" t="s">
        <v>203</v>
      </c>
    </row>
    <row r="106" spans="1:12">
      <c r="A106" s="15"/>
      <c r="B106" s="15" t="s">
        <v>359</v>
      </c>
      <c r="C106" s="15" t="s">
        <v>306</v>
      </c>
      <c r="D106" s="15"/>
      <c r="E106" s="15" t="s">
        <v>1330</v>
      </c>
      <c r="F106" s="15"/>
      <c r="G106" s="15"/>
      <c r="K106" s="12" t="s">
        <v>1336</v>
      </c>
    </row>
    <row r="107" spans="1:12">
      <c r="A107" t="s">
        <v>445</v>
      </c>
      <c r="B107" t="s">
        <v>1342</v>
      </c>
      <c r="C107" t="s">
        <v>306</v>
      </c>
      <c r="E107" t="s">
        <v>1330</v>
      </c>
      <c r="K107" s="10" t="s">
        <v>1331</v>
      </c>
    </row>
    <row r="108" spans="1:12">
      <c r="A108" s="15" t="s">
        <v>389</v>
      </c>
      <c r="B108" s="15" t="s">
        <v>390</v>
      </c>
      <c r="C108" s="15" t="s">
        <v>306</v>
      </c>
      <c r="D108" s="15"/>
      <c r="E108" s="15" t="s">
        <v>1330</v>
      </c>
      <c r="F108" s="15"/>
      <c r="G108" s="15"/>
      <c r="K108" s="10" t="s">
        <v>1331</v>
      </c>
    </row>
    <row r="109" spans="1:12">
      <c r="A109" t="s">
        <v>456</v>
      </c>
      <c r="B109" t="s">
        <v>457</v>
      </c>
      <c r="C109" t="s">
        <v>306</v>
      </c>
      <c r="E109" t="s">
        <v>1330</v>
      </c>
      <c r="K109" s="10" t="s">
        <v>1331</v>
      </c>
    </row>
    <row r="110" spans="1:12">
      <c r="A110" s="15" t="s">
        <v>453</v>
      </c>
      <c r="B110" s="15" t="s">
        <v>1343</v>
      </c>
      <c r="C110" s="15" t="s">
        <v>306</v>
      </c>
      <c r="D110" s="15"/>
      <c r="E110" s="15" t="s">
        <v>1330</v>
      </c>
      <c r="F110" s="15"/>
      <c r="G110" s="15"/>
      <c r="K110" s="10" t="s">
        <v>1331</v>
      </c>
    </row>
    <row r="111" spans="1:12">
      <c r="A111" t="s">
        <v>392</v>
      </c>
      <c r="B111" t="s">
        <v>393</v>
      </c>
      <c r="C111" t="s">
        <v>306</v>
      </c>
      <c r="E111" t="s">
        <v>1330</v>
      </c>
      <c r="K111" s="10" t="s">
        <v>1331</v>
      </c>
    </row>
    <row r="112" spans="1:12">
      <c r="A112" s="15" t="s">
        <v>395</v>
      </c>
      <c r="B112" s="15" t="s">
        <v>396</v>
      </c>
      <c r="C112" s="15" t="s">
        <v>306</v>
      </c>
      <c r="D112" s="15"/>
      <c r="E112" s="15" t="s">
        <v>1330</v>
      </c>
      <c r="F112" s="15"/>
      <c r="G112" s="15"/>
      <c r="K112" s="10" t="s">
        <v>1331</v>
      </c>
    </row>
    <row r="113" spans="1:12">
      <c r="A113" t="s">
        <v>399</v>
      </c>
      <c r="B113" t="s">
        <v>400</v>
      </c>
      <c r="C113" t="s">
        <v>306</v>
      </c>
      <c r="E113" t="s">
        <v>1330</v>
      </c>
      <c r="K113" s="10" t="s">
        <v>1331</v>
      </c>
    </row>
    <row r="114" spans="1:12">
      <c r="A114" s="15" t="s">
        <v>365</v>
      </c>
      <c r="B114" s="15" t="s">
        <v>366</v>
      </c>
      <c r="C114" s="15" t="s">
        <v>306</v>
      </c>
      <c r="D114" s="15"/>
      <c r="E114" s="15" t="s">
        <v>1330</v>
      </c>
      <c r="F114" s="15"/>
      <c r="G114" s="15"/>
      <c r="K114" s="10" t="s">
        <v>1331</v>
      </c>
    </row>
    <row r="115" spans="1:12">
      <c r="A115" t="s">
        <v>478</v>
      </c>
      <c r="B115" t="s">
        <v>479</v>
      </c>
      <c r="C115" t="s">
        <v>306</v>
      </c>
      <c r="E115" t="s">
        <v>1330</v>
      </c>
      <c r="K115" s="10" t="s">
        <v>1331</v>
      </c>
    </row>
    <row r="116" spans="1:12">
      <c r="A116" s="15" t="s">
        <v>465</v>
      </c>
      <c r="B116" s="15" t="s">
        <v>466</v>
      </c>
      <c r="C116" s="15" t="s">
        <v>306</v>
      </c>
      <c r="D116" s="15"/>
      <c r="E116" s="15" t="s">
        <v>1330</v>
      </c>
      <c r="F116" s="15"/>
      <c r="G116" s="15"/>
      <c r="K116" s="10" t="s">
        <v>1331</v>
      </c>
    </row>
    <row r="117" spans="1:12">
      <c r="A117" t="s">
        <v>459</v>
      </c>
      <c r="B117" t="s">
        <v>460</v>
      </c>
      <c r="C117" t="s">
        <v>306</v>
      </c>
      <c r="E117" t="s">
        <v>1330</v>
      </c>
      <c r="K117" s="10" t="s">
        <v>1331</v>
      </c>
    </row>
    <row r="118" spans="1:12">
      <c r="A118" s="15" t="s">
        <v>462</v>
      </c>
      <c r="B118" s="15" t="s">
        <v>463</v>
      </c>
      <c r="C118" s="15" t="s">
        <v>306</v>
      </c>
      <c r="D118" s="15"/>
      <c r="E118" s="15" t="s">
        <v>1330</v>
      </c>
      <c r="F118" s="15"/>
      <c r="G118" s="15"/>
      <c r="K118" s="10" t="s">
        <v>1331</v>
      </c>
    </row>
    <row r="119" spans="1:12">
      <c r="A119" t="s">
        <v>408</v>
      </c>
      <c r="B119" t="s">
        <v>409</v>
      </c>
      <c r="C119" t="s">
        <v>306</v>
      </c>
      <c r="E119" t="s">
        <v>1330</v>
      </c>
      <c r="K119" s="10" t="s">
        <v>1331</v>
      </c>
    </row>
    <row r="120" spans="1:12">
      <c r="A120" s="15" t="s">
        <v>417</v>
      </c>
      <c r="B120" s="15" t="s">
        <v>418</v>
      </c>
      <c r="C120" s="15" t="s">
        <v>306</v>
      </c>
      <c r="D120" s="15"/>
      <c r="E120" s="46" t="s">
        <v>1324</v>
      </c>
      <c r="F120" s="15" t="s">
        <v>1325</v>
      </c>
      <c r="G120" s="15" t="s">
        <v>1326</v>
      </c>
      <c r="J120" s="1">
        <v>46380</v>
      </c>
      <c r="K120" s="8" t="s">
        <v>1327</v>
      </c>
      <c r="L120" t="s">
        <v>290</v>
      </c>
    </row>
    <row r="121" spans="1:12">
      <c r="A121" t="s">
        <v>320</v>
      </c>
      <c r="B121" t="s">
        <v>321</v>
      </c>
      <c r="C121" t="s">
        <v>306</v>
      </c>
      <c r="E121" s="4" t="s">
        <v>1324</v>
      </c>
      <c r="F121" t="s">
        <v>1332</v>
      </c>
      <c r="G121" t="s">
        <v>1344</v>
      </c>
      <c r="K121" s="11" t="s">
        <v>1334</v>
      </c>
      <c r="L121" t="s">
        <v>1345</v>
      </c>
    </row>
    <row r="122" spans="1:12">
      <c r="A122" s="15" t="s">
        <v>413</v>
      </c>
      <c r="B122" s="15" t="s">
        <v>414</v>
      </c>
      <c r="C122" s="15" t="s">
        <v>306</v>
      </c>
      <c r="D122" s="15"/>
      <c r="E122" s="15" t="s">
        <v>1330</v>
      </c>
      <c r="F122" s="15"/>
      <c r="G122" s="15"/>
      <c r="K122" s="10" t="s">
        <v>1331</v>
      </c>
    </row>
    <row r="123" spans="1:12">
      <c r="B123" t="s">
        <v>371</v>
      </c>
      <c r="C123" t="s">
        <v>306</v>
      </c>
      <c r="E123" t="s">
        <v>1330</v>
      </c>
      <c r="K123" s="12" t="s">
        <v>1336</v>
      </c>
    </row>
    <row r="124" spans="1:12">
      <c r="A124" s="15" t="s">
        <v>421</v>
      </c>
      <c r="B124" s="15" t="s">
        <v>422</v>
      </c>
      <c r="C124" s="15" t="s">
        <v>306</v>
      </c>
      <c r="D124" s="15"/>
      <c r="E124" s="15" t="s">
        <v>1330</v>
      </c>
      <c r="F124" s="15"/>
      <c r="G124" s="15"/>
      <c r="K124" s="10" t="s">
        <v>1331</v>
      </c>
    </row>
    <row r="125" spans="1:12">
      <c r="A125" t="s">
        <v>487</v>
      </c>
      <c r="B125" t="s">
        <v>488</v>
      </c>
      <c r="C125" t="s">
        <v>306</v>
      </c>
      <c r="E125" t="s">
        <v>1330</v>
      </c>
      <c r="K125" s="10" t="s">
        <v>1331</v>
      </c>
    </row>
    <row r="126" spans="1:12">
      <c r="A126" s="15"/>
      <c r="B126" s="15" t="s">
        <v>490</v>
      </c>
      <c r="C126" s="15" t="s">
        <v>306</v>
      </c>
      <c r="D126" s="15"/>
      <c r="E126" s="15" t="s">
        <v>1330</v>
      </c>
      <c r="F126" s="15"/>
      <c r="G126" s="15"/>
      <c r="K126" s="12" t="s">
        <v>1336</v>
      </c>
    </row>
    <row r="127" spans="1:12">
      <c r="A127" t="s">
        <v>411</v>
      </c>
      <c r="B127" t="s">
        <v>412</v>
      </c>
      <c r="C127" t="s">
        <v>306</v>
      </c>
      <c r="E127" t="s">
        <v>1330</v>
      </c>
      <c r="K127" s="10" t="s">
        <v>1331</v>
      </c>
      <c r="L127" t="s">
        <v>1346</v>
      </c>
    </row>
    <row r="128" spans="1:12">
      <c r="A128" s="15" t="s">
        <v>468</v>
      </c>
      <c r="B128" s="15" t="s">
        <v>469</v>
      </c>
      <c r="C128" s="15" t="s">
        <v>306</v>
      </c>
      <c r="D128" s="15"/>
      <c r="E128" s="15" t="s">
        <v>1330</v>
      </c>
      <c r="F128" s="15"/>
      <c r="G128" s="15"/>
      <c r="K128" s="10" t="s">
        <v>1331</v>
      </c>
    </row>
    <row r="129" spans="1:12">
      <c r="A129" t="s">
        <v>378</v>
      </c>
      <c r="B129" t="s">
        <v>379</v>
      </c>
      <c r="C129" t="s">
        <v>306</v>
      </c>
      <c r="E129" s="4" t="s">
        <v>1324</v>
      </c>
      <c r="F129" t="s">
        <v>1325</v>
      </c>
      <c r="G129" t="s">
        <v>1326</v>
      </c>
      <c r="J129" s="1">
        <v>46377</v>
      </c>
      <c r="K129" s="8" t="s">
        <v>1327</v>
      </c>
      <c r="L129" t="s">
        <v>212</v>
      </c>
    </row>
    <row r="130" spans="1:12">
      <c r="A130" s="15" t="s">
        <v>317</v>
      </c>
      <c r="B130" s="15" t="s">
        <v>318</v>
      </c>
      <c r="C130" s="15" t="s">
        <v>306</v>
      </c>
      <c r="D130" s="15"/>
      <c r="E130" s="46" t="s">
        <v>1324</v>
      </c>
      <c r="F130" s="15" t="s">
        <v>1325</v>
      </c>
      <c r="G130" s="15" t="s">
        <v>1326</v>
      </c>
      <c r="J130" s="1">
        <v>46377</v>
      </c>
      <c r="K130" s="8" t="s">
        <v>1327</v>
      </c>
      <c r="L130" t="s">
        <v>212</v>
      </c>
    </row>
    <row r="131" spans="1:12">
      <c r="A131" t="s">
        <v>415</v>
      </c>
      <c r="B131" t="s">
        <v>416</v>
      </c>
      <c r="C131" t="s">
        <v>306</v>
      </c>
      <c r="E131" t="s">
        <v>1324</v>
      </c>
      <c r="J131" s="1">
        <v>46379</v>
      </c>
      <c r="K131" s="8" t="s">
        <v>1327</v>
      </c>
      <c r="L131" t="s">
        <v>270</v>
      </c>
    </row>
    <row r="132" spans="1:12">
      <c r="A132" s="15" t="s">
        <v>430</v>
      </c>
      <c r="B132" s="15" t="s">
        <v>431</v>
      </c>
      <c r="C132" s="15" t="s">
        <v>306</v>
      </c>
      <c r="D132" s="15"/>
      <c r="E132" s="15" t="s">
        <v>1324</v>
      </c>
      <c r="F132" s="15"/>
      <c r="G132" s="15"/>
      <c r="J132" s="1">
        <v>46379</v>
      </c>
      <c r="K132" s="8" t="s">
        <v>1327</v>
      </c>
      <c r="L132" t="s">
        <v>270</v>
      </c>
    </row>
    <row r="133" spans="1:12">
      <c r="A133" t="s">
        <v>373</v>
      </c>
      <c r="B133" t="s">
        <v>374</v>
      </c>
      <c r="C133" t="s">
        <v>306</v>
      </c>
      <c r="E133" t="s">
        <v>1324</v>
      </c>
      <c r="J133" s="1">
        <v>46325</v>
      </c>
      <c r="K133" s="8" t="s">
        <v>1327</v>
      </c>
      <c r="L133" t="s">
        <v>270</v>
      </c>
    </row>
    <row r="134" spans="1:12">
      <c r="A134" s="15" t="s">
        <v>375</v>
      </c>
      <c r="B134" s="15" t="s">
        <v>376</v>
      </c>
      <c r="C134" s="15" t="s">
        <v>306</v>
      </c>
      <c r="D134" s="15"/>
      <c r="E134" s="15" t="s">
        <v>1324</v>
      </c>
      <c r="F134" s="15"/>
      <c r="G134" s="15"/>
      <c r="J134" s="1">
        <v>46325</v>
      </c>
      <c r="K134" s="8" t="s">
        <v>1327</v>
      </c>
      <c r="L134" t="s">
        <v>270</v>
      </c>
    </row>
    <row r="135" spans="1:12">
      <c r="A135" t="s">
        <v>432</v>
      </c>
      <c r="B135" t="s">
        <v>433</v>
      </c>
      <c r="C135" t="s">
        <v>306</v>
      </c>
      <c r="E135" t="s">
        <v>1330</v>
      </c>
      <c r="K135" s="10" t="s">
        <v>1331</v>
      </c>
    </row>
    <row r="136" spans="1:12">
      <c r="A136" s="15" t="s">
        <v>435</v>
      </c>
      <c r="B136" s="15" t="s">
        <v>436</v>
      </c>
      <c r="C136" s="15" t="s">
        <v>306</v>
      </c>
      <c r="D136" s="15"/>
      <c r="E136" s="15" t="s">
        <v>1330</v>
      </c>
      <c r="F136" s="15"/>
      <c r="G136" s="15"/>
      <c r="K136" s="10" t="s">
        <v>1331</v>
      </c>
    </row>
    <row r="137" spans="1:12">
      <c r="A137" t="s">
        <v>438</v>
      </c>
      <c r="B137" t="s">
        <v>439</v>
      </c>
      <c r="C137" t="s">
        <v>306</v>
      </c>
      <c r="E137" t="s">
        <v>1330</v>
      </c>
      <c r="K137" s="10" t="s">
        <v>1331</v>
      </c>
    </row>
    <row r="138" spans="1:12">
      <c r="A138" s="15" t="s">
        <v>441</v>
      </c>
      <c r="B138" s="15" t="s">
        <v>442</v>
      </c>
      <c r="C138" s="15" t="s">
        <v>306</v>
      </c>
      <c r="D138" s="15"/>
      <c r="E138" s="15" t="s">
        <v>1330</v>
      </c>
      <c r="F138" s="15"/>
      <c r="G138" s="15"/>
      <c r="K138" s="10" t="s">
        <v>1331</v>
      </c>
    </row>
    <row r="139" spans="1:12">
      <c r="B139" t="s">
        <v>481</v>
      </c>
      <c r="C139" t="s">
        <v>306</v>
      </c>
      <c r="E139" t="s">
        <v>1330</v>
      </c>
      <c r="K139" s="12" t="s">
        <v>1336</v>
      </c>
    </row>
    <row r="140" spans="1:12">
      <c r="A140" s="15" t="s">
        <v>381</v>
      </c>
      <c r="B140" s="15" t="s">
        <v>382</v>
      </c>
      <c r="C140" s="15" t="s">
        <v>306</v>
      </c>
      <c r="D140" s="15"/>
      <c r="E140" s="15" t="s">
        <v>1330</v>
      </c>
      <c r="F140" s="15"/>
      <c r="G140" s="15"/>
      <c r="K140" s="10" t="s">
        <v>1331</v>
      </c>
    </row>
    <row r="141" spans="1:12">
      <c r="A141" t="s">
        <v>384</v>
      </c>
      <c r="B141" t="s">
        <v>385</v>
      </c>
      <c r="C141" t="s">
        <v>306</v>
      </c>
      <c r="E141" t="s">
        <v>1330</v>
      </c>
      <c r="K141" s="10" t="s">
        <v>1331</v>
      </c>
    </row>
    <row r="142" spans="1:12">
      <c r="A142" s="15" t="s">
        <v>403</v>
      </c>
      <c r="B142" s="15" t="s">
        <v>404</v>
      </c>
      <c r="C142" s="15" t="s">
        <v>306</v>
      </c>
      <c r="D142" s="15"/>
      <c r="E142" s="15" t="s">
        <v>1330</v>
      </c>
      <c r="F142" s="15"/>
      <c r="G142" s="15"/>
      <c r="K142" s="10" t="s">
        <v>1331</v>
      </c>
    </row>
    <row r="143" spans="1:12">
      <c r="A143" t="s">
        <v>448</v>
      </c>
      <c r="B143" t="s">
        <v>449</v>
      </c>
      <c r="C143" t="s">
        <v>306</v>
      </c>
      <c r="E143" t="s">
        <v>1330</v>
      </c>
      <c r="K143" s="10" t="s">
        <v>1331</v>
      </c>
    </row>
    <row r="144" spans="1:12">
      <c r="A144" s="15" t="s">
        <v>475</v>
      </c>
      <c r="B144" s="15" t="s">
        <v>476</v>
      </c>
      <c r="C144" s="15" t="s">
        <v>306</v>
      </c>
      <c r="D144" s="15"/>
      <c r="E144" s="15" t="s">
        <v>1330</v>
      </c>
      <c r="F144" s="15"/>
      <c r="G144" s="15"/>
      <c r="K144" s="10" t="s">
        <v>1331</v>
      </c>
    </row>
    <row r="145" spans="1:12">
      <c r="A145" t="s">
        <v>333</v>
      </c>
      <c r="B145" t="s">
        <v>334</v>
      </c>
      <c r="C145" t="s">
        <v>306</v>
      </c>
      <c r="E145" t="s">
        <v>1324</v>
      </c>
      <c r="J145" s="1">
        <v>46358</v>
      </c>
      <c r="K145" s="8" t="s">
        <v>1327</v>
      </c>
      <c r="L145" t="s">
        <v>335</v>
      </c>
    </row>
    <row r="146" spans="1:12">
      <c r="A146" s="15" t="s">
        <v>340</v>
      </c>
      <c r="B146" s="15" t="s">
        <v>341</v>
      </c>
      <c r="C146" s="15" t="s">
        <v>306</v>
      </c>
      <c r="D146" s="15"/>
      <c r="E146" s="15" t="s">
        <v>1330</v>
      </c>
      <c r="F146" s="15"/>
      <c r="G146" s="15"/>
      <c r="K146" s="10" t="s">
        <v>1331</v>
      </c>
    </row>
  </sheetData>
  <dataValidations count="1">
    <dataValidation type="list" allowBlank="1" sqref="E2:E146" xr:uid="{00000000-0002-0000-0200-000000000000}">
      <formula1>"Oui,Non"</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ySplit="4" topLeftCell="A5" activePane="bottomLeft" state="frozen"/>
      <selection pane="bottomLeft"/>
    </sheetView>
  </sheetViews>
  <sheetFormatPr defaultColWidth="8.7109375" defaultRowHeight="14.45"/>
  <cols>
    <col min="1" max="1" width="14" customWidth="1"/>
    <col min="2" max="2" width="30" customWidth="1"/>
    <col min="3" max="3" width="40" customWidth="1"/>
    <col min="4" max="4" width="42" customWidth="1"/>
    <col min="5" max="5" width="60" customWidth="1"/>
  </cols>
  <sheetData>
    <row r="1" spans="1:5" ht="17.100000000000001">
      <c r="A1" s="5" t="s">
        <v>1347</v>
      </c>
    </row>
    <row r="2" spans="1:5">
      <c r="A2" s="6" t="s">
        <v>1348</v>
      </c>
    </row>
    <row r="4" spans="1:5">
      <c r="A4" s="47" t="s">
        <v>1349</v>
      </c>
      <c r="B4" s="47" t="s">
        <v>1350</v>
      </c>
      <c r="C4" s="47" t="s">
        <v>1351</v>
      </c>
      <c r="D4" s="47" t="s">
        <v>1352</v>
      </c>
      <c r="E4" s="47" t="s">
        <v>1353</v>
      </c>
    </row>
    <row r="5" spans="1:5">
      <c r="A5" s="17" t="s">
        <v>1354</v>
      </c>
      <c r="B5" t="s">
        <v>1166</v>
      </c>
      <c r="C5" t="s">
        <v>334</v>
      </c>
      <c r="D5" t="s">
        <v>1355</v>
      </c>
      <c r="E5" t="s">
        <v>1356</v>
      </c>
    </row>
    <row r="6" spans="1:5">
      <c r="A6" s="18" t="s">
        <v>1354</v>
      </c>
      <c r="B6" s="15" t="s">
        <v>1168</v>
      </c>
      <c r="C6" s="15" t="s">
        <v>334</v>
      </c>
      <c r="D6" s="15" t="s">
        <v>1355</v>
      </c>
      <c r="E6" s="15" t="s">
        <v>1357</v>
      </c>
    </row>
    <row r="7" spans="1:5">
      <c r="A7" s="17" t="s">
        <v>1354</v>
      </c>
      <c r="B7" t="s">
        <v>1171</v>
      </c>
      <c r="C7" t="s">
        <v>214</v>
      </c>
      <c r="D7" t="s">
        <v>1355</v>
      </c>
      <c r="E7" t="s">
        <v>1356</v>
      </c>
    </row>
    <row r="8" spans="1:5">
      <c r="A8" s="18" t="s">
        <v>1354</v>
      </c>
      <c r="B8" s="15" t="s">
        <v>1172</v>
      </c>
      <c r="C8" s="15" t="s">
        <v>214</v>
      </c>
      <c r="D8" s="15" t="s">
        <v>1355</v>
      </c>
      <c r="E8" s="15" t="s">
        <v>1357</v>
      </c>
    </row>
    <row r="9" spans="1:5">
      <c r="A9" s="7" t="s">
        <v>1358</v>
      </c>
      <c r="D9" t="s">
        <v>1359</v>
      </c>
      <c r="E9" t="s">
        <v>1360</v>
      </c>
    </row>
    <row r="10" spans="1:5">
      <c r="A10" s="48" t="s">
        <v>1358</v>
      </c>
      <c r="B10" s="15"/>
      <c r="C10" s="15"/>
      <c r="D10" s="15" t="s">
        <v>1359</v>
      </c>
      <c r="E10" s="15" t="s">
        <v>1361</v>
      </c>
    </row>
    <row r="11" spans="1:5">
      <c r="A11" s="7" t="s">
        <v>1358</v>
      </c>
      <c r="D11" t="s">
        <v>1359</v>
      </c>
      <c r="E11" t="s">
        <v>1362</v>
      </c>
    </row>
    <row r="12" spans="1:5">
      <c r="A12" s="48" t="s">
        <v>1358</v>
      </c>
      <c r="B12" s="15"/>
      <c r="C12" s="15"/>
      <c r="D12" s="15" t="s">
        <v>1359</v>
      </c>
      <c r="E12" s="15" t="s">
        <v>1363</v>
      </c>
    </row>
    <row r="13" spans="1:5">
      <c r="A13" s="7" t="s">
        <v>1358</v>
      </c>
      <c r="D13" t="s">
        <v>1359</v>
      </c>
      <c r="E13" t="s">
        <v>1364</v>
      </c>
    </row>
    <row r="14" spans="1:5">
      <c r="A14" s="48" t="s">
        <v>1358</v>
      </c>
      <c r="B14" s="15"/>
      <c r="C14" s="15"/>
      <c r="D14" s="15" t="s">
        <v>1359</v>
      </c>
      <c r="E14" s="15" t="s">
        <v>1365</v>
      </c>
    </row>
    <row r="15" spans="1:5">
      <c r="A15" s="7" t="s">
        <v>1358</v>
      </c>
      <c r="D15" t="s">
        <v>1359</v>
      </c>
      <c r="E15" t="s">
        <v>1366</v>
      </c>
    </row>
    <row r="16" spans="1:5">
      <c r="A16" s="48" t="s">
        <v>1358</v>
      </c>
      <c r="B16" s="15"/>
      <c r="C16" s="15"/>
      <c r="D16" s="15" t="s">
        <v>1359</v>
      </c>
      <c r="E16" s="15" t="s">
        <v>1367</v>
      </c>
    </row>
    <row r="17" spans="1:5">
      <c r="A17" s="7" t="s">
        <v>1358</v>
      </c>
      <c r="D17" t="s">
        <v>1359</v>
      </c>
      <c r="E17" t="s">
        <v>1368</v>
      </c>
    </row>
    <row r="18" spans="1:5">
      <c r="A18" s="48" t="s">
        <v>1358</v>
      </c>
      <c r="B18" s="15"/>
      <c r="C18" s="15"/>
      <c r="D18" s="15" t="s">
        <v>1359</v>
      </c>
      <c r="E18" s="15" t="s">
        <v>1369</v>
      </c>
    </row>
    <row r="19" spans="1:5">
      <c r="A19" s="7" t="s">
        <v>1358</v>
      </c>
      <c r="D19" t="s">
        <v>1359</v>
      </c>
      <c r="E19" t="s">
        <v>1370</v>
      </c>
    </row>
    <row r="20" spans="1:5">
      <c r="A20" s="48" t="s">
        <v>1358</v>
      </c>
      <c r="B20" s="15"/>
      <c r="C20" s="15"/>
      <c r="D20" s="15" t="s">
        <v>1359</v>
      </c>
      <c r="E20" s="15" t="s">
        <v>1371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4"/>
  <sheetViews>
    <sheetView workbookViewId="0"/>
  </sheetViews>
  <sheetFormatPr defaultColWidth="8.7109375" defaultRowHeight="14.45"/>
  <cols>
    <col min="1" max="1" width="120" customWidth="1"/>
  </cols>
  <sheetData>
    <row r="1" spans="1:1" ht="15.6" customHeight="1">
      <c r="A1" s="2" t="s">
        <v>1372</v>
      </c>
    </row>
    <row r="2" spans="1:1">
      <c r="A2" s="3"/>
    </row>
    <row r="3" spans="1:1" ht="29.1" customHeight="1">
      <c r="A3" s="3" t="s">
        <v>1373</v>
      </c>
    </row>
    <row r="4" spans="1:1">
      <c r="A4" s="3"/>
    </row>
    <row r="5" spans="1:1" ht="29.1" customHeight="1">
      <c r="A5" s="3" t="s">
        <v>1374</v>
      </c>
    </row>
    <row r="6" spans="1:1">
      <c r="A6" s="3"/>
    </row>
    <row r="7" spans="1:1" ht="29.1" customHeight="1">
      <c r="A7" s="3" t="s">
        <v>1375</v>
      </c>
    </row>
    <row r="8" spans="1:1">
      <c r="A8" s="3"/>
    </row>
    <row r="9" spans="1:1" ht="15.6" customHeight="1">
      <c r="A9" s="2" t="s">
        <v>1376</v>
      </c>
    </row>
    <row r="10" spans="1:1" ht="43.5" customHeight="1">
      <c r="A10" s="3" t="s">
        <v>1377</v>
      </c>
    </row>
    <row r="11" spans="1:1" ht="29.1" customHeight="1">
      <c r="A11" s="3" t="s">
        <v>1378</v>
      </c>
    </row>
    <row r="12" spans="1:1">
      <c r="A12" s="3" t="s">
        <v>1379</v>
      </c>
    </row>
    <row r="13" spans="1:1">
      <c r="A13" s="3"/>
    </row>
    <row r="14" spans="1:1" ht="43.5" customHeight="1">
      <c r="A14" s="3" t="s">
        <v>1380</v>
      </c>
    </row>
    <row r="16" spans="1:1" ht="15.6" customHeight="1">
      <c r="A16" s="2" t="s">
        <v>1381</v>
      </c>
    </row>
    <row r="17" spans="1:1">
      <c r="A17" s="3" t="s">
        <v>1382</v>
      </c>
    </row>
    <row r="18" spans="1:1">
      <c r="A18" s="3"/>
    </row>
    <row r="19" spans="1:1" ht="15.6" customHeight="1">
      <c r="A19" s="2" t="s">
        <v>1383</v>
      </c>
    </row>
    <row r="20" spans="1:1" ht="29.1" customHeight="1">
      <c r="A20" s="3" t="s">
        <v>1384</v>
      </c>
    </row>
    <row r="21" spans="1:1" ht="29.1" customHeight="1">
      <c r="A21" s="3" t="s">
        <v>1385</v>
      </c>
    </row>
    <row r="22" spans="1:1">
      <c r="A22" s="3"/>
    </row>
    <row r="23" spans="1:1" ht="15.6" customHeight="1">
      <c r="A23" s="2" t="s">
        <v>1386</v>
      </c>
    </row>
    <row r="24" spans="1:1">
      <c r="A24" s="3" t="s">
        <v>1387</v>
      </c>
    </row>
    <row r="25" spans="1:1">
      <c r="A25" s="3" t="s">
        <v>1388</v>
      </c>
    </row>
    <row r="26" spans="1:1">
      <c r="A26" s="3" t="s">
        <v>1389</v>
      </c>
    </row>
    <row r="27" spans="1:1">
      <c r="A27" s="3"/>
    </row>
    <row r="28" spans="1:1" ht="15.6" customHeight="1">
      <c r="A28" s="2" t="s">
        <v>1390</v>
      </c>
    </row>
    <row r="29" spans="1:1">
      <c r="A29" s="3" t="s">
        <v>1391</v>
      </c>
    </row>
    <row r="30" spans="1:1">
      <c r="A30" s="3" t="s">
        <v>1392</v>
      </c>
    </row>
    <row r="31" spans="1:1">
      <c r="A31" s="3" t="s">
        <v>1393</v>
      </c>
    </row>
    <row r="32" spans="1:1">
      <c r="A32" s="3" t="s">
        <v>1394</v>
      </c>
    </row>
    <row r="33" spans="1:1">
      <c r="A33" s="3"/>
    </row>
    <row r="34" spans="1:1" ht="29.1" customHeight="1">
      <c r="A34" s="3" t="s">
        <v>1395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788DBEE0ABBC4DBAD8BCBF9C89FD31" ma:contentTypeVersion="12" ma:contentTypeDescription="Crée un document." ma:contentTypeScope="" ma:versionID="8a5182994913cc006fc28d542183e06a">
  <xsd:schema xmlns:xsd="http://www.w3.org/2001/XMLSchema" xmlns:xs="http://www.w3.org/2001/XMLSchema" xmlns:p="http://schemas.microsoft.com/office/2006/metadata/properties" xmlns:ns2="a7db4134-eff6-4410-b183-a919a91add29" xmlns:ns3="1af0bc77-74e6-4349-97db-9e63c793758a" targetNamespace="http://schemas.microsoft.com/office/2006/metadata/properties" ma:root="true" ma:fieldsID="69612d33de98c31b8bd28e13883e507d" ns2:_="" ns3:_="">
    <xsd:import namespace="a7db4134-eff6-4410-b183-a919a91add29"/>
    <xsd:import namespace="1af0bc77-74e6-4349-97db-9e63c7937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db4134-eff6-4410-b183-a919a91add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255009b4-7e6b-4f27-bdd1-a37e0db1209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f0bc77-74e6-4349-97db-9e63c793758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cc912b3-e73e-47c2-892a-009cb2619b69}" ma:internalName="TaxCatchAll" ma:showField="CatchAllData" ma:web="1af0bc77-74e6-4349-97db-9e63c7937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7db4134-eff6-4410-b183-a919a91add29">
      <Terms xmlns="http://schemas.microsoft.com/office/infopath/2007/PartnerControls"/>
    </lcf76f155ced4ddcb4097134ff3c332f>
    <TaxCatchAll xmlns="1af0bc77-74e6-4349-97db-9e63c793758a" xsi:nil="true"/>
  </documentManagement>
</p:properties>
</file>

<file path=customXml/itemProps1.xml><?xml version="1.0" encoding="utf-8"?>
<ds:datastoreItem xmlns:ds="http://schemas.openxmlformats.org/officeDocument/2006/customXml" ds:itemID="{8D2F3AD6-9ED0-41B4-AD04-4A5E45C66C81}"/>
</file>

<file path=customXml/itemProps2.xml><?xml version="1.0" encoding="utf-8"?>
<ds:datastoreItem xmlns:ds="http://schemas.openxmlformats.org/officeDocument/2006/customXml" ds:itemID="{068417F2-9461-4184-9E8E-C5E1704A0F9C}"/>
</file>

<file path=customXml/itemProps3.xml><?xml version="1.0" encoding="utf-8"?>
<ds:datastoreItem xmlns:ds="http://schemas.openxmlformats.org/officeDocument/2006/customXml" ds:itemID="{9C655F1F-8FCF-4614-95CD-101550DDA88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2026-07-22T16:08:19Z</dcterms:created>
  <dcterms:modified xsi:type="dcterms:W3CDTF">2026-09-01T11:37:39Z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0x01010060788DBEE0ABBC4DBAD8BCBF9C89FD31</vt:lpwstr>
  </property>
  <property fmtid="{D5CDD505-2E9C-101B-9397-08002B2CF9AE}" pid="3" name="MediaServiceImageTags">
    <vt:lpwstr/>
  </property>
</Properties>
</file>