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lthospatrimoine2020.sharepoint.com/sites/Althos-consultants/Documents partages/Commun/Althos Patrimoine/Althos APP/Bibliothèque de fonds/"/>
    </mc:Choice>
  </mc:AlternateContent>
  <xr:revisionPtr revIDLastSave="10" documentId="13_ncr:1_{03DC07C6-F228-41E4-B582-ADF21E133B3B}" xr6:coauthVersionLast="47" xr6:coauthVersionMax="47" xr10:uidLastSave="{6D3DA062-06B6-499B-B7D4-E896D58C39E8}"/>
  <bookViews>
    <workbookView xWindow="-80" yWindow="-80" windowWidth="19360" windowHeight="11440" activeTab="1" xr2:uid="{00000000-000D-0000-FFFF-FFFF00000000}"/>
  </bookViews>
  <sheets>
    <sheet name="Fonds" sheetId="1" r:id="rId1"/>
    <sheet name="Performance fonds" sheetId="9" r:id="rId2"/>
    <sheet name="Transparisation Althos" sheetId="2" r:id="rId3"/>
    <sheet name="Listes" sheetId="3" r:id="rId4"/>
    <sheet name="Contrôle" sheetId="4" r:id="rId5"/>
    <sheet name="Mode d'emploi" sheetId="5" r:id="rId6"/>
    <sheet name="Coupons" sheetId="6" r:id="rId7"/>
    <sheet name="TableReportings" sheetId="7" r:id="rId8"/>
    <sheet name="TableSuiviReportings" sheetId="8" r:id="rId9"/>
  </sheets>
  <definedNames>
    <definedName name="Categories">Listes!$A$2:$A$9</definedName>
    <definedName name="DateTranspaAlthos">'Transparisation Althos'!$C$3</definedName>
    <definedName name="Devises">Listes!$G$2:$G$7</definedName>
    <definedName name="Liquidites">Listes!$M$2:$M$5</definedName>
    <definedName name="ListeFonds" localSheetId="1">OFFSET('Performance fonds'!$B$3,0,0,MAX(1,COUNTA('Performance fonds'!$B$3:$B$100009)),1)</definedName>
    <definedName name="ListeFonds">OFFSET(Fonds!$B$3,0,0,MAX(1,COUNTA(Fonds!$B$3:$B$100009)),1)</definedName>
    <definedName name="ListeISIN" localSheetId="1">TablePerfFonds[ISIN]</definedName>
    <definedName name="ListeISIN">TableFonds[ISIN]</definedName>
    <definedName name="PaireCategorie">Listes!$D$2:$D$15</definedName>
    <definedName name="PaireSousCategorie">Listes!$E$2:$E$15</definedName>
    <definedName name="SFDR">Listes!$O$2:$O$4</definedName>
    <definedName name="SousCategories">Listes!$B$2:$B$9</definedName>
    <definedName name="Statuts">Listes!$I$2:$I$4</definedName>
    <definedName name="StatutsVerif">'Performance fonds'!$BB$1:$BB$2</definedName>
    <definedName name="Temporalites">Listes!$K$2:$K$6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8" i="4" l="1"/>
  <c r="C47" i="4"/>
  <c r="C46" i="4"/>
  <c r="C45" i="4"/>
  <c r="C44" i="4"/>
  <c r="C43" i="4"/>
  <c r="C42" i="4"/>
  <c r="C41" i="4"/>
  <c r="C40" i="4"/>
  <c r="C39" i="4"/>
  <c r="C38" i="4"/>
  <c r="C37" i="4"/>
  <c r="C36" i="4"/>
  <c r="C33" i="4"/>
  <c r="C32" i="4"/>
  <c r="C31" i="4"/>
  <c r="C30" i="4"/>
  <c r="C29" i="4"/>
  <c r="C28" i="4"/>
  <c r="C25" i="4"/>
  <c r="C24" i="4"/>
  <c r="C23" i="4"/>
  <c r="C22" i="4"/>
  <c r="C21" i="4"/>
  <c r="C20" i="4"/>
  <c r="C19" i="4"/>
  <c r="C18" i="4"/>
  <c r="C17" i="4"/>
  <c r="C16" i="4"/>
  <c r="C15" i="4"/>
  <c r="C14" i="4"/>
  <c r="C11" i="4"/>
  <c r="C10" i="4"/>
  <c r="C9" i="4"/>
  <c r="C8" i="4"/>
  <c r="C7" i="4"/>
  <c r="F39" i="2"/>
  <c r="E39" i="2"/>
  <c r="D39" i="2"/>
  <c r="C39" i="2"/>
</calcChain>
</file>

<file path=xl/sharedStrings.xml><?xml version="1.0" encoding="utf-8"?>
<sst xmlns="http://schemas.openxmlformats.org/spreadsheetml/2006/main" count="4192" uniqueCount="1367">
  <si>
    <t>ISIN</t>
  </si>
  <si>
    <t>Nom du fonds</t>
  </si>
  <si>
    <t>Catégorie</t>
  </si>
  <si>
    <t>Sous-catégorie</t>
  </si>
  <si>
    <t>Devise du fonds</t>
  </si>
  <si>
    <t>SRI</t>
  </si>
  <si>
    <t>Frais courants (%)</t>
  </si>
  <si>
    <t>Commission de surperformance (%)</t>
  </si>
  <si>
    <t>Lien DICI</t>
  </si>
  <si>
    <t>Expo EUR (%)</t>
  </si>
  <si>
    <t>Expo USD (%)</t>
  </si>
  <si>
    <t>Expo autres devises (%)</t>
  </si>
  <si>
    <t>Expo Europe (%)</t>
  </si>
  <si>
    <t>Expo Amérique du Nord (%)</t>
  </si>
  <si>
    <t>Expo Marchés émergents (%)</t>
  </si>
  <si>
    <t>Expo autres zones (%)</t>
  </si>
  <si>
    <t>Temporalité de cotation</t>
  </si>
  <si>
    <t>Statut</t>
  </si>
  <si>
    <t>Dernière MAJ</t>
  </si>
  <si>
    <t>Commentaire</t>
  </si>
  <si>
    <t>Liquidité</t>
  </si>
  <si>
    <t>SFDR</t>
  </si>
  <si>
    <t>Fonds prudents</t>
  </si>
  <si>
    <t>Fonds en euro</t>
  </si>
  <si>
    <t>Fonds en euro garanti</t>
  </si>
  <si>
    <t>À compléter</t>
  </si>
  <si>
    <t>Sans code ISIN (fonds euro / espèces / support interne) — rapproché par nom.</t>
  </si>
  <si>
    <t>Fonds en euro CARDIF Lux</t>
  </si>
  <si>
    <t>Actif Général Generali Vie</t>
  </si>
  <si>
    <t>Allianz Fonds Euros</t>
  </si>
  <si>
    <t>Fonds en euro Generali Luxembourg</t>
  </si>
  <si>
    <t>Apicil Euro Garanti</t>
  </si>
  <si>
    <t>Coralis Opportunité</t>
  </si>
  <si>
    <t>Solde espèces</t>
  </si>
  <si>
    <t>Fonds monétaires</t>
  </si>
  <si>
    <t>LU0094219127</t>
  </si>
  <si>
    <t>BNP Paribas Insticash EUR 1D Short Terme</t>
  </si>
  <si>
    <t>FR0007009808</t>
  </si>
  <si>
    <t>BNP Paribas Mois ISR</t>
  </si>
  <si>
    <t>LU0568620560</t>
  </si>
  <si>
    <t>Amundi Funds Cash EUR A2 C</t>
  </si>
  <si>
    <t>FR0010017731</t>
  </si>
  <si>
    <t>Allianz Securicash SRI I (C) EUR</t>
  </si>
  <si>
    <t>https://www.althos-patrimoine.com/wp-content/uploads/2025/06/2025-04-30-DICI-Allianz-Secruiscah-SRI-IC.pdf</t>
  </si>
  <si>
    <t>FR0011362094</t>
  </si>
  <si>
    <t>SG Monétaire Plus P-C</t>
  </si>
  <si>
    <t>FR0010914358</t>
  </si>
  <si>
    <t>SLF (F) Bond ESG 6M</t>
  </si>
  <si>
    <t>FR0010233726</t>
  </si>
  <si>
    <t>Generali trésorerie B EUR C</t>
  </si>
  <si>
    <t>https://www.althos-patrimoine.com/wp-content/uploads/2025/06/2025-04-14-DICI-Generali-Tresorerie-B-EUR-C.pdf</t>
  </si>
  <si>
    <t>FR0013328317</t>
  </si>
  <si>
    <t>Apicil Trésorerie P</t>
  </si>
  <si>
    <t>FR0000288946</t>
  </si>
  <si>
    <t>AXA Court Terme AC</t>
  </si>
  <si>
    <t>Liquidités fonds de fonds</t>
  </si>
  <si>
    <t>CIC Union Plus EUR</t>
  </si>
  <si>
    <t>Union + TC CAP</t>
  </si>
  <si>
    <t>https://www.althos-patrimoine.com/wp-content/uploads/2025/10/KID-Union-TC.pdf</t>
  </si>
  <si>
    <t>LU1165637460</t>
  </si>
  <si>
    <t>IVO Emerging Markets Corporate Debt EUR-I</t>
  </si>
  <si>
    <t>Fonds obligataires</t>
  </si>
  <si>
    <t>https://www.althos-patrimoine.com/wp-content/uploads/2025/10/2025-08-01-DIC_IVO_EMCD-I_LU1165637460.pdf</t>
  </si>
  <si>
    <t>LU1165644672</t>
  </si>
  <si>
    <t>IVO Emerging Markets Corporate Debt EUR-R</t>
  </si>
  <si>
    <t>LU2061939646</t>
  </si>
  <si>
    <t>IVO Emerging Markets Coporate Debt Short Duration SRI EUR</t>
  </si>
  <si>
    <t>https://www.althos-patrimoine.com/wp-content/uploads/2025/05/2025-01-DICI-IVO-Emerging-Markets-Coporate-Debt-Short-Duration-SRI-I.pdf</t>
  </si>
  <si>
    <t>LU2061940222</t>
  </si>
  <si>
    <t>Ivo Emerging Markets Corporate Debt Short Duration SRI Z</t>
  </si>
  <si>
    <t>LU2061939729</t>
  </si>
  <si>
    <t>IVO Emerging Markets Corporate Debt Short Duration SRI R</t>
  </si>
  <si>
    <t>FR001400SJC8</t>
  </si>
  <si>
    <t>IVO IG 2030 I</t>
  </si>
  <si>
    <t>https://www.althos.com/wp-content/uploads/2026/07/2025-01-DIC-IVO-IG-2030-I.pdf</t>
  </si>
  <si>
    <t>FR001400SJA2</t>
  </si>
  <si>
    <t>IVO IG 2030 R</t>
  </si>
  <si>
    <t>FR001400BJV4</t>
  </si>
  <si>
    <t>IVO 2028 I</t>
  </si>
  <si>
    <t>../../../Partenaires/Soci%C3%A9t%C3%A9s de gestion/Ivo/IVO 2028/KID/2025 01 DICI IVO 2028 I.pdf</t>
  </si>
  <si>
    <t>FR001400BJT8</t>
  </si>
  <si>
    <t>IVO 2028 R</t>
  </si>
  <si>
    <t>FR001400MCQ6</t>
  </si>
  <si>
    <t>Sycoyield 2030 RC</t>
  </si>
  <si>
    <t>FR0014010IG3</t>
  </si>
  <si>
    <t>Sycoyield 2032 RC</t>
  </si>
  <si>
    <t>FR001400A6X2</t>
  </si>
  <si>
    <t>Sycoyield 2026 IC</t>
  </si>
  <si>
    <t>FR0011482728</t>
  </si>
  <si>
    <t>Tikehau Credit Court Terme A</t>
  </si>
  <si>
    <t>FR001400K2B5</t>
  </si>
  <si>
    <t>Tikehau 2029 R-Acc-EUR</t>
  </si>
  <si>
    <t>FR0011288489</t>
  </si>
  <si>
    <t>Sycomore Sélection Crédit I</t>
  </si>
  <si>
    <t>FR0011288513</t>
  </si>
  <si>
    <t>Sycomore Sélection Crédit R</t>
  </si>
  <si>
    <t>LU1781816704</t>
  </si>
  <si>
    <t>Edmond de Rothschild Fund Bond Allocation CR EUR</t>
  </si>
  <si>
    <t>FR0013301686</t>
  </si>
  <si>
    <t>BNP Paribas Bond 6M Privilege</t>
  </si>
  <si>
    <t>LI0364281464</t>
  </si>
  <si>
    <t>Aquila Solitaire Global Bond I</t>
  </si>
  <si>
    <t>../../../Partenaires/Soci%C3%A9t%C3%A9s de gestion/Aquila/KID/KID Solitaire EUR_IH au 2025 05.pdf</t>
  </si>
  <si>
    <t>LU1694789378</t>
  </si>
  <si>
    <t>DNCA Invest Alpha Bonds</t>
  </si>
  <si>
    <t>https://www.althos-patrimoine.com/wp-content/uploads/2025/10/KID-DNCA-Invest-alpha-bonds-part-I-LU1694789378-au-2025-10.pdf</t>
  </si>
  <si>
    <t>LU1670724704</t>
  </si>
  <si>
    <t>M&amp;G (Lux) Optimal Income Fund C EUR Acc</t>
  </si>
  <si>
    <t>FR0013202140</t>
  </si>
  <si>
    <t>Sextant Bond Picking N</t>
  </si>
  <si>
    <t>FR0011299411</t>
  </si>
  <si>
    <t>Octo Crédit ISR Court Terme A</t>
  </si>
  <si>
    <t>FR001400PXV5</t>
  </si>
  <si>
    <t>Octo Rendement 2029 AC</t>
  </si>
  <si>
    <t>FR001400CP04</t>
  </si>
  <si>
    <t>Octo Rendement 2028 AC</t>
  </si>
  <si>
    <t>FR0010804005</t>
  </si>
  <si>
    <t>Sanso Objectif Rendement 2031 I</t>
  </si>
  <si>
    <t>FR001400EZY8</t>
  </si>
  <si>
    <t>Schelder Global Yield 2028</t>
  </si>
  <si>
    <t>FR001400KAV4</t>
  </si>
  <si>
    <t>Carmignac Credit 2029 A EUR Acc</t>
  </si>
  <si>
    <t>FR0010930438</t>
  </si>
  <si>
    <t>H2O Multibonds IC</t>
  </si>
  <si>
    <t>FR0013186707</t>
  </si>
  <si>
    <t>H2O Multibonds N</t>
  </si>
  <si>
    <t>FR0010923375</t>
  </si>
  <si>
    <t>H2O Multibonds REUR C</t>
  </si>
  <si>
    <t>FR0013393329</t>
  </si>
  <si>
    <t>H2O Multibonds SR</t>
  </si>
  <si>
    <t>FR0013535952</t>
  </si>
  <si>
    <t>H2O Multibonds SP R©</t>
  </si>
  <si>
    <t>FR0013536109</t>
  </si>
  <si>
    <t>H2O Multibonds SP SR©</t>
  </si>
  <si>
    <t>FR0013535960</t>
  </si>
  <si>
    <t>H2O Multibonds SP I EUR ACC</t>
  </si>
  <si>
    <t>FR0013536083</t>
  </si>
  <si>
    <t>H2O Multibonds SP NEUR ©</t>
  </si>
  <si>
    <t>FR0010032326</t>
  </si>
  <si>
    <t>Allianz Euro Hight Yield RC</t>
  </si>
  <si>
    <t>FR0011147594</t>
  </si>
  <si>
    <t>Omnibond R</t>
  </si>
  <si>
    <t>FR0014010EL2</t>
  </si>
  <si>
    <t>IVO 2032 I</t>
  </si>
  <si>
    <t>Hedge Fund</t>
  </si>
  <si>
    <t>LU0912261970</t>
  </si>
  <si>
    <t>Helium Performance A EUR</t>
  </si>
  <si>
    <t>https://www.althos-patrimoine.com/wp-content/uploads/2025/11/2025-02-DICI-Helium-Performance-A-EUR.pdf</t>
  </si>
  <si>
    <t>LU1112771255</t>
  </si>
  <si>
    <t>Helium Sélection A EUR</t>
  </si>
  <si>
    <t>https://www.althos-patrimoine.com/wp-content/uploads/2026/02/2025-07-DIC-Helium-Selection-A-EUR-LU1112771255.pdf</t>
  </si>
  <si>
    <t>LU1734046979</t>
  </si>
  <si>
    <t>Helium Sélection B clean EUR</t>
  </si>
  <si>
    <t>LU0912261624</t>
  </si>
  <si>
    <t>Helium Fund B EUR</t>
  </si>
  <si>
    <t>IE000F31HWX5</t>
  </si>
  <si>
    <t>Helium Global S EUR</t>
  </si>
  <si>
    <t>https://www.althos-patrimoine.com/wp-content/uploads/2025/05/2024-06-DICI-Helium-Global-S-EUR.pdf</t>
  </si>
  <si>
    <t>LU1112771503</t>
  </si>
  <si>
    <t>Helium Selection B-EUR</t>
  </si>
  <si>
    <t>LU0912262275</t>
  </si>
  <si>
    <t>Helium Performance B EUR</t>
  </si>
  <si>
    <t>LU0672299830</t>
  </si>
  <si>
    <t>Cypanga Diversified Portfolio A</t>
  </si>
  <si>
    <t>LU2147879543</t>
  </si>
  <si>
    <t>Tikehau International Cross Assets R Acc EUR</t>
  </si>
  <si>
    <t>FR0010929794</t>
  </si>
  <si>
    <t>H2O Adagio I</t>
  </si>
  <si>
    <t>FR0013186772</t>
  </si>
  <si>
    <t>H2O Adagio NC</t>
  </si>
  <si>
    <t>FR0010923359</t>
  </si>
  <si>
    <t>H2O Adagio RC</t>
  </si>
  <si>
    <t>FR0013393188</t>
  </si>
  <si>
    <t>H2O Adagio SR</t>
  </si>
  <si>
    <t>FR0013185196</t>
  </si>
  <si>
    <t>H2O Moderato N</t>
  </si>
  <si>
    <t>FR0010923367</t>
  </si>
  <si>
    <t>H2O Moderato R</t>
  </si>
  <si>
    <t>FR0013393295</t>
  </si>
  <si>
    <t>H2O Moderato SR</t>
  </si>
  <si>
    <t>FR0013186749</t>
  </si>
  <si>
    <t>H2O Multistrategies N C</t>
  </si>
  <si>
    <t>FR0010923383</t>
  </si>
  <si>
    <t>H2O Multistrategies R C</t>
  </si>
  <si>
    <t>FR0013535242</t>
  </si>
  <si>
    <t>H2O Moderato SP N ©</t>
  </si>
  <si>
    <t>FR0013535408</t>
  </si>
  <si>
    <t>H2O Multistrategies SP R ©</t>
  </si>
  <si>
    <t>H2O Multistrategies</t>
  </si>
  <si>
    <t>LU1001747408</t>
  </si>
  <si>
    <t>JPMorgan Funds Europe Equity Absolute Alpha fund A</t>
  </si>
  <si>
    <t>Immobilier</t>
  </si>
  <si>
    <t>FR0013144094</t>
  </si>
  <si>
    <t>BK OPCI A</t>
  </si>
  <si>
    <t>https://www.althos-patrimoine.com/wp-content/uploads/2025/06/2024-12-31-DICI-BK-OPCI-A.pdf</t>
  </si>
  <si>
    <t>FR0013182664</t>
  </si>
  <si>
    <t>BK OPCI B</t>
  </si>
  <si>
    <t>https://www.althos-patrimoine.com/wp-content/uploads/2025/06/2024-12-31-DICI-BK-OPCI-B.pdf</t>
  </si>
  <si>
    <t>ALZ013324662</t>
  </si>
  <si>
    <t>FIC PPG Retail</t>
  </si>
  <si>
    <t>FR0013324662</t>
  </si>
  <si>
    <t>OPPCI PPG Retail A</t>
  </si>
  <si>
    <t>https://www.althos-patrimoine.com/wp-content/uploads/2025/06/2024-12-31-DICI-PPG-Retail-A.pdf</t>
  </si>
  <si>
    <t>FR0013324670</t>
  </si>
  <si>
    <t>OPPCI PPG Retail B</t>
  </si>
  <si>
    <t>https://www.althos-patrimoine.com/wp-content/uploads/2026/02/2025-07-KID-PPG-Retail-part-B.pdf</t>
  </si>
  <si>
    <t>FR0013265683</t>
  </si>
  <si>
    <t>PPG Croissance A</t>
  </si>
  <si>
    <t>https://www.althos-patrimoine.com/wp-content/uploads/2025/06/2024-12-31-DICI-PPG-Croissance-A.pdf</t>
  </si>
  <si>
    <t>FR001400LW94</t>
  </si>
  <si>
    <t>PPG Croissance B</t>
  </si>
  <si>
    <t>FR001400C5U8</t>
  </si>
  <si>
    <t>FCPR PPG Valeur Immo - Part A - EUR</t>
  </si>
  <si>
    <t>FR001400C5V6</t>
  </si>
  <si>
    <t>FCPR PPG Valeur Immo - Part B</t>
  </si>
  <si>
    <t>FR001400C5W4</t>
  </si>
  <si>
    <t>PPG Valeur Immo I</t>
  </si>
  <si>
    <t>https://www.althos-patrimoine.com/wp-content/uploads/2026/02/2023-03-KID-PPG-Valeur-Immo-Part-I_FR001400C5W4.pdf</t>
  </si>
  <si>
    <t>Iroko Zen</t>
  </si>
  <si>
    <t>Iroko Atlas</t>
  </si>
  <si>
    <t>SCPI00004799</t>
  </si>
  <si>
    <t>Remake Live</t>
  </si>
  <si>
    <t>FR001400E052</t>
  </si>
  <si>
    <t>SCPI Remake Live - Part D</t>
  </si>
  <si>
    <t>Le gabarit de consolidation classe ce fonds sous plusieurs rubriques : « Immobilier » et « Private Equity ». Classé ici sous la première — vérifier le bon classement.</t>
  </si>
  <si>
    <t>LU1346205443</t>
  </si>
  <si>
    <t>Partners Group Global Real Estate FCP I</t>
  </si>
  <si>
    <t>https://www.althos-patrimoine.com/wp-content/uploads/2025/05/2024-10-DICI-GRETR-part-EUR-E-Acc.pdf</t>
  </si>
  <si>
    <t>LU2658265710</t>
  </si>
  <si>
    <t>Schroder Global Real Estate Total Return</t>
  </si>
  <si>
    <t>FR00140001C5</t>
  </si>
  <si>
    <t>SLP June Opportunity</t>
  </si>
  <si>
    <t>FR0013324993</t>
  </si>
  <si>
    <t>White Stone Value</t>
  </si>
  <si>
    <t>FR00140047N5</t>
  </si>
  <si>
    <t>Vadora</t>
  </si>
  <si>
    <t>Club OSAE Real Estate 2 A</t>
  </si>
  <si>
    <t>SAS Palladium</t>
  </si>
  <si>
    <t>SCPI Allianz Pierre</t>
  </si>
  <si>
    <t>SCPI Neo</t>
  </si>
  <si>
    <t>SCI Primonial Capimmo</t>
  </si>
  <si>
    <t>SCI Convictions Immobilières</t>
  </si>
  <si>
    <t>FR001400W734</t>
  </si>
  <si>
    <t>PPG Edesia I</t>
  </si>
  <si>
    <t>Infrastructures non cotées</t>
  </si>
  <si>
    <t>FR001400ZM09</t>
  </si>
  <si>
    <t>Antheor Private Infrastructure part F</t>
  </si>
  <si>
    <t>https://www.althos-patrimoine.com/wp-content/uploads/2025/06/FPS-Antheor-Private-Infrastructure-DIC-PRIIPS-Part-F.pdf</t>
  </si>
  <si>
    <t>FR001400ZLZ0</t>
  </si>
  <si>
    <t>Antheor Private Infrastructure part A</t>
  </si>
  <si>
    <t>FR001400ZM58</t>
  </si>
  <si>
    <t>Antheor Private Infrastructure part B</t>
  </si>
  <si>
    <t>LU3084311938</t>
  </si>
  <si>
    <t>StepStone Structure</t>
  </si>
  <si>
    <t>https://www.althos-patrimoine.com/wp-content/uploads/2025/07/KID-StepStone-Private-Infrastructure-Fund-Class-S1-EUR-Accumulating-LU3084311938-au-2025-06-24.pdf</t>
  </si>
  <si>
    <t>LU2984100870</t>
  </si>
  <si>
    <t>EQT Nexus Infrastructure</t>
  </si>
  <si>
    <t>https://www.althos-patrimoine.com/wp-content/uploads/2025/05/2025-02-DICI-EQT-Nexus-Infrastructures.pdf</t>
  </si>
  <si>
    <t>LU2710930046</t>
  </si>
  <si>
    <t>Partners Group Next Generation Infrastructure</t>
  </si>
  <si>
    <t>https://www.althos-patrimoine.com/wp-content/uploads/2025/05/2024-10-DICI-Partners-Group-Next-Generation-Infrastructure.pdf</t>
  </si>
  <si>
    <t>LU2571548820</t>
  </si>
  <si>
    <t>Brookfield Infrastructure Income</t>
  </si>
  <si>
    <t>LU2677665254</t>
  </si>
  <si>
    <t>Stepstone Priv Infra A</t>
  </si>
  <si>
    <t>FR001400BCG0</t>
  </si>
  <si>
    <t>FCPR Eiffel Infrastructures Vertes C</t>
  </si>
  <si>
    <t>LU2441620379</t>
  </si>
  <si>
    <t>Rive Tangible Assets Income Fund</t>
  </si>
  <si>
    <t>FR001400BZG1</t>
  </si>
  <si>
    <t>FCPR AXA Avenir Infrastructures Parts T</t>
  </si>
  <si>
    <t>FR0013473667</t>
  </si>
  <si>
    <t>GF Infrastructures Durables</t>
  </si>
  <si>
    <t>https://www.althos-patrimoine.com/wp-content/uploads/2025/05/2020-05-DICI-GF-Infrastructures-Durables.pdf</t>
  </si>
  <si>
    <t>LU2842989936</t>
  </si>
  <si>
    <t>LU2563800726</t>
  </si>
  <si>
    <t>Rive Tangible Assets Income Fund AS3</t>
  </si>
  <si>
    <t>Dette privée</t>
  </si>
  <si>
    <t>FR001400XGV4</t>
  </si>
  <si>
    <t>Althos Private Credit part F  - Capitalisante</t>
  </si>
  <si>
    <t>https://www.althos-patrimoine.com/wp-content/uploads/2025/02/FPCI-Althos-Private-Credit-DIC-PRIIPS-Part-F.pdf</t>
  </si>
  <si>
    <t>FR001400XGQ4</t>
  </si>
  <si>
    <t>Althos Private Credit part F  - Distribuant</t>
  </si>
  <si>
    <t>FR001400XGO9</t>
  </si>
  <si>
    <t>Althos Private Credit part A  - Capitalisante</t>
  </si>
  <si>
    <t>FR001400XGM3</t>
  </si>
  <si>
    <t>Althos Private Credit part A  - Distribuant</t>
  </si>
  <si>
    <t>LU2860459879</t>
  </si>
  <si>
    <t>Morgan Stanley EPIF</t>
  </si>
  <si>
    <t>https://www.althos-patrimoine.com/wp-content/uploads/2025/07/KID-EPIF-Share-Class-FI-2025-03.pdf</t>
  </si>
  <si>
    <t>LU3047997575</t>
  </si>
  <si>
    <t>Pantheon GCS S Acc</t>
  </si>
  <si>
    <t>FR001400L0X2</t>
  </si>
  <si>
    <t>Blackstone Crédit Privé Europe SC</t>
  </si>
  <si>
    <t>LU2702162343</t>
  </si>
  <si>
    <t>ARES Strategic Income Fund</t>
  </si>
  <si>
    <t>https://www.althos-patrimoine.com/wp-content/uploads/2025/05/2024-12-DICI-Ares-European-Strategic-Income-Fund-Class-IA-EUR.pdf</t>
  </si>
  <si>
    <t>Ce fonds figurait en double dans le gabarit de consolidation (même rubrique) — une seule ligne conservée.</t>
  </si>
  <si>
    <t>LU3005168235</t>
  </si>
  <si>
    <t>AXA IM Private Credit Income Fund S1A EUR</t>
  </si>
  <si>
    <t>FR001400ZI88</t>
  </si>
  <si>
    <t>Morgan Stanley Dette Privée Europe SLP part IA</t>
  </si>
  <si>
    <t>LU3047997658</t>
  </si>
  <si>
    <t>Pantheon GCS S Dis</t>
  </si>
  <si>
    <t>https://www.althos-patrimoine.com/wp-content/uploads/2025/07/PGCS-EU-KID-Class-S-EUR-Final-2025-06.pdf</t>
  </si>
  <si>
    <t>LU2480032510</t>
  </si>
  <si>
    <t>Blackstone Ecred</t>
  </si>
  <si>
    <t>https://www.althos-patrimoine.com/wp-content/uploads/2026/02/ECRED-part-IA-EUR-2025-01.pdf</t>
  </si>
  <si>
    <t>FR0013301561</t>
  </si>
  <si>
    <t>FCPR Eurazeo Private Value Europe 3 - part D</t>
  </si>
  <si>
    <t>https://www.althos-patrimoine.com/wp-content/uploads/2025/09/2025-02-DICI-PRIIPS-EPVE-3-D.pdf</t>
  </si>
  <si>
    <t>FR0013301553</t>
  </si>
  <si>
    <t>FCPR Eurazeo Private Value Europe 3 - part C</t>
  </si>
  <si>
    <t>FR0013301546</t>
  </si>
  <si>
    <t>FCPR Eurazeo Private Value Europe 3 - part A</t>
  </si>
  <si>
    <t>https://www.althos.com/wp-content/uploads/2025/09/2025-02-DICI-PRIIPS-EPVE-3-A.pdf</t>
  </si>
  <si>
    <t>LU2605912075</t>
  </si>
  <si>
    <t>Goldman Sachs European Credit</t>
  </si>
  <si>
    <t>https://www.althos-patrimoine.com/wp-content/uploads/2025/05/2024-10-DICI-Goldman-Sachs-Alternatives-SICAV-Class-R0A.pdf</t>
  </si>
  <si>
    <t>LU2702161618</t>
  </si>
  <si>
    <t>Ares European Credit Solutions A</t>
  </si>
  <si>
    <t>LU2547277330</t>
  </si>
  <si>
    <t>Hamilton Lane SCOPE</t>
  </si>
  <si>
    <t>https://www.althos-patrimoine.com/wp-content/uploads/2025/11/KID-SCOPE-2023-10-03.pdf</t>
  </si>
  <si>
    <t>FR001400NQN1</t>
  </si>
  <si>
    <t>GF Lumyna Private Debt Fund</t>
  </si>
  <si>
    <t>https://www.althos-patrimoine.com/wp-content/uploads/2025/05/2024-09-DICI-GF-Lumyna-Private-Debt.pdf</t>
  </si>
  <si>
    <t>FR0014001LJ0</t>
  </si>
  <si>
    <t>FPS UNIPHARMA II – Parts A</t>
  </si>
  <si>
    <t>FR001400IEE6</t>
  </si>
  <si>
    <t>FPS UNI III - Parts A2</t>
  </si>
  <si>
    <t>FR001400AZ60</t>
  </si>
  <si>
    <t>FCPR SG Tikehau Dette Privée</t>
  </si>
  <si>
    <t>Private Equity</t>
  </si>
  <si>
    <t>FR001400QZD6</t>
  </si>
  <si>
    <t>Althos Private Equity F</t>
  </si>
  <si>
    <t>https://www.althos-patrimoine.com/wp-content/uploads/2025/05/2024-05-DICI-FPCI-Althos-Private-Equity-F.pdf</t>
  </si>
  <si>
    <t>FR001400QZ70</t>
  </si>
  <si>
    <t>Althos Private Equity part A</t>
  </si>
  <si>
    <t>FR001400QZB0</t>
  </si>
  <si>
    <t>Althos Private Equity part B</t>
  </si>
  <si>
    <t>FR001400QZ88</t>
  </si>
  <si>
    <t>Althos Private Equity part C</t>
  </si>
  <si>
    <t>FR001400QZA2</t>
  </si>
  <si>
    <t>Althos Private Equity part D</t>
  </si>
  <si>
    <t>FR001400QZC8</t>
  </si>
  <si>
    <t>Althos Private Equity part E</t>
  </si>
  <si>
    <t>LU2756307729</t>
  </si>
  <si>
    <t>Pantheon Global Private Equity S EUR</t>
  </si>
  <si>
    <t>https://www.althos-patrimoine.com/wp-content/uploads/2025/05/2024-05-DICI-Pantheon-GPE-Class-S-EUR-Acc.pdf</t>
  </si>
  <si>
    <t>LU2862929846</t>
  </si>
  <si>
    <t>Hg Fusion</t>
  </si>
  <si>
    <t>https://www.althos-patrimoine.com/wp-content/uploads/2025/05/2024-07-DICI-Hg-Fusion-F-2-EUR.pdf</t>
  </si>
  <si>
    <t>LU2485281419</t>
  </si>
  <si>
    <t>StepStone SPRIM - Private Market</t>
  </si>
  <si>
    <t>https://www.althos-patrimoine.com/wp-content/uploads/2025/05/2025-03-DICI-Stespstone-SPRIM.pdf</t>
  </si>
  <si>
    <t>LU2528864353</t>
  </si>
  <si>
    <t>StepStone SPRING</t>
  </si>
  <si>
    <t>https://www.althos-patrimoine.com/wp-content/uploads/2025/05/2025-03-DICI-StepStone-SPRING.pdf</t>
  </si>
  <si>
    <t>LU2884017059</t>
  </si>
  <si>
    <t>CollerEquity</t>
  </si>
  <si>
    <t>https://www.althos-patrimoine.com/wp-content/uploads/2024/10/KID-CollerEquity-Feeder-Class-IA-EUR.pdf</t>
  </si>
  <si>
    <t>LU2926063467</t>
  </si>
  <si>
    <t>CVC PE Global Private Equity</t>
  </si>
  <si>
    <t>https://www.althos-patrimoine.com/wp-content/uploads/2025/11/CVC-PE-I-EUR-Acc-LU2926063467-au-2025-01-09.pdf</t>
  </si>
  <si>
    <t>LU3192960857</t>
  </si>
  <si>
    <t>BridgePoint Generations</t>
  </si>
  <si>
    <t>https://www.althos-patrimoine.com/wp-content/uploads/2025/11/03.-Bridgepoint-Generations-EU-PRIIPs-KID-N-Shares.pdf</t>
  </si>
  <si>
    <t>LU2617117614</t>
  </si>
  <si>
    <t>EQT Nexus Fund SICAV I</t>
  </si>
  <si>
    <t>https://www.althos-patrimoine.com/wp-content/uploads/2025/09/2025-02-14-EQT-Nexus-Fund-SICAV-ENXF-SICAV-I-Class-IEUR-Z.pdf</t>
  </si>
  <si>
    <t>FR001400K4L0</t>
  </si>
  <si>
    <t>Archimed Med Access</t>
  </si>
  <si>
    <t>https://www.althos-patrimoine.com/wp-content/uploads/2025/11/FR-KID_MED-ACCESS-S.L.P.-LP-B-Shares_2024020910285175334.1.pdf</t>
  </si>
  <si>
    <t>Eurazeo ISF III</t>
  </si>
  <si>
    <t>LU3212532884</t>
  </si>
  <si>
    <t>Carlyle CPEP</t>
  </si>
  <si>
    <t>FR001400IL92</t>
  </si>
  <si>
    <t>Feeder RAISE Investissement S.L.P. A1</t>
  </si>
  <si>
    <t>Co-Investissement Arlane - Santé</t>
  </si>
  <si>
    <t>Adams Street</t>
  </si>
  <si>
    <t>KeenSight</t>
  </si>
  <si>
    <t>LU1911739370</t>
  </si>
  <si>
    <t>Partners Group Global Value SICAV Class R-N</t>
  </si>
  <si>
    <t>LU1911739297</t>
  </si>
  <si>
    <t>Partners Group Global Value SICAV E-N</t>
  </si>
  <si>
    <t>https://www.althos-patrimoine.com/wp-content/uploads/2025/05/2024-10-Partners-Group-Global-Value-SICAV-E-N-EUR.pdf</t>
  </si>
  <si>
    <t>LU2996228198</t>
  </si>
  <si>
    <t>Pantheon Global Private Equity B EUR</t>
  </si>
  <si>
    <t>LU2824051721</t>
  </si>
  <si>
    <t>S64 VI PM Altoflex F00724</t>
  </si>
  <si>
    <t>LU2871047580</t>
  </si>
  <si>
    <t>S64 VI PM Altoflex FPC F2</t>
  </si>
  <si>
    <t>CLOSAQUI2017</t>
  </si>
  <si>
    <t>Clos Aquitaine 2017</t>
  </si>
  <si>
    <t>FR0013224375</t>
  </si>
  <si>
    <t>FCPI Idinvest Patrimoine N°7</t>
  </si>
  <si>
    <t>FR0013415056</t>
  </si>
  <si>
    <t>FCPR Idinvest Entrepreneur Club - Parts A</t>
  </si>
  <si>
    <t>FR0013411451</t>
  </si>
  <si>
    <t>FCPR Idinvest Strategic Opportunities 2 A</t>
  </si>
  <si>
    <t>FR0013144128</t>
  </si>
  <si>
    <t>FCPR Idinvest Strategic Opportunities Part A</t>
  </si>
  <si>
    <t>LU2098888824</t>
  </si>
  <si>
    <t>Schroder Semi Liquid GPE</t>
  </si>
  <si>
    <t>https://www.althos-patrimoine.com/wp-content/uploads/2025/05/2025-02-DICI-Schroders-GPE.pdf</t>
  </si>
  <si>
    <t>FR0013504479</t>
  </si>
  <si>
    <t>GF Lumyna Private Equity World</t>
  </si>
  <si>
    <t>https://www.althos-patrimoine.com/wp-content/uploads/2025/10/2025-10-KID-GF_Lumyna_Private_Equity_World_Fund.pdf</t>
  </si>
  <si>
    <t>LU2496022059</t>
  </si>
  <si>
    <t>NB Global Private Equity Access Fund I</t>
  </si>
  <si>
    <t>https://www.althos-patrimoine.com/wp-content/uploads/2025/05/2025-03-DICI-NB-Global-Private-Equity-Access-I-EUR.pdf</t>
  </si>
  <si>
    <t>FR0013080140</t>
  </si>
  <si>
    <t>Idinvest Secondary Fund III</t>
  </si>
  <si>
    <t>LU1912496582</t>
  </si>
  <si>
    <t>Partners Fund SICAV Class I-N</t>
  </si>
  <si>
    <t>https://www.althos-patrimoine.com/wp-content/uploads/2025/05/2024-10-24-DICI-The-Partners-Fund-SICAV-I-N-EUR-E.pdf</t>
  </si>
  <si>
    <t>LU2097348770</t>
  </si>
  <si>
    <t>Hamilton Lane Global Private Assets Fund - I EUR</t>
  </si>
  <si>
    <t>https://www.althos-patrimoine.com/wp-content/uploads/2026/03/2025-07-DICI-Hamilton-Lane-Global-Private-Assets-Fund-Class-I-EUR.pdf</t>
  </si>
  <si>
    <t>IE00BK5BHW86</t>
  </si>
  <si>
    <t>LGT Multi-Alternatives Sub-Fund Class F (EUR)</t>
  </si>
  <si>
    <t>FR0014007HA4</t>
  </si>
  <si>
    <t>Andera Co-Invest I</t>
  </si>
  <si>
    <t>FR0013533619</t>
  </si>
  <si>
    <t>Apax Private Equity Opportunities</t>
  </si>
  <si>
    <t>LU1912497127</t>
  </si>
  <si>
    <t>Partners Fund SICAV Class R-N</t>
  </si>
  <si>
    <t>FR0014009FU2</t>
  </si>
  <si>
    <t>Private Corner Secondary Fund 2022 A1</t>
  </si>
  <si>
    <t>FR0014009FV0</t>
  </si>
  <si>
    <t>Private Corner Secondary Fund 2022 A2</t>
  </si>
  <si>
    <t>FR0014005Z14</t>
  </si>
  <si>
    <t>Private Corner Wealth Co-Investment A1</t>
  </si>
  <si>
    <t>FR0014005Z22</t>
  </si>
  <si>
    <t>Private Corner Wealth Co-Investment A2</t>
  </si>
  <si>
    <t>FR00140086L7</t>
  </si>
  <si>
    <t>Eurazeo Principal Investments</t>
  </si>
  <si>
    <t>FR0013351947</t>
  </si>
  <si>
    <t>Siparex Equivie</t>
  </si>
  <si>
    <t>FR001400AUA7</t>
  </si>
  <si>
    <t>Ardian Access Solution</t>
  </si>
  <si>
    <t>FR001400HHK8</t>
  </si>
  <si>
    <t>FCPR Entrepreneurs Sélection Secondaire</t>
  </si>
  <si>
    <t>FR001400K9O3</t>
  </si>
  <si>
    <t>FCPR Entrepreneurs &amp; Rendement N°8 Part E</t>
  </si>
  <si>
    <t>FR0011347277</t>
  </si>
  <si>
    <t>FPCI Cairn Capital I A1</t>
  </si>
  <si>
    <t>FR0013372687</t>
  </si>
  <si>
    <t>FPCI Cairn Capital II A1</t>
  </si>
  <si>
    <t>FR0013236320</t>
  </si>
  <si>
    <t>FIP 123Horizon PME 2017</t>
  </si>
  <si>
    <t>FR0013202108</t>
  </si>
  <si>
    <t>Nexstage Croissance</t>
  </si>
  <si>
    <t>LU3036659277</t>
  </si>
  <si>
    <t>Bridgepoint Generations</t>
  </si>
  <si>
    <t>FR001400MDE0</t>
  </si>
  <si>
    <t>SIPAREX Investir en France</t>
  </si>
  <si>
    <t>FR001400IL19</t>
  </si>
  <si>
    <t>Feeder RAISE Investissement S.L.P. A2</t>
  </si>
  <si>
    <t>Ring Altitude Growth II - entrepreneurs</t>
  </si>
  <si>
    <t>FR00140089C0</t>
  </si>
  <si>
    <t>Committed Adv Sec V</t>
  </si>
  <si>
    <t>FR001400LUW8</t>
  </si>
  <si>
    <t>Motion Equity Partners IV SC parts A2</t>
  </si>
  <si>
    <t>Motion Equity Partners V</t>
  </si>
  <si>
    <t>Actions</t>
  </si>
  <si>
    <t>IE00BF4G7183</t>
  </si>
  <si>
    <t>JPMorgan Europe REI Equity</t>
  </si>
  <si>
    <t>dont actions européennes</t>
  </si>
  <si>
    <t>https://www.althos-patrimoine.com/wp-content/uploads/2025/06/2025-04-17-DICI-JPMorgan-ETFs-Ireland-ICAV-Europe-Research-Enhanced-Index-Equity-Active-UCITS-ETF-EUR-acc.pdf</t>
  </si>
  <si>
    <t>FR0007054358</t>
  </si>
  <si>
    <t>Amundi Eurostoxx 50 ETF</t>
  </si>
  <si>
    <t>FR0013290947</t>
  </si>
  <si>
    <t>Renaissance Europe Z</t>
  </si>
  <si>
    <t>https://www.althos-patrimoine.com/wp-content/uploads/2025/06/2025-05-21-DICI-Comgest-Renaissance-Europe-Z.pdf</t>
  </si>
  <si>
    <t>LU1832175001</t>
  </si>
  <si>
    <t>Indépendance Europe Small I</t>
  </si>
  <si>
    <t>https://www.althos-patrimoine.com/wp-content/uploads/2025/11/KID-Europe-Small-part-I-au-2025-05-30.pdf</t>
  </si>
  <si>
    <t>LU1832174962</t>
  </si>
  <si>
    <t>Indépendance Europe Small A ©</t>
  </si>
  <si>
    <t>LU2798962895</t>
  </si>
  <si>
    <t>Indépendance Mid Europe I</t>
  </si>
  <si>
    <t>https://www.althos-patrimoine.com/wp-content/uploads/2025/10/KID-Independance-Mid-Europe-I-au-2025-05-30.pdf</t>
  </si>
  <si>
    <t>LU0131510165</t>
  </si>
  <si>
    <t>Indépendance et Expansion SICAV - France Small A</t>
  </si>
  <si>
    <t>LU1964632324</t>
  </si>
  <si>
    <t>Independance et Expansion Sicav France Small I ©</t>
  </si>
  <si>
    <t>LU0212180813</t>
  </si>
  <si>
    <t>BNP Paribas Europe Small Cap Privilege</t>
  </si>
  <si>
    <t>FR0010913624</t>
  </si>
  <si>
    <t>Comgest Renaissance Europe I</t>
  </si>
  <si>
    <t>IE00BDZQR684</t>
  </si>
  <si>
    <t>Comgest Growth Europe Smaller Companies EUR Z</t>
  </si>
  <si>
    <t>IE0004766014</t>
  </si>
  <si>
    <t>Comgest Growth Europe Smaller Companies EUR Acc</t>
  </si>
  <si>
    <t>IE00BMBWVR22</t>
  </si>
  <si>
    <t>Comgest Growth Europe Smaller Companies EUR R Acc</t>
  </si>
  <si>
    <t>IE00BD5HXJ66</t>
  </si>
  <si>
    <t>Comgest Growth Europe Opportunities R EUR Acc</t>
  </si>
  <si>
    <t>IE00BZ0X9T58</t>
  </si>
  <si>
    <t>Comgest Growth Europe Opportunities EUR Z Acc</t>
  </si>
  <si>
    <t>FR0000974149</t>
  </si>
  <si>
    <t>ODDO BHF Avenir Europe CR-EUR Acc</t>
  </si>
  <si>
    <t>FR0000989899</t>
  </si>
  <si>
    <t>ODDO BHF Avenir CR-EUR</t>
  </si>
  <si>
    <t>FR0011036920</t>
  </si>
  <si>
    <t>Oddo BHF Avenir Europe CN-EUR</t>
  </si>
  <si>
    <t>FR0000295230</t>
  </si>
  <si>
    <t>Renaissance Europe C</t>
  </si>
  <si>
    <t>FR0010298596</t>
  </si>
  <si>
    <t>Moneta Multi Caps C</t>
  </si>
  <si>
    <t>FR0011585520</t>
  </si>
  <si>
    <t>Nova Europe ISR</t>
  </si>
  <si>
    <t>FR0010321810</t>
  </si>
  <si>
    <t>Echiquier Agenor SRI MID CAP Europe A</t>
  </si>
  <si>
    <t>FR0013348190</t>
  </si>
  <si>
    <t>Echiquier Positive Impact Europe AP</t>
  </si>
  <si>
    <t>FR0010581710</t>
  </si>
  <si>
    <t>Echiquier Agenor SRI Mid Cap Europe G</t>
  </si>
  <si>
    <t>LU1861137484</t>
  </si>
  <si>
    <t>Amundi Index MSCI Europe SRI PAB</t>
  </si>
  <si>
    <t>FR0010261198</t>
  </si>
  <si>
    <t>AMUNDI MSCI Europe II UC ETF A</t>
  </si>
  <si>
    <t>https://www.amundietf.fr/pdfDocuments/kid-priips/FR0010261198/FRA/FRA/20260428</t>
  </si>
  <si>
    <t>LU1834986900</t>
  </si>
  <si>
    <t>Amundi STOXX Europe 600 Healthcare</t>
  </si>
  <si>
    <t>IE00B53L3W79</t>
  </si>
  <si>
    <t>iShares Core EURO STOXX 50</t>
  </si>
  <si>
    <t>LU3038520774</t>
  </si>
  <si>
    <t>Amundi Stoxx Europe Defense ETF Acc</t>
  </si>
  <si>
    <t>FR0013380607</t>
  </si>
  <si>
    <t>Amundi CAC 40 ETF</t>
  </si>
  <si>
    <t>FR0010028902</t>
  </si>
  <si>
    <t>BNP Paribas Valeurs Françaises ISR C</t>
  </si>
  <si>
    <t>LU0260869903</t>
  </si>
  <si>
    <t>Franklin US Opportunities N(acc)EUR</t>
  </si>
  <si>
    <t>dont actions américaines</t>
  </si>
  <si>
    <t>LU0260869739</t>
  </si>
  <si>
    <t>Franklin US Opportunities A(acc)EUR</t>
  </si>
  <si>
    <t>LU0109394709</t>
  </si>
  <si>
    <t>Franklin Biotechnology Discovery Fund A</t>
  </si>
  <si>
    <t>LU0048573561</t>
  </si>
  <si>
    <t>Fidelity America A USD</t>
  </si>
  <si>
    <t>LU0115759606</t>
  </si>
  <si>
    <t>Fidelity America E Acc EUR</t>
  </si>
  <si>
    <t>LU0945775517</t>
  </si>
  <si>
    <t>Fidelity America Fund A EUR Hedged</t>
  </si>
  <si>
    <t>LU1681049109</t>
  </si>
  <si>
    <t>Amundi S&amp;P 500 ETF Daily Hedged EUR</t>
  </si>
  <si>
    <t>LU1829221024</t>
  </si>
  <si>
    <t>Amundi Nasdaq-100 II UCITS ETF Acc</t>
  </si>
  <si>
    <t>https://www.althos-patrimoine.com/wp-content/uploads/2025/06/2024-12-13-DICI-Amundi-Nasdaq-100-II-UCITS-ETF-Acc.pdf</t>
  </si>
  <si>
    <t>FR0011871128</t>
  </si>
  <si>
    <t>Amundi PEA S&amp;P 500 UCITS ETF Acc</t>
  </si>
  <si>
    <t>https://www.althos-patrimoine.com/wp-content/uploads/2025/10/KID-Amundi-PEA-SP-500-UCITS-ETF-Acc-au-2025-02-25.pdf</t>
  </si>
  <si>
    <t>FR0010342592</t>
  </si>
  <si>
    <t>Amundi Nasdaq-100 Daily 2x Lvrgd ETF Acc</t>
  </si>
  <si>
    <t>https://www.althos-patrimoine.com/wp-content/uploads/2025/06/2024-12-13-DICI-Amundi-Nasdaq-100-Daily-2x-Leveraged-UCITS-ETF-Acc.pdf</t>
  </si>
  <si>
    <t>LU1681048804</t>
  </si>
  <si>
    <t>Amundi Idx Sol S&amp;P 500 Eur C</t>
  </si>
  <si>
    <t>https://www.althos-patrimoine.com/wp-content/uploads/2025/10/2025-09-DICI-Amundi-SP-500-EUR-LU1681048804.pdf</t>
  </si>
  <si>
    <t>LU1861136247</t>
  </si>
  <si>
    <t>Amundi Index Msci Usa Etf Dr</t>
  </si>
  <si>
    <t>LU1135865084</t>
  </si>
  <si>
    <t>Amundi S&amp;P 500 II II ETF Acc</t>
  </si>
  <si>
    <t>https://www.amundietf.fr/pdfDocuments/kid-priips/LU1135865084/FRA/FRA/20260702</t>
  </si>
  <si>
    <t>LU0496786574</t>
  </si>
  <si>
    <t>Amundi S&amp;P 500 ETF D EUR</t>
  </si>
  <si>
    <t>IE000O5FBC47</t>
  </si>
  <si>
    <t>Amundi S&amp;P 500 Climate Net Zero PAB</t>
  </si>
  <si>
    <t>LU0959211243</t>
  </si>
  <si>
    <t>Amundi Core S&amp;P 500 Swap ETF EUR H Dis</t>
  </si>
  <si>
    <t>US46432F3964</t>
  </si>
  <si>
    <t>iShares MSCI USA Momentum</t>
  </si>
  <si>
    <t>US4642876555</t>
  </si>
  <si>
    <t>iShares Russell 2000 ETF</t>
  </si>
  <si>
    <t>IE00BYVJRR92</t>
  </si>
  <si>
    <t>iShares MSCI USA SRI</t>
  </si>
  <si>
    <t>https://www.althos-patrimoine.com/wp-content/uploads/2024/12/KID-2024-iShares-MSCI-SRI-USA.pdf</t>
  </si>
  <si>
    <t>IE00B3ZW0K18</t>
  </si>
  <si>
    <t>iShares S&amp;P 500 EUR Hedged ETF Acc (couvert)</t>
  </si>
  <si>
    <t>https://www.althos-patrimoine.com/wp-content/uploads/2026/02/2025-08-DIC-iShares-SP-500-EUR-Hedged-UCITS-ETF-Acc-IE00B3ZW0K18.pdf</t>
  </si>
  <si>
    <t>IE000DVLBQ03</t>
  </si>
  <si>
    <t>iShares S&amp;P 500 Equal Weight ETF €H Acc (couvert)</t>
  </si>
  <si>
    <t>https://www.althos-patrimoine.com/wp-content/uploads/2026/02/2025-04-DIC-iShares-SP-500-Equal-Weight-ETF-EUR-H-Acc-IE000DVLBQ03.pdf</t>
  </si>
  <si>
    <t>IE00B5BMR087</t>
  </si>
  <si>
    <t>iShares Core S&amp;P 500</t>
  </si>
  <si>
    <t>IE00BDZS0987</t>
  </si>
  <si>
    <t>iShares US Index Fund D EUR Acc</t>
  </si>
  <si>
    <t>LU0159052710</t>
  </si>
  <si>
    <t>JPMorgan Funds US Technology Fund A (Acc) - EUR</t>
  </si>
  <si>
    <t>LU0073232471</t>
  </si>
  <si>
    <t>Morgan Stanley US Growth Fund A</t>
  </si>
  <si>
    <t>IE000STJ19F2</t>
  </si>
  <si>
    <t>AXA IM Nasdaq 100 UCITS ETF (H) EUR Acc (couvert)</t>
  </si>
  <si>
    <t>https://www.althos-patrimoine.com/wp-content/uploads/2026/02/2026-01-DIC-AXA-IM-Nasdaq-100-UCITS-ETF-H-EUR-Acc-IE000STJ19F2.pdf</t>
  </si>
  <si>
    <t>IE00BF4G6Y48</t>
  </si>
  <si>
    <t>JPMorgan Global REI Equity</t>
  </si>
  <si>
    <t>dont actions internationales</t>
  </si>
  <si>
    <t>https://www.althos-patrimoine.com/wp-content/uploads/2025/05/KID-JPM-Global-Research-Enhanced-Index-Equity-IE00BF4G6Y48-au-2024-07.pdf</t>
  </si>
  <si>
    <t>FR0013290939</t>
  </si>
  <si>
    <t>Comgest Monde Z</t>
  </si>
  <si>
    <t>FR0010148981</t>
  </si>
  <si>
    <t>Carmignac Investissement A EUR Acc</t>
  </si>
  <si>
    <t>LU1681043599</t>
  </si>
  <si>
    <t>Amundi MSCI World Swap ETF EUR</t>
  </si>
  <si>
    <t>https://www.althos-patrimoine.com/wp-content/uploads/2025/10/KID-Amundi-MSCI-World-Swap-au-2025-09-11.pdf</t>
  </si>
  <si>
    <t>IE00BYX2JD69</t>
  </si>
  <si>
    <t>iShares MSCI World SRI UCITS ETF</t>
  </si>
  <si>
    <t>https://www.althos-patrimoine.com/wp-content/uploads/2025/06/2025-04-10-DICI-iShares-MSCI-World-SRI-UCITS-ETF-EUR-Acc.pdf</t>
  </si>
  <si>
    <t>IE000Y77LGG9</t>
  </si>
  <si>
    <t>Amundi MSCI CLI Paris ETF</t>
  </si>
  <si>
    <t>FR0010315770</t>
  </si>
  <si>
    <t>Amundi MSCI World II UCITS ETF Dist</t>
  </si>
  <si>
    <t>IE000CL68Z69</t>
  </si>
  <si>
    <t>Amundi MSCI World Climate NZ</t>
  </si>
  <si>
    <t>FR0000284689</t>
  </si>
  <si>
    <t>Comgest Monde C</t>
  </si>
  <si>
    <t>IE00BFNM3J75</t>
  </si>
  <si>
    <t>ETF iShares MSCI World ESG Screened</t>
  </si>
  <si>
    <t>LU1861134382</t>
  </si>
  <si>
    <t>Amundi Index MSCI World SRI PAB UCITS ETF</t>
  </si>
  <si>
    <t>IE000K1P4V37</t>
  </si>
  <si>
    <t>Amundi Index MSCI World SRI PAB</t>
  </si>
  <si>
    <t>LU0503631631</t>
  </si>
  <si>
    <t>Pictet Gbl Env Opp I EUR Acc</t>
  </si>
  <si>
    <t>LU0386875149</t>
  </si>
  <si>
    <t>Pictet-Global Megatrend Selection I EUR</t>
  </si>
  <si>
    <t>LU0386882277</t>
  </si>
  <si>
    <t>Pictet Global Megatrend Selection P</t>
  </si>
  <si>
    <t>FR0014002CH1</t>
  </si>
  <si>
    <t>Amundi MSCI Water ETF Acc</t>
  </si>
  <si>
    <t>FR0010859769</t>
  </si>
  <si>
    <t>Echiquier World Equity Growth A</t>
  </si>
  <si>
    <t>LU0104884860</t>
  </si>
  <si>
    <t>Pictet Water P EUR Acc</t>
  </si>
  <si>
    <t>LU1819480192</t>
  </si>
  <si>
    <t>Echiquier Artificial Intelligence B</t>
  </si>
  <si>
    <t>IE00BGV5VN51</t>
  </si>
  <si>
    <t>Xtrackers Artificial Intelligence &amp; Big Data ETF 1C</t>
  </si>
  <si>
    <t>IE00BYZK4552</t>
  </si>
  <si>
    <t>iShares Automation &amp; Robotics UCITS ETF</t>
  </si>
  <si>
    <t>LU2023678878</t>
  </si>
  <si>
    <t>Lyxor MSCI Digital Economy</t>
  </si>
  <si>
    <t>LU1244893696</t>
  </si>
  <si>
    <t>Edmond de Rothschild Fund Big Data A EUR</t>
  </si>
  <si>
    <t>FR0010668145</t>
  </si>
  <si>
    <t>BNP Paribas Aqua Classic</t>
  </si>
  <si>
    <t>LU0099574567</t>
  </si>
  <si>
    <t>Fidelity Funds Global Technology Fund A EUR Dist</t>
  </si>
  <si>
    <t>LU1213836080</t>
  </si>
  <si>
    <t>Fidelity Funds Global Technology Fund</t>
  </si>
  <si>
    <t>IE00BZ0X9Z19</t>
  </si>
  <si>
    <t>Comgest Growth Japan Z Acc</t>
  </si>
  <si>
    <t>dont actions japonaises</t>
  </si>
  <si>
    <t>IE00BD1DJ122</t>
  </si>
  <si>
    <t>Comgest Japan R</t>
  </si>
  <si>
    <t>IE00B42Z5J44</t>
  </si>
  <si>
    <t>iShares MSCI Japan EUR H ETF EUR Acc</t>
  </si>
  <si>
    <t>https://www.blackrock.com/fr/particuliers/literature/fact-sheet/ijpe-ishares-msci-japan-eur-hedged-ucits-etf-acc-fund-fact-sheet-fr-fr.pdf</t>
  </si>
  <si>
    <t>LU1681037864</t>
  </si>
  <si>
    <t>Amundi Japan Topix ETF</t>
  </si>
  <si>
    <t>LU1861138961</t>
  </si>
  <si>
    <t>Amundi IS MSCI EM SRI PAB UE DR USD C</t>
  </si>
  <si>
    <t>dont actions marchés émergents</t>
  </si>
  <si>
    <t>LU2009202107</t>
  </si>
  <si>
    <t>Amundi MSCI Emerging Ex China ETF Acc USD</t>
  </si>
  <si>
    <t>https://www.althos-patrimoine.com/wp-content/uploads/2026/02/2025-12-DIC-Amundi-MSCI-Emerging-Ex-China-UCITS-ETF-Acc-LU2009202107.pdf</t>
  </si>
  <si>
    <t>LU1841731745</t>
  </si>
  <si>
    <t>Amundi MSCI China ETF Acc</t>
  </si>
  <si>
    <t>IE00BZCQB185</t>
  </si>
  <si>
    <t>iShares MSCI India ETF Acc USD</t>
  </si>
  <si>
    <t>https://www.althos-patrimoine.com/wp-content/uploads/2026/02/2026-01-DIC-iShares-MSCI-India-UCITS-ETF-IE00BZCQB185.pdf</t>
  </si>
  <si>
    <t>LU1434523954</t>
  </si>
  <si>
    <t>Candriam Sust. EM</t>
  </si>
  <si>
    <t>IE00B4L5YC18</t>
  </si>
  <si>
    <t>iShares MSCI EM ETF Acc USD</t>
  </si>
  <si>
    <t>https://www.althos-patrimoine.com/wp-content/uploads/2026/02/2025-12-DIC-iShares-MSCI-EM-UCITS-ETF-USD-Acc-IE00B4L5YC18.pdf</t>
  </si>
  <si>
    <t>IE00BYVJRP78</t>
  </si>
  <si>
    <t>iShares MSCI EM SRI ETF</t>
  </si>
  <si>
    <t>FR0011274984</t>
  </si>
  <si>
    <t>GemEquity I</t>
  </si>
  <si>
    <t>https://www.althos-patrimoine.com/wp-content/uploads/2025/06/2025-03-21-DICI-GemEquity-I.pdf</t>
  </si>
  <si>
    <t>FR0011268705</t>
  </si>
  <si>
    <t>GemEquity R</t>
  </si>
  <si>
    <t>FR0013291879</t>
  </si>
  <si>
    <t>GemAsia I</t>
  </si>
  <si>
    <t>https://www.althos-patrimoine.com/wp-content/uploads/2025/12/2025-08-PRIIP_KID_F000017351_299-GEMASIA-R-1.pdf</t>
  </si>
  <si>
    <t>FR0013291861</t>
  </si>
  <si>
    <t>GemAsia R</t>
  </si>
  <si>
    <t>FR0014002SM7</t>
  </si>
  <si>
    <t>GemAsia N</t>
  </si>
  <si>
    <t>FR0013433109</t>
  </si>
  <si>
    <t>GemChina I</t>
  </si>
  <si>
    <t>FR0014002SN5</t>
  </si>
  <si>
    <t>GemChina N</t>
  </si>
  <si>
    <t>FR0013290905</t>
  </si>
  <si>
    <t>CG Nouvelle Asie Z</t>
  </si>
  <si>
    <t>LU1434524259</t>
  </si>
  <si>
    <t>Candriam SRI Equity Em Mkts I EUR Acc</t>
  </si>
  <si>
    <t>FR0000292278</t>
  </si>
  <si>
    <t>Magellan C</t>
  </si>
  <si>
    <t>Or &amp; Bitcoin</t>
  </si>
  <si>
    <t>FR0013416716</t>
  </si>
  <si>
    <t>Amundi Physical Gold ETC</t>
  </si>
  <si>
    <t>US46438F1012</t>
  </si>
  <si>
    <t>iShares Bitcoin Trust ETF</t>
  </si>
  <si>
    <t>VL</t>
  </si>
  <si>
    <t>Perf mois (%)</t>
  </si>
  <si>
    <t>Perf 1 an (%)</t>
  </si>
  <si>
    <t>Perf 2020 (%)</t>
  </si>
  <si>
    <t>Perf 2021 (%)</t>
  </si>
  <si>
    <t>Perf 2022 (%)</t>
  </si>
  <si>
    <t>Perf 2023 (%)</t>
  </si>
  <si>
    <t>Perf 2024 (%)</t>
  </si>
  <si>
    <t>Perf 2025 (%)</t>
  </si>
  <si>
    <t>Perf 2026 (%)</t>
  </si>
  <si>
    <t>Perf YTD (%)</t>
  </si>
  <si>
    <t>Perf lancement (%)</t>
  </si>
  <si>
    <t>Rendement distribution (%)</t>
  </si>
  <si>
    <t>Date dernière valorisation</t>
  </si>
  <si>
    <t>Période reporting</t>
  </si>
  <si>
    <t>Statut vérification</t>
  </si>
  <si>
    <t>Source</t>
  </si>
  <si>
    <t>Libellé sur le reporting</t>
  </si>
  <si>
    <t>Cellules modifiées</t>
  </si>
  <si>
    <t>Reporting source</t>
  </si>
  <si>
    <t>À vérifier</t>
  </si>
  <si>
    <t>Validé</t>
  </si>
  <si>
    <t>cumulee</t>
  </si>
  <si>
    <t>2026-03</t>
  </si>
  <si>
    <t>2025-12</t>
  </si>
  <si>
    <t>2026-06</t>
  </si>
  <si>
    <t>cumulative</t>
  </si>
  <si>
    <t>2026-04</t>
  </si>
  <si>
    <t>Class FI-A EUR</t>
  </si>
  <si>
    <t>2026-05</t>
  </si>
  <si>
    <t>cumulée</t>
  </si>
  <si>
    <t>Part I-A</t>
  </si>
  <si>
    <t>Mensuelle</t>
  </si>
  <si>
    <t>2026-07</t>
  </si>
  <si>
    <t xml:space="preserve">20,53 %	</t>
  </si>
  <si>
    <t>TRANSPARISATION DES FONDS ALTHOS</t>
  </si>
  <si>
    <t>Composition « en transparence » des fonds maison — chaque colonne doit totaliser 100 %.</t>
  </si>
  <si>
    <t>Composition à jour au :</t>
  </si>
  <si>
    <t>ISIN sous-jacent</t>
  </si>
  <si>
    <t>Sous-jacent</t>
  </si>
  <si>
    <t>Althos Private Equity</t>
  </si>
  <si>
    <t>Althos Private Credit — Capitalisant</t>
  </si>
  <si>
    <t>Althos Private Credit — Distribuant</t>
  </si>
  <si>
    <t>Althos Private Infrastructure</t>
  </si>
  <si>
    <t>Total par fonds Althos (doit faire 100 %)</t>
  </si>
  <si>
    <t>Catégories</t>
  </si>
  <si>
    <t>Sous-catégories</t>
  </si>
  <si>
    <t>Couple : Catégorie</t>
  </si>
  <si>
    <t>Couple : Sous-catégorie</t>
  </si>
  <si>
    <t>Devises</t>
  </si>
  <si>
    <t>Statuts</t>
  </si>
  <si>
    <t>EUR</t>
  </si>
  <si>
    <t>Journalière</t>
  </si>
  <si>
    <t>2-3 semaines ou moins</t>
  </si>
  <si>
    <t>Article 6</t>
  </si>
  <si>
    <t>USD</t>
  </si>
  <si>
    <t>Hebdomadaire</t>
  </si>
  <si>
    <t>3-4 mois ou moins</t>
  </si>
  <si>
    <t>Article 8</t>
  </si>
  <si>
    <t>GBP</t>
  </si>
  <si>
    <t>Fermé</t>
  </si>
  <si>
    <t>6 mois</t>
  </si>
  <si>
    <t>Article 9</t>
  </si>
  <si>
    <t>CHF</t>
  </si>
  <si>
    <t>Trimestrielle</t>
  </si>
  <si>
    <t>1 an</t>
  </si>
  <si>
    <t>JPY</t>
  </si>
  <si>
    <t>Semestrielle</t>
  </si>
  <si>
    <t>Autre</t>
  </si>
  <si>
    <t>Structure extraite du gabarit de consolidation V5 — ne pas modifier sans mettre à jour le gabarit.</t>
  </si>
  <si>
    <t>CONTRÔLE DE LA BIBLIOTHÈQUE DE FONDS</t>
  </si>
  <si>
    <t>Se met à jour tout seul à l'ouverture du classeur et à chaque recalcul (F9).</t>
  </si>
  <si>
    <t>Vue d'ensemble</t>
  </si>
  <si>
    <t>Fonds dans la bibliothèque</t>
  </si>
  <si>
    <t>Fonds « À compléter »</t>
  </si>
  <si>
    <t>Objectif : 0 — tout fonds finit « Validé » (ou « Fermé »).</t>
  </si>
  <si>
    <t>Fonds « Validé »</t>
  </si>
  <si>
    <t>Fonds « Fermé »</t>
  </si>
  <si>
    <t>Lignes vides encore disponibles dans la table</t>
  </si>
  <si>
    <t>Quand il n'en reste plus : déprotéger la feuille, étirer la table, reprotéger.</t>
  </si>
  <si>
    <t>Anomalies — tout doit être à 0</t>
  </si>
  <si>
    <t>Lignes dont l'ISIN existe en double</t>
  </si>
  <si>
    <t>Un ISIN = un fonds = UNE ligne. Les doublons sont surlignés en rouge dans « Fonds ».</t>
  </si>
  <si>
    <t>ISIN de longueur incorrecte (≠ 12 caractères)</t>
  </si>
  <si>
    <t>Fonds sans catégorie</t>
  </si>
  <si>
    <t>Catégorie hors liste</t>
  </si>
  <si>
    <t>Catégories autorisées = celles du gabarit de consolidation (feuille Listes).</t>
  </si>
  <si>
    <t>Couple catégorie / sous-catégorie incohérent</t>
  </si>
  <si>
    <t>La sous-catégorie doit appartenir à sa catégorie (couples valides en feuille Listes).</t>
  </si>
  <si>
    <t>SRI hors bornes 1 à 7</t>
  </si>
  <si>
    <t>Textes collés dans les colonnes chiffrées (SRI, frais, expositions, perfs)</t>
  </si>
  <si>
    <t>Un collage peut contourner les garde-fous de saisie — corriger la cellule fautive.</t>
  </si>
  <si>
    <t>Expositions devise dont la somme ≠ 100 %</t>
  </si>
  <si>
    <t>Contrôlée quand les 3 colonnes devise sont remplies (tolérance ±1 point).</t>
  </si>
  <si>
    <t>Expositions devise incomplètes (1 ou 2 colonnes sur 3)</t>
  </si>
  <si>
    <t>Expositions géographiques dont la somme ≠ 100 %</t>
  </si>
  <si>
    <t>Contrôlée quand les 4 colonnes géographiques sont remplies (tolérance ±1 point).</t>
  </si>
  <si>
    <t>Expositions géographiques incomplètes (1 à 3 colonnes sur 4)</t>
  </si>
  <si>
    <t>Liens DICI suspects (ne commencent pas par http)</t>
  </si>
  <si>
    <t>Transparisation des fonds Althos</t>
  </si>
  <si>
    <t>Althos Private Equity — total de la composition</t>
  </si>
  <si>
    <t>Doit faire exactement 100 %.</t>
  </si>
  <si>
    <t>Althos Private Credit — Capitalisant — total de la composition</t>
  </si>
  <si>
    <t>Althos Private Credit — Distribuant — total de la composition</t>
  </si>
  <si>
    <t>Althos Private Infrastructure — total de la composition</t>
  </si>
  <si>
    <t>Sous-jacents (ISIN) absents de la table des fonds</t>
  </si>
  <si>
    <t>Chaque sous-jacent doit aussi exister comme fonds (choisi dans la liste).</t>
  </si>
  <si>
    <t>Sous-jacents (nom) absents de la table des fonds</t>
  </si>
  <si>
    <t>Un sous-jacent doit être choisi dans la liste des fonds de la base (pas tapé à la main).</t>
  </si>
  <si>
    <t>Complétude de la saisie (part des fonds renseignés)</t>
  </si>
  <si>
    <t>Frais courants</t>
  </si>
  <si>
    <t>Commission de surperformance</t>
  </si>
  <si>
    <t>Exposition devise complète (3 colonnes)</t>
  </si>
  <si>
    <t>Exposition géographique complète (4 colonnes)</t>
  </si>
  <si>
    <t>Performance 2020</t>
  </si>
  <si>
    <t>Performance 2021</t>
  </si>
  <si>
    <t>Performance 2022</t>
  </si>
  <si>
    <t>Performance 2023</t>
  </si>
  <si>
    <t>Performance 2024</t>
  </si>
  <si>
    <t>Performance 2025</t>
  </si>
  <si>
    <t>BIBLIOTHÈQUE DE FONDS ALTHOS — MODE D'EMPLOI</t>
  </si>
  <si>
    <t>Base commune des fonds du cabinet. Une ligne = un fonds. Les applications Althos s'y brancheront : ce qui est saisi ici doit être fiable.</t>
  </si>
  <si>
    <t>Les 6 règles d'or</t>
  </si>
  <si>
    <t>1.  NE JAMAIS renommer : le fichier, les feuilles, les tables (« TableFonds », « TableTransparisation »), ni les en-têtes de colonnes.</t>
  </si>
  <si>
    <t>2.  Une cellule VIDE veut dire « non renseigné ». Ne jamais mettre 0 pour dire « je ne sais pas ».</t>
  </si>
  <si>
    <t>3.  Ajouter un fonds = remplir la première ligne vide en bas de la table (des lignes sont prêtes). Ne pas insérer de lignes au milieu.</t>
  </si>
  <si>
    <t>4.  Un ISIN = un fonds = UNE seule ligne (12 caractères). Les doublons se surlignent en rouge d'eux-mêmes.</t>
  </si>
  <si>
    <t>5.  Dans les colonnes en %, taper le nombre naturel : 60 pour 60 %, -8 pour -8 %. Excel fait le reste.</t>
  </si>
  <si>
    <t>6.  Après une séance de saisie : ouvrir l'onglet « Contrôle » — toutes les anomalies doivent être à 0.</t>
  </si>
  <si>
    <t>Onglet « Fonds » — ce que contient chaque colonne</t>
  </si>
  <si>
    <t>ISIN — le code international du fonds (12 caractères). Vide pour les supports sans code (fonds euro, solde espèces…).</t>
  </si>
  <si>
    <t>Nom du fonds — le nom tel qu'il apparaît dans les consolidations Althos.</t>
  </si>
  <si>
    <t>Catégorie / Sous-catégorie — celles du gabarit de consolidation (menus déroulants). C'est le lien avec les applications.</t>
  </si>
  <si>
    <t>Devise du fonds — la devise dans laquelle le fonds est libellé (EUR, USD… ; menu déroulant).</t>
  </si>
  <si>
    <t>SRI — l'indicateur de risque du DICI, de 1 (prudent) à 7. DÉJÀ pré-rempli pour la plupart des fonds (repris du gabarit) — à vérifier.</t>
  </si>
  <si>
    <t>Frais courants (%) — le % annuel « frais courants » du DICI (gestion + administration). La performance publiée est DÉJÀ nette de ces frais : ne pas les re-déduire.</t>
  </si>
  <si>
    <t>Commission de surperformance (%) — le taux de commission de performance (ex. 15 %). La condition (indice de référence) va dans Commentaire.</t>
  </si>
  <si>
    <t>Lien DICI — l'adresse internet (http…) du dernier DICI. Les applications poseront ce lien sur l'ISIN dans les documents.</t>
  </si>
  <si>
    <t>Expo EUR / USD / autres devises — répartition par devise du fonds. Les 3 colonnes doivent totaliser 100 %.</t>
  </si>
  <si>
    <t>Expo Europe / Amérique du Nord / Marchés émergents / autres zones — répartition géographique. Les 4 doivent totaliser 100 %.</t>
  </si>
  <si>
    <t>Perf 2020 à Perf 2025 — performance de chaque année civile, en %.</t>
  </si>
  <si>
    <t>Perf 2026 YTD (%) — performance de l'année en cours (depuis le 1er janvier), en %. À actualiser régulièrement. Quand l'année est close, renommer en « Perf 2026 » et ajouter une colonne « Perf 2027 YTD ».</t>
  </si>
  <si>
    <t>Date dernière valorisation — la date de la valeur liquidative sur laquelle porte la perf YTD ci-dessus (souvent décalée pour les fonds peu liquides : SCPI, private equity…).</t>
  </si>
  <si>
    <t>Temporalité de cotation — la fréquence de valorisation du fonds : Journalière, Hebdomadaire, Mensuelle, Trimestrielle ou Semestrielle (menu déroulant).</t>
  </si>
  <si>
    <t>Statut — « À compléter », « Validé » (relu et complet) ou « Fermé » (n'existe plus / ne se souscrit plus).</t>
  </si>
  <si>
    <t>Dernière MAJ / Commentaire — date de votre dernière intervention / notes libres.</t>
  </si>
  <si>
    <t>Onglet « Transparisation Althos » — la composition des fonds maison</t>
  </si>
  <si>
    <t>Chaque colonne = un fonds Althos (Private Equity, Private Credit Capitalisant, Private Credit Distribuant, Private Infrastructure).</t>
  </si>
  <si>
    <t>Chaque ligne = un sous-jacent. La cellule = le POIDS du sous-jacent dans ce fonds Althos (en %).</t>
  </si>
  <si>
    <t>Chaque colonne doit totaliser 100 % (vérifié en bas de la feuille et dans l'onglet « Contrôle »).</t>
  </si>
  <si>
    <t>Mettez à jour la date « Composition à jour au : » en haut de la feuille à chaque révision.</t>
  </si>
  <si>
    <t>Pré-rempli depuis le gabarit de consolidation (composition au 30/04/2026). C'est ici que vous la tiendrez à jour désormais.</t>
  </si>
  <si>
    <t>Protection et structure</t>
  </si>
  <si>
    <t>En-têtes et feuilles annexes verrouillés (anti-accident) ; les cellules de données sont libres.</t>
  </si>
  <si>
    <t>Mot de passe de structure (Révision → Ôter la protection) : althos — pour les opérations rares (étendre une table, ajouter une année).</t>
  </si>
  <si>
    <t>D'où viennent les données ?</t>
  </si>
  <si>
    <t>Amorçage du 10/07/2026 : fonds (nom, ISIN, catégorie), SRI et composition Althos importés du gabarit de consolidation V5.</t>
  </si>
  <si>
    <t>Le reste (frais, DICI, expositions, performances…) est à saisir par les référents. L'onglet « Contrôle » suit l'avancement.</t>
  </si>
  <si>
    <t>2025-11</t>
  </si>
  <si>
    <t>2026-01</t>
  </si>
  <si>
    <t>2026-02</t>
  </si>
  <si>
    <t>Althos Private Credit part A - Distribuant</t>
  </si>
  <si>
    <t>Althos Private Credit part F - Distribuant</t>
  </si>
  <si>
    <t>Cle</t>
  </si>
  <si>
    <t>LibelleClasse</t>
  </si>
  <si>
    <t>NomFonds</t>
  </si>
  <si>
    <t>SocieteGestion</t>
  </si>
  <si>
    <t>Periode</t>
  </si>
  <si>
    <t>DateArreteNAV</t>
  </si>
  <si>
    <t>AutresDatesReference</t>
  </si>
  <si>
    <t>Devise</t>
  </si>
  <si>
    <t>PerfMoisPct</t>
  </si>
  <si>
    <t>PerfYTDPct</t>
  </si>
  <si>
    <t>Perf1AnPct</t>
  </si>
  <si>
    <t>PerfLancementPct</t>
  </si>
  <si>
    <t>BasePerfLancement</t>
  </si>
  <si>
    <t>Perf2020Pct</t>
  </si>
  <si>
    <t>Perf2021Pct</t>
  </si>
  <si>
    <t>Perf2022Pct</t>
  </si>
  <si>
    <t>Perf2023Pct</t>
  </si>
  <si>
    <t>Perf2024Pct</t>
  </si>
  <si>
    <t>Perf2025Pct</t>
  </si>
  <si>
    <t>RendementDistributionPct</t>
  </si>
  <si>
    <t>MethodeRapprochement</t>
  </si>
  <si>
    <t>EncoursMillions</t>
  </si>
  <si>
    <t>DeviseEncours</t>
  </si>
  <si>
    <t>MinimumInvestissement</t>
  </si>
  <si>
    <t>CommentaireSDGPresent</t>
  </si>
  <si>
    <t>StatutRapprochement</t>
  </si>
  <si>
    <t>ResumeFR</t>
  </si>
  <si>
    <t>FaitsMarquants</t>
  </si>
  <si>
    <t>Incoherences</t>
  </si>
  <si>
    <t>Confiance</t>
  </si>
  <si>
    <t>FichierPDF</t>
  </si>
  <si>
    <t>Horodatage</t>
  </si>
  <si>
    <t>Modele</t>
  </si>
  <si>
    <t>LU2984100870|2026-05</t>
  </si>
  <si>
    <t>EUR-Z</t>
  </si>
  <si>
    <t>EQT Fund Management S.à r.l.</t>
  </si>
  <si>
    <t>isin</t>
  </si>
  <si>
    <t>25 000 EUR</t>
  </si>
  <si>
    <t>rapproche</t>
  </si>
  <si>
    <t>Le fonds EQT Nexus Infrastructure, géré par EQT Fund Management S.à r.l., a publié son reporting mensuel pour mai 2026. L'encours total s'élève à 673 millions d'euros. Le fonds affiche une performance nette positive pour le quatrième mois consécutif, avec une progression de 0,3 % pour la classe I EURz, portant la performance depuis le début de l'année à +9,1 %. Selon la société de gestion, cette performance est soutenue par la hausse des valorisations du portefeuille sous-jacent et un environnement monétaire favorable. La classe I USDz, en revanche, enregistre une performance mensuelle de -0,3 %, impactée par la force du dollar américain face à l'euro, avec une performance annuelle de +9,0 %. Depuis leur lancement en mars 2025, les performances annualisées s'établissent à +16,2 % pour la classe I EURz et +24,1 % pour la classe I USDz. Le fonds est exposé à 44 sociétés du portefeuille d'EQT Infrastructure et cible des investissements dans des secteurs tels que l'énergie, le numérique et les transports. Le ticket minimum d'investissement est fixé à 25 000 euros.</t>
  </si>
  <si>
    <t>Le document mentionne un encours de 673 millions d'euros dans le tableau de synthèse, mais utilise également le symbole €673m dans le texte, sans contradiction apparente. Cependant, la devise de la VL par part est indiquée en livres sterling (£118,8) et en dollars ($128,1) pour les classes I EURz et I USDz, ce qui peut prêter à confusion quant à la devise de référence du fonds (EUR).; Les performances annuelles 2025 pour certaines classes (ex. QEUR-w et R-IEUR-Z) affichent une performance négative (-0,7 %), alors que le fonds a été lancé en mars 2025. Cela suggère que les performances 2025 ne couvrent pas une année civile complète, mais uniquement la période post-lancement.</t>
  </si>
  <si>
    <t>Teams — PDF</t>
  </si>
  <si>
    <t>2026 05 EQT Nexus Infrastructure - Monthly Report - Copie</t>
  </si>
  <si>
    <t>2026-07-28T21:48:03.1718175Z</t>
  </si>
  <si>
    <t>Mistral-Large-3</t>
  </si>
  <si>
    <t>LU2702162343|2026-05</t>
  </si>
  <si>
    <t>Class I (Acc) - EUR</t>
  </si>
  <si>
    <t>Ares European Strategic Income Fund</t>
  </si>
  <si>
    <t>Ares Management Luxembourg</t>
  </si>
  <si>
    <t>La société de gestion ne publie pas de commentaire dans ce document. Le fonds Ares European Strategic Income Fund, géré par Ares Management Luxembourg, est un fonds de crédit privé européen axé sur des prêts senior sécurisés à taux variable. À la date d'arrêté du 31 mai 2026, l'encours net s'élève à 5,5 milliards d'euros. Le fonds affiche une performance annualisée depuis le lancement de 9,13 % pour la classe I (Acc) en EUR, avec une performance sur un an de 6,50 %. La performance depuis le début de l'année 2026 atteint 2,17 % pour cette même classe. La répartition géographique est principalement concentrée en Europe (95 %), avec une exposition sectorielle diversifiée, notamment dans la santé (18 %) et les services aux entreprises (18 %). Le ticket minimum d'investissement est fixé à 25 000 EUR. Les performances varient selon les classes de parts et les devises.</t>
  </si>
  <si>
    <t>AESIF_FactSheet 2026 05 1</t>
  </si>
  <si>
    <t>2026-08-10T07:38:51.7265930Z</t>
  </si>
  <si>
    <t>LU2702161618|2026-05</t>
  </si>
  <si>
    <t>Class A (Acc) - EUR</t>
  </si>
  <si>
    <t>2026-08-10T07:38:53.6321421Z</t>
  </si>
  <si>
    <t>LU3005168235|2026-05</t>
  </si>
  <si>
    <t>S1A EUR pf</t>
  </si>
  <si>
    <t>AXA IM Private Credit Income Fund</t>
  </si>
  <si>
    <t>BNP PARIBAS ASSET MANAGEMENT EUROPE SAS</t>
  </si>
  <si>
    <t>1 000 000 EUR</t>
  </si>
  <si>
    <t>Le fonds AXA IM Private Credit Income Fund, géré par BNP PARIBAS ASSET MANAGEMENT EUROPE SAS, est un compartiment luxembourgeois conforme à la directive AIF, investi principalement en crédit privé. À fin mai 2026, l'encours s'élève à 241,66 millions d'euros. La classe S1A EUR pf (ISIN LU3005168235) affiche une valeur liquidative de 114,13 EUR, avec une performance mensuelle de +0,83 %, une performance depuis le début de l'année de +4,96 %, et une performance sur un an de +11,97 %. Depuis son lancement le 20 mars 2025, la performance cumulée atteint +14,13 %. Selon la société de gestion, le fonds a réalisé 20 transactions en mai 2026, renforçant son exposition aux segments Consumer Asset Backed et Corporate Asset Backed. La duration moyenne du portefeuille est de 2,8 ans, avec un rendement prévu de 12,23 % en euros. Le portefeuille est diversifié géographiquement et sectoriellement, avec une forte exposition aux actifs privés (85 %).</t>
  </si>
  <si>
    <t>Reporting mensuel - B2B - AXA IM Private Credit Income Fund - Français</t>
  </si>
  <si>
    <t>2026-08-10T08:35:21.9620425Z</t>
  </si>
  <si>
    <t>LU2798962895|2026-07</t>
  </si>
  <si>
    <t>Part I</t>
  </si>
  <si>
    <t>Europe Mid</t>
  </si>
  <si>
    <t>Indépendance Asset Management</t>
  </si>
  <si>
    <t>1 action (Part I, Part A, ETF Actif), 5M€ (Part B)</t>
  </si>
  <si>
    <t>Le fonds Europe Mid, géré par Indépendance Asset Management, est un OPCVM investi principalement dans des actions de moyennes capitalisations européennes, avec une approche Quality Value intégrant des critères ESG. L'encours du fonds s'élève à 493 millions d'euros au 31 juillet 2026. La performance du mois de juillet 2026 est de +3,1 %, portant la performance depuis le lancement (septembre 2024) à +50,1 %. La performance annualisée sur un an est de +19,0 %, tandis que la performance depuis le début de l'année 2026 atteint +10,7 %. Selon la société de gestion, le fonds a renforcé ses positions en Capgemini et initié des investissements dans Traton et Befesa, tout en cédant Mowi. La répartition géographique montre une exposition significative en France (26,6 %) et en Espagne (13,6 %). La répartition sectorielle est dominée par l'ingénierie et la construction (18,5 %) ainsi que les biens d'équipement (16,2 %).</t>
  </si>
  <si>
    <t>La performance mensuelle de +3,1 % est mentionnée dans le commentaire de gestion pour juin 2026, mais le rapport est daté de juillet 2026. La performance du mois de juillet n'est pas explicitement indiquée.; La valeur liquidative de la Part E est fournie (113,80 €), mais aucune performance n'est associée à cette classe dans le document.</t>
  </si>
  <si>
    <t>260731-reporting-europe-mid-i-eur-c3-fr-4</t>
  </si>
  <si>
    <t>2026-08-10T09:46:27.9255805Z</t>
  </si>
  <si>
    <t>LU0131510165|2026-07</t>
  </si>
  <si>
    <t>Part A</t>
  </si>
  <si>
    <t>France Small &amp; Mid</t>
  </si>
  <si>
    <t>1 action</t>
  </si>
  <si>
    <t>Le fonds France Small &amp; Mid, géré par Indépendance Asset Management, investit dans des actions de petites et moyennes capitalisations françaises selon une méthodologie Quality Value intégrant des critères ESG. En juillet 2026, l'encours s'élève à 457 millions d'euros. La performance du mois est de +3,4 %, portant la performance depuis le début de l'année à +5,4 %. Selon la société de gestion, les ESN ont retrouvé les faveurs du marché, avec des renforcements sur Hoegh Autoliners et Alstom, tandis que Rexel et Voyageurs du Monde ont été cédés. La répartition géographique est majoritairement française (88,4 %), et la répartition sectorielle montre une forte exposition aux médias (14,0 %) et aux services aux entreprises (13,4 %). Le fonds affiche une performance annualisée de +6,0 % sur un an et +30,0 % sur trois ans.</t>
  </si>
  <si>
    <t>260731-reporting-france-small-mid-x-eur-c2-fr</t>
  </si>
  <si>
    <t>2026-08-10T09:51:47.5069199Z</t>
  </si>
  <si>
    <t>LU1964632324|2026-07</t>
  </si>
  <si>
    <t>2026-08-10T09:51:49.9741479Z</t>
  </si>
  <si>
    <t>LU1832174962|2026-07</t>
  </si>
  <si>
    <t>Indépendance AM Europe Small</t>
  </si>
  <si>
    <t>1 action (Part A, X, I); 5M€ (Part B)</t>
  </si>
  <si>
    <t>Le fonds Indépendance AM Europe Small, géré par Indépendance Asset Management, investit dans des petites et moyennes capitalisations européennes selon une méthodologie Quality Value intégrant des critères ESG. À fin juillet 2026, l'encours s'élève à 1 161 millions d'euros. La valeur liquidative des parts A, X, I et B est respectivement de 243,57 €, 244,77 €, 253,05 € et 259,50 €. La performance du mois de juillet est de +0,9 %, portant la performance depuis le début de l'année à +8,6 %. Selon la société de gestion, le fonds a renforcé ses positions dans Pluxee (France) et initié un investissement dans Befesa (Allemagne), tout en allégeant ses positions dans SEMAPA (Portugal) et Bekaert (Belgique) après des résultats décevants. La répartition géographique est dominée par la France (22,5 %), suivie de l'Italie (13,4 %) et de l'Espagne (12,3 %). Le portefeuille est principalement exposé aux secteurs de l'ingénierie et construction (24,5 %) et des biens d'équipement (18,7 %).</t>
  </si>
  <si>
    <t>260731-reporting-europe-small-x-eur-c2-fr-5 2</t>
  </si>
  <si>
    <t>2026-08-10T09:55:49.4407361Z</t>
  </si>
  <si>
    <t>LU1832175001|2026-07</t>
  </si>
  <si>
    <t>2026-08-10T09:55:51.8163073Z</t>
  </si>
  <si>
    <t>FR0013504479|2026-06</t>
  </si>
  <si>
    <t>EUR B2 (acc)</t>
  </si>
  <si>
    <t>FCPR-GF Lumyna Private Equity World Fund</t>
  </si>
  <si>
    <t>FundRock Management Company S.A</t>
  </si>
  <si>
    <t>Le FCPR-GF Lumyna Private Equity World Fund, géré par FundRock Management Company S.A, est un fonds de private equity investi principalement en Amérique du Nord et en Europe. Au 30 juin 2026, l'encours sous gestion s'élève à 400,07 millions d'euros. La classe EUR B2 (acc) (ISIN : FR0013504479) affiche une performance nette depuis le début de l'année de 0,6 %, avec une performance mensuelle de +0,4 %. Les performances annuelles passées sont de +20,11 % en 2021, +4,70 % en 2022, +7,49 % en 2023, +10,07 % en 2024 et +5,29 % en 2025. Selon la société de gestion, le fonds maintient une diversification élevée avec 119 investissements actifs et plus de 900 sociétés sous-jacentes. Les stratégies d'investissement incluent les marchés secondaires, les co-investissements et le capital développement, avec une exposition sectorielle marquée dans la technologie de l'information et la santé.</t>
  </si>
  <si>
    <t>Le document mentionne que la devise du fonds est l'USD dans la section 'INFORMATIONS GÉNÉRALES', mais les performances et l'encours sont exprimés en euros pour la classe EUR B2 (acc).; Le minimum d'investissement n'est pas explicitement indiqué dans le document, la valeur '25 000 EUR' est déduite des pratiques courantes pour ce type de fonds.</t>
  </si>
  <si>
    <t>GF_Lumyna_Private_Equity_World_Reporting</t>
  </si>
  <si>
    <t>2026-08-10T09:57:34.1592448Z</t>
  </si>
  <si>
    <t>LU2098888824|2026-05</t>
  </si>
  <si>
    <t>C Accumulation EUR</t>
  </si>
  <si>
    <t>Schroders Capital Semi-Liquid Global Private Equity</t>
  </si>
  <si>
    <t>Schroder Investment Management (Europe) S.A.</t>
  </si>
  <si>
    <t>10 000 EUR ou équivalent</t>
  </si>
  <si>
    <t>La société de gestion ne publie pas de commentaire dans ce document. Le fonds Schroders Capital Semi-Liquid Global Private Equity (classe C Accumulation EUR, ISIN LU2098888824) affiche une valeur liquidative de 207,56 EUR au 31 mai 2026. L'encours total s'élève à 3 169,27 millions USD. La performance mensuelle est de +1,9 %, tandis que la performance depuis le début de l'année atteint +1,4 %. Sur un an, la performance est de +5,6 %, et depuis le lancement (29 février 2020), elle s'élève à +107,6 %. Les performances annuelles civiles sont de +21,0 % en 2021, +11,1 % en 2022, +10,0 % en 2023, +11,0 % en 2024 et -0,3 % en 2025. Le fonds investit principalement en private equity via des co-investissements (48,4 %), des fonds secondaires (38,7 %) et des fonds primaires (12,9 %). La répartition géographique privilégie l'Europe (47,6 %) et l'Amérique du Nord (43,6 %). Le ticket minimum de souscription est de 10 000 EUR ou équivalent.</t>
  </si>
  <si>
    <t>L'encours est exprimé en USD (3 169,27 millions) alors que la devise du fonds est l'EUR et celle de la classe de parts est également l'EUR. Aucune conversion n'est fournie.; La performance 'Since inception' (107,6 %) est indiquée, mais la date de lancement de la classe de parts (29 février 2020) et celle du fonds (30 septembre 2019) diffèrent. Le document ne précise pas si la performance 'Since inception' se réfère au fonds ou à la classe de parts.</t>
  </si>
  <si>
    <t>2026 05 Schroders Capital Semi-Liquid Global PE-C</t>
  </si>
  <si>
    <t>2026-08-10T09:58:50.1358950Z</t>
  </si>
  <si>
    <t>LU2756307729|2026-05</t>
  </si>
  <si>
    <t>S EUR Acc</t>
  </si>
  <si>
    <t>Pantheon Global Private Equity Fund</t>
  </si>
  <si>
    <t>Pantheon Ventures (Ireland) DAC</t>
  </si>
  <si>
    <t>Le fonds Pantheon Global Private Equity Fund, géré par Pantheon Ventures (Ireland) DAC, a publié ses performances au 31 mai 2026. L'encours total s'élève à 1,3 milliard de dollars. Le fonds investit dans un portefeuille diversifié de private equity, incluant des primaires, des secondaires et des co-investissements, avec une exposition mondiale. La classe S USD Acc affiche une performance mensuelle de 2,0 % et une performance annualisée depuis le lancement (7 mars 2024) de 20,7 %, soit une performance cumulative de 52,6 %. La classe S EUR Acc présente des performances similaires, avec un rendement mensuel de 2,6 % et une performance cumulative de 41,9 %. Selon la société de gestion, la performance positive de mai 2026 est principalement attribuable à des revalorisations d'investissements récents et à des transactions clôturées durant le mois.</t>
  </si>
  <si>
    <t>L'encours total du fonds est mentionné comme étant de 1,3 milliard de dollars dans le tableau 'Fund NAV', mais le document indique également que les actifs sous gestion de Pantheon s'élèvent à 83,8 milliards de dollars. Cela peut prêter à confusion quant à la part exacte du fonds dans les actifs totaux gérés.</t>
  </si>
  <si>
    <t>2026 05 PGPE Fund Share Class S Factsheet 1</t>
  </si>
  <si>
    <t>2026-08-10T10:52:33.9716408Z</t>
  </si>
  <si>
    <t>LU2996228198|2026-05</t>
  </si>
  <si>
    <t>B EUR Acc</t>
  </si>
  <si>
    <t>2026-08-10T10:52:35.9387995Z</t>
  </si>
  <si>
    <t>LU1911739297|2026-05</t>
  </si>
  <si>
    <t>EUR E-N (open)</t>
  </si>
  <si>
    <t>Partners Group Global Value SICAV</t>
  </si>
  <si>
    <t>Partners Group (Luxembourg) S.A.</t>
  </si>
  <si>
    <t>Le fonds Partners Group Global Value SICAV, géré par Partners Group (Luxembourg) S.A., a publié son reporting mensuel arrêté au 31 mai 2026. L'actif net du fonds s'élève à 8 370,26 millions USD. La valeur liquidative de la part USD I (classe institutionnelle) a reculé de 0,2 % sur le mois, portant la performance depuis le début de l'année à -3,2 %. Selon la société de gestion, la réévaluation globale du portefeuille est restée stable, avec des mouvements limités entre les différentes lignes. Les investissements secondaires, notamment les projets Elm et Strike, affichent des développements positifs. Les actifs directs récents, comme St. Croix Hospice, MPM Products et Ennoble Care, montrent une dynamique opérationnelle encourageante, tandis que la valorisation d'Emeria a été ajustée à la baisse. Le rendement des distributions reste supérieur à 15 % annualisé. La répartition géographique du portefeuille est dominée par l'Amérique du Nord (54 %), suivie de l'Europe (37 %). La stratégie principale est le capital-transmission (73 %), complétée par de la dette privée (10 %) et du capital-croissance (7 %).</t>
  </si>
  <si>
    <t>Le document indique que la performance depuis le lancement (ITD cum.) de la classe USD I est de 357,2 % dans le tableau des performances mensuelles, mais la VL de cette même classe est présentée comme 640,48 USD au 31/05/2026, sans explication claire sur la base de calcul de la performance cumulée.</t>
  </si>
  <si>
    <t>2026 05 31 Partners Group Global Value SICAV</t>
  </si>
  <si>
    <t>2026-08-10T10:02:41.7825820Z</t>
  </si>
  <si>
    <t>LU1911739370|2026-05</t>
  </si>
  <si>
    <t>EUR R-N (open)</t>
  </si>
  <si>
    <t>2026-08-10T10:02:44.5244452Z</t>
  </si>
  <si>
    <t>LU1346205443|2025-12</t>
  </si>
  <si>
    <t>EUR I (open)</t>
  </si>
  <si>
    <t>PARTNERS GROUP GLOBAL REAL ESTATE FCP</t>
  </si>
  <si>
    <t>Le fonds PARTNERS GROUP GLOBAL REAL ESTATE FCP, géré par Partners Group (Luxembourg) S.A., a enregistré une baisse de 2,0 % de sa valeur nette d'inventaire par part en décembre 2025, principalement due à la dépréciation du portefeuille German Office Portfolio (Omega). Selon la société de gestion, cette baisse reflète une expansion des taux de capitalisation et une augmentation des taux d'actualisation. À l'inverse, le portefeuille The Complex en Australie a connu une appréciation de 5 % grâce à une activité locative favorable. 
L'encours total du fonds s'élève à 142,25 millions USD au 31 décembre 2025. La répartition géographique est dominée par l'Amérique du Nord (50 %), suivie de l'Asie-Pacifique (25 %) et de l'Europe (25 %). Le secteur immobilier le plus représenté est le bureau (35 %), suivi de l'industriel (21 %) et du résidentiel (20 %). 
Les performances annuelles varient selon les classes de parts. Par exemple, la classe USD I (open) affiche une performance de -3,3 % depuis le début de l'année 2025, tandis que la classe AUD I (open) enregistre -6,6 %. Les distributions en 2025 ont atteint près de 13 % de la taille du fonds.</t>
  </si>
  <si>
    <t>Le document indique une performance depuis inception de 11,8 % pour la classe USD I (open) dans le tableau des key figures, mais cette valeur n'est pas cohérente avec les performances annuelles détaillées (ex. 2017 à 2025) qui aboutissent à un cumul différent. Cette contradiction est signalée sans ajustement des valeurs.</t>
  </si>
  <si>
    <t>2025 12 31  Reporting Partners Group Real Estate FCP</t>
  </si>
  <si>
    <t>2026-08-10T10:06:34.5904434Z</t>
  </si>
  <si>
    <t>LU3047997575|2026-05</t>
  </si>
  <si>
    <t>Pantheon Global Credit Secondaries Fund</t>
  </si>
  <si>
    <t>Le fonds Pantheon Global Credit Secondaries Fund, géré par Pantheon Ventures (Ireland) DAC, a été arrêté au 31 mai 2026 avec un encours de 1,2 milliard de dollars. Le fonds investit principalement dans des crédits privés via des transactions secondaires, avec une exposition géographique répartie entre l'Amérique du Nord (38 %) et l'Europe (54 %). La stratégie cible majoritairement le crédit senior sécurisé (73 %). Quatre classes de parts sont disponibles : S USD Acc, S USD Dis, S EUR Acc et S EUR Dis, toutes lancées le 26 juin 2025. Selon la société de gestion, la performance depuis le lancement s'élève à +11,3 % pour les classes USD et +11,7 % pour les classes EUR. La classe S USD Acc a enregistré une performance mensuelle de -0,1 % en mai 2026, tandis que la classe S EUR Acc affiche +0,5 %. Le fonds maintient une position de trésorerie élevée et anticipe des opportunités d'investissement attractives pour les mois à venir.</t>
  </si>
  <si>
    <t>Le document indique un encours de 1,2 Md USD dans la section 'Fund NAV', mais mentionne également 83,8 Md USD d'actifs sous gestion globaux pour Pantheon (page 1). Ces deux chiffres ne sont pas directement comparables, mais cette différence n'est pas explicitement clarifiée.</t>
  </si>
  <si>
    <t>2026 05 Rapport Pantheon Global Credit Secondaties Fund 1</t>
  </si>
  <si>
    <t>2026-08-10T10:53:55.4612469Z</t>
  </si>
  <si>
    <t>LU3047997658|2026-05</t>
  </si>
  <si>
    <t>S EUR Dis</t>
  </si>
  <si>
    <t>2026-08-10T10:53:57.0821488Z</t>
  </si>
  <si>
    <t>LU2984100870|2026-04</t>
  </si>
  <si>
    <t>Le fonds EQT Nexus Infrastructure, géré par EQT Fund Management S.à r.l., a publié son reporting mensuel pour avril 2026. L'encours total s'élève à 684 millions d'euros. Le fonds affiche une performance nette mensuelle de +3,1 % pour la classe I EURz et +4,5 % pour la classe I USDz, portant la performance depuis le début de l'année à +8,8 % et +9,4 % respectivement. Depuis son lancement en mars 2025, le fonds enregistre une performance annualisée de +17,1 % pour la classe EUR et +26,3 % pour la classe USD. Selon la société de gestion, la performance d'avril a été principalement portée par l'investissement stratégique dans EQT AI, combinant une plateforme de centres de données et une société de développement. Le fonds détient un portefeuille diversifié de 44 sociétés réparties dans 6 fonds et 12 co-investissements. La répartition géographique montre une exposition majoritaire en Amérique du Nord (51 %) et en Europe (45 %). La répartition sectorielle met en avant l'énergie (41 %) et le digital (33 %). Le ticket minimum d'investissement est fixé à 25 000 EUR.</t>
  </si>
  <si>
    <t>Le document mentionne un encours de 684 millions d'euros (€684m) dans le tableau de synthèse, mais la devise n'est pas explicitement précisée pour toutes les classes de parts dans ce même tableau (ex. £118.5 | $128.5).; La performance YTD pour la classe I EURz est indiquée à 8,8 % dans le commentaire et le tableau de synthèse, mais le tableau de performance mensuelle montre un total de 8,9 % pour 2025 et 8,8 % pour 2026, ce qui pourrait prêter à confusion sur la période exacte couverte par le YTD.</t>
  </si>
  <si>
    <t>2026 04 EQT Nexus Infrastructure - Monthly Report</t>
  </si>
  <si>
    <t>2026-08-10T10:12:01.1539560Z</t>
  </si>
  <si>
    <t>LU1912496582|2026-05</t>
  </si>
  <si>
    <t>EUR I-N (open)</t>
  </si>
  <si>
    <t>The Partners Fund SICAV</t>
  </si>
  <si>
    <t>Le fonds The Partners Fund SICAV, géré par Partners Group (Luxembourg) S.A., a publié son reporting mensuel arrêté au 31 mai 2026. L'actif net total s'élève à 1 392,96 millions USD. La valeur liquidative de la part USD I (classe fermée) s'établit à 2 001,79 USD, en baisse de 0,4 % sur le mois et de 2,1 % depuis le début de l'année. Selon la société de gestion, cette performance négative résulte principalement de réévaluations à la baisse de certains actifs en private equity, partiellement compensées par des performances positives sur d'autres segments du portefeuille diversifié. La liquidité du fonds atteint 16 % en fin de mois, avec des distributions annuelles représentant 16 % de la valeur nette d'actif. La répartition géographique montre une exposition majoritaire en Amérique du Nord (50 %) et en Europe (40 %), tandis que la répartition sectorielle indique une pondération de 45 % en private equity. Les performances annuelles civiles varient selon les classes de parts, avec par exemple + 4,8 % en 2025 pour la classe USD I (fermée).</t>
  </si>
  <si>
    <t>L'encours total du fonds est indiqué à 1 410,18 millions USD au 30.04.2026 et 1 392,96 millions USD au 31.05.2026 dans le tableau 'Key figures', mais la performance mensuelle de -0,4 % sur la VL de la classe USD I ne correspond pas à une baisse de 1,2 % de l'encours (1 410,18 * (1 - 0,004) = 1 404,54 ≠ 1 392,96).; La performance YTD de la classe USD I est indiquée à -2,1 % dans le tableau 'Key figures' et dans le tableau des classes de parts, mais le tableau 'Net performance since inception' indique une performance YTD de -2,1 % pour la même classe, sans contradiction apparente. Cependant, la performance mensuelle de -0,4 % en mai 2026 ne semble pas cohérente avec la performance YTD de -2,1 % si l'on considère les performances mensuelles des mois précédents (janvier à avril 2026) publiées dans le tableau 'Monthly net performance'.</t>
  </si>
  <si>
    <t>2026 05 The Partners Fund SICAV I USD</t>
  </si>
  <si>
    <t>2026-08-10T10:28:36.5550052Z</t>
  </si>
  <si>
    <t>LU1912497127|2026-05</t>
  </si>
  <si>
    <t>2026-08-10T10:28:39.7063064Z</t>
  </si>
  <si>
    <t>LU2677665254|2026-06</t>
  </si>
  <si>
    <t>Class A EUR - Accumulating</t>
  </si>
  <si>
    <t>StepStone Private Infrastructure Fund (STRUCTURE Lux)</t>
  </si>
  <si>
    <t>StepStone Group Europe Alternative Investments Limited</t>
  </si>
  <si>
    <t>Le fonds StepStone Private Infrastructure Fund (STRUCTURE Lux), géré par StepStone Group Europe Alternative Investments Limited, est un fonds d'infrastructure privé visant à offrir un revenu courant et une appréciation du capital à long terme. À fin juin 2026, l'encours s'élève à 323,5 millions USD. Le fonds investit principalement dans des actifs d'infrastructure à l'échelle mondiale, avec une répartition géographique concentrée en Amérique du Nord (53 %) et en Europe (36 %). La stratégie repose à 76 % sur des investissements primaires, 23 % sur des investissements secondaires et 1 % sur des co-investissements. La composition sectorielle met en avant les secteurs des données et communications (31,7 %) et des énergies renouvelables (17,3 %). Les performances varient selon les classes de parts, avec des valeurs liquidatives allant de 26,28 AUD à 38,01 USD. La performance annualisée depuis le lancement atteint jusqu'à 52,05 % pour la classe E USD. Aucune performance n'est disponible pour les années civiles antérieures à 2023 pour la plupart des classes, certaines n'ayant été lancées qu'en 2025 ou 2026.</t>
  </si>
  <si>
    <t>La date d'arrêté de la NAV est indiquée comme étant le dernier mercredi du mois à partir du 29 janvier 2025, mais la date exacte pour juin 2026 n'est pas précisée explicitement dans le document. La date retenue (2026-06-24) est une déduction.; Les performances annuelles pour 2023 de la classe A EUR ne sont disponibles que pour décembre (-0,34 %), alors que les autres mois sont marqués comme non disponibles (%-). Cela pourrait indiquer une incohérence dans la publication des données.; L'encours total du fonds est mentionné comme étant de 323,5 M USD, mais la devise de l'encours n'est pas explicitement confirmée comme étant USD dans toutes les sections du document.</t>
  </si>
  <si>
    <t>2026 06 STEPSTONE STRUCTURE Lux</t>
  </si>
  <si>
    <t>2026-08-10T10:42:29.3917943Z</t>
  </si>
  <si>
    <t>LU3084311938|2026-06</t>
  </si>
  <si>
    <t>Class S1 EUR - Accumulating</t>
  </si>
  <si>
    <t>2026-08-10T10:42:33.4148017Z</t>
  </si>
  <si>
    <t>LU2485281419|2026-06</t>
  </si>
  <si>
    <t>Class A - EUR Accumulating</t>
  </si>
  <si>
    <t>StepStone Private Markets (SPRIM® Lux)</t>
  </si>
  <si>
    <t>Le fonds StepStone Private Markets (SPRIM® Lux), géré par StepStone Group Europe Alternative Investments Limited, est un véhicule d'investissement en private markets visant une appréciation du capital à long terme et une diversification. L'encours total s'élève à 442 millions USD au 1er juillet 2026. Le fonds est structuré en plusieurs classes de parts, libellées en USD, EUR, GBP et CHF, avec des performances variables selon les devises. La performance mensuelle de la classe A en USD s'élève à +1,09 %, avec une performance depuis le début de l'année 2026 de +3,47 %. La répartition sectorielle montre une exposition majoritaire au private equity (79,5 %), suivi des actifs réels (19,1 %) et de la dette privée (1,4 %). La répartition géographique est dominée par l'Amérique du Nord (88 %). Aucune analyse de la société de gestion n'est publiée dans ce document.</t>
  </si>
  <si>
    <t>La performance annuelle 2022 pour la classe A USD (30,79 %) est calculée sur une période partielle (octobre à décembre 2022), alors que le fonds a été lancé le 30 septembre 2022. Les performances pour les mois précédents sont marquées comme non disponibles (%-).; Les performances annuelles pour les classes A EUR, RC USD, RC EUR, RC GBP et RC CHF ne sont pas fournies pour les années civiles 2023 et 2024, bien que ces classes aient été lancées avant 2025.</t>
  </si>
  <si>
    <t>2026 06 Reporting Stepstone SPRIM Lux</t>
  </si>
  <si>
    <t>2026-08-10T10:44:52.6227128Z</t>
  </si>
  <si>
    <t>LU2528864353|2026-05</t>
  </si>
  <si>
    <t>StepStone Private Venture and Growth Fund (SPRING Lux)</t>
  </si>
  <si>
    <t>Le fonds StepStone Private Venture and Growth Fund (SPRING Lux), géré par StepStone Group Europe Alternative Investments Limited, est un véhicule d'investissement diversifié en capital-risque et croissance, ciblant des gestionnaires expérimentés via des achats secondaires, des investissements directs et des fonds primaires. L'encours total s'élève à 1,2 milliard de dollars au 31 mai 2026. Le fonds affiche une performance mensuelle positive pour toutes les classes de parts en mai 2026, avec des variations selon les devises. La classe A USD Accumulating, par exemple, enregistre une valeur liquidative de 58,57 USD, une performance mensuelle de 1,71 %, et une performance depuis le lancement de 134,26 %. La répartition géographique montre une concentration en Amérique du Nord (63 %) et en Europe (34 %), tandis que la répartition sectorielle est dominée par la technologie de l'information (58,5 %). Les performances annuelles pour 2022 à 2025 sont disponibles uniquement pour la classe A USD Accumulating, avec des résultats positifs chaque année.</t>
  </si>
  <si>
    <t>La classe A USD Distributing (ISIN LU3052365510) est listée dans le tableau des ISIN mais n'apparaît pas dans le tableau des performances du document.; La classe A GBP Accumulating (ISIN LU2528864437) est listée dans le tableau des ISIN mais n'apparaît pas dans le tableau des performances, bien que son lancement soit mentionné le 2 janvier 2025.; La classe RE EUR Distributing (ISIN LU3044421405) est listée dans le tableau des ISIN mais n'a aucune donnée de performance associée dans le document.; Les performances sur 1 an sont marquées comme N/A pour certaines classes (RE USD, RE EUR, RE CHF, RC GBP Distributing), alors que leur date de lancement suggère qu'une performance sur 1 an pourrait être disponible.</t>
  </si>
  <si>
    <t>2026 05 SPRING_Lux_Fact_Card</t>
  </si>
  <si>
    <t>2026-08-10T10:49:13.5881059Z</t>
  </si>
  <si>
    <t>LU2926063467|2026-05</t>
  </si>
  <si>
    <t>I Acc EUR</t>
  </si>
  <si>
    <t>CVC-PE Global Private Equity</t>
  </si>
  <si>
    <t>CVC Europe Fund Management S.à r.l.</t>
  </si>
  <si>
    <t>Le fonds CVC-PE Global Private Equity, géré par CVC Europe Fund Management S.à r.l., est un fonds evergreen offrant une exposition aux stratégies de private equity de CVC. À fin mai 2026, l'encours s'élève à 1,5 milliard d'euros. Le fonds affiche des performances positives depuis son lancement le 20 février 2025, avec une performance mensuelle de +1,63 % en mai 2026 pour la classe I Acc EUR. Les performances annualisées depuis l'origine atteignent 22,03 % pour cette même classe. Selon la société de gestion, les rendements supérieurs à l'objectif de 12-15 % sont soutenus par une discipline en matière de prix d'entrée, une croissance régulière des bénéfices des portefeuilles et des réalisations précoces de valeur via les secondaires. Le portefeuille comprend 113 entreprises sous-jacentes, avec une répartition sectorielle diversifiée (santé, technologie, services financiers, etc.) et une exposition géographique principalement en Europe et aux Amériques.</t>
  </si>
  <si>
    <t>Le document indique un encours de 1,50 Md EUR en page de garde, mais utilise également le symbole € sans préciser si toutes les valeurs sont bien en EUR (certaines classes sont en USD, GBP, etc.).; Les performances annualisées ITD sont présentées comme cumulatives dans le tableau (ex. 28,73 % pour I Acc EUR), mais le libellé du tableau mentionne 'Annualised ITD', ce qui peut prêter à confusion sur la base de calcul (cumulée ou annualisée).</t>
  </si>
  <si>
    <t>2026 05 CVC-PE Factsheet</t>
  </si>
  <si>
    <t>2026-08-10T10:50:59.5271435Z</t>
  </si>
  <si>
    <t>LU2617117614|2026-04</t>
  </si>
  <si>
    <t>IEUR-Z</t>
  </si>
  <si>
    <t>EQT Nexus</t>
  </si>
  <si>
    <t>Le fonds EQT Nexus, géré par EQT Fund Management S.à r.l., présente son reporting mensuel arrêté au 30 avril 2026. L'encours total s'élève à 1 916 millions de livres sterling. Le fonds affiche une performance nette mensuelle de -0,1 % pour la classe IEUR-Z et de +1,6 % pour la classe IUSD-Z. Depuis le début de l'année 2026, les performances sont de +0,9 % pour IEUR-Z et +0,9 % pour IUSD-Z. En 2025, les performances annuelles ont été de +6,1 % pour IEUR-Z et +20,3 % pour IUSD-Z. Selon la société de gestion, la légère baisse en avril s'explique par la dépréciation du dollar américain face à l'euro, malgré une performance positive du portefeuille. Deux investissements notables ont été finalisés : Vinted et Desotec. Le fonds offre une exposition diversifiée à 184 entreprises via 15 fonds et 29 co-investissements. Le ticket minimum de souscription est de 25 000 euros.</t>
  </si>
  <si>
    <t>L'encours total est exprimé en livres sterling (£1 916m) alors que la devise du fonds est l'euro (EUR). Cette divergence est signalée dans le document.; La devise de l'encours (GBP) ne correspond pas à la devise principale du fonds (EUR) ni à celle des classes de parts extraites.</t>
  </si>
  <si>
    <t>2026 04 EQT Nexus Monthly Report</t>
  </si>
  <si>
    <t>2026-08-10T11:32:38.3134722Z</t>
  </si>
  <si>
    <t>FR0013144094|2026-03</t>
  </si>
  <si>
    <t>Actions A</t>
  </si>
  <si>
    <t>BK OPCI</t>
  </si>
  <si>
    <t>Pierre 1er Gestion</t>
  </si>
  <si>
    <t>Le fonds BK OPCI, géré par Pierre 1er Gestion, est un OPCI investi principalement dans des immeubles commerciaux sous enseigne Burger King en France métropolitaine. Au 31 mars 2026, l'actif net s'élève à 270,84 millions d'euros, avec une valorisation immobilière de 448,54 millions d'euros. La performance des Actions A depuis le début de l'année est de + 1,70 %, tandis que celle des Actions B atteint + 1,77 %. Sur un an, les performances sont respectivement de + 7,26 % et + 7,56 %. Selon la société de gestion, le fonds poursuit sa stratégie d'optimisation financière et d'arbitrage d'actifs non stratégiques, avec des refinancements en cours et des cessions réalisées à des prix supérieurs aux dernières expertises.</t>
  </si>
  <si>
    <t>2026-03-31_Rapport de gestion BK OPCI</t>
  </si>
  <si>
    <t>2026-08-10T11:41:13.1593644Z</t>
  </si>
  <si>
    <t>FR0013182664|2026-03</t>
  </si>
  <si>
    <t>Actions B</t>
  </si>
  <si>
    <t>2026-08-10T11:41:15.4184270Z</t>
  </si>
  <si>
    <t>FR001400ZI88|2026-03</t>
  </si>
  <si>
    <t>Morgan Stanley Dette Privée Europe S.L.P.</t>
  </si>
  <si>
    <t>IQ EQ Management SAS</t>
  </si>
  <si>
    <t>La société de gestion ne publie pas de commentaire dans ce document. Le fonds Morgan Stanley Dette Privée Europe S.L.P., géré par IQ EQ Management SAS, est un fonds de dette privée perpétuel ciblant le marché européen du financement désintermédié. Au 31 mars 2026, l'encours total s'élève à 141 millions d'euros. La part I-A affiche une valeur liquidative de 103,64 €, avec une performance mensuelle de +0,56 %, une performance depuis le début de l'année de +1,55 % et une performance cumulée depuis le lancement de +3,64 %. Le portefeuille est principalement investi en dette senior sécurisée (98 %) et présente une répartition géographique diversifiée en Europe (Allemagne 19 %, France 18 %, Royaume-Uni 18 %).</t>
  </si>
  <si>
    <t>Morgan Stanley DPE - Reporting 2026 03 5</t>
  </si>
  <si>
    <t>2026-08-10T13:31:35.3998518Z</t>
  </si>
  <si>
    <t>Nom</t>
  </si>
  <si>
    <t>Cadence</t>
  </si>
  <si>
    <t>RelanceApresJours</t>
  </si>
  <si>
    <t>Actif</t>
  </si>
  <si>
    <t>DerniereRelance</t>
  </si>
  <si>
    <t xml:space="preserve">22,05 %	</t>
  </si>
  <si>
    <t xml:space="preserve">11,91 %	</t>
  </si>
  <si>
    <t xml:space="preserve">5,90 %	</t>
  </si>
  <si>
    <t xml:space="preserve">14,59 %	</t>
  </si>
  <si>
    <t xml:space="preserve">5,91 %	</t>
  </si>
  <si>
    <t xml:space="preserve">19,14 %	</t>
  </si>
  <si>
    <t xml:space="preserve">23,77 %	</t>
  </si>
  <si>
    <t xml:space="preserve">11,63 %	</t>
  </si>
  <si>
    <t xml:space="preserve">29,30 %	</t>
  </si>
  <si>
    <t xml:space="preserve">19,25 %	</t>
  </si>
  <si>
    <t xml:space="preserve">30,40 %	</t>
  </si>
  <si>
    <t xml:space="preserve">24,55 %	</t>
  </si>
  <si>
    <t xml:space="preserve">21,29 %	</t>
  </si>
  <si>
    <t xml:space="preserve">20,87 %	</t>
  </si>
  <si>
    <t xml:space="preserve">1,09 %	</t>
  </si>
  <si>
    <t xml:space="preserve">23,28 %	</t>
  </si>
  <si>
    <t>iShares MSCI EM SRI UCITS ETF USD Acc</t>
  </si>
  <si>
    <t xml:space="preserve">16,33 %	</t>
  </si>
  <si>
    <t xml:space="preserve">15,23 %	</t>
  </si>
  <si>
    <t xml:space="preserve">12,10 %	</t>
  </si>
  <si>
    <t xml:space="preserve">17,96 %	</t>
  </si>
  <si>
    <t xml:space="preserve">15,69 %	</t>
  </si>
  <si>
    <t xml:space="preserve">33,68 %	</t>
  </si>
  <si>
    <t xml:space="preserve">29,62 %	</t>
  </si>
  <si>
    <t xml:space="preserve">26,08 %	</t>
  </si>
  <si>
    <t>Amundi</t>
  </si>
  <si>
    <t xml:space="preserve">2,57 %	</t>
  </si>
  <si>
    <t xml:space="preserve">6,74 %	</t>
  </si>
  <si>
    <t xml:space="preserve">9,78 %	</t>
  </si>
  <si>
    <t xml:space="preserve">3,37 %	</t>
  </si>
  <si>
    <t xml:space="preserve">9,98 %	</t>
  </si>
  <si>
    <t xml:space="preserve">24,71 %	</t>
  </si>
  <si>
    <t xml:space="preserve">31,53 %	</t>
  </si>
  <si>
    <t xml:space="preserve">17,17 %	</t>
  </si>
  <si>
    <t xml:space="preserve">17,18 %	</t>
  </si>
  <si>
    <t xml:space="preserve">9,99 %	</t>
  </si>
  <si>
    <t xml:space="preserve">24,70 %	</t>
  </si>
  <si>
    <t xml:space="preserve">39,27 %	</t>
  </si>
  <si>
    <t xml:space="preserve">31,52 %	</t>
  </si>
  <si>
    <t xml:space="preserve">32,25 %	</t>
  </si>
  <si>
    <t xml:space="preserve">11,29 %	</t>
  </si>
  <si>
    <t xml:space="preserve">16,60 %	</t>
  </si>
  <si>
    <t xml:space="preserve">5,25 %	</t>
  </si>
  <si>
    <t xml:space="preserve">18,71 %	</t>
  </si>
  <si>
    <t xml:space="preserve">29,50 %	</t>
  </si>
  <si>
    <t xml:space="preserve">11,97 %	</t>
  </si>
  <si>
    <t xml:space="preserve">12,16 %	</t>
  </si>
  <si>
    <t xml:space="preserve">31,62 %	</t>
  </si>
  <si>
    <t xml:space="preserve">14,47 %	</t>
  </si>
  <si>
    <t xml:space="preserve">61,70 %	</t>
  </si>
  <si>
    <t xml:space="preserve">11,67 %	</t>
  </si>
  <si>
    <t xml:space="preserve">36,29 %	</t>
  </si>
  <si>
    <t xml:space="preserve">52,36 %	</t>
  </si>
  <si>
    <t xml:space="preserve">7,64 %	</t>
  </si>
  <si>
    <t xml:space="preserve">78,93 %	</t>
  </si>
  <si>
    <t xml:space="preserve">1,79 %	</t>
  </si>
  <si>
    <t xml:space="preserve">11,00 %	</t>
  </si>
  <si>
    <t xml:space="preserve">39,58 %	</t>
  </si>
  <si>
    <t xml:space="preserve">3,56 %	</t>
  </si>
  <si>
    <t xml:space="preserve">20,78 %	</t>
  </si>
  <si>
    <t xml:space="preserve">10,76 %	</t>
  </si>
  <si>
    <t xml:space="preserve">10,65 %	</t>
  </si>
  <si>
    <t xml:space="preserve">0,37 %	</t>
  </si>
  <si>
    <t xml:space="preserve">12,93 %	</t>
  </si>
  <si>
    <t xml:space="preserve">9,92 %	</t>
  </si>
  <si>
    <t xml:space="preserve">15,98 %	</t>
  </si>
  <si>
    <t xml:space="preserve">23,60 %	</t>
  </si>
  <si>
    <t xml:space="preserve">28,00 %	</t>
  </si>
  <si>
    <t xml:space="preserve">32,24 %	</t>
  </si>
  <si>
    <t xml:space="preserve">15,61 %	</t>
  </si>
  <si>
    <t xml:space="preserve">3,52 %	</t>
  </si>
  <si>
    <t xml:space="preserve">15,39 %	</t>
  </si>
  <si>
    <t xml:space="preserve">21,84 %	</t>
  </si>
  <si>
    <t xml:space="preserve">19,73 %	</t>
  </si>
  <si>
    <t xml:space="preserve">20,45 %	</t>
  </si>
  <si>
    <t xml:space="preserve">15,93 %	</t>
  </si>
  <si>
    <t xml:space="preserve">21,26 %	</t>
  </si>
  <si>
    <t xml:space="preserve">11,12 %	</t>
  </si>
  <si>
    <t xml:space="preserve">6,26 %	</t>
  </si>
  <si>
    <t xml:space="preserve">0,54 %	</t>
  </si>
  <si>
    <t xml:space="preserve">12,61 %	</t>
  </si>
  <si>
    <t xml:space="preserve">6,03 %	</t>
  </si>
  <si>
    <t xml:space="preserve">20,93 %	</t>
  </si>
  <si>
    <t xml:space="preserve">34,35 %	</t>
  </si>
  <si>
    <t xml:space="preserve">15,30 %	</t>
  </si>
  <si>
    <t xml:space="preserve">16,40 %	</t>
  </si>
  <si>
    <t xml:space="preserve">18,42 %	</t>
  </si>
  <si>
    <t xml:space="preserve">4,74 %	</t>
  </si>
  <si>
    <t xml:space="preserve">49,46 %	</t>
  </si>
  <si>
    <t xml:space="preserve">9,37 %	</t>
  </si>
  <si>
    <t xml:space="preserve">13,10 %	</t>
  </si>
  <si>
    <t xml:space="preserve">60,03 %	</t>
  </si>
  <si>
    <t xml:space="preserve">21,97 %	</t>
  </si>
  <si>
    <t>blackrock</t>
  </si>
  <si>
    <t xml:space="preserve">16,06 %	</t>
  </si>
  <si>
    <t xml:space="preserve">21,54 %	</t>
  </si>
  <si>
    <t xml:space="preserve">39,34 %	</t>
  </si>
  <si>
    <t xml:space="preserve">15,19 %	</t>
  </si>
  <si>
    <t xml:space="preserve">19,63 %	</t>
  </si>
  <si>
    <t xml:space="preserve">15,65 %	</t>
  </si>
  <si>
    <t xml:space="preserve">15,33 %	</t>
  </si>
  <si>
    <t xml:space="preserve">41,24 %	</t>
  </si>
  <si>
    <t xml:space="preserve">7,00 %	</t>
  </si>
  <si>
    <t xml:space="preserve">6,60 %	</t>
  </si>
  <si>
    <t xml:space="preserve">8,82 %	</t>
  </si>
  <si>
    <t xml:space="preserve">6,31 %	</t>
  </si>
  <si>
    <t xml:space="preserve">32,61 %	</t>
  </si>
  <si>
    <t xml:space="preserve">33,63 %	</t>
  </si>
  <si>
    <t xml:space="preserve">9,17 %	</t>
  </si>
  <si>
    <t xml:space="preserve">16,74 %	</t>
  </si>
  <si>
    <t xml:space="preserve">11,17 %	</t>
  </si>
  <si>
    <t xml:space="preserve">24,21 %	</t>
  </si>
  <si>
    <t xml:space="preserve">10,68 %	</t>
  </si>
  <si>
    <t xml:space="preserve">28,92 %	</t>
  </si>
  <si>
    <t xml:space="preserve">15,29 %	</t>
  </si>
  <si>
    <t xml:space="preserve">22,49 %	</t>
  </si>
  <si>
    <t xml:space="preserve">6,38 %	</t>
  </si>
  <si>
    <t xml:space="preserve">8,16 %	</t>
  </si>
  <si>
    <t xml:space="preserve">2,91 %	</t>
  </si>
  <si>
    <t xml:space="preserve">9,88 %	</t>
  </si>
  <si>
    <t xml:space="preserve">1,80 %	</t>
  </si>
  <si>
    <t xml:space="preserve">3,23 %	</t>
  </si>
  <si>
    <t xml:space="preserve">0,86 %	</t>
  </si>
  <si>
    <t xml:space="preserve">8,87 %	</t>
  </si>
  <si>
    <t xml:space="preserve">12,95 %	</t>
  </si>
  <si>
    <t xml:space="preserve">6,27 %	</t>
  </si>
  <si>
    <t xml:space="preserve">21,22 %	</t>
  </si>
  <si>
    <t xml:space="preserve">7,31 %	</t>
  </si>
  <si>
    <t xml:space="preserve">11,16 %	</t>
  </si>
  <si>
    <t xml:space="preserve">18,18 %	</t>
  </si>
  <si>
    <t xml:space="preserve">4,98 %	</t>
  </si>
  <si>
    <t xml:space="preserve">9,45 %	</t>
  </si>
  <si>
    <t xml:space="preserve">0,23 %	</t>
  </si>
  <si>
    <t xml:space="preserve">0,33 %	</t>
  </si>
  <si>
    <t xml:space="preserve">20,39 %	</t>
  </si>
  <si>
    <t xml:space="preserve">0,49 %	</t>
  </si>
  <si>
    <t xml:space="preserve">0,71 %	</t>
  </si>
  <si>
    <t xml:space="preserve">25,37 %	</t>
  </si>
  <si>
    <t xml:space="preserve">16,48 %	</t>
  </si>
  <si>
    <t xml:space="preserve">9,94 %	</t>
  </si>
  <si>
    <t xml:space="preserve">23,53 %	</t>
  </si>
  <si>
    <t xml:space="preserve">6,65 %	</t>
  </si>
  <si>
    <t xml:space="preserve">18,80 %	</t>
  </si>
  <si>
    <t xml:space="preserve">35,57 %	</t>
  </si>
  <si>
    <t xml:space="preserve">47,73 %	</t>
  </si>
  <si>
    <t xml:space="preserve">20,11 %	</t>
  </si>
  <si>
    <t>31/04/2026</t>
  </si>
  <si>
    <t>31/06/2026</t>
  </si>
  <si>
    <t>F2-EUR</t>
  </si>
  <si>
    <t>9.48%</t>
  </si>
  <si>
    <t>8.5%</t>
  </si>
  <si>
    <t>8.2%</t>
  </si>
  <si>
    <t>9.01%</t>
  </si>
  <si>
    <t xml:space="preserve">6,87 %	</t>
  </si>
  <si>
    <t xml:space="preserve">6,72 %	</t>
  </si>
  <si>
    <t xml:space="preserve">2,63 %	</t>
  </si>
  <si>
    <t xml:space="preserve">2,75 %	</t>
  </si>
  <si>
    <t xml:space="preserve">8,06 %	</t>
  </si>
  <si>
    <t xml:space="preserve">7,20 %	</t>
  </si>
  <si>
    <t xml:space="preserve">2,95 %	</t>
  </si>
  <si>
    <t xml:space="preserve">11,88 %	</t>
  </si>
  <si>
    <t xml:space="preserve">6,97 %	</t>
  </si>
  <si>
    <t xml:space="preserve">4,97 %	</t>
  </si>
  <si>
    <t xml:space="preserve">18,12 %	</t>
  </si>
  <si>
    <t xml:space="preserve">3,12 %	</t>
  </si>
  <si>
    <t xml:space="preserve">7,74 %	</t>
  </si>
  <si>
    <t xml:space="preserve">6,86 %	</t>
  </si>
  <si>
    <t xml:space="preserve">4,62 %	</t>
  </si>
  <si>
    <t xml:space="preserve">2,43 %	</t>
  </si>
  <si>
    <t xml:space="preserve">5,02 %	</t>
  </si>
  <si>
    <t xml:space="preserve">9,97 %	</t>
  </si>
  <si>
    <t xml:space="preserve">7,28 %	</t>
  </si>
  <si>
    <t xml:space="preserve">5,89 %	</t>
  </si>
  <si>
    <t xml:space="preserve">9,39 %	</t>
  </si>
  <si>
    <t xml:space="preserve">1,04 %	</t>
  </si>
  <si>
    <t xml:space="preserve">6,55 %	</t>
  </si>
  <si>
    <t xml:space="preserve">5,00 %	</t>
  </si>
  <si>
    <t xml:space="preserve">3,54 %	</t>
  </si>
  <si>
    <t xml:space="preserve">8,90 %	</t>
  </si>
  <si>
    <t xml:space="preserve">0,43 %	</t>
  </si>
  <si>
    <t xml:space="preserve">6,12 %	</t>
  </si>
  <si>
    <t xml:space="preserve">25,69 %	</t>
  </si>
  <si>
    <t xml:space="preserve">6,81 %	</t>
  </si>
  <si>
    <t xml:space="preserve">6,79 %	</t>
  </si>
  <si>
    <t xml:space="preserve">6,95 %	</t>
  </si>
  <si>
    <t xml:space="preserve">6,54 %	</t>
  </si>
  <si>
    <t xml:space="preserve">21,13 %	</t>
  </si>
  <si>
    <t xml:space="preserve">9,79 %	</t>
  </si>
  <si>
    <t xml:space="preserve">53,46 %	</t>
  </si>
  <si>
    <t xml:space="preserve">29,64 %	</t>
  </si>
  <si>
    <t xml:space="preserve">27,50 %	</t>
  </si>
  <si>
    <t xml:space="preserve">11,20 %	</t>
  </si>
  <si>
    <t xml:space="preserve">18,75 %	</t>
  </si>
  <si>
    <t xml:space="preserve">2,03 %	</t>
  </si>
  <si>
    <t xml:space="preserve">15,43 %	</t>
  </si>
  <si>
    <t xml:space="preserve">0,61 %	</t>
  </si>
  <si>
    <t xml:space="preserve">12,96 %	</t>
  </si>
  <si>
    <t xml:space="preserve">7,41 %	</t>
  </si>
  <si>
    <t xml:space="preserve">1,03 %	</t>
  </si>
  <si>
    <t xml:space="preserve">4,28 %	</t>
  </si>
  <si>
    <t xml:space="preserve">2,08 %	</t>
  </si>
  <si>
    <t xml:space="preserve">71,43 %	</t>
  </si>
  <si>
    <t xml:space="preserve">0,45 %	</t>
  </si>
  <si>
    <t xml:space="preserve">1,13 %	</t>
  </si>
  <si>
    <t xml:space="preserve">0,85 %	</t>
  </si>
  <si>
    <t xml:space="preserve">8,61 %	</t>
  </si>
  <si>
    <t xml:space="preserve">2,90 %	</t>
  </si>
  <si>
    <t xml:space="preserve">3,90 %	</t>
  </si>
  <si>
    <t xml:space="preserve">3,10 %	</t>
  </si>
  <si>
    <t xml:space="preserve">4,48 %	</t>
  </si>
  <si>
    <t xml:space="preserve">4,75 %	</t>
  </si>
  <si>
    <t xml:space="preserve">4,66 %	</t>
  </si>
  <si>
    <t xml:space="preserve">1,91 %	</t>
  </si>
  <si>
    <t xml:space="preserve">0,12 %	</t>
  </si>
  <si>
    <t xml:space="preserve">3,06 %	</t>
  </si>
  <si>
    <t xml:space="preserve">3,28 %	</t>
  </si>
  <si>
    <t xml:space="preserve">6,53 %	</t>
  </si>
  <si>
    <t xml:space="preserve">0,11 %	</t>
  </si>
  <si>
    <t xml:space="preserve">0,53 %	</t>
  </si>
  <si>
    <t xml:space="preserve">3,69 %	</t>
  </si>
  <si>
    <t xml:space="preserve">5,37 %	</t>
  </si>
  <si>
    <t xml:space="preserve">9,35 %	</t>
  </si>
  <si>
    <t xml:space="preserve">0,57 %	</t>
  </si>
  <si>
    <t xml:space="preserve">3,26 %	</t>
  </si>
  <si>
    <t xml:space="preserve">4,54 %	</t>
  </si>
  <si>
    <t xml:space="preserve">0,08 %	</t>
  </si>
  <si>
    <t xml:space="preserve">3,32 %	</t>
  </si>
  <si>
    <t xml:space="preserve">1,11 %	</t>
  </si>
  <si>
    <t xml:space="preserve">1,10 %	</t>
  </si>
  <si>
    <t xml:space="preserve">1,33 %	</t>
  </si>
  <si>
    <t xml:space="preserve">5,69 %	</t>
  </si>
  <si>
    <t xml:space="preserve">2,01 %	</t>
  </si>
  <si>
    <t xml:space="preserve">6,85 %	</t>
  </si>
  <si>
    <t xml:space="preserve">2,56 %	</t>
  </si>
  <si>
    <t xml:space="preserve">5,96 %	</t>
  </si>
  <si>
    <t xml:space="preserve">9,44 %	</t>
  </si>
  <si>
    <t xml:space="preserve">8,40 %	</t>
  </si>
  <si>
    <t xml:space="preserve">1,26 %	</t>
  </si>
  <si>
    <t xml:space="preserve">9,86 %	</t>
  </si>
  <si>
    <t xml:space="preserve">2,87 %	</t>
  </si>
  <si>
    <t xml:space="preserve">6,49 %	</t>
  </si>
  <si>
    <t xml:space="preserve">3,50 %	</t>
  </si>
  <si>
    <t xml:space="preserve">1,30 %	</t>
  </si>
  <si>
    <t xml:space="preserve">2,31 %	</t>
  </si>
  <si>
    <t xml:space="preserve">3,35 %	</t>
  </si>
  <si>
    <t xml:space="preserve">2,47 %	</t>
  </si>
  <si>
    <t xml:space="preserve">3,45 %	</t>
  </si>
  <si>
    <t xml:space="preserve">3,40 %	</t>
  </si>
  <si>
    <t xml:space="preserve">1,21 %	</t>
  </si>
  <si>
    <t xml:space="preserve">2,49 %	</t>
  </si>
  <si>
    <t xml:space="preserve">2,04 %	</t>
  </si>
  <si>
    <t xml:space="preserve">1,32 %	</t>
  </si>
  <si>
    <t xml:space="preserve">1,00 %	</t>
  </si>
  <si>
    <t xml:space="preserve">1,78 %	</t>
  </si>
  <si>
    <t xml:space="preserve">2,38 %	</t>
  </si>
  <si>
    <t xml:space="preserve">0,02 %	</t>
  </si>
  <si>
    <t xml:space="preserve">1,35 %	</t>
  </si>
  <si>
    <t xml:space="preserve">3,93 %	</t>
  </si>
  <si>
    <t xml:space="preserve">0,05 %	</t>
  </si>
  <si>
    <t>FR0000009987</t>
  </si>
  <si>
    <t xml:space="preserve"> FR0013360245</t>
  </si>
  <si>
    <t xml:space="preserve">2,36 %	</t>
  </si>
  <si>
    <t xml:space="preserve">10,07 %	</t>
  </si>
  <si>
    <t xml:space="preserve">29,35 %	</t>
  </si>
  <si>
    <t xml:space="preserve">26,41 %	</t>
  </si>
  <si>
    <t xml:space="preserve">10,03 %	</t>
  </si>
  <si>
    <t xml:space="preserve">29,32 %	</t>
  </si>
  <si>
    <t xml:space="preserve">3,24 %	</t>
  </si>
  <si>
    <t xml:space="preserve">28,62 %	</t>
  </si>
  <si>
    <t xml:space="preserve">24,32 %	</t>
  </si>
  <si>
    <t xml:space="preserve">2,00 %	</t>
  </si>
  <si>
    <t>5.02%</t>
  </si>
  <si>
    <t>9.95%</t>
  </si>
  <si>
    <t>Quantalys</t>
  </si>
  <si>
    <t>Reporting</t>
  </si>
  <si>
    <t>Site Iroko</t>
  </si>
  <si>
    <t>Internet</t>
  </si>
  <si>
    <t>Boursorama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</si>
</sst>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0.00\ &quot;€&quot;;[Red]\-#,##0.00\ &quot;€&quot;"/>
    <numFmt numFmtId="164" formatCode="0.0%"/>
    <numFmt numFmtId="165" formatCode="0.00\ &quot;€&quot;"/>
    <numFmt numFmtId="166" formatCode="0.0&quot;%&quot;"/>
  </numFmts>
  <fonts count="22" x14ac:knownFonts="1">
    <font>
      <sz val="11"/>
      <color theme="1"/>
      <name val="Calibri"/>
      <family val="2"/>
      <scheme val="minor"/>
    </font>
    <font>
      <b/>
      <sz val="9"/>
      <color rgb="FFFFFFFF"/>
      <name val="Montserrat"/>
    </font>
    <font>
      <sz val="9"/>
      <color rgb="FF273444"/>
      <name val="Montserrat"/>
    </font>
    <font>
      <b/>
      <sz val="14"/>
      <color rgb="FF273444"/>
      <name val="Montserrat"/>
    </font>
    <font>
      <i/>
      <sz val="9"/>
      <color rgb="FF8F7E65"/>
      <name val="Montserrat"/>
    </font>
    <font>
      <b/>
      <sz val="10"/>
      <color rgb="FF273444"/>
      <name val="Montserrat"/>
    </font>
    <font>
      <b/>
      <sz val="10"/>
      <color rgb="FF8F7E65"/>
      <name val="Montserrat"/>
    </font>
    <font>
      <b/>
      <sz val="9"/>
      <color rgb="FF273444"/>
      <name val="Montserrat"/>
    </font>
    <font>
      <i/>
      <sz val="8"/>
      <color rgb="FF8F7E65"/>
      <name val="Montserrat"/>
    </font>
    <font>
      <b/>
      <sz val="14"/>
      <color rgb="FFFFFFFF"/>
      <name val="Montserrat"/>
    </font>
    <font>
      <i/>
      <sz val="9"/>
      <color rgb="FFC9B99A"/>
      <name val="Montserrat"/>
    </font>
    <font>
      <b/>
      <sz val="11"/>
      <color rgb="FF273444"/>
      <name val="Montserrat"/>
    </font>
    <font>
      <i/>
      <sz val="8"/>
      <color rgb="FF7A7A7A"/>
      <name val="Montserrat"/>
    </font>
    <font>
      <b/>
      <sz val="15"/>
      <color rgb="FFFFFFFF"/>
      <name val="Montserrat"/>
    </font>
    <font>
      <b/>
      <sz val="11"/>
      <color rgb="FFFFFFFF"/>
      <name val="Calibri"/>
      <family val="2"/>
    </font>
    <font>
      <sz val="10"/>
      <name val="Consolas"/>
      <family val="3"/>
    </font>
    <font>
      <sz val="11"/>
      <color theme="0"/>
      <name val="Calibri"/>
      <family val="2"/>
      <scheme val="minor"/>
    </font>
    <font>
      <u/>
      <sz val="9"/>
      <color rgb="FF273444"/>
      <name val="Montserrat"/>
    </font>
    <font>
      <b/>
      <sz val="10"/>
      <color rgb="FFFFFFFF"/>
      <name val="Montserrat"/>
    </font>
    <font>
      <b/>
      <sz val="10"/>
      <color theme="0"/>
      <name val="Montserrat"/>
    </font>
    <font>
      <u/>
      <sz val="11"/>
      <color theme="10"/>
      <name val="Calibri"/>
      <family val="2"/>
      <scheme val="minor"/>
    </font>
    <font>
      <sz val="8"/>
      <name val="Calibri"/>
      <family val="2"/>
      <scheme val="minor"/>
    </font>
  </fonts>
  <fills count="8">
    <fill>
      <patternFill patternType="none"/>
    </fill>
    <fill>
      <patternFill patternType="gray125"/>
    </fill>
    <fill>
      <patternFill patternType="solid">
        <fgColor rgb="FF273444"/>
      </patternFill>
    </fill>
    <fill>
      <patternFill patternType="solid">
        <fgColor theme="1"/>
        <bgColor indexed="64"/>
      </patternFill>
    </fill>
    <fill>
      <patternFill patternType="solid">
        <fgColor rgb="FF273444"/>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59999389629810485"/>
        <bgColor indexed="64"/>
      </patternFill>
    </fill>
  </fills>
  <borders count="4">
    <border>
      <left/>
      <right/>
      <top/>
      <bottom/>
      <diagonal/>
    </border>
    <border>
      <left/>
      <right/>
      <top/>
      <bottom style="medium">
        <color rgb="FF8F7E65"/>
      </bottom>
      <diagonal/>
    </border>
    <border>
      <left/>
      <right/>
      <top style="thin">
        <color rgb="FFC9B99A"/>
      </top>
      <bottom/>
      <diagonal/>
    </border>
    <border>
      <left style="thin">
        <color rgb="FFD9D2C7"/>
      </left>
      <right style="thin">
        <color rgb="FFD9D2C7"/>
      </right>
      <top style="thin">
        <color rgb="FFD9D2C7"/>
      </top>
      <bottom style="thin">
        <color rgb="FFD9D2C7"/>
      </bottom>
      <diagonal/>
    </border>
  </borders>
  <cellStyleXfs count="3">
    <xf numFmtId="0" fontId="0" fillId="0" borderId="0"/>
    <xf numFmtId="0" fontId="17" fillId="0" borderId="0" applyNumberFormat="0" applyFill="0" applyBorder="0" applyAlignment="0" applyProtection="0"/>
    <xf numFmtId="0" fontId="20" fillId="0" borderId="0" applyNumberFormat="0" applyFill="0" applyBorder="0" applyAlignment="0" applyProtection="0"/>
  </cellStyleXfs>
  <cellXfs count="87">
    <xf numFmtId="0" fontId="0" fillId="0" borderId="0" xfId="0"/>
    <xf numFmtId="0" fontId="1" fillId="2" borderId="1" xfId="0" applyFont="1" applyFill="1" applyBorder="1" applyAlignment="1">
      <alignment horizontal="center" vertical="center" wrapText="1"/>
    </xf>
    <xf numFmtId="49" fontId="2" fillId="0" borderId="0" xfId="0" applyNumberFormat="1" applyFont="1" applyAlignment="1" applyProtection="1">
      <alignment horizontal="center" vertical="center"/>
      <protection locked="0"/>
    </xf>
    <xf numFmtId="49" fontId="2" fillId="0" borderId="0" xfId="0" applyNumberFormat="1" applyFont="1" applyAlignment="1" applyProtection="1">
      <alignment horizontal="left" vertical="center"/>
      <protection locked="0"/>
    </xf>
    <xf numFmtId="1" fontId="2" fillId="0" borderId="0" xfId="0" applyNumberFormat="1" applyFont="1" applyAlignment="1" applyProtection="1">
      <alignment horizontal="center" vertical="center"/>
      <protection locked="0"/>
    </xf>
    <xf numFmtId="10" fontId="2" fillId="0" borderId="0" xfId="0" applyNumberFormat="1" applyFont="1" applyAlignment="1" applyProtection="1">
      <alignment horizontal="right" vertical="center"/>
      <protection locked="0"/>
    </xf>
    <xf numFmtId="164" fontId="2" fillId="0" borderId="0" xfId="0" applyNumberFormat="1" applyFont="1" applyAlignment="1" applyProtection="1">
      <alignment horizontal="right" vertical="center"/>
      <protection locked="0"/>
    </xf>
    <xf numFmtId="14" fontId="2" fillId="0" borderId="0" xfId="0" applyNumberFormat="1" applyFont="1" applyAlignment="1" applyProtection="1">
      <alignment horizontal="center" vertical="center"/>
      <protection locked="0"/>
    </xf>
    <xf numFmtId="0" fontId="3" fillId="0" borderId="0" xfId="0" applyFont="1"/>
    <xf numFmtId="0" fontId="4" fillId="0" borderId="0" xfId="0" applyFont="1"/>
    <xf numFmtId="0" fontId="5" fillId="0" borderId="0" xfId="0" applyFont="1"/>
    <xf numFmtId="14" fontId="6" fillId="0" borderId="0" xfId="0" applyNumberFormat="1" applyFont="1" applyProtection="1">
      <protection locked="0"/>
    </xf>
    <xf numFmtId="0" fontId="7" fillId="0" borderId="0" xfId="0" applyFont="1"/>
    <xf numFmtId="164" fontId="7" fillId="0" borderId="2" xfId="0" applyNumberFormat="1" applyFont="1" applyBorder="1" applyAlignment="1">
      <alignment horizontal="right"/>
    </xf>
    <xf numFmtId="0" fontId="1" fillId="2" borderId="0" xfId="0" applyFont="1" applyFill="1"/>
    <xf numFmtId="0" fontId="2" fillId="0" borderId="0" xfId="0" applyFont="1"/>
    <xf numFmtId="0" fontId="8" fillId="0" borderId="0" xfId="0" applyFont="1"/>
    <xf numFmtId="0" fontId="9" fillId="2" borderId="0" xfId="0" applyFont="1" applyFill="1"/>
    <xf numFmtId="0" fontId="0" fillId="2" borderId="0" xfId="0" applyFill="1"/>
    <xf numFmtId="0" fontId="10" fillId="2" borderId="0" xfId="0" applyFont="1" applyFill="1"/>
    <xf numFmtId="0" fontId="11" fillId="0" borderId="1" xfId="0" applyFont="1" applyBorder="1"/>
    <xf numFmtId="0" fontId="0" fillId="0" borderId="1" xfId="0" applyBorder="1"/>
    <xf numFmtId="1" fontId="5" fillId="0" borderId="0" xfId="0" applyNumberFormat="1" applyFont="1" applyAlignment="1">
      <alignment horizontal="center"/>
    </xf>
    <xf numFmtId="0" fontId="12" fillId="0" borderId="0" xfId="0" applyFont="1"/>
    <xf numFmtId="164" fontId="5" fillId="0" borderId="0" xfId="0" applyNumberFormat="1" applyFont="1" applyAlignment="1">
      <alignment horizontal="center"/>
    </xf>
    <xf numFmtId="0" fontId="13" fillId="2" borderId="0" xfId="0" applyFont="1" applyFill="1"/>
    <xf numFmtId="0" fontId="2" fillId="0" borderId="0" xfId="0" applyFont="1" applyAlignment="1">
      <alignment vertical="top" wrapText="1"/>
    </xf>
    <xf numFmtId="0" fontId="14" fillId="2" borderId="3" xfId="0" applyFont="1" applyFill="1" applyBorder="1" applyAlignment="1">
      <alignment horizontal="center" vertical="center" wrapText="1"/>
    </xf>
    <xf numFmtId="0" fontId="15" fillId="0" borderId="3" xfId="0" applyFont="1" applyBorder="1" applyAlignment="1">
      <alignment horizontal="left" vertical="center"/>
    </xf>
    <xf numFmtId="0" fontId="0" fillId="0" borderId="3" xfId="0" applyBorder="1" applyAlignment="1">
      <alignment horizontal="left" vertical="center"/>
    </xf>
    <xf numFmtId="165" fontId="0" fillId="0" borderId="3" xfId="0" applyNumberFormat="1" applyBorder="1" applyAlignment="1">
      <alignment horizontal="center" vertical="center" wrapText="1"/>
    </xf>
    <xf numFmtId="8" fontId="0" fillId="0" borderId="0" xfId="0" applyNumberFormat="1"/>
    <xf numFmtId="0" fontId="16" fillId="3" borderId="0" xfId="0" applyFont="1" applyFill="1"/>
    <xf numFmtId="0" fontId="0" fillId="0" borderId="0" xfId="0" applyProtection="1">
      <protection locked="0"/>
    </xf>
    <xf numFmtId="49" fontId="2" fillId="0" borderId="0" xfId="0" applyNumberFormat="1" applyFont="1" applyAlignment="1" applyProtection="1">
      <alignment horizontal="left" vertical="center" wrapText="1"/>
      <protection locked="0"/>
    </xf>
    <xf numFmtId="49" fontId="17" fillId="0" borderId="0" xfId="0" applyNumberFormat="1" applyFont="1" applyAlignment="1" applyProtection="1">
      <alignment horizontal="left" vertical="center" wrapText="1"/>
      <protection locked="0"/>
    </xf>
    <xf numFmtId="49" fontId="17" fillId="0" borderId="0" xfId="1" applyNumberFormat="1" applyAlignment="1" applyProtection="1">
      <alignment horizontal="left" vertical="center" wrapText="1"/>
      <protection locked="0"/>
    </xf>
    <xf numFmtId="0" fontId="0" fillId="0" borderId="0" xfId="0" applyAlignment="1" applyProtection="1">
      <alignment wrapText="1"/>
      <protection locked="0"/>
    </xf>
    <xf numFmtId="49" fontId="17" fillId="0" borderId="0" xfId="1" quotePrefix="1" applyNumberFormat="1" applyAlignment="1" applyProtection="1">
      <alignment horizontal="left" vertical="center" wrapText="1"/>
      <protection locked="0"/>
    </xf>
    <xf numFmtId="49" fontId="18" fillId="4" borderId="0" xfId="0" applyNumberFormat="1" applyFont="1" applyFill="1" applyAlignment="1">
      <alignment horizontal="center" vertical="center"/>
    </xf>
    <xf numFmtId="49" fontId="18" fillId="4" borderId="0" xfId="0" applyNumberFormat="1" applyFont="1" applyFill="1" applyAlignment="1">
      <alignment horizontal="left" vertical="center"/>
    </xf>
    <xf numFmtId="1" fontId="18" fillId="4" borderId="0" xfId="0" applyNumberFormat="1" applyFont="1" applyFill="1" applyAlignment="1">
      <alignment horizontal="center" vertical="center"/>
    </xf>
    <xf numFmtId="10" fontId="18" fillId="4" borderId="0" xfId="0" applyNumberFormat="1" applyFont="1" applyFill="1" applyAlignment="1">
      <alignment horizontal="right" vertical="center"/>
    </xf>
    <xf numFmtId="49" fontId="18" fillId="4" borderId="0" xfId="0" applyNumberFormat="1" applyFont="1" applyFill="1" applyAlignment="1">
      <alignment horizontal="left" vertical="center" wrapText="1"/>
    </xf>
    <xf numFmtId="164" fontId="18" fillId="4" borderId="0" xfId="0" applyNumberFormat="1" applyFont="1" applyFill="1" applyAlignment="1">
      <alignment horizontal="right" vertical="center"/>
    </xf>
    <xf numFmtId="14" fontId="18" fillId="4" borderId="0" xfId="0" applyNumberFormat="1" applyFont="1" applyFill="1" applyAlignment="1">
      <alignment horizontal="center" vertical="center"/>
    </xf>
    <xf numFmtId="0" fontId="18" fillId="4" borderId="0" xfId="0" applyFont="1" applyFill="1" applyAlignment="1">
      <alignment horizontal="center" vertical="center" wrapText="1"/>
    </xf>
    <xf numFmtId="49" fontId="19" fillId="4" borderId="0" xfId="0" applyNumberFormat="1" applyFont="1" applyFill="1" applyAlignment="1">
      <alignment horizontal="center" vertical="center"/>
    </xf>
    <xf numFmtId="14" fontId="0" fillId="0" borderId="0" xfId="0" applyNumberFormat="1"/>
    <xf numFmtId="9" fontId="0" fillId="0" borderId="0" xfId="0" applyNumberFormat="1"/>
    <xf numFmtId="166" fontId="0" fillId="0" borderId="0" xfId="0" applyNumberFormat="1"/>
    <xf numFmtId="2" fontId="0" fillId="0" borderId="0" xfId="0" applyNumberFormat="1"/>
    <xf numFmtId="2" fontId="18" fillId="4" borderId="0" xfId="0" applyNumberFormat="1" applyFont="1" applyFill="1" applyAlignment="1">
      <alignment horizontal="center" vertical="center" wrapText="1"/>
    </xf>
    <xf numFmtId="2" fontId="2" fillId="0" borderId="0" xfId="0" applyNumberFormat="1" applyFont="1" applyAlignment="1" applyProtection="1">
      <alignment horizontal="center" vertical="center"/>
      <protection locked="0"/>
    </xf>
    <xf numFmtId="2" fontId="18" fillId="4" borderId="0" xfId="0" applyNumberFormat="1" applyFont="1" applyFill="1" applyAlignment="1">
      <alignment horizontal="center" vertical="center"/>
    </xf>
    <xf numFmtId="49" fontId="18" fillId="4" borderId="0" xfId="0" applyNumberFormat="1" applyFont="1" applyFill="1" applyAlignment="1">
      <alignment horizontal="center" vertical="center" wrapText="1"/>
    </xf>
    <xf numFmtId="10" fontId="18" fillId="4" borderId="0" xfId="0" applyNumberFormat="1" applyFont="1" applyFill="1" applyAlignment="1">
      <alignment horizontal="center" vertical="center" wrapText="1"/>
    </xf>
    <xf numFmtId="10" fontId="2" fillId="0" borderId="0" xfId="0" applyNumberFormat="1" applyFont="1" applyAlignment="1" applyProtection="1">
      <alignment horizontal="center" vertical="center"/>
      <protection locked="0"/>
    </xf>
    <xf numFmtId="10" fontId="18" fillId="4" borderId="0" xfId="0" applyNumberFormat="1" applyFont="1" applyFill="1" applyAlignment="1">
      <alignment horizontal="center" vertical="center"/>
    </xf>
    <xf numFmtId="0" fontId="1" fillId="2" borderId="0" xfId="0" applyFont="1" applyFill="1" applyAlignment="1">
      <alignment horizontal="center" vertical="center" wrapText="1"/>
    </xf>
    <xf numFmtId="0" fontId="0" fillId="0" borderId="0" xfId="0" applyAlignment="1">
      <alignment wrapText="1"/>
    </xf>
    <xf numFmtId="49" fontId="2" fillId="4" borderId="0" xfId="0" applyNumberFormat="1" applyFont="1" applyFill="1" applyAlignment="1" applyProtection="1">
      <alignment horizontal="left" vertical="center"/>
      <protection locked="0"/>
    </xf>
    <xf numFmtId="49" fontId="2" fillId="5" borderId="0" xfId="0" applyNumberFormat="1" applyFont="1" applyFill="1" applyAlignment="1" applyProtection="1">
      <alignment horizontal="center" vertical="center"/>
      <protection locked="0"/>
    </xf>
    <xf numFmtId="10" fontId="2" fillId="6" borderId="0" xfId="0" applyNumberFormat="1" applyFont="1" applyFill="1" applyAlignment="1" applyProtection="1">
      <alignment horizontal="right" vertical="center"/>
      <protection locked="0"/>
    </xf>
    <xf numFmtId="49" fontId="2" fillId="6" borderId="0" xfId="0" applyNumberFormat="1" applyFont="1" applyFill="1" applyAlignment="1" applyProtection="1">
      <alignment horizontal="center" vertical="center"/>
      <protection locked="0"/>
    </xf>
    <xf numFmtId="49" fontId="2" fillId="6" borderId="0" xfId="0" applyNumberFormat="1" applyFont="1" applyFill="1" applyAlignment="1" applyProtection="1">
      <alignment horizontal="left" vertical="center"/>
      <protection locked="0"/>
    </xf>
    <xf numFmtId="2" fontId="2" fillId="6" borderId="0" xfId="0" applyNumberFormat="1" applyFont="1" applyFill="1" applyAlignment="1" applyProtection="1">
      <alignment horizontal="center" vertical="center"/>
      <protection locked="0"/>
    </xf>
    <xf numFmtId="10" fontId="2" fillId="6" borderId="0" xfId="0" applyNumberFormat="1" applyFont="1" applyFill="1" applyAlignment="1" applyProtection="1">
      <alignment horizontal="center" vertical="center"/>
      <protection locked="0"/>
    </xf>
    <xf numFmtId="14" fontId="2" fillId="6" borderId="0" xfId="0" applyNumberFormat="1" applyFont="1" applyFill="1" applyAlignment="1" applyProtection="1">
      <alignment horizontal="center" vertical="center"/>
      <protection locked="0"/>
    </xf>
    <xf numFmtId="0" fontId="0" fillId="6" borderId="0" xfId="0" applyFill="1"/>
    <xf numFmtId="49" fontId="2" fillId="7" borderId="0" xfId="0" applyNumberFormat="1" applyFont="1" applyFill="1" applyAlignment="1" applyProtection="1">
      <alignment horizontal="center" vertical="center"/>
      <protection locked="0"/>
    </xf>
    <xf numFmtId="49" fontId="2" fillId="7" borderId="0" xfId="0" applyNumberFormat="1" applyFont="1" applyFill="1" applyAlignment="1" applyProtection="1">
      <alignment horizontal="left" vertical="center"/>
      <protection locked="0"/>
    </xf>
    <xf numFmtId="2" fontId="2" fillId="7" borderId="0" xfId="0" applyNumberFormat="1" applyFont="1" applyFill="1" applyAlignment="1" applyProtection="1">
      <alignment horizontal="center" vertical="center"/>
      <protection locked="0"/>
    </xf>
    <xf numFmtId="10" fontId="2" fillId="7" borderId="0" xfId="0" applyNumberFormat="1" applyFont="1" applyFill="1" applyAlignment="1" applyProtection="1">
      <alignment horizontal="center" vertical="center"/>
      <protection locked="0"/>
    </xf>
    <xf numFmtId="10" fontId="2" fillId="7" borderId="0" xfId="0" applyNumberFormat="1" applyFont="1" applyFill="1" applyAlignment="1" applyProtection="1">
      <alignment horizontal="right" vertical="center"/>
      <protection locked="0"/>
    </xf>
    <xf numFmtId="14" fontId="2" fillId="7" borderId="0" xfId="0" applyNumberFormat="1" applyFont="1" applyFill="1" applyAlignment="1" applyProtection="1">
      <alignment horizontal="center" vertical="center"/>
      <protection locked="0"/>
    </xf>
    <xf numFmtId="0" fontId="0" fillId="7" borderId="0" xfId="0" applyFill="1"/>
    <xf numFmtId="49" fontId="2" fillId="0" borderId="0" xfId="0" applyNumberFormat="1" applyFont="1" applyFill="1" applyAlignment="1" applyProtection="1">
      <alignment horizontal="center" vertical="center"/>
      <protection locked="0"/>
    </xf>
    <xf numFmtId="49" fontId="2" fillId="0" borderId="0" xfId="0" applyNumberFormat="1" applyFont="1" applyFill="1" applyAlignment="1" applyProtection="1">
      <alignment horizontal="left" vertical="center"/>
      <protection locked="0"/>
    </xf>
    <xf numFmtId="2" fontId="2" fillId="0" borderId="0" xfId="0" applyNumberFormat="1" applyFont="1" applyFill="1" applyAlignment="1" applyProtection="1">
      <alignment horizontal="center" vertical="center"/>
      <protection locked="0"/>
    </xf>
    <xf numFmtId="10" fontId="2" fillId="0" borderId="0" xfId="0" applyNumberFormat="1" applyFont="1" applyFill="1" applyAlignment="1" applyProtection="1">
      <alignment horizontal="center" vertical="center"/>
      <protection locked="0"/>
    </xf>
    <xf numFmtId="10" fontId="2" fillId="0" borderId="0" xfId="0" applyNumberFormat="1" applyFont="1" applyFill="1" applyAlignment="1" applyProtection="1">
      <alignment horizontal="right" vertical="center"/>
      <protection locked="0"/>
    </xf>
    <xf numFmtId="14" fontId="2" fillId="0" borderId="0" xfId="0" applyNumberFormat="1" applyFont="1" applyFill="1" applyAlignment="1" applyProtection="1">
      <alignment horizontal="center" vertical="center"/>
      <protection locked="0"/>
    </xf>
    <xf numFmtId="0" fontId="0" fillId="0" borderId="0" xfId="0" applyFill="1"/>
    <xf numFmtId="10" fontId="0" fillId="0" borderId="0" xfId="0" applyNumberFormat="1" applyFill="1"/>
    <xf numFmtId="10" fontId="2" fillId="0" borderId="0" xfId="0" applyNumberFormat="1" applyFont="1" applyFill="1" applyAlignment="1" applyProtection="1">
      <alignment horizontal="right" vertical="center" wrapText="1"/>
      <protection locked="0"/>
    </xf>
    <xf numFmtId="49" fontId="20" fillId="0" borderId="0" xfId="2" applyNumberFormat="1" applyFill="1" applyAlignment="1" applyProtection="1">
      <alignment horizontal="left" vertical="center"/>
      <protection locked="0"/>
    </xf>
  </cellXfs>
  <cellStyles count="3">
    <cellStyle name="Hyperlink" xfId="2" xr:uid="{00000000-000B-0000-0000-000008000000}"/>
    <cellStyle name="Lien hypertexte" xfId="1" builtinId="8" customBuiltin="1"/>
    <cellStyle name="Normal" xfId="0" builtinId="0"/>
  </cellStyles>
  <dxfs count="86">
    <dxf>
      <font>
        <b/>
        <sz val="10"/>
        <color rgb="FF006100"/>
        <name val="Montserrat"/>
      </font>
    </dxf>
    <dxf>
      <font>
        <b/>
        <sz val="10"/>
        <color rgb="FF9C0006"/>
        <name val="Montserrat"/>
      </font>
      <fill>
        <patternFill patternType="solid">
          <fgColor rgb="FFFFC7CE"/>
        </patternFill>
      </fill>
    </dxf>
    <dxf>
      <font>
        <b/>
        <sz val="10"/>
        <color rgb="FF006100"/>
        <name val="Montserrat"/>
      </font>
    </dxf>
    <dxf>
      <font>
        <b/>
        <sz val="10"/>
        <color rgb="FF9C0006"/>
        <name val="Montserrat"/>
      </font>
      <fill>
        <patternFill patternType="solid">
          <fgColor rgb="FFFFC7CE"/>
        </patternFill>
      </fill>
    </dxf>
    <dxf>
      <font>
        <b/>
        <sz val="10"/>
        <color rgb="FF006100"/>
        <name val="Montserrat"/>
      </font>
    </dxf>
    <dxf>
      <font>
        <b/>
        <sz val="10"/>
        <color rgb="FF9C0006"/>
        <name val="Montserrat"/>
      </font>
      <fill>
        <patternFill patternType="solid">
          <fgColor rgb="FFFFC7CE"/>
        </patternFill>
      </fill>
    </dxf>
    <dxf>
      <font>
        <b/>
        <sz val="9"/>
        <color rgb="FF9C0006"/>
        <name val="Montserrat"/>
      </font>
      <fill>
        <patternFill patternType="solid">
          <fgColor rgb="FFFFC7CE"/>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fill>
        <patternFill>
          <bgColor rgb="FFFFD9A8"/>
        </patternFill>
      </fill>
    </dxf>
    <dxf>
      <numFmt numFmtId="13" formatCode="0%"/>
    </dxf>
    <dxf>
      <numFmt numFmtId="166" formatCode="0.0&quot;%&quot;"/>
    </dxf>
    <dxf>
      <numFmt numFmtId="166" formatCode="0.0&quot;%&quot;"/>
    </dxf>
    <dxf>
      <numFmt numFmtId="166" formatCode="0.0&quot;%&quot;"/>
    </dxf>
    <dxf>
      <numFmt numFmtId="166" formatCode="0.0&quot;%&quot;"/>
    </dxf>
    <dxf>
      <numFmt numFmtId="166" formatCode="0.0&quot;%&quot;"/>
    </dxf>
    <dxf>
      <numFmt numFmtId="166" formatCode="0.0&quot;%&quot;"/>
    </dxf>
    <dxf>
      <numFmt numFmtId="166" formatCode="0.0&quot;%&quot;"/>
    </dxf>
    <dxf>
      <numFmt numFmtId="166" formatCode="0.0&quot;%&quot;"/>
    </dxf>
    <dxf>
      <numFmt numFmtId="166" formatCode="0.0&quot;%&quot;"/>
    </dxf>
    <dxf>
      <numFmt numFmtId="166" formatCode="0.0&quot;%&quot;"/>
    </dxf>
    <dxf>
      <numFmt numFmtId="166" formatCode="0.0&quot;%&quot;"/>
    </dxf>
    <dxf>
      <numFmt numFmtId="2" formatCode="0.00"/>
    </dxf>
    <dxf>
      <numFmt numFmtId="12" formatCode="#,##0.00\ &quot;€&quot;;[Red]\-#,##0.00\ &quot;€&quot;"/>
    </dxf>
    <dxf>
      <alignment textRotation="0" wrapText="1" indent="0" justifyLastLine="0" shrinkToFit="0" readingOrder="0"/>
    </dxf>
    <dxf>
      <font>
        <b val="0"/>
        <i val="0"/>
        <strike val="0"/>
        <condense val="0"/>
        <extend val="0"/>
        <outline val="0"/>
        <shadow val="0"/>
        <u val="none"/>
        <vertAlign val="baseline"/>
        <sz val="9"/>
        <color rgb="FF273444"/>
        <name val="Montserrat"/>
        <scheme val="none"/>
      </font>
      <numFmt numFmtId="30" formatCode="@"/>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273444"/>
        <name val="Montserrat"/>
        <scheme val="none"/>
      </font>
      <numFmt numFmtId="30" formatCode="@"/>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273444"/>
        <name val="Montserrat"/>
        <scheme val="none"/>
      </font>
      <numFmt numFmtId="30" formatCode="@"/>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273444"/>
        <name val="Montserrat"/>
        <scheme val="none"/>
      </font>
      <numFmt numFmtId="30" formatCode="@"/>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273444"/>
        <name val="Montserrat"/>
        <scheme val="none"/>
      </font>
      <numFmt numFmtId="30" formatCode="@"/>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273444"/>
        <name val="Montserrat"/>
        <scheme val="none"/>
      </font>
      <numFmt numFmtId="14" formatCode="0.00%"/>
      <alignment horizontal="right" vertical="center" textRotation="0" wrapText="0" indent="0" justifyLastLine="0" shrinkToFit="0" readingOrder="0"/>
      <protection locked="0" hidden="0"/>
    </dxf>
    <dxf>
      <font>
        <b val="0"/>
        <i val="0"/>
        <strike val="0"/>
        <condense val="0"/>
        <extend val="0"/>
        <outline val="0"/>
        <shadow val="0"/>
        <u val="none"/>
        <vertAlign val="baseline"/>
        <sz val="9"/>
        <color rgb="FF273444"/>
        <name val="Montserrat"/>
        <scheme val="none"/>
      </font>
      <numFmt numFmtId="14" formatCode="0.00%"/>
      <alignment horizontal="right" vertical="center" textRotation="0" wrapText="0" indent="0" justifyLastLine="0" shrinkToFit="0" readingOrder="0"/>
      <protection locked="0" hidden="0"/>
    </dxf>
    <dxf>
      <numFmt numFmtId="14" formatCode="0.00%"/>
    </dxf>
    <dxf>
      <font>
        <b val="0"/>
        <i val="0"/>
        <strike val="0"/>
        <condense val="0"/>
        <extend val="0"/>
        <outline val="0"/>
        <shadow val="0"/>
        <u val="none"/>
        <vertAlign val="baseline"/>
        <sz val="9"/>
        <color rgb="FF273444"/>
        <name val="Montserrat"/>
        <scheme val="none"/>
      </font>
      <numFmt numFmtId="14" formatCode="0.00%"/>
      <alignment horizontal="right" vertical="center" textRotation="0" wrapText="0" indent="0" justifyLastLine="0" shrinkToFit="0" readingOrder="0"/>
      <protection locked="0" hidden="0"/>
    </dxf>
    <dxf>
      <numFmt numFmtId="14" formatCode="0.00%"/>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9"/>
        <color rgb="FF273444"/>
        <name val="Montserrat"/>
        <scheme val="none"/>
      </font>
      <numFmt numFmtId="14"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273444"/>
        <name val="Montserrat"/>
        <scheme val="none"/>
      </font>
      <numFmt numFmtId="14"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273444"/>
        <name val="Montserrat"/>
        <scheme val="none"/>
      </font>
      <numFmt numFmtId="2" formatCode="0.00"/>
      <alignment horizontal="center" vertical="center" textRotation="0" wrapText="0" indent="0" justifyLastLine="0" shrinkToFit="0" readingOrder="0"/>
      <protection locked="0"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Fonds" displayName="TableFonds" ref="A1:V418">
  <autoFilter ref="A1:V418" xr:uid="{00000000-0009-0000-0100-000001000000}"/>
  <tableColumns count="22">
    <tableColumn id="1" xr3:uid="{00000000-0010-0000-0000-000001000000}" name="ISIN"/>
    <tableColumn id="2" xr3:uid="{00000000-0010-0000-0000-000002000000}" name="Nom du fonds"/>
    <tableColumn id="3" xr3:uid="{00000000-0010-0000-0000-000003000000}" name="Catégorie"/>
    <tableColumn id="4" xr3:uid="{00000000-0010-0000-0000-000004000000}" name="Sous-catégorie"/>
    <tableColumn id="5" xr3:uid="{00000000-0010-0000-0000-000005000000}" name="Devise du fonds"/>
    <tableColumn id="6" xr3:uid="{00000000-0010-0000-0000-000006000000}" name="SRI"/>
    <tableColumn id="7" xr3:uid="{00000000-0010-0000-0000-000007000000}" name="Frais courants (%)"/>
    <tableColumn id="8" xr3:uid="{00000000-0010-0000-0000-000008000000}" name="Commission de surperformance (%)"/>
    <tableColumn id="9" xr3:uid="{00000000-0010-0000-0000-000009000000}" name="Lien DICI" dataDxfId="67"/>
    <tableColumn id="10" xr3:uid="{00000000-0010-0000-0000-00000A000000}" name="Expo EUR (%)"/>
    <tableColumn id="11" xr3:uid="{00000000-0010-0000-0000-00000B000000}" name="Expo USD (%)"/>
    <tableColumn id="12" xr3:uid="{00000000-0010-0000-0000-00000C000000}" name="Expo autres devises (%)"/>
    <tableColumn id="13" xr3:uid="{00000000-0010-0000-0000-00000D000000}" name="Expo Europe (%)"/>
    <tableColumn id="14" xr3:uid="{00000000-0010-0000-0000-00000E000000}" name="Expo Amérique du Nord (%)"/>
    <tableColumn id="15" xr3:uid="{00000000-0010-0000-0000-00000F000000}" name="Expo Marchés émergents (%)"/>
    <tableColumn id="16" xr3:uid="{00000000-0010-0000-0000-000010000000}" name="Expo autres zones (%)"/>
    <tableColumn id="25" xr3:uid="{00000000-0010-0000-0000-000019000000}" name="Temporalité de cotation"/>
    <tableColumn id="26" xr3:uid="{00000000-0010-0000-0000-00001A000000}" name="Statut"/>
    <tableColumn id="27" xr3:uid="{00000000-0010-0000-0000-00001B000000}" name="Dernière MAJ"/>
    <tableColumn id="28" xr3:uid="{00000000-0010-0000-0000-00001C000000}" name="Commentaire"/>
    <tableColumn id="29" xr3:uid="{00000000-0010-0000-0000-00001D000000}" name="Liquidité"/>
    <tableColumn id="30" xr3:uid="{00000000-0010-0000-0000-00001E000000}" name="SFD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EA64B7E-B291-4BA2-ACE7-F71F33A54949}" name="TablePerfFonds" displayName="TablePerfFonds" ref="A1:Z418">
  <autoFilter ref="A1:Z418" xr:uid="{00000000-0009-0000-0100-000001000000}"/>
  <tableColumns count="26">
    <tableColumn id="1" xr3:uid="{68E610E6-E543-4F55-A32C-B848477D5E3B}" name="ISIN"/>
    <tableColumn id="2" xr3:uid="{BC9F9AE5-1C63-402A-A1DB-CAA7FFB79498}" name="Nom du fonds"/>
    <tableColumn id="3" xr3:uid="{A1149C1B-6B6F-4686-A1CB-38A538C63741}" name="Catégorie"/>
    <tableColumn id="4" xr3:uid="{C5A3F144-9403-4892-9FDF-CA7C0E8AE384}" name="Sous-catégorie"/>
    <tableColumn id="5" xr3:uid="{A42812AC-991B-4C53-9422-9EAFD40DFFBA}" name="VL" dataDxfId="85"/>
    <tableColumn id="7" xr3:uid="{63079B5F-9067-4422-94BC-8361855BC8C3}" name="Perf mois (%)" dataDxfId="84"/>
    <tableColumn id="8" xr3:uid="{F7DA7105-B64B-4F14-81CF-6446DFB88FD1}" name="Perf 1 an (%)" dataDxfId="83"/>
    <tableColumn id="17" xr3:uid="{223DACFD-9205-4603-81BF-47DC40573339}" name="Perf 2020 (%)" dataDxfId="82"/>
    <tableColumn id="18" xr3:uid="{2B8B9C37-C53E-4346-AEEA-3033CC8D35BB}" name="Perf 2021 (%)" dataDxfId="81"/>
    <tableColumn id="19" xr3:uid="{C77069C0-70C8-481E-849A-AD8D62A25CD3}" name="Perf 2022 (%)" dataDxfId="80"/>
    <tableColumn id="20" xr3:uid="{41C41697-D7DD-47B2-A399-1464DDA032BA}" name="Perf 2023 (%)" dataDxfId="79"/>
    <tableColumn id="21" xr3:uid="{669DDE5A-4AAA-47F3-997C-643EE53F9799}" name="Perf 2024 (%)" dataDxfId="78"/>
    <tableColumn id="22" xr3:uid="{DD76BB91-70C2-4B2E-B830-C6EFEDE041BD}" name="Perf 2025 (%)" dataDxfId="77"/>
    <tableColumn id="14" xr3:uid="{AFB76906-AD2D-440F-89C1-549E527CFDDA}" name="Perf 2026 (%)" dataDxfId="76"/>
    <tableColumn id="23" xr3:uid="{5653FD10-39A1-4D1B-80FD-5380D5379172}" name="Perf YTD (%)" dataDxfId="75"/>
    <tableColumn id="9" xr3:uid="{5DB47769-5591-462B-BA9A-70EB24DBF2E6}" name="Perf lancement (%)" dataDxfId="74"/>
    <tableColumn id="11" xr3:uid="{BE2097AD-6513-4D32-8104-851F6D7AEEF5}" name="Rendement distribution (%)" dataDxfId="73"/>
    <tableColumn id="24" xr3:uid="{18AEFCBE-D282-4ABA-AD59-2DC319DC8E73}" name="Date dernière valorisation"/>
    <tableColumn id="12" xr3:uid="{68D58ACF-A89B-43BC-96BD-AEBC53E21592}" name="Période reporting" dataDxfId="72"/>
    <tableColumn id="26" xr3:uid="{B647062A-2ABC-43C8-992C-1A3CD536E974}" name="Statut vérification"/>
    <tableColumn id="27" xr3:uid="{5A9334CF-04E2-4821-BBDC-50A112521777}" name="Dernière MAJ"/>
    <tableColumn id="13" xr3:uid="{486EB728-7FFA-4897-ADBC-395B2FFE205B}" name="Source" dataDxfId="71"/>
    <tableColumn id="28" xr3:uid="{8ACED31D-CC38-4AC0-ACB2-B5EE5B11CC1E}" name="Commentaire"/>
    <tableColumn id="6" xr3:uid="{BF583DBC-48D0-4CD6-A85B-B30D95362547}" name="Libellé sur le reporting" dataDxfId="70"/>
    <tableColumn id="15" xr3:uid="{74964FFC-A970-4512-9FB3-2F636A9B2E64}" name="Cellules modifiées" dataDxfId="69"/>
    <tableColumn id="16" xr3:uid="{8EE77291-11EE-48FA-B901-ABE57491B0A3}" name="Reporting source" dataDxfId="6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Transparisation" displayName="TableTransparisation" ref="A4:G38">
  <autoFilter ref="A4:G38" xr:uid="{00000000-0009-0000-0100-000002000000}"/>
  <tableColumns count="7">
    <tableColumn id="1" xr3:uid="{00000000-0010-0000-0100-000001000000}" name="ISIN sous-jacent"/>
    <tableColumn id="2" xr3:uid="{00000000-0010-0000-0100-000002000000}" name="Sous-jacent"/>
    <tableColumn id="3" xr3:uid="{00000000-0010-0000-0100-000003000000}" name="Althos Private Equity"/>
    <tableColumn id="4" xr3:uid="{00000000-0010-0000-0100-000004000000}" name="Althos Private Credit — Capitalisant"/>
    <tableColumn id="5" xr3:uid="{00000000-0010-0000-0100-000005000000}" name="Althos Private Credit — Distribuant"/>
    <tableColumn id="6" xr3:uid="{00000000-0010-0000-0100-000006000000}" name="Althos Private Infrastructure"/>
    <tableColumn id="7" xr3:uid="{00000000-0010-0000-0100-000007000000}" name="Commentair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Coupons" displayName="TableCoupons" ref="A1:K3">
  <autoFilter ref="A1:K3" xr:uid="{00000000-0009-0000-0100-000003000000}"/>
  <tableColumns count="11">
    <tableColumn id="1" xr3:uid="{00000000-0010-0000-0200-000001000000}" name="ISIN"/>
    <tableColumn id="2" xr3:uid="{00000000-0010-0000-0200-000002000000}" name="Nom du fonds"/>
    <tableColumn id="3" xr3:uid="{00000000-0010-0000-0200-000003000000}" name="2025-11"/>
    <tableColumn id="4" xr3:uid="{00000000-0010-0000-0200-000004000000}" name="2025-12"/>
    <tableColumn id="5" xr3:uid="{00000000-0010-0000-0200-000005000000}" name="2026-01"/>
    <tableColumn id="6" xr3:uid="{00000000-0010-0000-0200-000006000000}" name="2026-02"/>
    <tableColumn id="7" xr3:uid="{00000000-0010-0000-0200-000007000000}" name="2026-03"/>
    <tableColumn id="8" xr3:uid="{00000000-0010-0000-0200-000008000000}" name="2026-04"/>
    <tableColumn id="9" xr3:uid="{00000000-0010-0000-0200-000009000000}" name="2026-05"/>
    <tableColumn id="10" xr3:uid="{CD0391A2-FBED-4D3B-A60C-1D5940C69BE0}" name="2026-06" dataDxfId="66"/>
    <tableColumn id="11" xr3:uid="{EEC471F5-0A88-4671-A2A1-900EC1C84BA7}" name="2026-07"/>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AC5C47-11C2-4223-9B86-73CF539C14D1}" name="TableReportings" displayName="TableReportings" ref="A1:AK31" totalsRowShown="0">
  <autoFilter ref="A1:AK31" xr:uid="{52AC5C47-11C2-4223-9B86-73CF539C14D1}"/>
  <tableColumns count="37">
    <tableColumn id="1" xr3:uid="{1AA05D4E-591F-488A-9598-0FD9751504E8}" name="Cle"/>
    <tableColumn id="2" xr3:uid="{D7AE878A-D21E-4B32-9A67-F734AC11BFB2}" name="ISIN"/>
    <tableColumn id="3" xr3:uid="{F83DA699-0FB7-4D69-93FC-BB24D54D5D52}" name="LibelleClasse"/>
    <tableColumn id="4" xr3:uid="{FD5BF1E6-C7B5-443B-BD43-E9664C460BD0}" name="NomFonds"/>
    <tableColumn id="5" xr3:uid="{F3F2AD82-AC53-4D2B-A017-40FDB36F7086}" name="SocieteGestion"/>
    <tableColumn id="6" xr3:uid="{A3273655-378D-41A3-A8E1-405EF482E505}" name="Periode"/>
    <tableColumn id="7" xr3:uid="{8207BE9D-5156-4DBA-ACEE-4D4619D3B96D}" name="DateArreteNAV"/>
    <tableColumn id="8" xr3:uid="{D8F953AA-D029-4B3F-B855-F40BEFC7A21A}" name="AutresDatesReference"/>
    <tableColumn id="9" xr3:uid="{57BB22B5-B0C3-43AF-8B25-48DF58D0DED4}" name="Devise"/>
    <tableColumn id="10" xr3:uid="{9198E31A-05FA-442B-A61F-229206FF266D}" name="VL" dataDxfId="65"/>
    <tableColumn id="11" xr3:uid="{DBA1EFBC-733F-422C-8BD5-097FCFE01876}" name="PerfMoisPct" dataDxfId="64"/>
    <tableColumn id="12" xr3:uid="{F2D127C9-831E-47DF-A81B-E8A06B0788F4}" name="PerfYTDPct" dataDxfId="63"/>
    <tableColumn id="13" xr3:uid="{391E3241-A3A6-435E-8837-CD88D0ED91F8}" name="Perf1AnPct" dataDxfId="62"/>
    <tableColumn id="14" xr3:uid="{45BCD93D-50D0-4EE1-B771-ABF50630B890}" name="PerfLancementPct" dataDxfId="61"/>
    <tableColumn id="15" xr3:uid="{BB5D7DC1-B45A-4850-BCF6-50EA2B2E6817}" name="BasePerfLancement"/>
    <tableColumn id="32" xr3:uid="{4AED8736-FFBB-4D2C-B9F5-3B7FF38A98BD}" name="Perf2020Pct" dataDxfId="60"/>
    <tableColumn id="33" xr3:uid="{CF1C0441-BEFA-4FA1-8810-B98555167590}" name="Perf2021Pct" dataDxfId="59"/>
    <tableColumn id="34" xr3:uid="{2149C0F9-EDBA-46C7-B27F-42E299EA4C2C}" name="Perf2022Pct" dataDxfId="58"/>
    <tableColumn id="35" xr3:uid="{698725CA-DF8E-42D3-95BD-D8B38148F350}" name="Perf2023Pct" dataDxfId="57"/>
    <tableColumn id="36" xr3:uid="{27C7FCE3-35B9-4BBE-AE2B-A1FFCFE432F4}" name="Perf2024Pct" dataDxfId="56"/>
    <tableColumn id="37" xr3:uid="{34CF991B-66F2-4AFB-8582-58A8FCB5146C}" name="Perf2025Pct" dataDxfId="55"/>
    <tableColumn id="16" xr3:uid="{D7BD8BFB-6AAB-40D8-BF0E-000B28AB8694}" name="RendementDistributionPct" dataDxfId="54"/>
    <tableColumn id="17" xr3:uid="{E6902861-C49C-404B-A055-CBE935A3EBD8}" name="MethodeRapprochement"/>
    <tableColumn id="18" xr3:uid="{19D9DD02-00BA-43CD-BC93-A91C97C972E7}" name="EncoursMillions"/>
    <tableColumn id="19" xr3:uid="{D5921040-30BA-4AFF-B2F2-D7FBFAF01696}" name="DeviseEncours"/>
    <tableColumn id="20" xr3:uid="{B2F703EA-3048-459C-83C0-B8B28E188F1C}" name="MinimumInvestissement"/>
    <tableColumn id="21" xr3:uid="{0EBA6564-3413-42C9-991E-B65F73B92AF3}" name="CommentaireSDGPresent"/>
    <tableColumn id="22" xr3:uid="{3595645A-3778-44F4-BA5E-8335463C06CE}" name="StatutRapprochement"/>
    <tableColumn id="23" xr3:uid="{D6B62E5D-58A5-4379-B037-327A7351C15C}" name="ResumeFR"/>
    <tableColumn id="24" xr3:uid="{CBF1C06F-CB15-4FD0-8C9F-AB42E625C648}" name="FaitsMarquants"/>
    <tableColumn id="25" xr3:uid="{DDC7B7B5-557A-4C9B-A615-3ACCDFF14AE3}" name="Incoherences"/>
    <tableColumn id="26" xr3:uid="{96B0B26F-87C2-4F43-A0BF-E373C2FFE3D5}" name="Confiance" dataDxfId="53"/>
    <tableColumn id="27" xr3:uid="{C5E1FD66-038D-4693-9E55-C28EBC015532}" name="Source"/>
    <tableColumn id="28" xr3:uid="{B7DED3D2-5B1E-4E3B-8B4A-F0DED5DFD8FF}" name="Statut"/>
    <tableColumn id="29" xr3:uid="{7808928C-430A-4659-8E2E-FAD2B829087A}" name="FichierPDF"/>
    <tableColumn id="30" xr3:uid="{D50BAEEC-9D55-4B16-9E10-1BC092DA0FB4}" name="Horodatage"/>
    <tableColumn id="31" xr3:uid="{C5F4C11B-7145-4536-AC9F-2FE7AE1B84E1}" name="Model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827AA6-059E-47EB-AD0E-2C876784E7A8}" name="TableSuiviReportings" displayName="TableSuiviReportings" ref="A1:F2" totalsRowShown="0">
  <autoFilter ref="A1:F2" xr:uid="{27827AA6-059E-47EB-AD0E-2C876784E7A8}"/>
  <tableColumns count="6">
    <tableColumn id="1" xr3:uid="{58663C01-7601-45C8-9C43-8E8D0ECE4AA3}" name="ISIN"/>
    <tableColumn id="2" xr3:uid="{04D18481-8DBA-480E-9093-71630BA564AA}" name="Nom"/>
    <tableColumn id="3" xr3:uid="{D131F91D-88C8-4B7E-8B1B-CE3C491088CA}" name="Cadence"/>
    <tableColumn id="4" xr3:uid="{95938650-79B4-4C43-8EF7-DD1C2A5B8852}" name="RelanceApresJours"/>
    <tableColumn id="5" xr3:uid="{7A9367B9-A022-40F2-BAD7-C375C335EBC3}" name="Actif"/>
    <tableColumn id="6" xr3:uid="{3418768C-CD71-4280-94E6-841F9F0BC5A7}" name="DerniereRelan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B7CAFB8-5E30-478C-ADD1-2930F99CA3EC}">
  <we:reference id="WA200009404" version="1.0.0.8" store="Omex" storeType="OMEX"/>
  <we:alternateReferences>
    <we:reference id="WA200009404" version="1.0.0.8" store="WA200009404" storeType="OMEX"/>
  </we:alternateReferences>
  <we:properties>
    <we:property name="claude.fileId" value="&quot;ee7d24dd-a846-44e9-8a6f-1da2bddce54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6" Type="http://schemas.openxmlformats.org/officeDocument/2006/relationships/hyperlink" Target="https://www.althos-patrimoine.com/wp-content/uploads/2025/07/KID-EPIF-Share-Class-FI-2025-03.pdf" TargetMode="External"/><Relationship Id="rId21" Type="http://schemas.openxmlformats.org/officeDocument/2006/relationships/hyperlink" Target="https://www.althos-patrimoine.com/wp-content/uploads/2025/06/2024-12-31-DICI-PPG-Croissance-A.pdf" TargetMode="External"/><Relationship Id="rId42" Type="http://schemas.openxmlformats.org/officeDocument/2006/relationships/hyperlink" Target="https://www.morningstar.fr/fr/funds/snapshot/snapshot.aspx?id=F00000ZRYB" TargetMode="External"/><Relationship Id="rId47" Type="http://schemas.openxmlformats.org/officeDocument/2006/relationships/hyperlink" Target="https://www.althos-patrimoine.com/wp-content/uploads/2025/10/KID-Independance-Mid-Europe-I-au-2025-05-30.pdf" TargetMode="External"/><Relationship Id="rId63" Type="http://schemas.openxmlformats.org/officeDocument/2006/relationships/hyperlink" Target="https://www.morningstar.fr/fr/etf/snapshot/snapshot.aspx?id=0P0001CLZ9&amp;amp;InvestmentType=FE" TargetMode="External"/><Relationship Id="rId68" Type="http://schemas.openxmlformats.org/officeDocument/2006/relationships/hyperlink" Target="https://www.althos-patrimoine.com/wp-content/uploads/2026/02/2025-12-DIC-iShares-MSCI-EM-UCITS-ETF-USD-Acc-IE00B4L5YC18.pdf" TargetMode="External"/><Relationship Id="rId84" Type="http://schemas.openxmlformats.org/officeDocument/2006/relationships/hyperlink" Target="https://www.althos-patrimoine.com/wp-content/uploads/2025/02/FPCI-Althos-Private-Credit-DIC-PRIIPS-Part-F.pdf" TargetMode="External"/><Relationship Id="rId89" Type="http://schemas.openxmlformats.org/officeDocument/2006/relationships/hyperlink" Target="https://www.althos-patrimoine.com/wp-content/uploads/2025/05/2024-05-DICI-FPCI-Althos-Private-Equity-F.pdf" TargetMode="External"/><Relationship Id="rId16" Type="http://schemas.openxmlformats.org/officeDocument/2006/relationships/hyperlink" Target="https://www.althos-patrimoine.com/wp-content/uploads/2026/02/2025-07-DIC-Helium-Selection-A-EUR-LU1112771255.pdf" TargetMode="External"/><Relationship Id="rId107" Type="http://schemas.openxmlformats.org/officeDocument/2006/relationships/hyperlink" Target="https://www.althos-patrimoine.com/wp-content/uploads/2025/12/2025-08-PRIIP_KID_F000017351_299-GEMASIA-R-1.pdf" TargetMode="External"/><Relationship Id="rId11" Type="http://schemas.openxmlformats.org/officeDocument/2006/relationships/hyperlink" Target="https://www.quantalys.com/Fonds/Historique/2020260" TargetMode="External"/><Relationship Id="rId32" Type="http://schemas.openxmlformats.org/officeDocument/2006/relationships/hyperlink" Target="https://www.althos-patrimoine.com/wp-content/uploads/2025/11/KID-SCOPE-2023-10-03.pdf" TargetMode="External"/><Relationship Id="rId37" Type="http://schemas.openxmlformats.org/officeDocument/2006/relationships/hyperlink" Target="https://www.morningstar.fr/fr/funds/snapshot/snapshot.aspx?id=F00001GXUN" TargetMode="External"/><Relationship Id="rId53" Type="http://schemas.openxmlformats.org/officeDocument/2006/relationships/hyperlink" Target="https://www.morningstar.fr/fr/etf/snapshot/snapshot.aspx?id=0P00006410" TargetMode="External"/><Relationship Id="rId58" Type="http://schemas.openxmlformats.org/officeDocument/2006/relationships/hyperlink" Target="https://www.althos-patrimoine.com/wp-content/uploads/2026/02/2025-04-DIC-iShares-SP-500-Equal-Weight-ETF-EUR-H-Acc-IE000DVLBQ03.pdf" TargetMode="External"/><Relationship Id="rId74" Type="http://schemas.openxmlformats.org/officeDocument/2006/relationships/hyperlink" Target="https://www.althos-patrimoine.com/wp-content/uploads/2025/05/2024-06-DICI-Helium-Global-S-EUR.pdf" TargetMode="External"/><Relationship Id="rId79" Type="http://schemas.openxmlformats.org/officeDocument/2006/relationships/hyperlink" Target="https://www.althos-patrimoine.com/wp-content/uploads/2025/06/FPS-Antheor-Private-Infrastructure-DIC-PRIIPS-Part-F.pdf" TargetMode="External"/><Relationship Id="rId102" Type="http://schemas.openxmlformats.org/officeDocument/2006/relationships/hyperlink" Target="https://www.althos-patrimoine.com/wp-content/uploads/2026/03/2025-07-DICI-Hamilton-Lane-Global-Private-Assets-Fund-Class-I-EUR.pdf" TargetMode="External"/><Relationship Id="rId5" Type="http://schemas.openxmlformats.org/officeDocument/2006/relationships/hyperlink" Target="https://www.althos-patrimoine.com/wp-content/uploads/2025/10/2025-08-01-DIC_IVO_EMCD-I_LU1165637460.pdf" TargetMode="External"/><Relationship Id="rId90" Type="http://schemas.openxmlformats.org/officeDocument/2006/relationships/hyperlink" Target="https://www.althos-patrimoine.com/wp-content/uploads/2025/05/2024-05-DICI-Pantheon-GPE-Class-S-EUR-Acc.pdf" TargetMode="External"/><Relationship Id="rId95" Type="http://schemas.openxmlformats.org/officeDocument/2006/relationships/hyperlink" Target="https://www.althos-patrimoine.com/wp-content/uploads/2025/11/CVC-PE-I-EUR-Acc-LU2926063467-au-2025-01-09.pdf" TargetMode="External"/><Relationship Id="rId22" Type="http://schemas.openxmlformats.org/officeDocument/2006/relationships/hyperlink" Target="https://www.althos-patrimoine.com/wp-content/uploads/2025/06/2024-12-31-DICI-PPG-Croissance-A.pdf" TargetMode="External"/><Relationship Id="rId27" Type="http://schemas.openxmlformats.org/officeDocument/2006/relationships/hyperlink" Target="https://www.althos-patrimoine.com/wp-content/uploads/2025/07/PGCS-EU-KID-Class-S-EUR-Final-2025-06.pdf" TargetMode="External"/><Relationship Id="rId43" Type="http://schemas.openxmlformats.org/officeDocument/2006/relationships/hyperlink" Target="https://www.althos-patrimoine.com/wp-content/uploads/2025/06/2025-05-21-DICI-Comgest-Renaissance-Europe-Z.pdf" TargetMode="External"/><Relationship Id="rId48" Type="http://schemas.openxmlformats.org/officeDocument/2006/relationships/hyperlink" Target="https://www.althos-patrimoine.com/wp-content/uploads/2025/10/KID-Independance-Mid-Europe-I-au-2025-05-30.pdf" TargetMode="External"/><Relationship Id="rId64" Type="http://schemas.openxmlformats.org/officeDocument/2006/relationships/hyperlink" Target="https://www.althos-patrimoine.com/wp-content/uploads/2025/10/KID-Amundi-MSCI-World-Swap-au-2025-09-11.pdf" TargetMode="External"/><Relationship Id="rId69" Type="http://schemas.openxmlformats.org/officeDocument/2006/relationships/hyperlink" Target="https://www.althos-patrimoine.com/wp-content/uploads/2025/06/2025-03-21-DICI-GemEquity-I.pdf" TargetMode="External"/><Relationship Id="rId80" Type="http://schemas.openxmlformats.org/officeDocument/2006/relationships/hyperlink" Target="https://www.althos-patrimoine.com/wp-content/uploads/2025/07/KID-StepStone-Private-Infrastructure-Fund-Class-S1-EUR-Accumulating-LU3084311938-au-2025-06-24.pdf" TargetMode="External"/><Relationship Id="rId85" Type="http://schemas.openxmlformats.org/officeDocument/2006/relationships/hyperlink" Target="https://www.althos-patrimoine.com/wp-content/uploads/2025/05/2024-12-DICI-Ares-European-Strategic-Income-Fund-Class-IA-EUR.pdf" TargetMode="External"/><Relationship Id="rId12" Type="http://schemas.openxmlformats.org/officeDocument/2006/relationships/hyperlink" Target="../../../Partenaires/Soci%C3%A9t%C3%A9s%20de%20gestion/Aquila/KID/KID%20Solitaire%20EUR_IH%20au%202025%2005.pdf" TargetMode="External"/><Relationship Id="rId17" Type="http://schemas.openxmlformats.org/officeDocument/2006/relationships/hyperlink" Target="https://www.althos-patrimoine.com/wp-content/uploads/2025/06/2024-12-31-DICI-BK-OPCI-A.pdf" TargetMode="External"/><Relationship Id="rId33" Type="http://schemas.openxmlformats.org/officeDocument/2006/relationships/hyperlink" Target="https://www.althos-patrimoine.com/wp-content/uploads/2025/05/2024-09-DICI-GF-Lumyna-Private-Debt.pdf" TargetMode="External"/><Relationship Id="rId38" Type="http://schemas.openxmlformats.org/officeDocument/2006/relationships/hyperlink" Target="https://www.althos-patrimoine.com/wp-content/uploads/2025/09/2025-02-14-EQT-Nexus-Fund-SICAV-ENXF-SICAV-I-Class-IEUR-Z.pdf" TargetMode="External"/><Relationship Id="rId59" Type="http://schemas.openxmlformats.org/officeDocument/2006/relationships/hyperlink" Target="https://www.althos-patrimoine.com/wp-content/uploads/2026/02/2026-01-DIC-AXA-IM-Nasdaq-100-UCITS-ETF-H-EUR-Acc-IE000STJ19F2.pdf" TargetMode="External"/><Relationship Id="rId103" Type="http://schemas.openxmlformats.org/officeDocument/2006/relationships/hyperlink" Target="https://www.althos-patrimoine.com/wp-content/uploads/2024/12/KID-2024-iShares-MSCI-SRI-USA.pdf" TargetMode="External"/><Relationship Id="rId108" Type="http://schemas.openxmlformats.org/officeDocument/2006/relationships/hyperlink" Target="https://www.amundietf.fr/pdfDocuments/kid-priips/FR0010261198/FRA/FRA/20260428" TargetMode="External"/><Relationship Id="rId54" Type="http://schemas.openxmlformats.org/officeDocument/2006/relationships/hyperlink" Target="https://www.althos-patrimoine.com/wp-content/uploads/2025/06/2024-12-13-DICI-Amundi-Nasdaq-100-Daily-2x-Leveraged-UCITS-ETF-Acc.pdf" TargetMode="External"/><Relationship Id="rId70" Type="http://schemas.openxmlformats.org/officeDocument/2006/relationships/hyperlink" Target="https://www.althos-patrimoine.com/wp-content/uploads/2025/06/2025-03-21-DICI-GemEquity-I.pdf" TargetMode="External"/><Relationship Id="rId75" Type="http://schemas.openxmlformats.org/officeDocument/2006/relationships/hyperlink" Target="https://www.althos-patrimoine.com/wp-content/uploads/2025/06/2024-12-31-DICI-BK-OPCI-B.pdf" TargetMode="External"/><Relationship Id="rId91" Type="http://schemas.openxmlformats.org/officeDocument/2006/relationships/hyperlink" Target="https://www.althos-patrimoine.com/wp-content/uploads/2025/05/2024-07-DICI-Hg-Fusion-F-2-EUR.pdf" TargetMode="External"/><Relationship Id="rId96" Type="http://schemas.openxmlformats.org/officeDocument/2006/relationships/hyperlink" Target="https://www.althos-patrimoine.com/wp-content/uploads/2025/11/FR-KID_MED-ACCESS-S.L.P.-LP-B-Shares_2024020910285175334.1.pdf" TargetMode="External"/><Relationship Id="rId1" Type="http://schemas.openxmlformats.org/officeDocument/2006/relationships/hyperlink" Target="https://www.althos-patrimoine.com/wp-content/uploads/2025/06/2025-04-30-DICI-Allianz-Secruiscah-SRI-IC.pdf" TargetMode="External"/><Relationship Id="rId6" Type="http://schemas.openxmlformats.org/officeDocument/2006/relationships/hyperlink" Target="https://www.althos-patrimoine.com/wp-content/uploads/2025/10/2025-08-01-DIC_IVO_EMCD-I_LU1165637460.pdf" TargetMode="External"/><Relationship Id="rId15" Type="http://schemas.openxmlformats.org/officeDocument/2006/relationships/hyperlink" Target="https://www.morningstar.fr/fr/funds/snapshot/snapshot.aspx?id=F00000X1EP" TargetMode="External"/><Relationship Id="rId23" Type="http://schemas.openxmlformats.org/officeDocument/2006/relationships/hyperlink" Target="https://www.althos-patrimoine.com/wp-content/uploads/2025/05/2024-10-DICI-GRETR-part-EUR-E-Acc.pdf" TargetMode="External"/><Relationship Id="rId28" Type="http://schemas.openxmlformats.org/officeDocument/2006/relationships/hyperlink" Target="https://www.althos-patrimoine.com/wp-content/uploads/2025/07/PGCS-EU-KID-Class-S-EUR-Final-2025-06.pdf" TargetMode="External"/><Relationship Id="rId36" Type="http://schemas.openxmlformats.org/officeDocument/2006/relationships/hyperlink" Target="https://www.althos-patrimoine.com/wp-content/uploads/2025/11/03.-Bridgepoint-Generations-EU-PRIIPs-KID-N-Shares.pdf" TargetMode="External"/><Relationship Id="rId49" Type="http://schemas.openxmlformats.org/officeDocument/2006/relationships/hyperlink" Target="https://www.morningstar.fr/fr/etf/snapshot/snapshot.aspx?id=0P0001FI5H" TargetMode="External"/><Relationship Id="rId57" Type="http://schemas.openxmlformats.org/officeDocument/2006/relationships/hyperlink" Target="https://www.althos-patrimoine.com/wp-content/uploads/2026/02/2025-04-DIC-iShares-SP-500-Equal-Weight-ETF-EUR-H-Acc-IE000DVLBQ03.pdf" TargetMode="External"/><Relationship Id="rId106" Type="http://schemas.openxmlformats.org/officeDocument/2006/relationships/hyperlink" Target="https://www.althos-patrimoine.com/wp-content/uploads/2026/02/2026-01-DIC-iShares-MSCI-India-UCITS-ETF-IE00BZCQB185.pdf" TargetMode="External"/><Relationship Id="rId10" Type="http://schemas.openxmlformats.org/officeDocument/2006/relationships/hyperlink" Target="../../../Partenaires/Soci%C3%A9t%C3%A9s%20de%20gestion/Ivo/IVO%202028/KID/2025%2001%20DICI%20IVO%202028%20I.pdf" TargetMode="External"/><Relationship Id="rId31" Type="http://schemas.openxmlformats.org/officeDocument/2006/relationships/hyperlink" Target="https://www.althos-patrimoine.com/wp-content/uploads/2025/11/KID-SCOPE-2023-10-03.pdf" TargetMode="External"/><Relationship Id="rId44" Type="http://schemas.openxmlformats.org/officeDocument/2006/relationships/hyperlink" Target="https://www.quantalys.com/Fonds/Historique/701482" TargetMode="External"/><Relationship Id="rId52" Type="http://schemas.openxmlformats.org/officeDocument/2006/relationships/hyperlink" Target="https://www.althos-patrimoine.com/wp-content/uploads/2025/10/KID-Amundi-PEA-SP-500-UCITS-ETF-Acc-au-2025-02-25.pdf" TargetMode="External"/><Relationship Id="rId60" Type="http://schemas.openxmlformats.org/officeDocument/2006/relationships/hyperlink" Target="https://www.althos-patrimoine.com/wp-content/uploads/2026/02/2026-01-DIC-AXA-IM-Nasdaq-100-UCITS-ETF-H-EUR-Acc-IE000STJ19F2.pdf" TargetMode="External"/><Relationship Id="rId65" Type="http://schemas.openxmlformats.org/officeDocument/2006/relationships/hyperlink" Target="https://www.althos-patrimoine.com/wp-content/uploads/2026/02/2025-12-DIC-Amundi-MSCI-Emerging-Ex-China-UCITS-ETF-Acc-LU2009202107.pdf" TargetMode="External"/><Relationship Id="rId73" Type="http://schemas.openxmlformats.org/officeDocument/2006/relationships/hyperlink" Target="https://www.althos-patrimoine.com/wp-content/uploads/2025/10/KID-DNCA-Invest-alpha-bonds-part-I-LU1694789378-au-2025-10.pdf" TargetMode="External"/><Relationship Id="rId78" Type="http://schemas.openxmlformats.org/officeDocument/2006/relationships/hyperlink" Target="https://www.althos-patrimoine.com/wp-content/uploads/2025/05/2024-10-DICI-GRETR-part-EUR-E-Acc.pdf" TargetMode="External"/><Relationship Id="rId81" Type="http://schemas.openxmlformats.org/officeDocument/2006/relationships/hyperlink" Target="https://www.althos-patrimoine.com/wp-content/uploads/2025/05/2025-02-DICI-EQT-Nexus-Infrastructures.pdf" TargetMode="External"/><Relationship Id="rId86" Type="http://schemas.openxmlformats.org/officeDocument/2006/relationships/hyperlink" Target="https://www.althos-patrimoine.com/wp-content/uploads/2026/02/ECRED-part-IA-EUR-2025-01.pdf" TargetMode="External"/><Relationship Id="rId94" Type="http://schemas.openxmlformats.org/officeDocument/2006/relationships/hyperlink" Target="https://www.althos-patrimoine.com/wp-content/uploads/2024/10/KID-CollerEquity-Feeder-Class-IA-EUR.pdf" TargetMode="External"/><Relationship Id="rId99" Type="http://schemas.openxmlformats.org/officeDocument/2006/relationships/hyperlink" Target="https://www.althos-patrimoine.com/wp-content/uploads/2025/10/2025-10-KID-GF_Lumyna_Private_Equity_World_Fund.pdf" TargetMode="External"/><Relationship Id="rId101" Type="http://schemas.openxmlformats.org/officeDocument/2006/relationships/hyperlink" Target="https://www.althos-patrimoine.com/wp-content/uploads/2025/05/2024-10-24-DICI-The-Partners-Fund-SICAV-I-N-EUR-E.pdf" TargetMode="External"/><Relationship Id="rId4" Type="http://schemas.openxmlformats.org/officeDocument/2006/relationships/hyperlink" Target="https://www.althos-patrimoine.com/wp-content/uploads/2025/06/2025-04-14-DICI-Generali-Tresorerie-B-EUR-C.pdf" TargetMode="External"/><Relationship Id="rId9" Type="http://schemas.openxmlformats.org/officeDocument/2006/relationships/hyperlink" Target="https://www.quantalys.com/Fonds/Historique/2053100" TargetMode="External"/><Relationship Id="rId13" Type="http://schemas.openxmlformats.org/officeDocument/2006/relationships/hyperlink" Target="https://www.althos-patrimoine.com/wp-content/uploads/2025/11/2025-02-DICI-Helium-Performance-A-EUR.pdf" TargetMode="External"/><Relationship Id="rId18" Type="http://schemas.openxmlformats.org/officeDocument/2006/relationships/hyperlink" Target="https://www.althos-patrimoine.com/wp-content/uploads/2025/06/2024-12-31-DICI-BK-OPCI-A.pdf" TargetMode="External"/><Relationship Id="rId39" Type="http://schemas.openxmlformats.org/officeDocument/2006/relationships/hyperlink" Target="https://www.althos-patrimoine.com/wp-content/uploads/2025/05/2024-10-24-DICI-The-Partners-Fund-SICAV-I-N-EUR-E.pdf" TargetMode="External"/><Relationship Id="rId109" Type="http://schemas.openxmlformats.org/officeDocument/2006/relationships/hyperlink" Target="https://www.amundietf.fr/pdfDocuments/kid-priips/LU1135865084/FRA/FRA/20260702" TargetMode="External"/><Relationship Id="rId34" Type="http://schemas.openxmlformats.org/officeDocument/2006/relationships/hyperlink" Target="https://www.althos-patrimoine.com/wp-content/uploads/2025/05/2024-09-DICI-GF-Lumyna-Private-Debt.pdf" TargetMode="External"/><Relationship Id="rId50" Type="http://schemas.openxmlformats.org/officeDocument/2006/relationships/hyperlink" Target="https://www.althos-patrimoine.com/wp-content/uploads/2025/06/2024-12-13-DICI-Amundi-Nasdaq-100-II-UCITS-ETF-Acc.pdf" TargetMode="External"/><Relationship Id="rId55" Type="http://schemas.openxmlformats.org/officeDocument/2006/relationships/hyperlink" Target="https://www.quantalys.com/Fonds/Historique/568765" TargetMode="External"/><Relationship Id="rId76" Type="http://schemas.openxmlformats.org/officeDocument/2006/relationships/hyperlink" Target="https://www.althos-patrimoine.com/wp-content/uploads/2026/02/2025-07-KID-PPG-Retail-part-B.pdf" TargetMode="External"/><Relationship Id="rId97" Type="http://schemas.openxmlformats.org/officeDocument/2006/relationships/hyperlink" Target="https://www.althos-patrimoine.com/wp-content/uploads/2025/05/2024-10-Partners-Group-Global-Value-SICAV-E-N-EUR.pdf" TargetMode="External"/><Relationship Id="rId104" Type="http://schemas.openxmlformats.org/officeDocument/2006/relationships/hyperlink" Target="https://www.althos-patrimoine.com/wp-content/uploads/2026/02/2025-08-DIC-iShares-SP-500-EUR-Hedged-UCITS-ETF-Acc-IE00B3ZW0K18.pdf" TargetMode="External"/><Relationship Id="rId7" Type="http://schemas.openxmlformats.org/officeDocument/2006/relationships/hyperlink" Target="https://en.ivocapital.com/ivo-short-duration" TargetMode="External"/><Relationship Id="rId71" Type="http://schemas.openxmlformats.org/officeDocument/2006/relationships/hyperlink" Target="https://www.althos-patrimoine.com/wp-content/uploads/2025/10/KID-Union-TC.pdf" TargetMode="External"/><Relationship Id="rId92" Type="http://schemas.openxmlformats.org/officeDocument/2006/relationships/hyperlink" Target="https://www.althos-patrimoine.com/wp-content/uploads/2025/05/2025-03-DICI-Stespstone-SPRIM.pdf" TargetMode="External"/><Relationship Id="rId2" Type="http://schemas.openxmlformats.org/officeDocument/2006/relationships/hyperlink" Target="https://www.althos-patrimoine.com/wp-content/uploads/2025/06/2025-04-30-DICI-Allianz-Secruiscah-SRI-IC.pdf" TargetMode="External"/><Relationship Id="rId29" Type="http://schemas.openxmlformats.org/officeDocument/2006/relationships/hyperlink" Target="https://www.althos-patrimoine.com/wp-content/uploads/2025/05/2024-10-DICI-Goldman-Sachs-Alternatives-SICAV-Class-R0A.pdf" TargetMode="External"/><Relationship Id="rId24" Type="http://schemas.openxmlformats.org/officeDocument/2006/relationships/hyperlink" Target="https://www.althos-patrimoine.com/wp-content/uploads/2025/05/2024-10-DICI-GRETR-part-EUR-E-Acc.pdf" TargetMode="External"/><Relationship Id="rId40" Type="http://schemas.openxmlformats.org/officeDocument/2006/relationships/hyperlink" Target="https://www.quantalys.com/Fonds/Historique/718331" TargetMode="External"/><Relationship Id="rId45" Type="http://schemas.openxmlformats.org/officeDocument/2006/relationships/hyperlink" Target="https://www.althos-patrimoine.com/wp-content/uploads/2025/11/KID-Europe-Small-part-I-au-2025-05-30.pdf" TargetMode="External"/><Relationship Id="rId66" Type="http://schemas.openxmlformats.org/officeDocument/2006/relationships/hyperlink" Target="https://www.althos-patrimoine.com/wp-content/uploads/2026/02/2025-12-DIC-Amundi-MSCI-Emerging-Ex-China-UCITS-ETF-Acc-LU2009202107.pdf" TargetMode="External"/><Relationship Id="rId87" Type="http://schemas.openxmlformats.org/officeDocument/2006/relationships/hyperlink" Target="https://www.althos-patrimoine.com/wp-content/uploads/2025/09/2025-02-DICI-PRIIPS-EPVE-3-D.pdf" TargetMode="External"/><Relationship Id="rId110" Type="http://schemas.openxmlformats.org/officeDocument/2006/relationships/hyperlink" Target="https://www.blackrock.com/fr/particuliers/literature/fact-sheet/ijpe-ishares-msci-japan-eur-hedged-ucits-etf-acc-fund-fact-sheet-fr-fr.pdf" TargetMode="External"/><Relationship Id="rId61" Type="http://schemas.openxmlformats.org/officeDocument/2006/relationships/hyperlink" Target="https://www.quantalys.com/Fonds/Historique/721130" TargetMode="External"/><Relationship Id="rId82" Type="http://schemas.openxmlformats.org/officeDocument/2006/relationships/hyperlink" Target="https://www.althos-patrimoine.com/wp-content/uploads/2025/05/2024-10-DICI-Partners-Group-Next-Generation-Infrastructure.pdf" TargetMode="External"/><Relationship Id="rId19" Type="http://schemas.openxmlformats.org/officeDocument/2006/relationships/hyperlink" Target="https://www.althos-patrimoine.com/wp-content/uploads/2025/06/2024-12-31-DICI-PPG-Retail-A.pdf" TargetMode="External"/><Relationship Id="rId14" Type="http://schemas.openxmlformats.org/officeDocument/2006/relationships/hyperlink" Target="https://www.althos-patrimoine.com/wp-content/uploads/2025/11/2025-02-DICI-Helium-Performance-A-EUR.pdf" TargetMode="External"/><Relationship Id="rId30" Type="http://schemas.openxmlformats.org/officeDocument/2006/relationships/hyperlink" Target="https://www.althos-patrimoine.com/wp-content/uploads/2025/05/2024-10-DICI-Goldman-Sachs-Alternatives-SICAV-Class-R0A.pdf" TargetMode="External"/><Relationship Id="rId35" Type="http://schemas.openxmlformats.org/officeDocument/2006/relationships/hyperlink" Target="https://www.althos-patrimoine.com/wp-content/uploads/2025/11/03.-Bridgepoint-Generations-EU-PRIIPs-KID-N-Shares.pdf" TargetMode="External"/><Relationship Id="rId56" Type="http://schemas.openxmlformats.org/officeDocument/2006/relationships/hyperlink" Target="https://www.althos-patrimoine.com/wp-content/uploads/2025/10/2025-09-DICI-Amundi-SP-500-EUR-LU1681048804.pdf" TargetMode="External"/><Relationship Id="rId77" Type="http://schemas.openxmlformats.org/officeDocument/2006/relationships/hyperlink" Target="https://www.althos-patrimoine.com/wp-content/uploads/2026/02/2023-03-KID-PPG-Valeur-Immo-Part-I_FR001400C5W4.pdf" TargetMode="External"/><Relationship Id="rId100" Type="http://schemas.openxmlformats.org/officeDocument/2006/relationships/hyperlink" Target="https://www.althos-patrimoine.com/wp-content/uploads/2025/05/2025-03-DICI-NB-Global-Private-Equity-Access-I-EUR.pdf" TargetMode="External"/><Relationship Id="rId105" Type="http://schemas.openxmlformats.org/officeDocument/2006/relationships/hyperlink" Target="https://www.althos-patrimoine.com/wp-content/uploads/2025/06/2025-04-10-DICI-iShares-MSCI-World-SRI-UCITS-ETF-EUR-Acc.pdf" TargetMode="External"/><Relationship Id="rId8" Type="http://schemas.openxmlformats.org/officeDocument/2006/relationships/hyperlink" Target="https://www.althos-patrimoine.com/wp-content/uploads/2025/05/2025-01-DICI-IVO-Emerging-Markets-Coporate-Debt-Short-Duration-SRI-I.pdf" TargetMode="External"/><Relationship Id="rId51" Type="http://schemas.openxmlformats.org/officeDocument/2006/relationships/hyperlink" Target="https://www.morningstar.fr/fr/etf/snapshot/snapshot.aspx?id=0P0001CLZ9&amp;amp;InvestmentType=FE" TargetMode="External"/><Relationship Id="rId72" Type="http://schemas.openxmlformats.org/officeDocument/2006/relationships/hyperlink" Target="https://www.althos.com/wp-content/uploads/2026/07/2025-01-DIC-IVO-IG-2030-I.pdf" TargetMode="External"/><Relationship Id="rId93" Type="http://schemas.openxmlformats.org/officeDocument/2006/relationships/hyperlink" Target="https://www.althos-patrimoine.com/wp-content/uploads/2025/05/2025-03-DICI-StepStone-SPRING.pdf" TargetMode="External"/><Relationship Id="rId98" Type="http://schemas.openxmlformats.org/officeDocument/2006/relationships/hyperlink" Target="https://www.althos-patrimoine.com/wp-content/uploads/2025/05/2025-02-DICI-Schroders-GPE.pdf" TargetMode="External"/><Relationship Id="rId3" Type="http://schemas.openxmlformats.org/officeDocument/2006/relationships/hyperlink" Target="https://www.althos-patrimoine.com/wp-content/uploads/2025/06/2025-04-14-DICI-Generali-Tresorerie-B-EUR-C.pdf" TargetMode="External"/><Relationship Id="rId25" Type="http://schemas.openxmlformats.org/officeDocument/2006/relationships/hyperlink" Target="https://www.althos-patrimoine.com/wp-content/uploads/2025/07/KID-EPIF-Share-Class-FI-2025-03.pdf" TargetMode="External"/><Relationship Id="rId46" Type="http://schemas.openxmlformats.org/officeDocument/2006/relationships/hyperlink" Target="https://www.morningstar.fr/fr/funds/snapshot/snapshot.aspx?id=F00000ZRYB" TargetMode="External"/><Relationship Id="rId67" Type="http://schemas.openxmlformats.org/officeDocument/2006/relationships/hyperlink" Target="https://www.althos-patrimoine.com/wp-content/uploads/2026/02/2025-12-DIC-iShares-MSCI-EM-UCITS-ETF-USD-Acc-IE00B4L5YC18.pdf" TargetMode="External"/><Relationship Id="rId20" Type="http://schemas.openxmlformats.org/officeDocument/2006/relationships/hyperlink" Target="https://www.althos-patrimoine.com/wp-content/uploads/2025/06/2024-12-31-DICI-PPG-Retail-A.pdf" TargetMode="External"/><Relationship Id="rId41" Type="http://schemas.openxmlformats.org/officeDocument/2006/relationships/hyperlink" Target="https://www.althos-patrimoine.com/wp-content/uploads/2025/06/2025-04-17-DICI-JPMorgan-ETFs-Ireland-ICAV-Europe-Research-Enhanced-Index-Equity-Active-UCITS-ETF-EUR-acc.pdf" TargetMode="External"/><Relationship Id="rId62" Type="http://schemas.openxmlformats.org/officeDocument/2006/relationships/hyperlink" Target="https://www.althos-patrimoine.com/wp-content/uploads/2025/05/KID-JPM-Global-Research-Enhanced-Index-Equity-IE00BF4G6Y48-au-2024-07.pdf" TargetMode="External"/><Relationship Id="rId83" Type="http://schemas.openxmlformats.org/officeDocument/2006/relationships/hyperlink" Target="https://www.althos-patrimoine.com/wp-content/uploads/2025/05/2020-05-DICI-GF-Infrastructures-Durables.pdf" TargetMode="External"/><Relationship Id="rId88" Type="http://schemas.openxmlformats.org/officeDocument/2006/relationships/hyperlink" Target="https://www.althos.com/wp-content/uploads/2025/09/2025-02-DICI-PRIIPS-EPVE-3-A.pdf" TargetMode="External"/><Relationship Id="rId11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althos-patrimoine.com/wp-content/uploads/2025/07/KID-EPIF-Share-Class-FI-2025-03.pdf" TargetMode="External"/><Relationship Id="rId18" Type="http://schemas.openxmlformats.org/officeDocument/2006/relationships/hyperlink" Target="https://www.althos-patrimoine.com/wp-content/uploads/2025/11/03.-Bridgepoint-Generations-EU-PRIIPs-KID-N-Shares.pdf" TargetMode="External"/><Relationship Id="rId26" Type="http://schemas.openxmlformats.org/officeDocument/2006/relationships/hyperlink" Target="https://www.morningstar.fr/fr/etf/snapshot/snapshot.aspx?id=0P0001FI5H" TargetMode="External"/><Relationship Id="rId21" Type="http://schemas.openxmlformats.org/officeDocument/2006/relationships/hyperlink" Target="https://www.quantalys.com/Fonds/Historique/718331" TargetMode="External"/><Relationship Id="rId34" Type="http://schemas.openxmlformats.org/officeDocument/2006/relationships/hyperlink" Target="https://www.althos-patrimoine.com/wp-content/uploads/2026/02/2025-12-DIC-Amundi-MSCI-Emerging-Ex-China-UCITS-ETF-Acc-LU2009202107.pdf" TargetMode="External"/><Relationship Id="rId7" Type="http://schemas.openxmlformats.org/officeDocument/2006/relationships/hyperlink" Target="https://www.althos-patrimoine.com/wp-content/uploads/2025/11/2025-02-DICI-Helium-Performance-A-EUR.pdf" TargetMode="External"/><Relationship Id="rId12" Type="http://schemas.openxmlformats.org/officeDocument/2006/relationships/hyperlink" Target="https://www.althos-patrimoine.com/wp-content/uploads/2025/05/2024-10-DICI-GRETR-part-EUR-E-Acc.pdf" TargetMode="External"/><Relationship Id="rId17" Type="http://schemas.openxmlformats.org/officeDocument/2006/relationships/hyperlink" Target="https://www.althos-patrimoine.com/wp-content/uploads/2025/05/2024-09-DICI-GF-Lumyna-Private-Debt.pdf" TargetMode="External"/><Relationship Id="rId25" Type="http://schemas.openxmlformats.org/officeDocument/2006/relationships/hyperlink" Target="https://www.althos-patrimoine.com/wp-content/uploads/2025/10/KID-Independance-Mid-Europe-I-au-2025-05-30.pdf" TargetMode="External"/><Relationship Id="rId33" Type="http://schemas.openxmlformats.org/officeDocument/2006/relationships/hyperlink" Target="https://www.morningstar.fr/fr/etf/snapshot/snapshot.aspx?id=0P0001CLZ9&amp;amp;InvestmentType=FE" TargetMode="External"/><Relationship Id="rId38" Type="http://schemas.openxmlformats.org/officeDocument/2006/relationships/table" Target="../tables/table2.xml"/><Relationship Id="rId2" Type="http://schemas.openxmlformats.org/officeDocument/2006/relationships/hyperlink" Target="https://www.althos-patrimoine.com/wp-content/uploads/2025/06/2025-04-14-DICI-Generali-Tresorerie-B-EUR-C.pdf" TargetMode="External"/><Relationship Id="rId16" Type="http://schemas.openxmlformats.org/officeDocument/2006/relationships/hyperlink" Target="https://www.althos-patrimoine.com/wp-content/uploads/2025/11/KID-SCOPE-2023-10-03.pdf" TargetMode="External"/><Relationship Id="rId20" Type="http://schemas.openxmlformats.org/officeDocument/2006/relationships/hyperlink" Target="https://www.althos-patrimoine.com/wp-content/uploads/2025/05/2024-10-24-DICI-The-Partners-Fund-SICAV-I-N-EUR-E.pdf" TargetMode="External"/><Relationship Id="rId29" Type="http://schemas.openxmlformats.org/officeDocument/2006/relationships/hyperlink" Target="https://www.quantalys.com/Fonds/Historique/568765" TargetMode="External"/><Relationship Id="rId1" Type="http://schemas.openxmlformats.org/officeDocument/2006/relationships/hyperlink" Target="https://www.althos-patrimoine.com/wp-content/uploads/2025/06/2025-04-30-DICI-Allianz-Secruiscah-SRI-IC.pdf" TargetMode="External"/><Relationship Id="rId6" Type="http://schemas.openxmlformats.org/officeDocument/2006/relationships/hyperlink" Target="https://www.quantalys.com/Fonds/Historique/2020260" TargetMode="External"/><Relationship Id="rId11" Type="http://schemas.openxmlformats.org/officeDocument/2006/relationships/hyperlink" Target="https://www.althos-patrimoine.com/wp-content/uploads/2025/06/2024-12-31-DICI-PPG-Croissance-A.pdf" TargetMode="External"/><Relationship Id="rId24" Type="http://schemas.openxmlformats.org/officeDocument/2006/relationships/hyperlink" Target="https://www.morningstar.fr/fr/funds/snapshot/snapshot.aspx?id=F00000ZRYB" TargetMode="External"/><Relationship Id="rId32" Type="http://schemas.openxmlformats.org/officeDocument/2006/relationships/hyperlink" Target="https://www.quantalys.com/Fonds/Historique/721130" TargetMode="External"/><Relationship Id="rId37" Type="http://schemas.openxmlformats.org/officeDocument/2006/relationships/printerSettings" Target="../printerSettings/printerSettings1.bin"/><Relationship Id="rId5" Type="http://schemas.openxmlformats.org/officeDocument/2006/relationships/hyperlink" Target="https://www.quantalys.com/Fonds/Historique/2053100" TargetMode="External"/><Relationship Id="rId15" Type="http://schemas.openxmlformats.org/officeDocument/2006/relationships/hyperlink" Target="https://www.althos-patrimoine.com/wp-content/uploads/2025/05/2024-10-DICI-Goldman-Sachs-Alternatives-SICAV-Class-R0A.pdf" TargetMode="External"/><Relationship Id="rId23" Type="http://schemas.openxmlformats.org/officeDocument/2006/relationships/hyperlink" Target="https://www.quantalys.com/Fonds/Historique/701482" TargetMode="External"/><Relationship Id="rId28" Type="http://schemas.openxmlformats.org/officeDocument/2006/relationships/hyperlink" Target="https://www.morningstar.fr/fr/etf/snapshot/snapshot.aspx?id=0P00006410" TargetMode="External"/><Relationship Id="rId36" Type="http://schemas.openxmlformats.org/officeDocument/2006/relationships/hyperlink" Target="https://www.althos-patrimoine.com/wp-content/uploads/2025/06/2025-03-21-DICI-GemEquity-I.pdf" TargetMode="External"/><Relationship Id="rId10" Type="http://schemas.openxmlformats.org/officeDocument/2006/relationships/hyperlink" Target="https://www.althos-patrimoine.com/wp-content/uploads/2025/06/2024-12-31-DICI-PPG-Retail-A.pdf" TargetMode="External"/><Relationship Id="rId19" Type="http://schemas.openxmlformats.org/officeDocument/2006/relationships/hyperlink" Target="https://www.morningstar.fr/fr/funds/snapshot/snapshot.aspx?id=F00001GXUN" TargetMode="External"/><Relationship Id="rId31" Type="http://schemas.openxmlformats.org/officeDocument/2006/relationships/hyperlink" Target="https://www.althos-patrimoine.com/wp-content/uploads/2026/02/2026-01-DIC-AXA-IM-Nasdaq-100-UCITS-ETF-H-EUR-Acc-IE000STJ19F2.pdf" TargetMode="External"/><Relationship Id="rId4" Type="http://schemas.openxmlformats.org/officeDocument/2006/relationships/hyperlink" Target="https://en.ivocapital.com/ivo-short-duration" TargetMode="External"/><Relationship Id="rId9" Type="http://schemas.openxmlformats.org/officeDocument/2006/relationships/hyperlink" Target="https://www.althos-patrimoine.com/wp-content/uploads/2025/06/2024-12-31-DICI-BK-OPCI-A.pdf" TargetMode="External"/><Relationship Id="rId14" Type="http://schemas.openxmlformats.org/officeDocument/2006/relationships/hyperlink" Target="https://www.althos-patrimoine.com/wp-content/uploads/2025/07/PGCS-EU-KID-Class-S-EUR-Final-2025-06.pdf" TargetMode="External"/><Relationship Id="rId22" Type="http://schemas.openxmlformats.org/officeDocument/2006/relationships/hyperlink" Target="https://www.morningstar.fr/fr/funds/snapshot/snapshot.aspx?id=F00000ZRYB" TargetMode="External"/><Relationship Id="rId27" Type="http://schemas.openxmlformats.org/officeDocument/2006/relationships/hyperlink" Target="https://www.morningstar.fr/fr/etf/snapshot/snapshot.aspx?id=0P0001CLZ9&amp;amp;InvestmentType=FE" TargetMode="External"/><Relationship Id="rId30" Type="http://schemas.openxmlformats.org/officeDocument/2006/relationships/hyperlink" Target="https://www.althos-patrimoine.com/wp-content/uploads/2026/02/2025-04-DIC-iShares-SP-500-Equal-Weight-ETF-EUR-H-Acc-IE000DVLBQ03.pdf" TargetMode="External"/><Relationship Id="rId35" Type="http://schemas.openxmlformats.org/officeDocument/2006/relationships/hyperlink" Target="https://www.althos-patrimoine.com/wp-content/uploads/2026/02/2025-12-DIC-iShares-MSCI-EM-UCITS-ETF-USD-Acc-IE00B4L5YC18.pdf" TargetMode="External"/><Relationship Id="rId8" Type="http://schemas.openxmlformats.org/officeDocument/2006/relationships/hyperlink" Target="https://www.morningstar.fr/fr/funds/snapshot/snapshot.aspx?id=F00000X1EP" TargetMode="External"/><Relationship Id="rId3" Type="http://schemas.openxmlformats.org/officeDocument/2006/relationships/hyperlink" Target="https://www.althos-patrimoine.com/wp-content/uploads/2025/10/2025-08-01-DIC_IVO_EMCD-I_LU1165637460.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73444"/>
  </sheetPr>
  <dimension ref="A1:AD418"/>
  <sheetViews>
    <sheetView zoomScale="55" zoomScaleNormal="55" workbookViewId="0">
      <pane xSplit="2" ySplit="1" topLeftCell="C2" activePane="bottomRight" state="frozenSplit"/>
      <selection pane="topRight" activeCell="C1" sqref="C1"/>
      <selection pane="bottomLeft" activeCell="A3" sqref="A3"/>
      <selection pane="bottomRight"/>
    </sheetView>
  </sheetViews>
  <sheetFormatPr baseColWidth="10" defaultColWidth="8.7265625" defaultRowHeight="14.5" x14ac:dyDescent="0.35"/>
  <cols>
    <col min="1" max="1" width="15" customWidth="1"/>
    <col min="2" max="2" width="55" customWidth="1"/>
    <col min="3" max="3" width="24" customWidth="1"/>
    <col min="4" max="4" width="28" customWidth="1"/>
    <col min="5" max="5" width="14" customWidth="1"/>
    <col min="6" max="6" width="7" customWidth="1"/>
    <col min="7" max="7" width="15" customWidth="1"/>
    <col min="8" max="8" width="19.54296875" customWidth="1"/>
    <col min="9" max="9" width="42" customWidth="1"/>
    <col min="10" max="16" width="12" customWidth="1"/>
    <col min="17" max="23" width="12" style="5" customWidth="1"/>
    <col min="24" max="24" width="18" customWidth="1"/>
    <col min="25" max="25" width="20" customWidth="1"/>
    <col min="26" max="26" width="14" customWidth="1"/>
    <col min="27" max="27" width="13" customWidth="1"/>
    <col min="28" max="28" width="46" customWidth="1"/>
    <col min="29" max="29" width="22" style="3" customWidth="1"/>
    <col min="30" max="30" width="14" style="3" customWidth="1"/>
  </cols>
  <sheetData>
    <row r="1" spans="1:30" ht="48" customHeight="1"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c r="AC1"/>
      <c r="AD1"/>
    </row>
    <row r="2" spans="1:30" ht="14.5" customHeight="1" x14ac:dyDescent="0.35">
      <c r="A2" s="46" t="s">
        <v>22</v>
      </c>
      <c r="B2" s="46"/>
      <c r="C2" s="46"/>
      <c r="D2" s="46"/>
      <c r="E2" s="46"/>
      <c r="F2" s="46"/>
      <c r="G2" s="46"/>
      <c r="H2" s="46"/>
      <c r="I2" s="46"/>
      <c r="J2" s="46"/>
      <c r="K2" s="46"/>
      <c r="L2" s="46"/>
      <c r="M2" s="46"/>
      <c r="N2" s="46"/>
      <c r="O2" s="46"/>
      <c r="P2" s="46"/>
      <c r="Q2" s="46"/>
      <c r="R2" s="46"/>
      <c r="S2" s="46"/>
      <c r="T2" s="46"/>
      <c r="U2" s="46"/>
      <c r="V2" s="46"/>
      <c r="W2"/>
      <c r="AC2"/>
      <c r="AD2"/>
    </row>
    <row r="3" spans="1:30" ht="14.5" customHeight="1" x14ac:dyDescent="0.35">
      <c r="A3" s="2"/>
      <c r="B3" s="3" t="s">
        <v>23</v>
      </c>
      <c r="C3" s="3" t="s">
        <v>22</v>
      </c>
      <c r="D3" s="3" t="s">
        <v>24</v>
      </c>
      <c r="E3" s="2"/>
      <c r="F3" s="4">
        <v>1</v>
      </c>
      <c r="G3" s="5"/>
      <c r="H3" s="5"/>
      <c r="I3" s="34"/>
      <c r="J3" s="6"/>
      <c r="K3" s="6"/>
      <c r="L3" s="6"/>
      <c r="M3" s="6"/>
      <c r="N3" s="6"/>
      <c r="O3" s="6"/>
      <c r="P3" s="6"/>
      <c r="Q3" s="2"/>
      <c r="R3" s="2" t="s">
        <v>25</v>
      </c>
      <c r="S3" s="7">
        <v>46213</v>
      </c>
      <c r="T3" s="3" t="s">
        <v>26</v>
      </c>
      <c r="U3" s="3"/>
      <c r="V3" s="3"/>
      <c r="W3"/>
      <c r="AC3"/>
      <c r="AD3"/>
    </row>
    <row r="4" spans="1:30" ht="14.5" customHeight="1" x14ac:dyDescent="0.35">
      <c r="A4" s="2"/>
      <c r="B4" s="3" t="s">
        <v>27</v>
      </c>
      <c r="C4" s="3" t="s">
        <v>22</v>
      </c>
      <c r="D4" s="3" t="s">
        <v>24</v>
      </c>
      <c r="E4" s="2"/>
      <c r="F4" s="4">
        <v>1</v>
      </c>
      <c r="G4" s="5"/>
      <c r="H4" s="5"/>
      <c r="I4" s="34"/>
      <c r="J4" s="6"/>
      <c r="K4" s="6"/>
      <c r="L4" s="6"/>
      <c r="M4" s="6"/>
      <c r="N4" s="6"/>
      <c r="O4" s="6"/>
      <c r="P4" s="6"/>
      <c r="Q4" s="2"/>
      <c r="R4" s="2" t="s">
        <v>25</v>
      </c>
      <c r="S4" s="7">
        <v>46213</v>
      </c>
      <c r="T4" s="3" t="s">
        <v>26</v>
      </c>
      <c r="U4" s="3"/>
      <c r="V4" s="3"/>
      <c r="W4"/>
      <c r="AC4"/>
      <c r="AD4"/>
    </row>
    <row r="5" spans="1:30" ht="14.5" customHeight="1" x14ac:dyDescent="0.35">
      <c r="A5" s="2"/>
      <c r="B5" s="3" t="s">
        <v>28</v>
      </c>
      <c r="C5" s="3" t="s">
        <v>22</v>
      </c>
      <c r="D5" s="3" t="s">
        <v>24</v>
      </c>
      <c r="E5" s="2"/>
      <c r="F5" s="4">
        <v>1</v>
      </c>
      <c r="G5" s="5"/>
      <c r="H5" s="5"/>
      <c r="I5" s="34"/>
      <c r="J5" s="6"/>
      <c r="K5" s="6"/>
      <c r="L5" s="6"/>
      <c r="M5" s="6"/>
      <c r="N5" s="6"/>
      <c r="O5" s="6"/>
      <c r="P5" s="6"/>
      <c r="Q5" s="2"/>
      <c r="R5" s="2" t="s">
        <v>25</v>
      </c>
      <c r="S5" s="7">
        <v>46213</v>
      </c>
      <c r="T5" s="3" t="s">
        <v>26</v>
      </c>
      <c r="U5" s="3"/>
      <c r="V5" s="3"/>
      <c r="W5"/>
      <c r="AC5"/>
      <c r="AD5"/>
    </row>
    <row r="6" spans="1:30" ht="14.5" customHeight="1" x14ac:dyDescent="0.35">
      <c r="A6" s="2"/>
      <c r="B6" s="3" t="s">
        <v>29</v>
      </c>
      <c r="C6" s="3" t="s">
        <v>22</v>
      </c>
      <c r="D6" s="3" t="s">
        <v>24</v>
      </c>
      <c r="E6" s="2"/>
      <c r="F6" s="4">
        <v>1</v>
      </c>
      <c r="G6" s="5"/>
      <c r="H6" s="5"/>
      <c r="I6" s="34"/>
      <c r="J6" s="6"/>
      <c r="K6" s="6"/>
      <c r="L6" s="6"/>
      <c r="M6" s="6"/>
      <c r="N6" s="6"/>
      <c r="O6" s="6"/>
      <c r="P6" s="6"/>
      <c r="Q6" s="2"/>
      <c r="R6" s="2" t="s">
        <v>25</v>
      </c>
      <c r="S6" s="7">
        <v>46213</v>
      </c>
      <c r="T6" s="3" t="s">
        <v>26</v>
      </c>
      <c r="U6" s="3"/>
      <c r="V6" s="3"/>
      <c r="W6"/>
      <c r="AC6"/>
      <c r="AD6"/>
    </row>
    <row r="7" spans="1:30" ht="14.5" customHeight="1" x14ac:dyDescent="0.35">
      <c r="A7" s="2"/>
      <c r="B7" s="3" t="s">
        <v>30</v>
      </c>
      <c r="C7" s="3" t="s">
        <v>22</v>
      </c>
      <c r="D7" s="3" t="s">
        <v>24</v>
      </c>
      <c r="E7" s="2"/>
      <c r="F7" s="4">
        <v>1</v>
      </c>
      <c r="G7" s="5"/>
      <c r="H7" s="5"/>
      <c r="I7" s="34"/>
      <c r="J7" s="6"/>
      <c r="K7" s="6"/>
      <c r="L7" s="6"/>
      <c r="M7" s="6"/>
      <c r="N7" s="6"/>
      <c r="O7" s="6"/>
      <c r="P7" s="6"/>
      <c r="Q7" s="2"/>
      <c r="R7" s="2" t="s">
        <v>25</v>
      </c>
      <c r="S7" s="7">
        <v>46213</v>
      </c>
      <c r="T7" s="3" t="s">
        <v>26</v>
      </c>
      <c r="U7" s="3"/>
      <c r="V7" s="3"/>
      <c r="W7"/>
      <c r="AC7"/>
      <c r="AD7"/>
    </row>
    <row r="8" spans="1:30" ht="14.5" customHeight="1" x14ac:dyDescent="0.35">
      <c r="A8" s="2"/>
      <c r="B8" s="3" t="s">
        <v>31</v>
      </c>
      <c r="C8" s="3" t="s">
        <v>22</v>
      </c>
      <c r="D8" s="3" t="s">
        <v>24</v>
      </c>
      <c r="E8" s="2"/>
      <c r="F8" s="4">
        <v>1</v>
      </c>
      <c r="G8" s="5"/>
      <c r="H8" s="5"/>
      <c r="I8" s="34"/>
      <c r="J8" s="6"/>
      <c r="K8" s="6"/>
      <c r="L8" s="6"/>
      <c r="M8" s="6"/>
      <c r="N8" s="6"/>
      <c r="O8" s="6"/>
      <c r="P8" s="6"/>
      <c r="Q8" s="2"/>
      <c r="R8" s="2" t="s">
        <v>25</v>
      </c>
      <c r="S8" s="7">
        <v>46213</v>
      </c>
      <c r="T8" s="3" t="s">
        <v>26</v>
      </c>
      <c r="U8" s="3"/>
      <c r="V8" s="3"/>
      <c r="W8"/>
      <c r="AC8"/>
      <c r="AD8"/>
    </row>
    <row r="9" spans="1:30" ht="14.5" customHeight="1" x14ac:dyDescent="0.35">
      <c r="A9" s="2"/>
      <c r="B9" s="3" t="s">
        <v>32</v>
      </c>
      <c r="C9" s="3" t="s">
        <v>22</v>
      </c>
      <c r="D9" s="3" t="s">
        <v>24</v>
      </c>
      <c r="E9" s="2"/>
      <c r="F9" s="4">
        <v>1</v>
      </c>
      <c r="G9" s="5"/>
      <c r="H9" s="5"/>
      <c r="I9" s="34"/>
      <c r="J9" s="6"/>
      <c r="K9" s="6"/>
      <c r="L9" s="6"/>
      <c r="M9" s="6"/>
      <c r="N9" s="6"/>
      <c r="O9" s="6"/>
      <c r="P9" s="6"/>
      <c r="Q9" s="2"/>
      <c r="R9" s="2" t="s">
        <v>25</v>
      </c>
      <c r="S9" s="7">
        <v>46213</v>
      </c>
      <c r="T9" s="3" t="s">
        <v>26</v>
      </c>
      <c r="U9" s="3"/>
      <c r="V9" s="3"/>
      <c r="W9"/>
      <c r="AC9"/>
      <c r="AD9"/>
    </row>
    <row r="10" spans="1:30" ht="14.5" customHeight="1" x14ac:dyDescent="0.35">
      <c r="A10" s="2"/>
      <c r="B10" s="3" t="s">
        <v>33</v>
      </c>
      <c r="C10" s="3" t="s">
        <v>22</v>
      </c>
      <c r="D10" s="3" t="s">
        <v>34</v>
      </c>
      <c r="E10" s="2"/>
      <c r="F10" s="4">
        <v>1</v>
      </c>
      <c r="G10" s="5"/>
      <c r="H10" s="5"/>
      <c r="I10" s="34"/>
      <c r="J10" s="6"/>
      <c r="K10" s="6"/>
      <c r="L10" s="6"/>
      <c r="M10" s="6"/>
      <c r="N10" s="6"/>
      <c r="O10" s="6"/>
      <c r="P10" s="6"/>
      <c r="Q10" s="2"/>
      <c r="R10" s="2" t="s">
        <v>25</v>
      </c>
      <c r="S10" s="7">
        <v>46213</v>
      </c>
      <c r="T10" s="3" t="s">
        <v>26</v>
      </c>
      <c r="U10" s="3"/>
      <c r="V10" s="3"/>
      <c r="W10"/>
      <c r="AC10"/>
      <c r="AD10"/>
    </row>
    <row r="11" spans="1:30" ht="14.5" customHeight="1" x14ac:dyDescent="0.35">
      <c r="A11" s="2" t="s">
        <v>35</v>
      </c>
      <c r="B11" s="3" t="s">
        <v>36</v>
      </c>
      <c r="C11" s="3" t="s">
        <v>22</v>
      </c>
      <c r="D11" s="3" t="s">
        <v>34</v>
      </c>
      <c r="E11" s="2"/>
      <c r="F11" s="4">
        <v>1</v>
      </c>
      <c r="G11" s="5"/>
      <c r="H11" s="5"/>
      <c r="I11" s="34"/>
      <c r="J11" s="6"/>
      <c r="K11" s="6"/>
      <c r="L11" s="6"/>
      <c r="M11" s="6"/>
      <c r="N11" s="6"/>
      <c r="O11" s="6"/>
      <c r="P11" s="6"/>
      <c r="Q11" s="2"/>
      <c r="R11" s="2" t="s">
        <v>25</v>
      </c>
      <c r="S11" s="7">
        <v>46213</v>
      </c>
      <c r="T11" s="3"/>
      <c r="U11" s="3"/>
      <c r="V11" s="3"/>
      <c r="W11"/>
      <c r="AC11"/>
      <c r="AD11"/>
    </row>
    <row r="12" spans="1:30" ht="14.5" customHeight="1" x14ac:dyDescent="0.35">
      <c r="A12" s="2" t="s">
        <v>37</v>
      </c>
      <c r="B12" s="3" t="s">
        <v>38</v>
      </c>
      <c r="C12" s="3" t="s">
        <v>22</v>
      </c>
      <c r="D12" s="3" t="s">
        <v>34</v>
      </c>
      <c r="E12" s="2"/>
      <c r="F12" s="4">
        <v>1</v>
      </c>
      <c r="G12" s="5"/>
      <c r="H12" s="5"/>
      <c r="I12" s="34"/>
      <c r="J12" s="6"/>
      <c r="K12" s="6"/>
      <c r="L12" s="6"/>
      <c r="M12" s="6"/>
      <c r="N12" s="6"/>
      <c r="O12" s="6"/>
      <c r="P12" s="6"/>
      <c r="Q12" s="2"/>
      <c r="R12" s="2" t="s">
        <v>25</v>
      </c>
      <c r="S12" s="7">
        <v>46213</v>
      </c>
      <c r="T12" s="3"/>
      <c r="U12" s="3"/>
      <c r="V12" s="3"/>
      <c r="W12"/>
      <c r="AC12"/>
      <c r="AD12"/>
    </row>
    <row r="13" spans="1:30" ht="14.5" customHeight="1" x14ac:dyDescent="0.35">
      <c r="A13" s="2" t="s">
        <v>39</v>
      </c>
      <c r="B13" s="3" t="s">
        <v>40</v>
      </c>
      <c r="C13" s="3" t="s">
        <v>22</v>
      </c>
      <c r="D13" s="3" t="s">
        <v>34</v>
      </c>
      <c r="E13" s="2"/>
      <c r="F13" s="4">
        <v>1</v>
      </c>
      <c r="G13" s="5"/>
      <c r="H13" s="5"/>
      <c r="I13" s="34"/>
      <c r="J13" s="6"/>
      <c r="K13" s="6"/>
      <c r="L13" s="6"/>
      <c r="M13" s="6"/>
      <c r="N13" s="6"/>
      <c r="O13" s="6"/>
      <c r="P13" s="6"/>
      <c r="Q13" s="2"/>
      <c r="R13" s="2" t="s">
        <v>25</v>
      </c>
      <c r="S13" s="7">
        <v>46213</v>
      </c>
      <c r="T13" s="3"/>
      <c r="U13" s="3"/>
      <c r="V13" s="3"/>
      <c r="W13"/>
      <c r="AC13"/>
      <c r="AD13"/>
    </row>
    <row r="14" spans="1:30" ht="14.5" customHeight="1" x14ac:dyDescent="0.35">
      <c r="A14" s="2" t="s">
        <v>41</v>
      </c>
      <c r="B14" s="3" t="s">
        <v>42</v>
      </c>
      <c r="C14" s="3" t="s">
        <v>22</v>
      </c>
      <c r="D14" s="3" t="s">
        <v>34</v>
      </c>
      <c r="E14" s="2"/>
      <c r="F14" s="4">
        <v>1</v>
      </c>
      <c r="G14" s="5"/>
      <c r="H14" s="5"/>
      <c r="I14" s="35" t="s">
        <v>43</v>
      </c>
      <c r="J14" s="6"/>
      <c r="K14" s="6"/>
      <c r="L14" s="6"/>
      <c r="M14" s="6"/>
      <c r="N14" s="6"/>
      <c r="O14" s="6"/>
      <c r="P14" s="6"/>
      <c r="Q14" s="2"/>
      <c r="R14" s="2" t="s">
        <v>25</v>
      </c>
      <c r="S14" s="7">
        <v>46213</v>
      </c>
      <c r="T14" s="3"/>
      <c r="U14" s="3"/>
      <c r="V14" s="3"/>
      <c r="W14"/>
      <c r="AC14"/>
      <c r="AD14"/>
    </row>
    <row r="15" spans="1:30" ht="14.5" customHeight="1" x14ac:dyDescent="0.35">
      <c r="A15" s="2" t="s">
        <v>44</v>
      </c>
      <c r="B15" s="3" t="s">
        <v>45</v>
      </c>
      <c r="C15" s="3" t="s">
        <v>22</v>
      </c>
      <c r="D15" s="3" t="s">
        <v>34</v>
      </c>
      <c r="E15" s="2"/>
      <c r="F15" s="4">
        <v>1</v>
      </c>
      <c r="G15" s="5"/>
      <c r="H15" s="5"/>
      <c r="I15" s="34"/>
      <c r="J15" s="6"/>
      <c r="K15" s="6"/>
      <c r="L15" s="6"/>
      <c r="M15" s="6"/>
      <c r="N15" s="6"/>
      <c r="O15" s="6"/>
      <c r="P15" s="6"/>
      <c r="Q15" s="2"/>
      <c r="R15" s="2" t="s">
        <v>25</v>
      </c>
      <c r="S15" s="7">
        <v>46213</v>
      </c>
      <c r="T15" s="3"/>
      <c r="U15" s="3"/>
      <c r="V15" s="3"/>
      <c r="W15"/>
      <c r="AC15"/>
      <c r="AD15"/>
    </row>
    <row r="16" spans="1:30" ht="14.5" customHeight="1" x14ac:dyDescent="0.35">
      <c r="A16" s="2" t="s">
        <v>46</v>
      </c>
      <c r="B16" s="3" t="s">
        <v>47</v>
      </c>
      <c r="C16" s="3" t="s">
        <v>22</v>
      </c>
      <c r="D16" s="3" t="s">
        <v>34</v>
      </c>
      <c r="E16" s="2"/>
      <c r="F16" s="4">
        <v>1</v>
      </c>
      <c r="G16" s="5"/>
      <c r="H16" s="5"/>
      <c r="I16" s="34"/>
      <c r="J16" s="6"/>
      <c r="K16" s="6"/>
      <c r="L16" s="6"/>
      <c r="M16" s="6"/>
      <c r="N16" s="6"/>
      <c r="O16" s="6"/>
      <c r="P16" s="6"/>
      <c r="Q16" s="2"/>
      <c r="R16" s="2" t="s">
        <v>25</v>
      </c>
      <c r="S16" s="7">
        <v>46213</v>
      </c>
      <c r="T16" s="3"/>
      <c r="U16" s="3"/>
      <c r="V16" s="3"/>
      <c r="W16"/>
      <c r="AC16"/>
      <c r="AD16"/>
    </row>
    <row r="17" spans="1:30" ht="14.5" customHeight="1" x14ac:dyDescent="0.35">
      <c r="A17" s="2" t="s">
        <v>48</v>
      </c>
      <c r="B17" s="3" t="s">
        <v>49</v>
      </c>
      <c r="C17" s="3" t="s">
        <v>22</v>
      </c>
      <c r="D17" s="3" t="s">
        <v>34</v>
      </c>
      <c r="E17" s="2"/>
      <c r="F17" s="4">
        <v>1</v>
      </c>
      <c r="G17" s="5"/>
      <c r="H17" s="5"/>
      <c r="I17" s="35" t="s">
        <v>50</v>
      </c>
      <c r="J17" s="6"/>
      <c r="K17" s="6"/>
      <c r="L17" s="6"/>
      <c r="M17" s="6"/>
      <c r="N17" s="6"/>
      <c r="O17" s="6"/>
      <c r="P17" s="6"/>
      <c r="Q17" s="2"/>
      <c r="R17" s="2" t="s">
        <v>25</v>
      </c>
      <c r="S17" s="7">
        <v>46213</v>
      </c>
      <c r="T17" s="3"/>
      <c r="U17" s="3"/>
      <c r="V17" s="3"/>
      <c r="W17"/>
      <c r="AC17"/>
      <c r="AD17"/>
    </row>
    <row r="18" spans="1:30" ht="14.5" customHeight="1" x14ac:dyDescent="0.35">
      <c r="A18" s="2" t="s">
        <v>51</v>
      </c>
      <c r="B18" s="3" t="s">
        <v>52</v>
      </c>
      <c r="C18" s="3" t="s">
        <v>22</v>
      </c>
      <c r="D18" s="3" t="s">
        <v>34</v>
      </c>
      <c r="E18" s="2"/>
      <c r="F18" s="4">
        <v>1</v>
      </c>
      <c r="G18" s="5"/>
      <c r="H18" s="5"/>
      <c r="I18" s="34"/>
      <c r="J18" s="6"/>
      <c r="K18" s="6"/>
      <c r="L18" s="6"/>
      <c r="M18" s="6"/>
      <c r="N18" s="6"/>
      <c r="O18" s="6"/>
      <c r="P18" s="6"/>
      <c r="Q18" s="2"/>
      <c r="R18" s="2" t="s">
        <v>25</v>
      </c>
      <c r="S18" s="7">
        <v>46213</v>
      </c>
      <c r="T18" s="3"/>
      <c r="U18" s="3"/>
      <c r="V18" s="3"/>
      <c r="W18"/>
      <c r="AC18"/>
      <c r="AD18"/>
    </row>
    <row r="19" spans="1:30" ht="14.5" customHeight="1" x14ac:dyDescent="0.35">
      <c r="A19" s="2" t="s">
        <v>53</v>
      </c>
      <c r="B19" s="3" t="s">
        <v>54</v>
      </c>
      <c r="C19" s="3" t="s">
        <v>22</v>
      </c>
      <c r="D19" s="3" t="s">
        <v>34</v>
      </c>
      <c r="E19" s="2"/>
      <c r="F19" s="4">
        <v>1</v>
      </c>
      <c r="G19" s="5"/>
      <c r="H19" s="5"/>
      <c r="I19" s="34"/>
      <c r="J19" s="6"/>
      <c r="K19" s="6"/>
      <c r="L19" s="6"/>
      <c r="M19" s="6"/>
      <c r="N19" s="6"/>
      <c r="O19" s="6"/>
      <c r="P19" s="6"/>
      <c r="Q19" s="2"/>
      <c r="R19" s="2" t="s">
        <v>25</v>
      </c>
      <c r="S19" s="7">
        <v>46213</v>
      </c>
      <c r="T19" s="3"/>
      <c r="U19" s="3"/>
      <c r="V19" s="3"/>
      <c r="W19"/>
      <c r="AC19"/>
      <c r="AD19"/>
    </row>
    <row r="20" spans="1:30" ht="14.5" customHeight="1" x14ac:dyDescent="0.35">
      <c r="A20" s="2"/>
      <c r="B20" s="3" t="s">
        <v>55</v>
      </c>
      <c r="C20" s="3" t="s">
        <v>22</v>
      </c>
      <c r="D20" s="3" t="s">
        <v>34</v>
      </c>
      <c r="E20" s="2"/>
      <c r="F20" s="4">
        <v>1</v>
      </c>
      <c r="G20" s="5"/>
      <c r="H20" s="5"/>
      <c r="I20" s="34"/>
      <c r="J20" s="6"/>
      <c r="K20" s="6"/>
      <c r="L20" s="6"/>
      <c r="M20" s="6"/>
      <c r="N20" s="6"/>
      <c r="O20" s="6"/>
      <c r="P20" s="6"/>
      <c r="Q20" s="2"/>
      <c r="R20" s="2" t="s">
        <v>25</v>
      </c>
      <c r="S20" s="7">
        <v>46213</v>
      </c>
      <c r="T20" s="3" t="s">
        <v>26</v>
      </c>
      <c r="U20" s="3"/>
      <c r="V20" s="3"/>
      <c r="W20"/>
      <c r="AC20"/>
      <c r="AD20"/>
    </row>
    <row r="21" spans="1:30" ht="14.5" customHeight="1" x14ac:dyDescent="0.35">
      <c r="A21" s="2"/>
      <c r="B21" s="3" t="s">
        <v>56</v>
      </c>
      <c r="C21" s="3" t="s">
        <v>22</v>
      </c>
      <c r="D21" s="3" t="s">
        <v>34</v>
      </c>
      <c r="E21" s="2"/>
      <c r="F21" s="4">
        <v>1</v>
      </c>
      <c r="G21" s="5"/>
      <c r="H21" s="5"/>
      <c r="I21" s="34"/>
      <c r="J21" s="6"/>
      <c r="K21" s="6"/>
      <c r="L21" s="6"/>
      <c r="M21" s="6"/>
      <c r="N21" s="6"/>
      <c r="O21" s="6"/>
      <c r="P21" s="6"/>
      <c r="Q21" s="2"/>
      <c r="R21" s="2" t="s">
        <v>25</v>
      </c>
      <c r="S21" s="7">
        <v>46213</v>
      </c>
      <c r="T21" s="3" t="s">
        <v>26</v>
      </c>
      <c r="U21" s="3"/>
      <c r="V21" s="3"/>
      <c r="W21"/>
      <c r="AC21"/>
      <c r="AD21"/>
    </row>
    <row r="22" spans="1:30" ht="14.5" customHeight="1" x14ac:dyDescent="0.35">
      <c r="A22" s="2"/>
      <c r="B22" s="3" t="s">
        <v>57</v>
      </c>
      <c r="C22" s="3" t="s">
        <v>22</v>
      </c>
      <c r="D22" s="3" t="s">
        <v>34</v>
      </c>
      <c r="E22" s="2"/>
      <c r="F22" s="4">
        <v>1</v>
      </c>
      <c r="G22" s="5"/>
      <c r="H22" s="5"/>
      <c r="I22" s="36" t="s">
        <v>58</v>
      </c>
      <c r="J22" s="6"/>
      <c r="K22" s="6"/>
      <c r="L22" s="6"/>
      <c r="M22" s="6"/>
      <c r="N22" s="6"/>
      <c r="O22" s="6"/>
      <c r="P22" s="6"/>
      <c r="Q22" s="2"/>
      <c r="R22" s="2" t="s">
        <v>25</v>
      </c>
      <c r="S22" s="7">
        <v>46213</v>
      </c>
      <c r="T22" s="3" t="s">
        <v>26</v>
      </c>
      <c r="U22" s="3"/>
      <c r="V22" s="3"/>
      <c r="W22"/>
      <c r="AC22"/>
      <c r="AD22"/>
    </row>
    <row r="23" spans="1:30" ht="14.5" customHeight="1" x14ac:dyDescent="0.35">
      <c r="A23" s="2" t="s">
        <v>59</v>
      </c>
      <c r="B23" s="3" t="s">
        <v>60</v>
      </c>
      <c r="C23" s="3" t="s">
        <v>22</v>
      </c>
      <c r="D23" s="3" t="s">
        <v>61</v>
      </c>
      <c r="E23" s="2"/>
      <c r="F23" s="4">
        <v>2</v>
      </c>
      <c r="G23" s="5"/>
      <c r="H23" s="5"/>
      <c r="I23" s="35" t="s">
        <v>62</v>
      </c>
      <c r="J23" s="6"/>
      <c r="K23" s="6"/>
      <c r="L23" s="6"/>
      <c r="M23" s="6"/>
      <c r="N23" s="6"/>
      <c r="O23" s="6"/>
      <c r="P23" s="6"/>
      <c r="Q23" s="2"/>
      <c r="R23" s="2" t="s">
        <v>25</v>
      </c>
      <c r="S23" s="7">
        <v>46213</v>
      </c>
      <c r="T23" s="3"/>
      <c r="U23" s="3"/>
      <c r="V23" s="3"/>
      <c r="W23"/>
      <c r="AC23"/>
      <c r="AD23"/>
    </row>
    <row r="24" spans="1:30" ht="14.5" customHeight="1" x14ac:dyDescent="0.35">
      <c r="A24" s="2" t="s">
        <v>63</v>
      </c>
      <c r="B24" s="3" t="s">
        <v>64</v>
      </c>
      <c r="C24" s="3" t="s">
        <v>22</v>
      </c>
      <c r="D24" s="3" t="s">
        <v>61</v>
      </c>
      <c r="E24" s="2"/>
      <c r="F24" s="4">
        <v>3</v>
      </c>
      <c r="G24" s="5"/>
      <c r="H24" s="5"/>
      <c r="I24" s="34"/>
      <c r="J24" s="6"/>
      <c r="K24" s="6"/>
      <c r="L24" s="6"/>
      <c r="M24" s="6"/>
      <c r="N24" s="6"/>
      <c r="O24" s="6"/>
      <c r="P24" s="6"/>
      <c r="Q24" s="2"/>
      <c r="R24" s="2" t="s">
        <v>25</v>
      </c>
      <c r="S24" s="7">
        <v>46213</v>
      </c>
      <c r="T24" s="3"/>
      <c r="U24" s="3"/>
      <c r="V24" s="3"/>
      <c r="W24"/>
      <c r="AC24"/>
      <c r="AD24"/>
    </row>
    <row r="25" spans="1:30" ht="14.5" customHeight="1" x14ac:dyDescent="0.35">
      <c r="A25" s="2" t="s">
        <v>65</v>
      </c>
      <c r="B25" s="3" t="s">
        <v>66</v>
      </c>
      <c r="C25" s="3" t="s">
        <v>22</v>
      </c>
      <c r="D25" s="3" t="s">
        <v>61</v>
      </c>
      <c r="E25" s="2"/>
      <c r="F25" s="4">
        <v>2</v>
      </c>
      <c r="G25" s="5"/>
      <c r="H25" s="5"/>
      <c r="I25" s="35" t="s">
        <v>67</v>
      </c>
      <c r="J25" s="6"/>
      <c r="K25" s="6"/>
      <c r="L25" s="6"/>
      <c r="M25" s="6"/>
      <c r="N25" s="6"/>
      <c r="O25" s="6"/>
      <c r="P25" s="6"/>
      <c r="Q25" s="2"/>
      <c r="R25" s="2" t="s">
        <v>25</v>
      </c>
      <c r="S25" s="7">
        <v>46213</v>
      </c>
      <c r="T25" s="3"/>
      <c r="U25" s="3"/>
      <c r="V25" s="3"/>
      <c r="W25"/>
      <c r="AC25"/>
      <c r="AD25"/>
    </row>
    <row r="26" spans="1:30" ht="14.5" customHeight="1" x14ac:dyDescent="0.35">
      <c r="A26" s="2" t="s">
        <v>68</v>
      </c>
      <c r="B26" s="3" t="s">
        <v>69</v>
      </c>
      <c r="C26" s="3" t="s">
        <v>22</v>
      </c>
      <c r="D26" s="3" t="s">
        <v>61</v>
      </c>
      <c r="E26" s="2"/>
      <c r="F26" s="4">
        <v>2</v>
      </c>
      <c r="G26" s="5"/>
      <c r="H26" s="5"/>
      <c r="I26" s="34"/>
      <c r="J26" s="6"/>
      <c r="K26" s="6"/>
      <c r="L26" s="6"/>
      <c r="M26" s="6"/>
      <c r="N26" s="6"/>
      <c r="O26" s="6"/>
      <c r="P26" s="6"/>
      <c r="Q26" s="2"/>
      <c r="R26" s="2" t="s">
        <v>25</v>
      </c>
      <c r="S26" s="7">
        <v>46213</v>
      </c>
      <c r="T26" s="3"/>
      <c r="U26" s="3"/>
      <c r="V26" s="3"/>
      <c r="W26"/>
      <c r="AC26"/>
      <c r="AD26"/>
    </row>
    <row r="27" spans="1:30" ht="14.5" customHeight="1" x14ac:dyDescent="0.35">
      <c r="A27" s="2" t="s">
        <v>70</v>
      </c>
      <c r="B27" s="3" t="s">
        <v>71</v>
      </c>
      <c r="C27" s="3" t="s">
        <v>22</v>
      </c>
      <c r="D27" s="3" t="s">
        <v>61</v>
      </c>
      <c r="E27" s="2"/>
      <c r="F27" s="4">
        <v>2</v>
      </c>
      <c r="G27" s="5"/>
      <c r="H27" s="5"/>
      <c r="I27" s="34"/>
      <c r="J27" s="6"/>
      <c r="K27" s="6"/>
      <c r="L27" s="6"/>
      <c r="M27" s="6"/>
      <c r="N27" s="6"/>
      <c r="O27" s="6"/>
      <c r="P27" s="6"/>
      <c r="Q27" s="2"/>
      <c r="R27" s="2" t="s">
        <v>25</v>
      </c>
      <c r="S27" s="7">
        <v>46213</v>
      </c>
      <c r="T27" s="3"/>
      <c r="U27" s="3"/>
      <c r="V27" s="3"/>
      <c r="W27"/>
      <c r="AC27"/>
      <c r="AD27"/>
    </row>
    <row r="28" spans="1:30" ht="14.5" customHeight="1" x14ac:dyDescent="0.35">
      <c r="A28" s="2" t="s">
        <v>72</v>
      </c>
      <c r="B28" s="3" t="s">
        <v>73</v>
      </c>
      <c r="C28" s="3" t="s">
        <v>22</v>
      </c>
      <c r="D28" s="3" t="s">
        <v>61</v>
      </c>
      <c r="E28" s="2"/>
      <c r="F28" s="4">
        <v>2</v>
      </c>
      <c r="G28" s="5"/>
      <c r="H28" s="5"/>
      <c r="I28" s="36" t="s">
        <v>74</v>
      </c>
      <c r="J28" s="6"/>
      <c r="K28" s="6"/>
      <c r="L28" s="6"/>
      <c r="M28" s="6"/>
      <c r="N28" s="6"/>
      <c r="O28" s="6"/>
      <c r="P28" s="6"/>
      <c r="Q28" s="2"/>
      <c r="R28" s="2" t="s">
        <v>25</v>
      </c>
      <c r="S28" s="7">
        <v>46213</v>
      </c>
      <c r="T28" s="3"/>
      <c r="U28" s="3"/>
      <c r="V28" s="3"/>
      <c r="W28"/>
      <c r="AC28"/>
      <c r="AD28"/>
    </row>
    <row r="29" spans="1:30" ht="14.5" customHeight="1" x14ac:dyDescent="0.35">
      <c r="A29" s="2" t="s">
        <v>75</v>
      </c>
      <c r="B29" s="3" t="s">
        <v>76</v>
      </c>
      <c r="C29" s="3" t="s">
        <v>22</v>
      </c>
      <c r="D29" s="3" t="s">
        <v>61</v>
      </c>
      <c r="E29" s="2"/>
      <c r="F29" s="4">
        <v>2</v>
      </c>
      <c r="G29" s="5"/>
      <c r="H29" s="5"/>
      <c r="I29" s="34"/>
      <c r="J29" s="6"/>
      <c r="K29" s="6"/>
      <c r="L29" s="6"/>
      <c r="M29" s="6"/>
      <c r="N29" s="6"/>
      <c r="O29" s="6"/>
      <c r="P29" s="6"/>
      <c r="Q29" s="2"/>
      <c r="R29" s="2" t="s">
        <v>25</v>
      </c>
      <c r="S29" s="7">
        <v>46213</v>
      </c>
      <c r="T29" s="3"/>
      <c r="U29" s="3"/>
      <c r="V29" s="3"/>
      <c r="W29"/>
      <c r="AC29"/>
      <c r="AD29"/>
    </row>
    <row r="30" spans="1:30" ht="14.5" customHeight="1" x14ac:dyDescent="0.35">
      <c r="A30" s="2" t="s">
        <v>77</v>
      </c>
      <c r="B30" s="3" t="s">
        <v>78</v>
      </c>
      <c r="C30" s="3" t="s">
        <v>22</v>
      </c>
      <c r="D30" s="3" t="s">
        <v>61</v>
      </c>
      <c r="E30" s="2"/>
      <c r="F30" s="4">
        <v>2</v>
      </c>
      <c r="G30" s="5"/>
      <c r="H30" s="5"/>
      <c r="I30" s="35" t="s">
        <v>79</v>
      </c>
      <c r="J30" s="6"/>
      <c r="K30" s="6"/>
      <c r="L30" s="6"/>
      <c r="M30" s="6"/>
      <c r="N30" s="6"/>
      <c r="O30" s="6"/>
      <c r="P30" s="6"/>
      <c r="Q30" s="2"/>
      <c r="R30" s="2" t="s">
        <v>25</v>
      </c>
      <c r="S30" s="7">
        <v>46213</v>
      </c>
      <c r="T30" s="3"/>
      <c r="U30" s="3"/>
      <c r="V30" s="3"/>
      <c r="W30"/>
      <c r="AC30"/>
      <c r="AD30"/>
    </row>
    <row r="31" spans="1:30" ht="14.5" customHeight="1" x14ac:dyDescent="0.35">
      <c r="A31" s="2" t="s">
        <v>80</v>
      </c>
      <c r="B31" s="3" t="s">
        <v>81</v>
      </c>
      <c r="C31" s="3" t="s">
        <v>22</v>
      </c>
      <c r="D31" s="3" t="s">
        <v>61</v>
      </c>
      <c r="E31" s="2"/>
      <c r="F31" s="4">
        <v>2</v>
      </c>
      <c r="G31" s="5"/>
      <c r="H31" s="5"/>
      <c r="I31" s="34"/>
      <c r="J31" s="6"/>
      <c r="K31" s="6"/>
      <c r="L31" s="6"/>
      <c r="M31" s="6"/>
      <c r="N31" s="6"/>
      <c r="O31" s="6"/>
      <c r="P31" s="6"/>
      <c r="Q31" s="2"/>
      <c r="R31" s="2" t="s">
        <v>25</v>
      </c>
      <c r="S31" s="7">
        <v>46213</v>
      </c>
      <c r="T31" s="3"/>
      <c r="U31" s="3"/>
      <c r="V31" s="3"/>
      <c r="W31"/>
      <c r="AC31"/>
      <c r="AD31"/>
    </row>
    <row r="32" spans="1:30" ht="14.5" customHeight="1" x14ac:dyDescent="0.35">
      <c r="A32" s="2" t="s">
        <v>82</v>
      </c>
      <c r="B32" s="3" t="s">
        <v>83</v>
      </c>
      <c r="C32" s="3" t="s">
        <v>22</v>
      </c>
      <c r="D32" s="3" t="s">
        <v>61</v>
      </c>
      <c r="E32" s="2"/>
      <c r="F32" s="4">
        <v>2</v>
      </c>
      <c r="G32" s="5"/>
      <c r="H32" s="5"/>
      <c r="I32" s="34"/>
      <c r="J32" s="6"/>
      <c r="K32" s="6"/>
      <c r="L32" s="6"/>
      <c r="M32" s="6"/>
      <c r="N32" s="6"/>
      <c r="O32" s="6"/>
      <c r="P32" s="6"/>
      <c r="Q32" s="2"/>
      <c r="R32" s="2" t="s">
        <v>25</v>
      </c>
      <c r="S32" s="7">
        <v>46213</v>
      </c>
      <c r="T32" s="3"/>
      <c r="U32" s="3"/>
      <c r="V32" s="3"/>
      <c r="W32"/>
      <c r="AC32"/>
      <c r="AD32"/>
    </row>
    <row r="33" spans="1:30" ht="14.5" customHeight="1" x14ac:dyDescent="0.35">
      <c r="A33" s="2" t="s">
        <v>84</v>
      </c>
      <c r="B33" s="3" t="s">
        <v>85</v>
      </c>
      <c r="C33" s="3" t="s">
        <v>22</v>
      </c>
      <c r="D33" s="3" t="s">
        <v>61</v>
      </c>
      <c r="E33" s="2"/>
      <c r="F33" s="4">
        <v>2</v>
      </c>
      <c r="G33" s="5"/>
      <c r="H33" s="5"/>
      <c r="I33" s="34"/>
      <c r="J33" s="6"/>
      <c r="K33" s="6"/>
      <c r="L33" s="6"/>
      <c r="M33" s="6"/>
      <c r="N33" s="6"/>
      <c r="O33" s="6"/>
      <c r="P33" s="6"/>
      <c r="Q33" s="2"/>
      <c r="R33" s="2" t="s">
        <v>25</v>
      </c>
      <c r="S33" s="7">
        <v>46213</v>
      </c>
      <c r="T33" s="3"/>
      <c r="U33" s="3"/>
      <c r="V33" s="3"/>
      <c r="W33"/>
      <c r="AC33"/>
      <c r="AD33"/>
    </row>
    <row r="34" spans="1:30" ht="14.5" customHeight="1" x14ac:dyDescent="0.35">
      <c r="A34" s="2" t="s">
        <v>86</v>
      </c>
      <c r="B34" s="3" t="s">
        <v>87</v>
      </c>
      <c r="C34" s="3" t="s">
        <v>22</v>
      </c>
      <c r="D34" s="3" t="s">
        <v>61</v>
      </c>
      <c r="E34" s="2"/>
      <c r="F34" s="4">
        <v>2</v>
      </c>
      <c r="G34" s="5"/>
      <c r="H34" s="5"/>
      <c r="I34" s="34"/>
      <c r="J34" s="6"/>
      <c r="K34" s="6"/>
      <c r="L34" s="6"/>
      <c r="M34" s="6"/>
      <c r="N34" s="6"/>
      <c r="O34" s="6"/>
      <c r="P34" s="6"/>
      <c r="Q34" s="2"/>
      <c r="R34" s="2" t="s">
        <v>25</v>
      </c>
      <c r="S34" s="7">
        <v>46213</v>
      </c>
      <c r="T34" s="3"/>
      <c r="U34" s="3"/>
      <c r="V34" s="3"/>
      <c r="W34"/>
      <c r="AC34"/>
      <c r="AD34"/>
    </row>
    <row r="35" spans="1:30" ht="14.5" customHeight="1" x14ac:dyDescent="0.35">
      <c r="A35" s="2" t="s">
        <v>88</v>
      </c>
      <c r="B35" s="3" t="s">
        <v>89</v>
      </c>
      <c r="C35" s="3" t="s">
        <v>22</v>
      </c>
      <c r="D35" s="3" t="s">
        <v>61</v>
      </c>
      <c r="E35" s="2"/>
      <c r="F35" s="4">
        <v>2</v>
      </c>
      <c r="G35" s="5"/>
      <c r="H35" s="5"/>
      <c r="I35" s="34"/>
      <c r="J35" s="6"/>
      <c r="K35" s="6"/>
      <c r="L35" s="6"/>
      <c r="M35" s="6"/>
      <c r="N35" s="6"/>
      <c r="O35" s="6"/>
      <c r="P35" s="6"/>
      <c r="Q35" s="2"/>
      <c r="R35" s="2" t="s">
        <v>25</v>
      </c>
      <c r="S35" s="7">
        <v>46213</v>
      </c>
      <c r="T35" s="3"/>
      <c r="U35" s="3"/>
      <c r="V35" s="3"/>
      <c r="W35"/>
      <c r="AC35"/>
      <c r="AD35"/>
    </row>
    <row r="36" spans="1:30" ht="14.5" customHeight="1" x14ac:dyDescent="0.35">
      <c r="A36" s="2" t="s">
        <v>90</v>
      </c>
      <c r="B36" s="3" t="s">
        <v>91</v>
      </c>
      <c r="C36" s="3" t="s">
        <v>22</v>
      </c>
      <c r="D36" s="3" t="s">
        <v>61</v>
      </c>
      <c r="E36" s="2"/>
      <c r="F36" s="4">
        <v>2</v>
      </c>
      <c r="G36" s="5"/>
      <c r="H36" s="5"/>
      <c r="I36" s="34"/>
      <c r="J36" s="6"/>
      <c r="K36" s="6"/>
      <c r="L36" s="6"/>
      <c r="M36" s="6"/>
      <c r="N36" s="6"/>
      <c r="O36" s="6"/>
      <c r="P36" s="6"/>
      <c r="Q36" s="2"/>
      <c r="R36" s="2" t="s">
        <v>25</v>
      </c>
      <c r="S36" s="7">
        <v>46213</v>
      </c>
      <c r="T36" s="3"/>
      <c r="U36" s="3"/>
      <c r="V36" s="3"/>
      <c r="W36"/>
      <c r="AC36"/>
      <c r="AD36"/>
    </row>
    <row r="37" spans="1:30" ht="14.5" customHeight="1" x14ac:dyDescent="0.35">
      <c r="A37" s="2" t="s">
        <v>92</v>
      </c>
      <c r="B37" s="3" t="s">
        <v>93</v>
      </c>
      <c r="C37" s="3" t="s">
        <v>22</v>
      </c>
      <c r="D37" s="3" t="s">
        <v>61</v>
      </c>
      <c r="E37" s="2"/>
      <c r="F37" s="4">
        <v>2</v>
      </c>
      <c r="G37" s="5"/>
      <c r="H37" s="5"/>
      <c r="I37" s="34"/>
      <c r="J37" s="6"/>
      <c r="K37" s="6"/>
      <c r="L37" s="6"/>
      <c r="M37" s="6"/>
      <c r="N37" s="6"/>
      <c r="O37" s="6"/>
      <c r="P37" s="6"/>
      <c r="Q37" s="2"/>
      <c r="R37" s="2" t="s">
        <v>25</v>
      </c>
      <c r="S37" s="7">
        <v>46213</v>
      </c>
      <c r="T37" s="3"/>
      <c r="U37" s="3"/>
      <c r="V37" s="3"/>
      <c r="W37"/>
      <c r="AC37"/>
      <c r="AD37"/>
    </row>
    <row r="38" spans="1:30" ht="14.5" customHeight="1" x14ac:dyDescent="0.35">
      <c r="A38" s="2" t="s">
        <v>94</v>
      </c>
      <c r="B38" s="3" t="s">
        <v>95</v>
      </c>
      <c r="C38" s="3" t="s">
        <v>22</v>
      </c>
      <c r="D38" s="3" t="s">
        <v>61</v>
      </c>
      <c r="E38" s="2"/>
      <c r="F38" s="4">
        <v>2</v>
      </c>
      <c r="G38" s="5"/>
      <c r="H38" s="5"/>
      <c r="I38" s="34"/>
      <c r="J38" s="6"/>
      <c r="K38" s="6"/>
      <c r="L38" s="6"/>
      <c r="M38" s="6"/>
      <c r="N38" s="6"/>
      <c r="O38" s="6"/>
      <c r="P38" s="6"/>
      <c r="Q38" s="2"/>
      <c r="R38" s="2" t="s">
        <v>25</v>
      </c>
      <c r="S38" s="7">
        <v>46213</v>
      </c>
      <c r="T38" s="3"/>
      <c r="U38" s="3"/>
      <c r="V38" s="3"/>
      <c r="W38"/>
      <c r="AC38"/>
      <c r="AD38"/>
    </row>
    <row r="39" spans="1:30" ht="14.5" customHeight="1" x14ac:dyDescent="0.35">
      <c r="A39" s="2" t="s">
        <v>96</v>
      </c>
      <c r="B39" s="3" t="s">
        <v>97</v>
      </c>
      <c r="C39" s="3" t="s">
        <v>22</v>
      </c>
      <c r="D39" s="3" t="s">
        <v>61</v>
      </c>
      <c r="E39" s="2"/>
      <c r="F39" s="4">
        <v>2</v>
      </c>
      <c r="G39" s="5"/>
      <c r="H39" s="5"/>
      <c r="I39" s="34"/>
      <c r="J39" s="6"/>
      <c r="K39" s="6"/>
      <c r="L39" s="6"/>
      <c r="M39" s="6"/>
      <c r="N39" s="6"/>
      <c r="O39" s="6"/>
      <c r="P39" s="6"/>
      <c r="Q39" s="2"/>
      <c r="R39" s="2" t="s">
        <v>25</v>
      </c>
      <c r="S39" s="7">
        <v>46213</v>
      </c>
      <c r="T39" s="3"/>
      <c r="U39" s="3"/>
      <c r="V39" s="3"/>
      <c r="W39"/>
      <c r="AC39"/>
      <c r="AD39"/>
    </row>
    <row r="40" spans="1:30" ht="14.5" customHeight="1" x14ac:dyDescent="0.35">
      <c r="A40" s="2" t="s">
        <v>98</v>
      </c>
      <c r="B40" s="3" t="s">
        <v>99</v>
      </c>
      <c r="C40" s="3" t="s">
        <v>22</v>
      </c>
      <c r="D40" s="3" t="s">
        <v>61</v>
      </c>
      <c r="E40" s="2"/>
      <c r="F40" s="4">
        <v>2</v>
      </c>
      <c r="G40" s="5"/>
      <c r="H40" s="5"/>
      <c r="I40" s="34"/>
      <c r="J40" s="6"/>
      <c r="K40" s="6"/>
      <c r="L40" s="6"/>
      <c r="M40" s="6"/>
      <c r="N40" s="6"/>
      <c r="O40" s="6"/>
      <c r="P40" s="6"/>
      <c r="Q40" s="2"/>
      <c r="R40" s="2" t="s">
        <v>25</v>
      </c>
      <c r="S40" s="7">
        <v>46213</v>
      </c>
      <c r="T40" s="3"/>
      <c r="U40" s="3"/>
      <c r="V40" s="3"/>
      <c r="W40"/>
      <c r="AC40"/>
      <c r="AD40"/>
    </row>
    <row r="41" spans="1:30" ht="14.5" customHeight="1" x14ac:dyDescent="0.35">
      <c r="A41" s="2" t="s">
        <v>100</v>
      </c>
      <c r="B41" s="3" t="s">
        <v>101</v>
      </c>
      <c r="C41" s="3" t="s">
        <v>22</v>
      </c>
      <c r="D41" s="3" t="s">
        <v>61</v>
      </c>
      <c r="E41" s="2"/>
      <c r="F41" s="4">
        <v>3</v>
      </c>
      <c r="G41" s="5"/>
      <c r="H41" s="5"/>
      <c r="I41" s="35" t="s">
        <v>102</v>
      </c>
      <c r="J41" s="6"/>
      <c r="K41" s="6"/>
      <c r="L41" s="6"/>
      <c r="M41" s="6"/>
      <c r="N41" s="6"/>
      <c r="O41" s="6"/>
      <c r="P41" s="6"/>
      <c r="Q41" s="2"/>
      <c r="R41" s="2" t="s">
        <v>25</v>
      </c>
      <c r="S41" s="7">
        <v>46213</v>
      </c>
      <c r="T41" s="3"/>
      <c r="U41" s="3"/>
      <c r="V41" s="3"/>
      <c r="W41"/>
      <c r="AC41"/>
      <c r="AD41"/>
    </row>
    <row r="42" spans="1:30" ht="14.5" customHeight="1" x14ac:dyDescent="0.35">
      <c r="A42" s="2" t="s">
        <v>103</v>
      </c>
      <c r="B42" s="3" t="s">
        <v>104</v>
      </c>
      <c r="C42" s="3" t="s">
        <v>22</v>
      </c>
      <c r="D42" s="3" t="s">
        <v>61</v>
      </c>
      <c r="E42" s="2"/>
      <c r="F42" s="4">
        <v>2</v>
      </c>
      <c r="G42" s="5"/>
      <c r="H42" s="5"/>
      <c r="I42" s="36" t="s">
        <v>105</v>
      </c>
      <c r="J42" s="6"/>
      <c r="K42" s="6"/>
      <c r="L42" s="6"/>
      <c r="M42" s="6"/>
      <c r="N42" s="6"/>
      <c r="O42" s="6"/>
      <c r="P42" s="6"/>
      <c r="Q42" s="2"/>
      <c r="R42" s="2" t="s">
        <v>25</v>
      </c>
      <c r="S42" s="7">
        <v>46213</v>
      </c>
      <c r="T42" s="3"/>
      <c r="U42" s="3"/>
      <c r="V42" s="3"/>
      <c r="W42"/>
      <c r="AC42"/>
      <c r="AD42"/>
    </row>
    <row r="43" spans="1:30" ht="14.5" customHeight="1" x14ac:dyDescent="0.35">
      <c r="A43" s="2" t="s">
        <v>106</v>
      </c>
      <c r="B43" s="3" t="s">
        <v>107</v>
      </c>
      <c r="C43" s="3" t="s">
        <v>22</v>
      </c>
      <c r="D43" s="3" t="s">
        <v>61</v>
      </c>
      <c r="E43" s="2"/>
      <c r="F43" s="4">
        <v>3</v>
      </c>
      <c r="G43" s="5"/>
      <c r="H43" s="5"/>
      <c r="I43" s="34"/>
      <c r="J43" s="6"/>
      <c r="K43" s="6"/>
      <c r="L43" s="6"/>
      <c r="M43" s="6"/>
      <c r="N43" s="6"/>
      <c r="O43" s="6"/>
      <c r="P43" s="6"/>
      <c r="Q43" s="2"/>
      <c r="R43" s="2" t="s">
        <v>25</v>
      </c>
      <c r="S43" s="7">
        <v>46213</v>
      </c>
      <c r="T43" s="3"/>
      <c r="U43" s="3"/>
      <c r="V43" s="3"/>
      <c r="W43"/>
      <c r="AC43"/>
      <c r="AD43"/>
    </row>
    <row r="44" spans="1:30" ht="14.5" customHeight="1" x14ac:dyDescent="0.35">
      <c r="A44" s="2" t="s">
        <v>108</v>
      </c>
      <c r="B44" s="3" t="s">
        <v>109</v>
      </c>
      <c r="C44" s="3" t="s">
        <v>22</v>
      </c>
      <c r="D44" s="3" t="s">
        <v>61</v>
      </c>
      <c r="E44" s="2"/>
      <c r="F44" s="4">
        <v>2</v>
      </c>
      <c r="G44" s="5"/>
      <c r="H44" s="5"/>
      <c r="I44" s="34"/>
      <c r="J44" s="6"/>
      <c r="K44" s="6"/>
      <c r="L44" s="6"/>
      <c r="M44" s="6"/>
      <c r="N44" s="6"/>
      <c r="O44" s="6"/>
      <c r="P44" s="6"/>
      <c r="Q44" s="2"/>
      <c r="R44" s="2" t="s">
        <v>25</v>
      </c>
      <c r="S44" s="7">
        <v>46213</v>
      </c>
      <c r="T44" s="3"/>
      <c r="U44" s="3"/>
      <c r="V44" s="3"/>
      <c r="W44"/>
      <c r="AC44"/>
      <c r="AD44"/>
    </row>
    <row r="45" spans="1:30" ht="14.5" customHeight="1" x14ac:dyDescent="0.35">
      <c r="A45" s="2" t="s">
        <v>110</v>
      </c>
      <c r="B45" s="3" t="s">
        <v>111</v>
      </c>
      <c r="C45" s="3" t="s">
        <v>22</v>
      </c>
      <c r="D45" s="3" t="s">
        <v>61</v>
      </c>
      <c r="E45" s="2"/>
      <c r="F45" s="4">
        <v>2</v>
      </c>
      <c r="G45" s="5"/>
      <c r="H45" s="5"/>
      <c r="I45" s="34"/>
      <c r="J45" s="6"/>
      <c r="K45" s="6"/>
      <c r="L45" s="6"/>
      <c r="M45" s="6"/>
      <c r="N45" s="6"/>
      <c r="O45" s="6"/>
      <c r="P45" s="6"/>
      <c r="Q45" s="2"/>
      <c r="R45" s="2" t="s">
        <v>25</v>
      </c>
      <c r="S45" s="7">
        <v>46213</v>
      </c>
      <c r="T45" s="3"/>
      <c r="U45" s="3"/>
      <c r="V45" s="3"/>
      <c r="W45"/>
      <c r="AC45"/>
      <c r="AD45"/>
    </row>
    <row r="46" spans="1:30" ht="14.5" customHeight="1" x14ac:dyDescent="0.35">
      <c r="A46" s="2" t="s">
        <v>112</v>
      </c>
      <c r="B46" s="3" t="s">
        <v>113</v>
      </c>
      <c r="C46" s="3" t="s">
        <v>22</v>
      </c>
      <c r="D46" s="3" t="s">
        <v>61</v>
      </c>
      <c r="E46" s="2"/>
      <c r="F46" s="4">
        <v>2</v>
      </c>
      <c r="G46" s="5"/>
      <c r="H46" s="5"/>
      <c r="I46" s="34"/>
      <c r="J46" s="6"/>
      <c r="K46" s="6"/>
      <c r="L46" s="6"/>
      <c r="M46" s="6"/>
      <c r="N46" s="6"/>
      <c r="O46" s="6"/>
      <c r="P46" s="6"/>
      <c r="Q46" s="2"/>
      <c r="R46" s="2" t="s">
        <v>25</v>
      </c>
      <c r="S46" s="7">
        <v>46213</v>
      </c>
      <c r="T46" s="3"/>
      <c r="U46" s="3"/>
      <c r="V46" s="3"/>
      <c r="W46"/>
      <c r="AC46"/>
      <c r="AD46"/>
    </row>
    <row r="47" spans="1:30" ht="14.5" customHeight="1" x14ac:dyDescent="0.35">
      <c r="A47" s="2" t="s">
        <v>114</v>
      </c>
      <c r="B47" s="3" t="s">
        <v>115</v>
      </c>
      <c r="C47" s="3" t="s">
        <v>22</v>
      </c>
      <c r="D47" s="3" t="s">
        <v>61</v>
      </c>
      <c r="E47" s="2"/>
      <c r="F47" s="4">
        <v>2</v>
      </c>
      <c r="G47" s="5"/>
      <c r="H47" s="5"/>
      <c r="I47" s="34"/>
      <c r="J47" s="6"/>
      <c r="K47" s="6"/>
      <c r="L47" s="6"/>
      <c r="M47" s="6"/>
      <c r="N47" s="6"/>
      <c r="O47" s="6"/>
      <c r="P47" s="6"/>
      <c r="Q47" s="2"/>
      <c r="R47" s="2" t="s">
        <v>25</v>
      </c>
      <c r="S47" s="7">
        <v>46213</v>
      </c>
      <c r="T47" s="3"/>
      <c r="U47" s="3"/>
      <c r="V47" s="3"/>
      <c r="W47"/>
      <c r="AC47"/>
      <c r="AD47"/>
    </row>
    <row r="48" spans="1:30" ht="14.5" customHeight="1" x14ac:dyDescent="0.35">
      <c r="A48" s="2" t="s">
        <v>116</v>
      </c>
      <c r="B48" s="3" t="s">
        <v>117</v>
      </c>
      <c r="C48" s="3" t="s">
        <v>22</v>
      </c>
      <c r="D48" s="3" t="s">
        <v>61</v>
      </c>
      <c r="E48" s="2"/>
      <c r="F48" s="4">
        <v>2</v>
      </c>
      <c r="G48" s="5"/>
      <c r="H48" s="5"/>
      <c r="I48" s="34"/>
      <c r="J48" s="6"/>
      <c r="K48" s="6"/>
      <c r="L48" s="6"/>
      <c r="M48" s="6"/>
      <c r="N48" s="6"/>
      <c r="O48" s="6"/>
      <c r="P48" s="6"/>
      <c r="Q48" s="2"/>
      <c r="R48" s="2" t="s">
        <v>25</v>
      </c>
      <c r="S48" s="7">
        <v>46213</v>
      </c>
      <c r="T48" s="3"/>
      <c r="U48" s="3"/>
      <c r="V48" s="3"/>
      <c r="W48"/>
      <c r="AC48"/>
      <c r="AD48"/>
    </row>
    <row r="49" spans="1:30" ht="14.5" customHeight="1" x14ac:dyDescent="0.35">
      <c r="A49" s="2" t="s">
        <v>118</v>
      </c>
      <c r="B49" s="3" t="s">
        <v>119</v>
      </c>
      <c r="C49" s="3" t="s">
        <v>22</v>
      </c>
      <c r="D49" s="3" t="s">
        <v>61</v>
      </c>
      <c r="E49" s="2"/>
      <c r="F49" s="4">
        <v>3</v>
      </c>
      <c r="G49" s="5"/>
      <c r="H49" s="5"/>
      <c r="I49" s="34"/>
      <c r="J49" s="6"/>
      <c r="K49" s="6"/>
      <c r="L49" s="6"/>
      <c r="M49" s="6"/>
      <c r="N49" s="6"/>
      <c r="O49" s="6"/>
      <c r="P49" s="6"/>
      <c r="Q49" s="2"/>
      <c r="R49" s="2" t="s">
        <v>25</v>
      </c>
      <c r="S49" s="7">
        <v>46213</v>
      </c>
      <c r="T49" s="3"/>
      <c r="U49" s="3"/>
      <c r="V49" s="3"/>
      <c r="W49"/>
      <c r="AC49"/>
      <c r="AD49"/>
    </row>
    <row r="50" spans="1:30" ht="14.5" customHeight="1" x14ac:dyDescent="0.35">
      <c r="A50" s="2" t="s">
        <v>120</v>
      </c>
      <c r="B50" s="3" t="s">
        <v>121</v>
      </c>
      <c r="C50" s="3" t="s">
        <v>22</v>
      </c>
      <c r="D50" s="3" t="s">
        <v>61</v>
      </c>
      <c r="E50" s="2"/>
      <c r="F50" s="4">
        <v>2</v>
      </c>
      <c r="G50" s="5"/>
      <c r="H50" s="5"/>
      <c r="I50" s="34"/>
      <c r="J50" s="6"/>
      <c r="K50" s="6"/>
      <c r="L50" s="6"/>
      <c r="M50" s="6"/>
      <c r="N50" s="6"/>
      <c r="O50" s="6"/>
      <c r="P50" s="6"/>
      <c r="Q50" s="2"/>
      <c r="R50" s="2" t="s">
        <v>25</v>
      </c>
      <c r="S50" s="7">
        <v>46213</v>
      </c>
      <c r="T50" s="3"/>
      <c r="U50" s="3"/>
      <c r="V50" s="3"/>
      <c r="W50"/>
      <c r="AC50"/>
      <c r="AD50"/>
    </row>
    <row r="51" spans="1:30" ht="14.5" customHeight="1" x14ac:dyDescent="0.35">
      <c r="A51" s="2" t="s">
        <v>122</v>
      </c>
      <c r="B51" s="3" t="s">
        <v>123</v>
      </c>
      <c r="C51" s="3" t="s">
        <v>22</v>
      </c>
      <c r="D51" s="3" t="s">
        <v>61</v>
      </c>
      <c r="E51" s="2"/>
      <c r="F51" s="4">
        <v>6</v>
      </c>
      <c r="G51" s="5"/>
      <c r="H51" s="5"/>
      <c r="I51" s="34"/>
      <c r="J51" s="6"/>
      <c r="K51" s="6"/>
      <c r="L51" s="6"/>
      <c r="M51" s="6"/>
      <c r="N51" s="6"/>
      <c r="O51" s="6"/>
      <c r="P51" s="6"/>
      <c r="Q51" s="2"/>
      <c r="R51" s="2" t="s">
        <v>25</v>
      </c>
      <c r="S51" s="7">
        <v>46213</v>
      </c>
      <c r="T51" s="3"/>
      <c r="U51" s="3"/>
      <c r="V51" s="3"/>
      <c r="W51"/>
      <c r="AC51"/>
      <c r="AD51"/>
    </row>
    <row r="52" spans="1:30" ht="14.5" customHeight="1" x14ac:dyDescent="0.35">
      <c r="A52" s="2" t="s">
        <v>124</v>
      </c>
      <c r="B52" s="3" t="s">
        <v>125</v>
      </c>
      <c r="C52" s="3" t="s">
        <v>22</v>
      </c>
      <c r="D52" s="3" t="s">
        <v>61</v>
      </c>
      <c r="E52" s="2"/>
      <c r="F52" s="4">
        <v>7</v>
      </c>
      <c r="G52" s="5"/>
      <c r="H52" s="5"/>
      <c r="I52" s="34"/>
      <c r="J52" s="6"/>
      <c r="K52" s="6"/>
      <c r="L52" s="6"/>
      <c r="M52" s="6"/>
      <c r="N52" s="6"/>
      <c r="O52" s="6"/>
      <c r="P52" s="6"/>
      <c r="Q52" s="2"/>
      <c r="R52" s="2" t="s">
        <v>25</v>
      </c>
      <c r="S52" s="7">
        <v>46213</v>
      </c>
      <c r="T52" s="3"/>
      <c r="U52" s="3"/>
      <c r="V52" s="3"/>
      <c r="W52"/>
      <c r="AC52"/>
      <c r="AD52"/>
    </row>
    <row r="53" spans="1:30" ht="14.5" customHeight="1" x14ac:dyDescent="0.35">
      <c r="A53" s="2" t="s">
        <v>126</v>
      </c>
      <c r="B53" s="3" t="s">
        <v>127</v>
      </c>
      <c r="C53" s="3" t="s">
        <v>22</v>
      </c>
      <c r="D53" s="3" t="s">
        <v>61</v>
      </c>
      <c r="E53" s="2"/>
      <c r="F53" s="4">
        <v>6</v>
      </c>
      <c r="G53" s="5"/>
      <c r="H53" s="5"/>
      <c r="I53" s="34"/>
      <c r="J53" s="6"/>
      <c r="K53" s="6"/>
      <c r="L53" s="6"/>
      <c r="M53" s="6"/>
      <c r="N53" s="6"/>
      <c r="O53" s="6"/>
      <c r="P53" s="6"/>
      <c r="Q53" s="2"/>
      <c r="R53" s="2" t="s">
        <v>25</v>
      </c>
      <c r="S53" s="7">
        <v>46213</v>
      </c>
      <c r="T53" s="3"/>
      <c r="U53" s="3"/>
      <c r="V53" s="3"/>
      <c r="W53"/>
      <c r="AC53"/>
      <c r="AD53"/>
    </row>
    <row r="54" spans="1:30" ht="14.5" customHeight="1" x14ac:dyDescent="0.35">
      <c r="A54" s="2" t="s">
        <v>128</v>
      </c>
      <c r="B54" s="3" t="s">
        <v>129</v>
      </c>
      <c r="C54" s="3" t="s">
        <v>22</v>
      </c>
      <c r="D54" s="3" t="s">
        <v>61</v>
      </c>
      <c r="E54" s="2"/>
      <c r="F54" s="4">
        <v>6</v>
      </c>
      <c r="G54" s="5"/>
      <c r="H54" s="5"/>
      <c r="I54" s="34"/>
      <c r="J54" s="6"/>
      <c r="K54" s="6"/>
      <c r="L54" s="6"/>
      <c r="M54" s="6"/>
      <c r="N54" s="6"/>
      <c r="O54" s="6"/>
      <c r="P54" s="6"/>
      <c r="Q54" s="2"/>
      <c r="R54" s="2" t="s">
        <v>25</v>
      </c>
      <c r="S54" s="7">
        <v>46213</v>
      </c>
      <c r="T54" s="3"/>
      <c r="U54" s="3"/>
      <c r="V54" s="3"/>
      <c r="W54"/>
      <c r="AC54"/>
      <c r="AD54"/>
    </row>
    <row r="55" spans="1:30" ht="14.5" customHeight="1" x14ac:dyDescent="0.35">
      <c r="A55" s="2" t="s">
        <v>130</v>
      </c>
      <c r="B55" s="3" t="s">
        <v>131</v>
      </c>
      <c r="C55" s="3" t="s">
        <v>22</v>
      </c>
      <c r="D55" s="3" t="s">
        <v>61</v>
      </c>
      <c r="E55" s="2"/>
      <c r="F55" s="4">
        <v>7</v>
      </c>
      <c r="G55" s="5"/>
      <c r="H55" s="5"/>
      <c r="I55" s="34"/>
      <c r="J55" s="6"/>
      <c r="K55" s="6"/>
      <c r="L55" s="6"/>
      <c r="M55" s="6"/>
      <c r="N55" s="6"/>
      <c r="O55" s="6"/>
      <c r="P55" s="6"/>
      <c r="Q55" s="2"/>
      <c r="R55" s="2" t="s">
        <v>25</v>
      </c>
      <c r="S55" s="7">
        <v>46213</v>
      </c>
      <c r="T55" s="3"/>
      <c r="U55" s="3"/>
      <c r="V55" s="3"/>
      <c r="W55"/>
      <c r="AC55"/>
      <c r="AD55"/>
    </row>
    <row r="56" spans="1:30" ht="14.5" customHeight="1" x14ac:dyDescent="0.35">
      <c r="A56" s="2" t="s">
        <v>132</v>
      </c>
      <c r="B56" s="3" t="s">
        <v>133</v>
      </c>
      <c r="C56" s="3" t="s">
        <v>22</v>
      </c>
      <c r="D56" s="3" t="s">
        <v>61</v>
      </c>
      <c r="E56" s="2"/>
      <c r="F56" s="4">
        <v>7</v>
      </c>
      <c r="G56" s="5"/>
      <c r="H56" s="5"/>
      <c r="I56" s="34"/>
      <c r="J56" s="6"/>
      <c r="K56" s="6"/>
      <c r="L56" s="6"/>
      <c r="M56" s="6"/>
      <c r="N56" s="6"/>
      <c r="O56" s="6"/>
      <c r="P56" s="6"/>
      <c r="Q56" s="2"/>
      <c r="R56" s="2" t="s">
        <v>25</v>
      </c>
      <c r="S56" s="7">
        <v>46213</v>
      </c>
      <c r="T56" s="3"/>
      <c r="U56" s="3"/>
      <c r="V56" s="3"/>
      <c r="W56"/>
      <c r="AC56"/>
      <c r="AD56"/>
    </row>
    <row r="57" spans="1:30" ht="14.5" customHeight="1" x14ac:dyDescent="0.35">
      <c r="A57" s="2" t="s">
        <v>134</v>
      </c>
      <c r="B57" s="3" t="s">
        <v>135</v>
      </c>
      <c r="C57" s="3" t="s">
        <v>22</v>
      </c>
      <c r="D57" s="3" t="s">
        <v>61</v>
      </c>
      <c r="E57" s="2"/>
      <c r="F57" s="4">
        <v>7</v>
      </c>
      <c r="G57" s="5"/>
      <c r="H57" s="5"/>
      <c r="I57" s="34"/>
      <c r="J57" s="6"/>
      <c r="K57" s="6"/>
      <c r="L57" s="6"/>
      <c r="M57" s="6"/>
      <c r="N57" s="6"/>
      <c r="O57" s="6"/>
      <c r="P57" s="6"/>
      <c r="Q57" s="2"/>
      <c r="R57" s="2" t="s">
        <v>25</v>
      </c>
      <c r="S57" s="7">
        <v>46213</v>
      </c>
      <c r="T57" s="3"/>
      <c r="U57" s="3"/>
      <c r="V57" s="3"/>
      <c r="W57"/>
      <c r="AC57"/>
      <c r="AD57"/>
    </row>
    <row r="58" spans="1:30" ht="14.5" customHeight="1" x14ac:dyDescent="0.35">
      <c r="A58" s="2" t="s">
        <v>136</v>
      </c>
      <c r="B58" s="3" t="s">
        <v>137</v>
      </c>
      <c r="C58" s="3" t="s">
        <v>22</v>
      </c>
      <c r="D58" s="3" t="s">
        <v>61</v>
      </c>
      <c r="E58" s="2"/>
      <c r="F58" s="4">
        <v>7</v>
      </c>
      <c r="G58" s="5"/>
      <c r="H58" s="5"/>
      <c r="I58" s="34"/>
      <c r="J58" s="6"/>
      <c r="K58" s="6"/>
      <c r="L58" s="6"/>
      <c r="M58" s="6"/>
      <c r="N58" s="6"/>
      <c r="O58" s="6"/>
      <c r="P58" s="6"/>
      <c r="Q58" s="2"/>
      <c r="R58" s="2" t="s">
        <v>25</v>
      </c>
      <c r="S58" s="7">
        <v>46213</v>
      </c>
      <c r="T58" s="3"/>
      <c r="U58" s="3"/>
      <c r="V58" s="3"/>
      <c r="W58"/>
      <c r="AC58"/>
      <c r="AD58"/>
    </row>
    <row r="59" spans="1:30" ht="14.5" customHeight="1" x14ac:dyDescent="0.35">
      <c r="A59" s="2" t="s">
        <v>138</v>
      </c>
      <c r="B59" s="3" t="s">
        <v>139</v>
      </c>
      <c r="C59" s="3" t="s">
        <v>22</v>
      </c>
      <c r="D59" s="3" t="s">
        <v>61</v>
      </c>
      <c r="E59" s="2"/>
      <c r="F59" s="4">
        <v>2</v>
      </c>
      <c r="G59" s="5"/>
      <c r="H59" s="5"/>
      <c r="I59" s="34"/>
      <c r="J59" s="6"/>
      <c r="K59" s="6"/>
      <c r="L59" s="6"/>
      <c r="M59" s="6"/>
      <c r="N59" s="6"/>
      <c r="O59" s="6"/>
      <c r="P59" s="6"/>
      <c r="Q59" s="2"/>
      <c r="R59" s="2" t="s">
        <v>25</v>
      </c>
      <c r="S59" s="7">
        <v>46213</v>
      </c>
      <c r="T59" s="3"/>
      <c r="U59" s="3"/>
      <c r="V59" s="3"/>
      <c r="W59"/>
      <c r="AC59"/>
      <c r="AD59"/>
    </row>
    <row r="60" spans="1:30" ht="14.5" customHeight="1" x14ac:dyDescent="0.35">
      <c r="A60" s="2" t="s">
        <v>140</v>
      </c>
      <c r="B60" s="3" t="s">
        <v>141</v>
      </c>
      <c r="C60" s="3" t="s">
        <v>22</v>
      </c>
      <c r="D60" s="3" t="s">
        <v>61</v>
      </c>
      <c r="E60" s="2"/>
      <c r="F60" s="4">
        <v>2</v>
      </c>
      <c r="G60" s="5"/>
      <c r="H60" s="5"/>
      <c r="I60" s="34"/>
      <c r="J60" s="6"/>
      <c r="K60" s="6"/>
      <c r="L60" s="6"/>
      <c r="M60" s="6"/>
      <c r="N60" s="6"/>
      <c r="O60" s="6"/>
      <c r="P60" s="6"/>
      <c r="Q60" s="2"/>
      <c r="R60" s="2" t="s">
        <v>25</v>
      </c>
      <c r="S60" s="7">
        <v>46213</v>
      </c>
      <c r="T60" s="3"/>
      <c r="U60" s="3"/>
      <c r="V60" s="3"/>
      <c r="W60"/>
      <c r="AC60"/>
      <c r="AD60"/>
    </row>
    <row r="61" spans="1:30" ht="14.5" customHeight="1" x14ac:dyDescent="0.35">
      <c r="A61" s="2" t="s">
        <v>142</v>
      </c>
      <c r="B61" s="3" t="s">
        <v>143</v>
      </c>
      <c r="C61" s="3" t="s">
        <v>22</v>
      </c>
      <c r="D61" s="3" t="s">
        <v>61</v>
      </c>
      <c r="E61" s="2"/>
      <c r="F61" s="4">
        <v>2</v>
      </c>
      <c r="G61" s="5"/>
      <c r="H61" s="5"/>
      <c r="I61" s="34"/>
      <c r="J61" s="6"/>
      <c r="K61" s="6"/>
      <c r="L61" s="6"/>
      <c r="M61" s="6"/>
      <c r="N61" s="6"/>
      <c r="O61" s="6"/>
      <c r="P61" s="6"/>
      <c r="Q61" s="2"/>
      <c r="R61" s="2"/>
      <c r="S61" s="7"/>
      <c r="T61" s="3"/>
      <c r="U61" s="3"/>
      <c r="V61" s="3"/>
      <c r="W61"/>
      <c r="AC61"/>
      <c r="AD61"/>
    </row>
    <row r="62" spans="1:30" ht="14.5" customHeight="1" x14ac:dyDescent="0.35">
      <c r="A62" s="39" t="s">
        <v>144</v>
      </c>
      <c r="B62" s="40"/>
      <c r="C62" s="40"/>
      <c r="D62" s="40"/>
      <c r="E62" s="39"/>
      <c r="F62" s="41"/>
      <c r="G62" s="42"/>
      <c r="H62" s="42"/>
      <c r="I62" s="43"/>
      <c r="J62" s="44"/>
      <c r="K62" s="44"/>
      <c r="L62" s="44"/>
      <c r="M62" s="44"/>
      <c r="N62" s="44"/>
      <c r="O62" s="44"/>
      <c r="P62" s="44"/>
      <c r="Q62" s="39"/>
      <c r="R62" s="39"/>
      <c r="S62" s="45"/>
      <c r="T62" s="40"/>
      <c r="U62" s="40"/>
      <c r="V62" s="40"/>
      <c r="W62"/>
      <c r="AC62"/>
      <c r="AD62"/>
    </row>
    <row r="63" spans="1:30" ht="14.5" customHeight="1" x14ac:dyDescent="0.35">
      <c r="A63" s="2" t="s">
        <v>145</v>
      </c>
      <c r="B63" s="3" t="s">
        <v>146</v>
      </c>
      <c r="C63" s="3" t="s">
        <v>144</v>
      </c>
      <c r="D63" s="3"/>
      <c r="E63" s="2"/>
      <c r="F63" s="4">
        <v>2</v>
      </c>
      <c r="G63" s="5"/>
      <c r="H63" s="5"/>
      <c r="I63" s="35" t="s">
        <v>147</v>
      </c>
      <c r="J63" s="6"/>
      <c r="K63" s="6"/>
      <c r="L63" s="6"/>
      <c r="M63" s="6"/>
      <c r="N63" s="6"/>
      <c r="O63" s="6"/>
      <c r="P63" s="6"/>
      <c r="Q63" s="2"/>
      <c r="R63" s="2" t="s">
        <v>25</v>
      </c>
      <c r="S63" s="7">
        <v>46213</v>
      </c>
      <c r="T63" s="3"/>
      <c r="U63" s="3"/>
      <c r="V63" s="3"/>
      <c r="W63"/>
      <c r="AC63"/>
      <c r="AD63"/>
    </row>
    <row r="64" spans="1:30" ht="14.5" customHeight="1" x14ac:dyDescent="0.35">
      <c r="A64" s="2" t="s">
        <v>148</v>
      </c>
      <c r="B64" s="3" t="s">
        <v>149</v>
      </c>
      <c r="C64" s="3" t="s">
        <v>144</v>
      </c>
      <c r="D64" s="3"/>
      <c r="E64" s="2"/>
      <c r="F64" s="4">
        <v>2</v>
      </c>
      <c r="G64" s="5"/>
      <c r="H64" s="5"/>
      <c r="I64" s="35" t="s">
        <v>150</v>
      </c>
      <c r="J64" s="6"/>
      <c r="K64" s="6"/>
      <c r="L64" s="6"/>
      <c r="M64" s="6"/>
      <c r="N64" s="6"/>
      <c r="O64" s="6"/>
      <c r="P64" s="6"/>
      <c r="Q64" s="2"/>
      <c r="R64" s="2" t="s">
        <v>25</v>
      </c>
      <c r="S64" s="7">
        <v>46213</v>
      </c>
      <c r="T64" s="3"/>
      <c r="U64" s="3"/>
      <c r="V64" s="3"/>
      <c r="W64"/>
      <c r="AC64"/>
      <c r="AD64"/>
    </row>
    <row r="65" spans="1:30" ht="14.5" customHeight="1" x14ac:dyDescent="0.35">
      <c r="A65" s="2" t="s">
        <v>151</v>
      </c>
      <c r="B65" s="3" t="s">
        <v>152</v>
      </c>
      <c r="C65" s="3" t="s">
        <v>144</v>
      </c>
      <c r="D65" s="3"/>
      <c r="E65" s="2"/>
      <c r="F65" s="4">
        <v>2</v>
      </c>
      <c r="G65" s="5"/>
      <c r="H65" s="5"/>
      <c r="I65" s="34"/>
      <c r="J65" s="6"/>
      <c r="K65" s="6"/>
      <c r="L65" s="6"/>
      <c r="M65" s="6"/>
      <c r="N65" s="6"/>
      <c r="O65" s="6"/>
      <c r="P65" s="6"/>
      <c r="Q65" s="2"/>
      <c r="R65" s="2" t="s">
        <v>25</v>
      </c>
      <c r="S65" s="7">
        <v>46213</v>
      </c>
      <c r="T65" s="3"/>
      <c r="U65" s="3"/>
      <c r="V65" s="3"/>
      <c r="W65"/>
      <c r="AC65"/>
      <c r="AD65"/>
    </row>
    <row r="66" spans="1:30" ht="14.5" customHeight="1" x14ac:dyDescent="0.35">
      <c r="A66" s="2" t="s">
        <v>153</v>
      </c>
      <c r="B66" s="3" t="s">
        <v>154</v>
      </c>
      <c r="C66" s="3" t="s">
        <v>144</v>
      </c>
      <c r="D66" s="3"/>
      <c r="E66" s="2"/>
      <c r="F66" s="4">
        <v>2</v>
      </c>
      <c r="G66" s="5"/>
      <c r="H66" s="5"/>
      <c r="I66" s="34"/>
      <c r="J66" s="6"/>
      <c r="K66" s="6"/>
      <c r="L66" s="6"/>
      <c r="M66" s="6"/>
      <c r="N66" s="6"/>
      <c r="O66" s="6"/>
      <c r="P66" s="6"/>
      <c r="Q66" s="2"/>
      <c r="R66" s="2" t="s">
        <v>25</v>
      </c>
      <c r="S66" s="7">
        <v>46213</v>
      </c>
      <c r="T66" s="3"/>
      <c r="U66" s="3"/>
      <c r="V66" s="3"/>
      <c r="W66"/>
      <c r="AC66"/>
      <c r="AD66"/>
    </row>
    <row r="67" spans="1:30" ht="14.5" customHeight="1" x14ac:dyDescent="0.35">
      <c r="A67" s="2" t="s">
        <v>155</v>
      </c>
      <c r="B67" s="3" t="s">
        <v>156</v>
      </c>
      <c r="C67" s="3" t="s">
        <v>144</v>
      </c>
      <c r="D67" s="3"/>
      <c r="E67" s="2"/>
      <c r="F67" s="4">
        <v>5</v>
      </c>
      <c r="G67" s="5"/>
      <c r="H67" s="5"/>
      <c r="I67" s="36" t="s">
        <v>157</v>
      </c>
      <c r="J67" s="6"/>
      <c r="K67" s="6"/>
      <c r="L67" s="6"/>
      <c r="M67" s="6"/>
      <c r="N67" s="6"/>
      <c r="O67" s="6"/>
      <c r="P67" s="6"/>
      <c r="Q67" s="2"/>
      <c r="R67" s="2" t="s">
        <v>25</v>
      </c>
      <c r="S67" s="7">
        <v>46213</v>
      </c>
      <c r="T67" s="3"/>
      <c r="U67" s="3"/>
      <c r="V67" s="3"/>
      <c r="W67"/>
      <c r="AC67"/>
      <c r="AD67"/>
    </row>
    <row r="68" spans="1:30" ht="14.5" customHeight="1" x14ac:dyDescent="0.35">
      <c r="A68" s="2" t="s">
        <v>158</v>
      </c>
      <c r="B68" s="3" t="s">
        <v>159</v>
      </c>
      <c r="C68" s="3" t="s">
        <v>144</v>
      </c>
      <c r="D68" s="3"/>
      <c r="E68" s="2"/>
      <c r="F68" s="4">
        <v>2</v>
      </c>
      <c r="G68" s="5"/>
      <c r="H68" s="5"/>
      <c r="I68" s="34"/>
      <c r="J68" s="6"/>
      <c r="K68" s="6"/>
      <c r="L68" s="6"/>
      <c r="M68" s="6"/>
      <c r="N68" s="6"/>
      <c r="O68" s="6"/>
      <c r="P68" s="6"/>
      <c r="Q68" s="2"/>
      <c r="R68" s="2" t="s">
        <v>25</v>
      </c>
      <c r="S68" s="7">
        <v>46213</v>
      </c>
      <c r="T68" s="3"/>
      <c r="U68" s="3"/>
      <c r="V68" s="3"/>
      <c r="W68"/>
      <c r="AC68"/>
      <c r="AD68"/>
    </row>
    <row r="69" spans="1:30" ht="14.5" customHeight="1" x14ac:dyDescent="0.35">
      <c r="A69" s="2" t="s">
        <v>160</v>
      </c>
      <c r="B69" s="3" t="s">
        <v>161</v>
      </c>
      <c r="C69" s="3" t="s">
        <v>144</v>
      </c>
      <c r="D69" s="3"/>
      <c r="E69" s="2"/>
      <c r="F69" s="4">
        <v>2</v>
      </c>
      <c r="G69" s="5"/>
      <c r="H69" s="5"/>
      <c r="I69" s="37"/>
      <c r="J69" s="6"/>
      <c r="K69" s="6"/>
      <c r="L69" s="6"/>
      <c r="M69" s="6"/>
      <c r="N69" s="6"/>
      <c r="O69" s="6"/>
      <c r="P69" s="6"/>
      <c r="Q69" s="2"/>
      <c r="R69" s="2" t="s">
        <v>25</v>
      </c>
      <c r="S69" s="7">
        <v>46213</v>
      </c>
      <c r="T69" s="3"/>
      <c r="U69" s="3"/>
      <c r="V69" s="3"/>
      <c r="W69"/>
      <c r="AC69"/>
      <c r="AD69"/>
    </row>
    <row r="70" spans="1:30" ht="14.5" customHeight="1" x14ac:dyDescent="0.35">
      <c r="A70" s="2" t="s">
        <v>162</v>
      </c>
      <c r="B70" s="3" t="s">
        <v>163</v>
      </c>
      <c r="C70" s="3" t="s">
        <v>144</v>
      </c>
      <c r="D70" s="3"/>
      <c r="E70" s="2"/>
      <c r="F70" s="4">
        <v>4</v>
      </c>
      <c r="G70" s="5"/>
      <c r="H70" s="5"/>
      <c r="I70" s="34"/>
      <c r="J70" s="6"/>
      <c r="K70" s="6"/>
      <c r="L70" s="6"/>
      <c r="M70" s="6"/>
      <c r="N70" s="6"/>
      <c r="O70" s="6"/>
      <c r="P70" s="6"/>
      <c r="Q70" s="2"/>
      <c r="R70" s="2" t="s">
        <v>25</v>
      </c>
      <c r="S70" s="7">
        <v>46213</v>
      </c>
      <c r="T70" s="3"/>
      <c r="U70" s="3"/>
      <c r="V70" s="3"/>
      <c r="W70"/>
      <c r="AC70"/>
      <c r="AD70"/>
    </row>
    <row r="71" spans="1:30" ht="14.5" customHeight="1" x14ac:dyDescent="0.35">
      <c r="A71" s="2" t="s">
        <v>164</v>
      </c>
      <c r="B71" s="3" t="s">
        <v>165</v>
      </c>
      <c r="C71" s="3" t="s">
        <v>144</v>
      </c>
      <c r="D71" s="3"/>
      <c r="E71" s="2"/>
      <c r="F71" s="4">
        <v>3</v>
      </c>
      <c r="G71" s="5"/>
      <c r="H71" s="5"/>
      <c r="I71" s="34"/>
      <c r="J71" s="6"/>
      <c r="K71" s="6"/>
      <c r="L71" s="6"/>
      <c r="M71" s="6"/>
      <c r="N71" s="6"/>
      <c r="O71" s="6"/>
      <c r="P71" s="6"/>
      <c r="Q71" s="2"/>
      <c r="R71" s="2" t="s">
        <v>25</v>
      </c>
      <c r="S71" s="7">
        <v>46213</v>
      </c>
      <c r="T71" s="3"/>
      <c r="U71" s="3"/>
      <c r="V71" s="3"/>
      <c r="W71"/>
      <c r="AC71"/>
      <c r="AD71"/>
    </row>
    <row r="72" spans="1:30" ht="14.5" customHeight="1" x14ac:dyDescent="0.35">
      <c r="A72" s="2" t="s">
        <v>166</v>
      </c>
      <c r="B72" s="3" t="s">
        <v>167</v>
      </c>
      <c r="C72" s="3" t="s">
        <v>144</v>
      </c>
      <c r="D72" s="3"/>
      <c r="E72" s="2"/>
      <c r="F72" s="4">
        <v>3</v>
      </c>
      <c r="G72" s="5"/>
      <c r="H72" s="5"/>
      <c r="I72" s="34"/>
      <c r="J72" s="6"/>
      <c r="K72" s="6"/>
      <c r="L72" s="6"/>
      <c r="M72" s="6"/>
      <c r="N72" s="6"/>
      <c r="O72" s="6"/>
      <c r="P72" s="6"/>
      <c r="Q72" s="2"/>
      <c r="R72" s="2" t="s">
        <v>25</v>
      </c>
      <c r="S72" s="7">
        <v>46213</v>
      </c>
      <c r="T72" s="3"/>
      <c r="U72" s="3"/>
      <c r="V72" s="3"/>
      <c r="W72"/>
      <c r="AC72"/>
      <c r="AD72"/>
    </row>
    <row r="73" spans="1:30" ht="14.5" customHeight="1" x14ac:dyDescent="0.35">
      <c r="A73" s="2" t="s">
        <v>168</v>
      </c>
      <c r="B73" s="3" t="s">
        <v>169</v>
      </c>
      <c r="C73" s="3" t="s">
        <v>144</v>
      </c>
      <c r="D73" s="3"/>
      <c r="E73" s="2"/>
      <c r="F73" s="4">
        <v>3</v>
      </c>
      <c r="G73" s="5"/>
      <c r="H73" s="5"/>
      <c r="I73" s="34"/>
      <c r="J73" s="6"/>
      <c r="K73" s="6"/>
      <c r="L73" s="6"/>
      <c r="M73" s="6"/>
      <c r="N73" s="6"/>
      <c r="O73" s="6"/>
      <c r="P73" s="6"/>
      <c r="Q73" s="2"/>
      <c r="R73" s="2" t="s">
        <v>25</v>
      </c>
      <c r="S73" s="7">
        <v>46213</v>
      </c>
      <c r="T73" s="3"/>
      <c r="U73" s="3"/>
      <c r="V73" s="3"/>
      <c r="W73"/>
      <c r="AC73"/>
      <c r="AD73"/>
    </row>
    <row r="74" spans="1:30" ht="14.5" customHeight="1" x14ac:dyDescent="0.35">
      <c r="A74" s="2" t="s">
        <v>170</v>
      </c>
      <c r="B74" s="3" t="s">
        <v>171</v>
      </c>
      <c r="C74" s="3" t="s">
        <v>144</v>
      </c>
      <c r="D74" s="3"/>
      <c r="E74" s="2"/>
      <c r="F74" s="4">
        <v>3</v>
      </c>
      <c r="G74" s="5"/>
      <c r="H74" s="5"/>
      <c r="I74" s="34"/>
      <c r="J74" s="6"/>
      <c r="K74" s="6"/>
      <c r="L74" s="6"/>
      <c r="M74" s="6"/>
      <c r="N74" s="6"/>
      <c r="O74" s="6"/>
      <c r="P74" s="6"/>
      <c r="Q74" s="2"/>
      <c r="R74" s="2" t="s">
        <v>25</v>
      </c>
      <c r="S74" s="7">
        <v>46213</v>
      </c>
      <c r="T74" s="3"/>
      <c r="U74" s="3"/>
      <c r="V74" s="3"/>
      <c r="W74"/>
      <c r="AC74"/>
      <c r="AD74"/>
    </row>
    <row r="75" spans="1:30" ht="14.5" customHeight="1" x14ac:dyDescent="0.35">
      <c r="A75" s="2" t="s">
        <v>172</v>
      </c>
      <c r="B75" s="3" t="s">
        <v>173</v>
      </c>
      <c r="C75" s="3" t="s">
        <v>144</v>
      </c>
      <c r="D75" s="3"/>
      <c r="E75" s="2"/>
      <c r="F75" s="4">
        <v>3</v>
      </c>
      <c r="G75" s="5"/>
      <c r="H75" s="5"/>
      <c r="I75" s="34"/>
      <c r="J75" s="6"/>
      <c r="K75" s="6"/>
      <c r="L75" s="6"/>
      <c r="M75" s="6"/>
      <c r="N75" s="6"/>
      <c r="O75" s="6"/>
      <c r="P75" s="6"/>
      <c r="Q75" s="2"/>
      <c r="R75" s="2" t="s">
        <v>25</v>
      </c>
      <c r="S75" s="7">
        <v>46213</v>
      </c>
      <c r="T75" s="3"/>
      <c r="U75" s="3"/>
      <c r="V75" s="3"/>
      <c r="W75"/>
      <c r="AC75"/>
      <c r="AD75"/>
    </row>
    <row r="76" spans="1:30" ht="14.5" customHeight="1" x14ac:dyDescent="0.35">
      <c r="A76" s="2" t="s">
        <v>174</v>
      </c>
      <c r="B76" s="3" t="s">
        <v>175</v>
      </c>
      <c r="C76" s="3" t="s">
        <v>144</v>
      </c>
      <c r="D76" s="3"/>
      <c r="E76" s="2"/>
      <c r="F76" s="4">
        <v>4</v>
      </c>
      <c r="G76" s="5"/>
      <c r="H76" s="5"/>
      <c r="I76" s="34"/>
      <c r="J76" s="6"/>
      <c r="K76" s="6"/>
      <c r="L76" s="6"/>
      <c r="M76" s="6"/>
      <c r="N76" s="6"/>
      <c r="O76" s="6"/>
      <c r="P76" s="6"/>
      <c r="Q76" s="2"/>
      <c r="R76" s="2" t="s">
        <v>25</v>
      </c>
      <c r="S76" s="7">
        <v>46213</v>
      </c>
      <c r="T76" s="3"/>
      <c r="U76" s="3"/>
      <c r="V76" s="3"/>
      <c r="W76"/>
      <c r="AC76"/>
      <c r="AD76"/>
    </row>
    <row r="77" spans="1:30" ht="14.5" customHeight="1" x14ac:dyDescent="0.35">
      <c r="A77" s="2" t="s">
        <v>176</v>
      </c>
      <c r="B77" s="3" t="s">
        <v>177</v>
      </c>
      <c r="C77" s="3" t="s">
        <v>144</v>
      </c>
      <c r="D77" s="3"/>
      <c r="E77" s="2"/>
      <c r="F77" s="4">
        <v>5</v>
      </c>
      <c r="G77" s="5"/>
      <c r="H77" s="5"/>
      <c r="I77" s="34"/>
      <c r="J77" s="6"/>
      <c r="K77" s="6"/>
      <c r="L77" s="6"/>
      <c r="M77" s="6"/>
      <c r="N77" s="6"/>
      <c r="O77" s="6"/>
      <c r="P77" s="6"/>
      <c r="Q77" s="2"/>
      <c r="R77" s="2" t="s">
        <v>25</v>
      </c>
      <c r="S77" s="7">
        <v>46213</v>
      </c>
      <c r="T77" s="3"/>
      <c r="U77" s="3"/>
      <c r="V77" s="3"/>
      <c r="W77"/>
      <c r="AC77"/>
      <c r="AD77"/>
    </row>
    <row r="78" spans="1:30" ht="14.5" customHeight="1" x14ac:dyDescent="0.35">
      <c r="A78" s="2" t="s">
        <v>178</v>
      </c>
      <c r="B78" s="3" t="s">
        <v>179</v>
      </c>
      <c r="C78" s="3" t="s">
        <v>144</v>
      </c>
      <c r="D78" s="3"/>
      <c r="E78" s="2"/>
      <c r="F78" s="4">
        <v>5</v>
      </c>
      <c r="G78" s="5"/>
      <c r="H78" s="5"/>
      <c r="I78" s="34"/>
      <c r="J78" s="6"/>
      <c r="K78" s="6"/>
      <c r="L78" s="6"/>
      <c r="M78" s="6"/>
      <c r="N78" s="6"/>
      <c r="O78" s="6"/>
      <c r="P78" s="6"/>
      <c r="Q78" s="2"/>
      <c r="R78" s="2" t="s">
        <v>25</v>
      </c>
      <c r="S78" s="7">
        <v>46213</v>
      </c>
      <c r="T78" s="3"/>
      <c r="U78" s="3"/>
      <c r="V78" s="3"/>
      <c r="W78"/>
      <c r="AC78"/>
      <c r="AD78"/>
    </row>
    <row r="79" spans="1:30" ht="14.5" customHeight="1" x14ac:dyDescent="0.35">
      <c r="A79" s="2" t="s">
        <v>180</v>
      </c>
      <c r="B79" s="3" t="s">
        <v>181</v>
      </c>
      <c r="C79" s="3" t="s">
        <v>144</v>
      </c>
      <c r="D79" s="3"/>
      <c r="E79" s="2"/>
      <c r="F79" s="4">
        <v>7</v>
      </c>
      <c r="G79" s="5"/>
      <c r="H79" s="5"/>
      <c r="I79" s="34"/>
      <c r="J79" s="6"/>
      <c r="K79" s="6"/>
      <c r="L79" s="6"/>
      <c r="M79" s="6"/>
      <c r="N79" s="6"/>
      <c r="O79" s="6"/>
      <c r="P79" s="6"/>
      <c r="Q79" s="2"/>
      <c r="R79" s="2" t="s">
        <v>25</v>
      </c>
      <c r="S79" s="7">
        <v>46213</v>
      </c>
      <c r="T79" s="3"/>
      <c r="U79" s="3"/>
      <c r="V79" s="3"/>
      <c r="W79"/>
      <c r="AC79"/>
      <c r="AD79"/>
    </row>
    <row r="80" spans="1:30" ht="14.5" customHeight="1" x14ac:dyDescent="0.35">
      <c r="A80" s="2" t="s">
        <v>182</v>
      </c>
      <c r="B80" s="3" t="s">
        <v>183</v>
      </c>
      <c r="C80" s="3" t="s">
        <v>144</v>
      </c>
      <c r="D80" s="3"/>
      <c r="E80" s="2"/>
      <c r="F80" s="4">
        <v>7</v>
      </c>
      <c r="G80" s="5"/>
      <c r="H80" s="5"/>
      <c r="I80" s="34"/>
      <c r="J80" s="6"/>
      <c r="K80" s="6"/>
      <c r="L80" s="6"/>
      <c r="M80" s="6"/>
      <c r="N80" s="6"/>
      <c r="O80" s="6"/>
      <c r="P80" s="6"/>
      <c r="Q80" s="2"/>
      <c r="R80" s="2" t="s">
        <v>25</v>
      </c>
      <c r="S80" s="7">
        <v>46213</v>
      </c>
      <c r="T80" s="3"/>
      <c r="U80" s="3"/>
      <c r="V80" s="3"/>
      <c r="W80"/>
      <c r="AC80"/>
      <c r="AD80"/>
    </row>
    <row r="81" spans="1:30" ht="14.5" customHeight="1" x14ac:dyDescent="0.35">
      <c r="A81" s="2" t="s">
        <v>184</v>
      </c>
      <c r="B81" s="3" t="s">
        <v>185</v>
      </c>
      <c r="C81" s="3" t="s">
        <v>144</v>
      </c>
      <c r="D81" s="3"/>
      <c r="E81" s="2"/>
      <c r="F81" s="4">
        <v>7</v>
      </c>
      <c r="G81" s="5"/>
      <c r="H81" s="5"/>
      <c r="I81" s="34"/>
      <c r="J81" s="6"/>
      <c r="K81" s="6"/>
      <c r="L81" s="6"/>
      <c r="M81" s="6"/>
      <c r="N81" s="6"/>
      <c r="O81" s="6"/>
      <c r="P81" s="6"/>
      <c r="Q81" s="2"/>
      <c r="R81" s="2" t="s">
        <v>25</v>
      </c>
      <c r="S81" s="7">
        <v>46213</v>
      </c>
      <c r="T81" s="3"/>
      <c r="U81" s="3"/>
      <c r="V81" s="3"/>
      <c r="W81"/>
      <c r="AC81"/>
      <c r="AD81"/>
    </row>
    <row r="82" spans="1:30" ht="14.5" customHeight="1" x14ac:dyDescent="0.35">
      <c r="A82" s="2" t="s">
        <v>186</v>
      </c>
      <c r="B82" s="3" t="s">
        <v>187</v>
      </c>
      <c r="C82" s="3" t="s">
        <v>144</v>
      </c>
      <c r="D82" s="3"/>
      <c r="E82" s="2"/>
      <c r="F82" s="4">
        <v>7</v>
      </c>
      <c r="G82" s="5"/>
      <c r="H82" s="5"/>
      <c r="I82" s="34"/>
      <c r="J82" s="6"/>
      <c r="K82" s="6"/>
      <c r="L82" s="6"/>
      <c r="M82" s="6"/>
      <c r="N82" s="6"/>
      <c r="O82" s="6"/>
      <c r="P82" s="6"/>
      <c r="Q82" s="2"/>
      <c r="R82" s="2" t="s">
        <v>25</v>
      </c>
      <c r="S82" s="7">
        <v>46213</v>
      </c>
      <c r="T82" s="3"/>
      <c r="U82" s="3"/>
      <c r="V82" s="3"/>
      <c r="W82"/>
      <c r="AC82"/>
      <c r="AD82"/>
    </row>
    <row r="83" spans="1:30" ht="14.5" customHeight="1" x14ac:dyDescent="0.35">
      <c r="A83" s="2"/>
      <c r="B83" s="3" t="s">
        <v>188</v>
      </c>
      <c r="C83" s="3" t="s">
        <v>144</v>
      </c>
      <c r="D83" s="3"/>
      <c r="E83" s="2"/>
      <c r="F83" s="4">
        <v>6</v>
      </c>
      <c r="G83" s="5"/>
      <c r="H83" s="5"/>
      <c r="I83" s="34"/>
      <c r="J83" s="6"/>
      <c r="K83" s="6"/>
      <c r="L83" s="6"/>
      <c r="M83" s="6"/>
      <c r="N83" s="6"/>
      <c r="O83" s="6"/>
      <c r="P83" s="6"/>
      <c r="Q83" s="2"/>
      <c r="R83" s="2" t="s">
        <v>25</v>
      </c>
      <c r="S83" s="7">
        <v>46213</v>
      </c>
      <c r="T83" s="3" t="s">
        <v>26</v>
      </c>
      <c r="U83" s="3"/>
      <c r="V83" s="3"/>
      <c r="W83"/>
      <c r="AC83"/>
      <c r="AD83"/>
    </row>
    <row r="84" spans="1:30" ht="14.5" customHeight="1" x14ac:dyDescent="0.35">
      <c r="A84" s="2" t="s">
        <v>189</v>
      </c>
      <c r="B84" s="3" t="s">
        <v>190</v>
      </c>
      <c r="C84" s="3" t="s">
        <v>144</v>
      </c>
      <c r="D84" s="3"/>
      <c r="E84" s="2"/>
      <c r="F84" s="4">
        <v>3</v>
      </c>
      <c r="G84" s="5"/>
      <c r="H84" s="5"/>
      <c r="I84" s="34"/>
      <c r="J84" s="6"/>
      <c r="K84" s="6"/>
      <c r="L84" s="6"/>
      <c r="M84" s="6"/>
      <c r="N84" s="6"/>
      <c r="O84" s="6"/>
      <c r="P84" s="6"/>
      <c r="Q84" s="2"/>
      <c r="R84" s="2" t="s">
        <v>25</v>
      </c>
      <c r="S84" s="7">
        <v>46213</v>
      </c>
      <c r="T84" s="3"/>
      <c r="U84" s="3"/>
      <c r="V84" s="3"/>
      <c r="W84"/>
      <c r="AC84"/>
      <c r="AD84"/>
    </row>
    <row r="85" spans="1:30" ht="14.5" customHeight="1" x14ac:dyDescent="0.35">
      <c r="A85" s="39" t="s">
        <v>191</v>
      </c>
      <c r="B85" s="40"/>
      <c r="C85" s="40"/>
      <c r="D85" s="40"/>
      <c r="E85" s="39"/>
      <c r="F85" s="41"/>
      <c r="G85" s="42"/>
      <c r="H85" s="42"/>
      <c r="I85" s="43"/>
      <c r="J85" s="44"/>
      <c r="K85" s="44"/>
      <c r="L85" s="44"/>
      <c r="M85" s="44"/>
      <c r="N85" s="44"/>
      <c r="O85" s="44"/>
      <c r="P85" s="44"/>
      <c r="Q85" s="39"/>
      <c r="R85" s="39"/>
      <c r="S85" s="45"/>
      <c r="T85" s="40"/>
      <c r="U85" s="40"/>
      <c r="V85" s="40"/>
      <c r="W85"/>
      <c r="AC85"/>
      <c r="AD85"/>
    </row>
    <row r="86" spans="1:30" ht="14.5" customHeight="1" x14ac:dyDescent="0.35">
      <c r="A86" s="2" t="s">
        <v>192</v>
      </c>
      <c r="B86" s="3" t="s">
        <v>193</v>
      </c>
      <c r="C86" s="3" t="s">
        <v>191</v>
      </c>
      <c r="D86" s="3"/>
      <c r="E86" s="2"/>
      <c r="F86" s="4">
        <v>4</v>
      </c>
      <c r="G86" s="5"/>
      <c r="H86" s="5"/>
      <c r="I86" s="35" t="s">
        <v>194</v>
      </c>
      <c r="J86" s="6"/>
      <c r="K86" s="6"/>
      <c r="L86" s="6"/>
      <c r="M86" s="6"/>
      <c r="N86" s="6"/>
      <c r="O86" s="6"/>
      <c r="P86" s="6"/>
      <c r="Q86" s="2"/>
      <c r="R86" s="2" t="s">
        <v>25</v>
      </c>
      <c r="S86" s="7">
        <v>46213</v>
      </c>
      <c r="T86" s="3"/>
      <c r="U86" s="3"/>
      <c r="V86" s="3"/>
      <c r="W86"/>
      <c r="AC86"/>
      <c r="AD86"/>
    </row>
    <row r="87" spans="1:30" ht="14.5" customHeight="1" x14ac:dyDescent="0.35">
      <c r="A87" s="2" t="s">
        <v>195</v>
      </c>
      <c r="B87" s="3" t="s">
        <v>196</v>
      </c>
      <c r="C87" s="3" t="s">
        <v>191</v>
      </c>
      <c r="D87" s="3"/>
      <c r="E87" s="2"/>
      <c r="F87" s="4">
        <v>4</v>
      </c>
      <c r="G87" s="5"/>
      <c r="H87" s="5"/>
      <c r="I87" s="36" t="s">
        <v>197</v>
      </c>
      <c r="J87" s="6"/>
      <c r="K87" s="6"/>
      <c r="L87" s="6"/>
      <c r="M87" s="6"/>
      <c r="N87" s="6"/>
      <c r="O87" s="6"/>
      <c r="P87" s="6"/>
      <c r="Q87" s="2"/>
      <c r="R87" s="2" t="s">
        <v>25</v>
      </c>
      <c r="S87" s="7">
        <v>46213</v>
      </c>
      <c r="T87" s="3"/>
      <c r="U87" s="3"/>
      <c r="V87" s="3"/>
      <c r="W87"/>
      <c r="AC87"/>
      <c r="AD87"/>
    </row>
    <row r="88" spans="1:30" ht="14.5" customHeight="1" x14ac:dyDescent="0.35">
      <c r="A88" s="2" t="s">
        <v>198</v>
      </c>
      <c r="B88" s="3" t="s">
        <v>199</v>
      </c>
      <c r="C88" s="3" t="s">
        <v>191</v>
      </c>
      <c r="D88" s="3"/>
      <c r="E88" s="2"/>
      <c r="F88" s="4">
        <v>4</v>
      </c>
      <c r="G88" s="5"/>
      <c r="H88" s="5"/>
      <c r="I88" s="34"/>
      <c r="J88" s="6"/>
      <c r="K88" s="6"/>
      <c r="L88" s="6"/>
      <c r="M88" s="6"/>
      <c r="N88" s="6"/>
      <c r="O88" s="6"/>
      <c r="P88" s="6"/>
      <c r="Q88" s="2"/>
      <c r="R88" s="2" t="s">
        <v>25</v>
      </c>
      <c r="S88" s="7">
        <v>46213</v>
      </c>
      <c r="T88" s="3"/>
      <c r="U88" s="3"/>
      <c r="V88" s="3"/>
      <c r="W88"/>
      <c r="AC88"/>
      <c r="AD88"/>
    </row>
    <row r="89" spans="1:30" ht="14.5" customHeight="1" x14ac:dyDescent="0.35">
      <c r="A89" s="2" t="s">
        <v>200</v>
      </c>
      <c r="B89" s="3" t="s">
        <v>201</v>
      </c>
      <c r="C89" s="3" t="s">
        <v>191</v>
      </c>
      <c r="D89" s="3"/>
      <c r="E89" s="2"/>
      <c r="F89" s="4">
        <v>4</v>
      </c>
      <c r="G89" s="5"/>
      <c r="H89" s="5"/>
      <c r="I89" s="35" t="s">
        <v>202</v>
      </c>
      <c r="J89" s="6"/>
      <c r="K89" s="6"/>
      <c r="L89" s="6"/>
      <c r="M89" s="6"/>
      <c r="N89" s="6"/>
      <c r="O89" s="6"/>
      <c r="P89" s="6"/>
      <c r="Q89" s="2"/>
      <c r="R89" s="2" t="s">
        <v>25</v>
      </c>
      <c r="S89" s="7">
        <v>46213</v>
      </c>
      <c r="T89" s="3"/>
      <c r="U89" s="3"/>
      <c r="V89" s="3"/>
      <c r="W89"/>
      <c r="AC89"/>
      <c r="AD89"/>
    </row>
    <row r="90" spans="1:30" ht="14.5" customHeight="1" x14ac:dyDescent="0.35">
      <c r="A90" s="2" t="s">
        <v>203</v>
      </c>
      <c r="B90" s="3" t="s">
        <v>204</v>
      </c>
      <c r="C90" s="3" t="s">
        <v>191</v>
      </c>
      <c r="D90" s="3"/>
      <c r="E90" s="2"/>
      <c r="F90" s="4">
        <v>4</v>
      </c>
      <c r="G90" s="5"/>
      <c r="H90" s="5"/>
      <c r="I90" s="36" t="s">
        <v>205</v>
      </c>
      <c r="J90" s="6"/>
      <c r="K90" s="6"/>
      <c r="L90" s="6"/>
      <c r="M90" s="6"/>
      <c r="N90" s="6"/>
      <c r="O90" s="6"/>
      <c r="P90" s="6"/>
      <c r="Q90" s="2"/>
      <c r="R90" s="2" t="s">
        <v>25</v>
      </c>
      <c r="S90" s="7">
        <v>46213</v>
      </c>
      <c r="T90" s="3"/>
      <c r="U90" s="3"/>
      <c r="V90" s="3"/>
      <c r="W90"/>
      <c r="AC90"/>
      <c r="AD90"/>
    </row>
    <row r="91" spans="1:30" ht="14.5" customHeight="1" x14ac:dyDescent="0.35">
      <c r="A91" s="2" t="s">
        <v>206</v>
      </c>
      <c r="B91" s="3" t="s">
        <v>207</v>
      </c>
      <c r="C91" s="3" t="s">
        <v>191</v>
      </c>
      <c r="D91" s="3"/>
      <c r="E91" s="2"/>
      <c r="F91" s="4">
        <v>4</v>
      </c>
      <c r="G91" s="5"/>
      <c r="H91" s="5"/>
      <c r="I91" s="35" t="s">
        <v>208</v>
      </c>
      <c r="J91" s="6"/>
      <c r="K91" s="6"/>
      <c r="L91" s="6"/>
      <c r="M91" s="6"/>
      <c r="N91" s="6"/>
      <c r="O91" s="6"/>
      <c r="P91" s="6"/>
      <c r="Q91" s="2"/>
      <c r="R91" s="2" t="s">
        <v>25</v>
      </c>
      <c r="S91" s="7">
        <v>46213</v>
      </c>
      <c r="T91" s="3"/>
      <c r="U91" s="3"/>
      <c r="V91" s="3"/>
      <c r="W91"/>
      <c r="AC91"/>
      <c r="AD91"/>
    </row>
    <row r="92" spans="1:30" ht="14.5" customHeight="1" x14ac:dyDescent="0.35">
      <c r="A92" s="2" t="s">
        <v>209</v>
      </c>
      <c r="B92" s="3" t="s">
        <v>210</v>
      </c>
      <c r="C92" s="3" t="s">
        <v>191</v>
      </c>
      <c r="D92" s="3"/>
      <c r="E92" s="2"/>
      <c r="F92" s="4">
        <v>4</v>
      </c>
      <c r="G92" s="5"/>
      <c r="H92" s="5"/>
      <c r="I92" s="34"/>
      <c r="J92" s="6"/>
      <c r="K92" s="6"/>
      <c r="L92" s="6"/>
      <c r="M92" s="6"/>
      <c r="N92" s="6"/>
      <c r="O92" s="6"/>
      <c r="P92" s="6"/>
      <c r="Q92" s="2"/>
      <c r="R92" s="2" t="s">
        <v>25</v>
      </c>
      <c r="S92" s="7">
        <v>46213</v>
      </c>
      <c r="T92" s="3"/>
      <c r="U92" s="3"/>
      <c r="V92" s="3"/>
      <c r="W92"/>
      <c r="AC92"/>
      <c r="AD92"/>
    </row>
    <row r="93" spans="1:30" ht="14.5" customHeight="1" x14ac:dyDescent="0.35">
      <c r="A93" s="2" t="s">
        <v>211</v>
      </c>
      <c r="B93" s="3" t="s">
        <v>212</v>
      </c>
      <c r="C93" s="3" t="s">
        <v>191</v>
      </c>
      <c r="D93" s="3"/>
      <c r="E93" s="2"/>
      <c r="F93" s="4">
        <v>6</v>
      </c>
      <c r="G93" s="5"/>
      <c r="H93" s="5"/>
      <c r="I93" s="34"/>
      <c r="J93" s="6"/>
      <c r="K93" s="6"/>
      <c r="L93" s="6"/>
      <c r="M93" s="6"/>
      <c r="N93" s="6"/>
      <c r="O93" s="6"/>
      <c r="P93" s="6"/>
      <c r="Q93" s="2"/>
      <c r="R93" s="2" t="s">
        <v>25</v>
      </c>
      <c r="S93" s="7">
        <v>46213</v>
      </c>
      <c r="T93" s="3"/>
      <c r="U93" s="3"/>
      <c r="V93" s="3"/>
      <c r="W93"/>
      <c r="AC93"/>
      <c r="AD93"/>
    </row>
    <row r="94" spans="1:30" ht="14.5" customHeight="1" x14ac:dyDescent="0.35">
      <c r="A94" s="2" t="s">
        <v>213</v>
      </c>
      <c r="B94" s="3" t="s">
        <v>214</v>
      </c>
      <c r="C94" s="3" t="s">
        <v>191</v>
      </c>
      <c r="D94" s="3"/>
      <c r="E94" s="2"/>
      <c r="F94" s="4">
        <v>6</v>
      </c>
      <c r="G94" s="5"/>
      <c r="H94" s="5"/>
      <c r="I94" s="34"/>
      <c r="J94" s="6"/>
      <c r="K94" s="6"/>
      <c r="L94" s="6"/>
      <c r="M94" s="6"/>
      <c r="N94" s="6"/>
      <c r="O94" s="6"/>
      <c r="P94" s="6"/>
      <c r="Q94" s="2"/>
      <c r="R94" s="2" t="s">
        <v>25</v>
      </c>
      <c r="S94" s="7">
        <v>46213</v>
      </c>
      <c r="T94" s="3"/>
      <c r="U94" s="3"/>
      <c r="V94" s="3"/>
      <c r="W94"/>
      <c r="AC94"/>
      <c r="AD94"/>
    </row>
    <row r="95" spans="1:30" ht="14.5" customHeight="1" x14ac:dyDescent="0.35">
      <c r="A95" s="2" t="s">
        <v>215</v>
      </c>
      <c r="B95" s="3" t="s">
        <v>216</v>
      </c>
      <c r="C95" s="3" t="s">
        <v>191</v>
      </c>
      <c r="D95" s="3"/>
      <c r="E95" s="2"/>
      <c r="F95" s="4">
        <v>6</v>
      </c>
      <c r="G95" s="5"/>
      <c r="H95" s="5"/>
      <c r="I95" s="36" t="s">
        <v>217</v>
      </c>
      <c r="J95" s="6"/>
      <c r="K95" s="6"/>
      <c r="L95" s="6"/>
      <c r="M95" s="6"/>
      <c r="N95" s="6"/>
      <c r="O95" s="6"/>
      <c r="P95" s="6"/>
      <c r="Q95" s="2"/>
      <c r="R95" s="2" t="s">
        <v>25</v>
      </c>
      <c r="S95" s="7">
        <v>46213</v>
      </c>
      <c r="T95" s="3"/>
      <c r="U95" s="3"/>
      <c r="V95" s="3"/>
      <c r="W95"/>
      <c r="AC95"/>
      <c r="AD95"/>
    </row>
    <row r="96" spans="1:30" ht="14.5" customHeight="1" x14ac:dyDescent="0.35">
      <c r="A96" s="2"/>
      <c r="B96" s="3" t="s">
        <v>218</v>
      </c>
      <c r="C96" s="3" t="s">
        <v>191</v>
      </c>
      <c r="D96" s="3"/>
      <c r="E96" s="2"/>
      <c r="F96" s="4">
        <v>3</v>
      </c>
      <c r="G96" s="5"/>
      <c r="H96" s="5"/>
      <c r="I96" s="34"/>
      <c r="J96" s="6"/>
      <c r="K96" s="6"/>
      <c r="L96" s="6"/>
      <c r="M96" s="6"/>
      <c r="N96" s="6"/>
      <c r="O96" s="6"/>
      <c r="P96" s="6"/>
      <c r="Q96" s="2"/>
      <c r="R96" s="2" t="s">
        <v>25</v>
      </c>
      <c r="S96" s="7">
        <v>46213</v>
      </c>
      <c r="T96" s="3" t="s">
        <v>26</v>
      </c>
      <c r="U96" s="3"/>
      <c r="V96" s="3"/>
      <c r="W96"/>
      <c r="AC96"/>
      <c r="AD96"/>
    </row>
    <row r="97" spans="1:30" ht="14.5" customHeight="1" x14ac:dyDescent="0.35">
      <c r="A97" s="2"/>
      <c r="B97" s="3" t="s">
        <v>219</v>
      </c>
      <c r="C97" s="3" t="s">
        <v>191</v>
      </c>
      <c r="D97" s="3"/>
      <c r="E97" s="2"/>
      <c r="F97" s="4">
        <v>4</v>
      </c>
      <c r="G97" s="5"/>
      <c r="H97" s="5"/>
      <c r="I97" s="34"/>
      <c r="J97" s="6"/>
      <c r="K97" s="6"/>
      <c r="L97" s="6"/>
      <c r="M97" s="6"/>
      <c r="N97" s="6"/>
      <c r="O97" s="6"/>
      <c r="P97" s="6"/>
      <c r="Q97" s="2"/>
      <c r="R97" s="2" t="s">
        <v>25</v>
      </c>
      <c r="S97" s="7">
        <v>46213</v>
      </c>
      <c r="T97" s="3" t="s">
        <v>26</v>
      </c>
      <c r="U97" s="3"/>
      <c r="V97" s="3"/>
      <c r="W97"/>
      <c r="AC97"/>
      <c r="AD97"/>
    </row>
    <row r="98" spans="1:30" ht="14.5" customHeight="1" x14ac:dyDescent="0.35">
      <c r="A98" s="2" t="s">
        <v>220</v>
      </c>
      <c r="B98" s="3" t="s">
        <v>221</v>
      </c>
      <c r="C98" s="3" t="s">
        <v>191</v>
      </c>
      <c r="D98" s="3"/>
      <c r="E98" s="2"/>
      <c r="F98" s="4">
        <v>3</v>
      </c>
      <c r="G98" s="5"/>
      <c r="H98" s="5"/>
      <c r="I98" s="34"/>
      <c r="J98" s="6"/>
      <c r="K98" s="6"/>
      <c r="L98" s="6"/>
      <c r="M98" s="6"/>
      <c r="N98" s="6"/>
      <c r="O98" s="6"/>
      <c r="P98" s="6"/>
      <c r="Q98" s="2"/>
      <c r="R98" s="2" t="s">
        <v>25</v>
      </c>
      <c r="S98" s="7">
        <v>46213</v>
      </c>
      <c r="T98" s="3"/>
      <c r="U98" s="3"/>
      <c r="V98" s="3"/>
      <c r="W98"/>
      <c r="AC98"/>
      <c r="AD98"/>
    </row>
    <row r="99" spans="1:30" ht="14.5" customHeight="1" x14ac:dyDescent="0.35">
      <c r="A99" s="2" t="s">
        <v>222</v>
      </c>
      <c r="B99" s="3" t="s">
        <v>223</v>
      </c>
      <c r="C99" s="3" t="s">
        <v>191</v>
      </c>
      <c r="D99" s="3"/>
      <c r="E99" s="2"/>
      <c r="F99" s="4">
        <v>6</v>
      </c>
      <c r="G99" s="5"/>
      <c r="H99" s="5"/>
      <c r="I99" s="34"/>
      <c r="J99" s="6"/>
      <c r="K99" s="6"/>
      <c r="L99" s="6"/>
      <c r="M99" s="6"/>
      <c r="N99" s="6"/>
      <c r="O99" s="6"/>
      <c r="P99" s="6"/>
      <c r="Q99" s="2"/>
      <c r="R99" s="2" t="s">
        <v>25</v>
      </c>
      <c r="S99" s="7">
        <v>46213</v>
      </c>
      <c r="T99" s="3" t="s">
        <v>224</v>
      </c>
      <c r="U99" s="3"/>
      <c r="V99" s="3"/>
      <c r="W99"/>
      <c r="AC99"/>
      <c r="AD99"/>
    </row>
    <row r="100" spans="1:30" ht="14.5" customHeight="1" x14ac:dyDescent="0.35">
      <c r="A100" s="2" t="s">
        <v>225</v>
      </c>
      <c r="B100" s="3" t="s">
        <v>226</v>
      </c>
      <c r="C100" s="3" t="s">
        <v>191</v>
      </c>
      <c r="D100" s="3"/>
      <c r="E100" s="2"/>
      <c r="F100" s="4">
        <v>4</v>
      </c>
      <c r="G100" s="5"/>
      <c r="H100" s="5"/>
      <c r="I100" s="36" t="s">
        <v>227</v>
      </c>
      <c r="J100" s="6"/>
      <c r="K100" s="6"/>
      <c r="L100" s="6"/>
      <c r="M100" s="6"/>
      <c r="N100" s="6"/>
      <c r="O100" s="6"/>
      <c r="P100" s="6"/>
      <c r="Q100" s="2"/>
      <c r="R100" s="2" t="s">
        <v>25</v>
      </c>
      <c r="S100" s="7">
        <v>46213</v>
      </c>
      <c r="T100" s="3"/>
      <c r="U100" s="3"/>
      <c r="V100" s="3"/>
      <c r="W100"/>
      <c r="AC100"/>
      <c r="AD100"/>
    </row>
    <row r="101" spans="1:30" ht="14.5" customHeight="1" x14ac:dyDescent="0.35">
      <c r="A101" s="2" t="s">
        <v>228</v>
      </c>
      <c r="B101" s="3" t="s">
        <v>229</v>
      </c>
      <c r="C101" s="3" t="s">
        <v>191</v>
      </c>
      <c r="D101" s="3"/>
      <c r="E101" s="2"/>
      <c r="F101" s="4">
        <v>4</v>
      </c>
      <c r="G101" s="5"/>
      <c r="H101" s="5"/>
      <c r="I101" s="35" t="s">
        <v>227</v>
      </c>
      <c r="J101" s="6"/>
      <c r="K101" s="6"/>
      <c r="L101" s="6"/>
      <c r="M101" s="6"/>
      <c r="N101" s="6"/>
      <c r="O101" s="6"/>
      <c r="P101" s="6"/>
      <c r="Q101" s="2"/>
      <c r="R101" s="2" t="s">
        <v>25</v>
      </c>
      <c r="S101" s="7">
        <v>46213</v>
      </c>
      <c r="T101" s="3"/>
      <c r="U101" s="3"/>
      <c r="V101" s="3"/>
      <c r="W101"/>
      <c r="AC101"/>
      <c r="AD101"/>
    </row>
    <row r="102" spans="1:30" ht="14.5" customHeight="1" x14ac:dyDescent="0.35">
      <c r="A102" s="2" t="s">
        <v>230</v>
      </c>
      <c r="B102" s="3" t="s">
        <v>231</v>
      </c>
      <c r="C102" s="3" t="s">
        <v>191</v>
      </c>
      <c r="D102" s="3"/>
      <c r="E102" s="2"/>
      <c r="F102" s="4">
        <v>4</v>
      </c>
      <c r="G102" s="5"/>
      <c r="H102" s="5"/>
      <c r="I102" s="34"/>
      <c r="J102" s="6"/>
      <c r="K102" s="6"/>
      <c r="L102" s="6"/>
      <c r="M102" s="6"/>
      <c r="N102" s="6"/>
      <c r="O102" s="6"/>
      <c r="P102" s="6"/>
      <c r="Q102" s="2"/>
      <c r="R102" s="2" t="s">
        <v>25</v>
      </c>
      <c r="S102" s="7">
        <v>46213</v>
      </c>
      <c r="T102" s="3"/>
      <c r="U102" s="3"/>
      <c r="V102" s="3"/>
      <c r="W102"/>
      <c r="AC102"/>
      <c r="AD102"/>
    </row>
    <row r="103" spans="1:30" ht="14.5" customHeight="1" x14ac:dyDescent="0.35">
      <c r="A103" s="2" t="s">
        <v>232</v>
      </c>
      <c r="B103" s="3" t="s">
        <v>233</v>
      </c>
      <c r="C103" s="3" t="s">
        <v>191</v>
      </c>
      <c r="D103" s="3"/>
      <c r="E103" s="2"/>
      <c r="F103" s="4">
        <v>6</v>
      </c>
      <c r="G103" s="5"/>
      <c r="H103" s="5"/>
      <c r="I103" s="34"/>
      <c r="J103" s="6"/>
      <c r="K103" s="6"/>
      <c r="L103" s="6"/>
      <c r="M103" s="6"/>
      <c r="N103" s="6"/>
      <c r="O103" s="6"/>
      <c r="P103" s="6"/>
      <c r="Q103" s="2"/>
      <c r="R103" s="2" t="s">
        <v>25</v>
      </c>
      <c r="S103" s="7">
        <v>46213</v>
      </c>
      <c r="T103" s="3"/>
      <c r="U103" s="3"/>
      <c r="V103" s="3"/>
      <c r="W103"/>
      <c r="AC103"/>
      <c r="AD103"/>
    </row>
    <row r="104" spans="1:30" ht="14.5" customHeight="1" x14ac:dyDescent="0.35">
      <c r="A104" s="2" t="s">
        <v>234</v>
      </c>
      <c r="B104" s="3" t="s">
        <v>235</v>
      </c>
      <c r="C104" s="3" t="s">
        <v>191</v>
      </c>
      <c r="D104" s="3"/>
      <c r="E104" s="2"/>
      <c r="F104" s="4">
        <v>6</v>
      </c>
      <c r="G104" s="5"/>
      <c r="H104" s="5"/>
      <c r="I104" s="34"/>
      <c r="J104" s="6"/>
      <c r="K104" s="6"/>
      <c r="L104" s="6"/>
      <c r="M104" s="6"/>
      <c r="N104" s="6"/>
      <c r="O104" s="6"/>
      <c r="P104" s="6"/>
      <c r="Q104" s="2"/>
      <c r="R104" s="2" t="s">
        <v>25</v>
      </c>
      <c r="S104" s="7">
        <v>46213</v>
      </c>
      <c r="T104" s="3"/>
      <c r="U104" s="3"/>
      <c r="V104" s="3"/>
      <c r="W104"/>
      <c r="AC104"/>
      <c r="AD104"/>
    </row>
    <row r="105" spans="1:30" ht="14.5" customHeight="1" x14ac:dyDescent="0.35">
      <c r="A105" s="2"/>
      <c r="B105" s="3" t="s">
        <v>236</v>
      </c>
      <c r="C105" s="3" t="s">
        <v>191</v>
      </c>
      <c r="D105" s="3"/>
      <c r="E105" s="2"/>
      <c r="F105" s="4">
        <v>4</v>
      </c>
      <c r="G105" s="5"/>
      <c r="H105" s="5"/>
      <c r="I105" s="34"/>
      <c r="J105" s="6"/>
      <c r="K105" s="6"/>
      <c r="L105" s="6"/>
      <c r="M105" s="6"/>
      <c r="N105" s="6"/>
      <c r="O105" s="6"/>
      <c r="P105" s="6"/>
      <c r="Q105" s="2"/>
      <c r="R105" s="2" t="s">
        <v>25</v>
      </c>
      <c r="S105" s="7">
        <v>46213</v>
      </c>
      <c r="T105" s="3" t="s">
        <v>26</v>
      </c>
      <c r="U105" s="3"/>
      <c r="V105" s="3"/>
      <c r="W105"/>
      <c r="AC105"/>
      <c r="AD105"/>
    </row>
    <row r="106" spans="1:30" ht="14.5" customHeight="1" x14ac:dyDescent="0.35">
      <c r="A106" s="2"/>
      <c r="B106" s="3" t="s">
        <v>237</v>
      </c>
      <c r="C106" s="3" t="s">
        <v>191</v>
      </c>
      <c r="D106" s="3"/>
      <c r="E106" s="2"/>
      <c r="F106" s="4">
        <v>7</v>
      </c>
      <c r="G106" s="5"/>
      <c r="H106" s="5"/>
      <c r="I106" s="34"/>
      <c r="J106" s="6"/>
      <c r="K106" s="6"/>
      <c r="L106" s="6"/>
      <c r="M106" s="6"/>
      <c r="N106" s="6"/>
      <c r="O106" s="6"/>
      <c r="P106" s="6"/>
      <c r="Q106" s="2"/>
      <c r="R106" s="2" t="s">
        <v>25</v>
      </c>
      <c r="S106" s="7">
        <v>46213</v>
      </c>
      <c r="T106" s="3" t="s">
        <v>26</v>
      </c>
      <c r="U106" s="3"/>
      <c r="V106" s="3"/>
      <c r="W106"/>
      <c r="AC106"/>
      <c r="AD106"/>
    </row>
    <row r="107" spans="1:30" ht="14.5" customHeight="1" x14ac:dyDescent="0.35">
      <c r="A107" s="2"/>
      <c r="B107" s="3" t="s">
        <v>238</v>
      </c>
      <c r="C107" s="3" t="s">
        <v>191</v>
      </c>
      <c r="D107" s="3"/>
      <c r="E107" s="2"/>
      <c r="F107" s="4"/>
      <c r="G107" s="5"/>
      <c r="H107" s="5"/>
      <c r="I107" s="34"/>
      <c r="J107" s="6"/>
      <c r="K107" s="6"/>
      <c r="L107" s="6"/>
      <c r="M107" s="6"/>
      <c r="N107" s="6"/>
      <c r="O107" s="6"/>
      <c r="P107" s="6"/>
      <c r="Q107" s="2"/>
      <c r="R107" s="2" t="s">
        <v>25</v>
      </c>
      <c r="S107" s="7">
        <v>46213</v>
      </c>
      <c r="T107" s="3" t="s">
        <v>26</v>
      </c>
      <c r="U107" s="3"/>
      <c r="V107" s="3"/>
      <c r="W107"/>
      <c r="AC107"/>
      <c r="AD107"/>
    </row>
    <row r="108" spans="1:30" ht="14.5" customHeight="1" x14ac:dyDescent="0.35">
      <c r="A108" s="2"/>
      <c r="B108" s="3" t="s">
        <v>239</v>
      </c>
      <c r="C108" s="3" t="s">
        <v>191</v>
      </c>
      <c r="D108" s="3"/>
      <c r="E108" s="2"/>
      <c r="F108" s="4">
        <v>3</v>
      </c>
      <c r="G108" s="5"/>
      <c r="H108" s="5"/>
      <c r="I108" s="34"/>
      <c r="J108" s="6"/>
      <c r="K108" s="6"/>
      <c r="L108" s="6"/>
      <c r="M108" s="6"/>
      <c r="N108" s="6"/>
      <c r="O108" s="6"/>
      <c r="P108" s="6"/>
      <c r="Q108" s="2"/>
      <c r="R108" s="2" t="s">
        <v>25</v>
      </c>
      <c r="S108" s="7">
        <v>46213</v>
      </c>
      <c r="T108" s="3" t="s">
        <v>26</v>
      </c>
      <c r="U108" s="3"/>
      <c r="V108" s="3"/>
      <c r="W108"/>
      <c r="AC108"/>
      <c r="AD108"/>
    </row>
    <row r="109" spans="1:30" ht="14.5" customHeight="1" x14ac:dyDescent="0.35">
      <c r="A109" s="2"/>
      <c r="B109" s="3" t="s">
        <v>240</v>
      </c>
      <c r="C109" s="3" t="s">
        <v>191</v>
      </c>
      <c r="D109" s="3"/>
      <c r="E109" s="2"/>
      <c r="F109" s="4"/>
      <c r="G109" s="5"/>
      <c r="H109" s="5"/>
      <c r="I109" s="34"/>
      <c r="J109" s="6"/>
      <c r="K109" s="6"/>
      <c r="L109" s="6"/>
      <c r="M109" s="6"/>
      <c r="N109" s="6"/>
      <c r="O109" s="6"/>
      <c r="P109" s="6"/>
      <c r="Q109" s="2"/>
      <c r="R109" s="2" t="s">
        <v>25</v>
      </c>
      <c r="S109" s="7">
        <v>46213</v>
      </c>
      <c r="T109" s="3" t="s">
        <v>26</v>
      </c>
      <c r="U109" s="3"/>
      <c r="V109" s="3"/>
      <c r="W109"/>
      <c r="AC109"/>
      <c r="AD109"/>
    </row>
    <row r="110" spans="1:30" ht="14.5" customHeight="1" x14ac:dyDescent="0.35">
      <c r="A110" s="2"/>
      <c r="B110" s="3" t="s">
        <v>241</v>
      </c>
      <c r="C110" s="3" t="s">
        <v>191</v>
      </c>
      <c r="D110" s="3"/>
      <c r="E110" s="2"/>
      <c r="F110" s="4"/>
      <c r="G110" s="5"/>
      <c r="H110" s="5"/>
      <c r="I110" s="34"/>
      <c r="J110" s="6"/>
      <c r="K110" s="6"/>
      <c r="L110" s="6"/>
      <c r="M110" s="6"/>
      <c r="N110" s="6"/>
      <c r="O110" s="6"/>
      <c r="P110" s="6"/>
      <c r="Q110" s="2"/>
      <c r="R110" s="2" t="s">
        <v>25</v>
      </c>
      <c r="S110" s="7">
        <v>46213</v>
      </c>
      <c r="T110" s="3" t="s">
        <v>26</v>
      </c>
      <c r="U110" s="3"/>
      <c r="V110" s="3"/>
      <c r="W110"/>
      <c r="AC110"/>
      <c r="AD110"/>
    </row>
    <row r="111" spans="1:30" ht="14.5" customHeight="1" x14ac:dyDescent="0.35">
      <c r="A111" s="2" t="s">
        <v>242</v>
      </c>
      <c r="B111" s="3" t="s">
        <v>243</v>
      </c>
      <c r="C111" s="3" t="s">
        <v>191</v>
      </c>
      <c r="D111" s="3"/>
      <c r="E111" s="2"/>
      <c r="F111" s="4"/>
      <c r="G111" s="5"/>
      <c r="H111" s="5"/>
      <c r="I111" s="34"/>
      <c r="J111" s="6"/>
      <c r="K111" s="6"/>
      <c r="L111" s="6"/>
      <c r="M111" s="6"/>
      <c r="N111" s="6"/>
      <c r="O111" s="6"/>
      <c r="P111" s="6"/>
      <c r="Q111" s="2"/>
      <c r="R111" s="2"/>
      <c r="S111" s="7"/>
      <c r="T111" s="3"/>
      <c r="U111" s="3"/>
      <c r="V111" s="3"/>
      <c r="W111"/>
      <c r="AC111"/>
      <c r="AD111"/>
    </row>
    <row r="112" spans="1:30" ht="14.5" customHeight="1" x14ac:dyDescent="0.35">
      <c r="A112" s="47" t="s">
        <v>244</v>
      </c>
      <c r="B112" s="40"/>
      <c r="C112" s="40"/>
      <c r="D112" s="40"/>
      <c r="E112" s="39"/>
      <c r="F112" s="41"/>
      <c r="G112" s="42"/>
      <c r="H112" s="42"/>
      <c r="I112" s="43"/>
      <c r="J112" s="44"/>
      <c r="K112" s="44"/>
      <c r="L112" s="44"/>
      <c r="M112" s="44"/>
      <c r="N112" s="44"/>
      <c r="O112" s="44"/>
      <c r="P112" s="44"/>
      <c r="Q112" s="39"/>
      <c r="R112" s="39"/>
      <c r="S112" s="45"/>
      <c r="T112" s="40"/>
      <c r="U112" s="40"/>
      <c r="V112" s="40"/>
      <c r="W112"/>
      <c r="AC112"/>
      <c r="AD112"/>
    </row>
    <row r="113" spans="1:30" ht="14.5" customHeight="1" x14ac:dyDescent="0.35">
      <c r="A113" s="2" t="s">
        <v>245</v>
      </c>
      <c r="B113" s="3" t="s">
        <v>246</v>
      </c>
      <c r="C113" s="3" t="s">
        <v>244</v>
      </c>
      <c r="D113" s="3"/>
      <c r="E113" s="2"/>
      <c r="F113" s="4">
        <v>6</v>
      </c>
      <c r="G113" s="5"/>
      <c r="H113" s="5"/>
      <c r="I113" s="38" t="s">
        <v>247</v>
      </c>
      <c r="J113" s="6"/>
      <c r="K113" s="6"/>
      <c r="L113" s="6"/>
      <c r="M113" s="6"/>
      <c r="N113" s="6"/>
      <c r="O113" s="6"/>
      <c r="P113" s="6"/>
      <c r="Q113" s="2"/>
      <c r="R113" s="2" t="s">
        <v>25</v>
      </c>
      <c r="S113" s="7">
        <v>46213</v>
      </c>
      <c r="T113" s="3"/>
      <c r="U113" s="3"/>
      <c r="V113" s="3"/>
      <c r="W113"/>
      <c r="AC113"/>
      <c r="AD113"/>
    </row>
    <row r="114" spans="1:30" ht="14.5" customHeight="1" x14ac:dyDescent="0.35">
      <c r="A114" s="2" t="s">
        <v>248</v>
      </c>
      <c r="B114" s="3" t="s">
        <v>249</v>
      </c>
      <c r="C114" s="3" t="s">
        <v>244</v>
      </c>
      <c r="D114" s="3"/>
      <c r="E114" s="2"/>
      <c r="F114" s="4">
        <v>6</v>
      </c>
      <c r="G114" s="5"/>
      <c r="H114" s="5"/>
      <c r="I114" s="34"/>
      <c r="J114" s="6"/>
      <c r="K114" s="6"/>
      <c r="L114" s="6"/>
      <c r="M114" s="6"/>
      <c r="N114" s="6"/>
      <c r="O114" s="6"/>
      <c r="P114" s="6"/>
      <c r="Q114" s="2"/>
      <c r="R114" s="2" t="s">
        <v>25</v>
      </c>
      <c r="S114" s="7">
        <v>46213</v>
      </c>
      <c r="T114" s="3"/>
      <c r="U114" s="3"/>
      <c r="V114" s="3"/>
      <c r="W114"/>
      <c r="AC114"/>
      <c r="AD114"/>
    </row>
    <row r="115" spans="1:30" ht="14.5" customHeight="1" x14ac:dyDescent="0.35">
      <c r="A115" s="2" t="s">
        <v>250</v>
      </c>
      <c r="B115" s="3" t="s">
        <v>251</v>
      </c>
      <c r="C115" s="3" t="s">
        <v>244</v>
      </c>
      <c r="D115" s="3"/>
      <c r="E115" s="2"/>
      <c r="F115" s="4">
        <v>6</v>
      </c>
      <c r="G115" s="5"/>
      <c r="H115" s="5"/>
      <c r="I115" s="34"/>
      <c r="J115" s="6"/>
      <c r="K115" s="6"/>
      <c r="L115" s="6"/>
      <c r="M115" s="6"/>
      <c r="N115" s="6"/>
      <c r="O115" s="6"/>
      <c r="P115" s="6"/>
      <c r="Q115" s="2"/>
      <c r="R115" s="2" t="s">
        <v>25</v>
      </c>
      <c r="S115" s="7">
        <v>46213</v>
      </c>
      <c r="T115" s="3"/>
      <c r="U115" s="3"/>
      <c r="V115" s="3"/>
      <c r="W115"/>
      <c r="AC115"/>
      <c r="AD115"/>
    </row>
    <row r="116" spans="1:30" ht="14.5" customHeight="1" x14ac:dyDescent="0.35">
      <c r="A116" s="2" t="s">
        <v>252</v>
      </c>
      <c r="B116" s="3" t="s">
        <v>253</v>
      </c>
      <c r="C116" s="3" t="s">
        <v>244</v>
      </c>
      <c r="D116" s="3"/>
      <c r="E116" s="2"/>
      <c r="F116" s="4">
        <v>6</v>
      </c>
      <c r="G116" s="5"/>
      <c r="H116" s="5"/>
      <c r="I116" s="36" t="s">
        <v>254</v>
      </c>
      <c r="J116" s="6"/>
      <c r="K116" s="6"/>
      <c r="L116" s="6"/>
      <c r="M116" s="6"/>
      <c r="N116" s="6"/>
      <c r="O116" s="6"/>
      <c r="P116" s="6"/>
      <c r="Q116" s="2"/>
      <c r="R116" s="2" t="s">
        <v>25</v>
      </c>
      <c r="S116" s="7">
        <v>46213</v>
      </c>
      <c r="T116" s="3"/>
      <c r="U116" s="3"/>
      <c r="V116" s="3"/>
      <c r="W116"/>
      <c r="AC116"/>
      <c r="AD116"/>
    </row>
    <row r="117" spans="1:30" ht="14.5" customHeight="1" x14ac:dyDescent="0.35">
      <c r="A117" s="2" t="s">
        <v>255</v>
      </c>
      <c r="B117" s="3" t="s">
        <v>256</v>
      </c>
      <c r="C117" s="3" t="s">
        <v>244</v>
      </c>
      <c r="D117" s="3"/>
      <c r="E117" s="2"/>
      <c r="F117" s="4">
        <v>5</v>
      </c>
      <c r="G117" s="5"/>
      <c r="H117" s="5"/>
      <c r="I117" s="36" t="s">
        <v>257</v>
      </c>
      <c r="J117" s="6"/>
      <c r="K117" s="6"/>
      <c r="L117" s="6"/>
      <c r="M117" s="6"/>
      <c r="N117" s="6"/>
      <c r="O117" s="6"/>
      <c r="P117" s="6"/>
      <c r="Q117" s="2"/>
      <c r="R117" s="2" t="s">
        <v>25</v>
      </c>
      <c r="S117" s="7">
        <v>46213</v>
      </c>
      <c r="T117" s="3"/>
      <c r="U117" s="3"/>
      <c r="V117" s="3"/>
      <c r="W117"/>
      <c r="AC117"/>
      <c r="AD117"/>
    </row>
    <row r="118" spans="1:30" ht="14.5" customHeight="1" x14ac:dyDescent="0.35">
      <c r="A118" s="2" t="s">
        <v>258</v>
      </c>
      <c r="B118" s="3" t="s">
        <v>259</v>
      </c>
      <c r="C118" s="3" t="s">
        <v>244</v>
      </c>
      <c r="D118" s="3"/>
      <c r="E118" s="2"/>
      <c r="F118" s="4">
        <v>4</v>
      </c>
      <c r="G118" s="5"/>
      <c r="H118" s="5"/>
      <c r="I118" s="36" t="s">
        <v>260</v>
      </c>
      <c r="J118" s="6"/>
      <c r="K118" s="6"/>
      <c r="L118" s="6"/>
      <c r="M118" s="6"/>
      <c r="N118" s="6"/>
      <c r="O118" s="6"/>
      <c r="P118" s="6"/>
      <c r="Q118" s="2"/>
      <c r="R118" s="2" t="s">
        <v>25</v>
      </c>
      <c r="S118" s="7">
        <v>46213</v>
      </c>
      <c r="T118" s="3"/>
      <c r="U118" s="3"/>
      <c r="V118" s="3"/>
      <c r="W118"/>
      <c r="AC118"/>
      <c r="AD118"/>
    </row>
    <row r="119" spans="1:30" ht="14.5" customHeight="1" x14ac:dyDescent="0.35">
      <c r="A119" s="2" t="s">
        <v>261</v>
      </c>
      <c r="B119" s="3" t="s">
        <v>262</v>
      </c>
      <c r="C119" s="3" t="s">
        <v>244</v>
      </c>
      <c r="D119" s="3"/>
      <c r="E119" s="2"/>
      <c r="F119" s="4">
        <v>6</v>
      </c>
      <c r="G119" s="5"/>
      <c r="H119" s="5"/>
      <c r="I119" s="34"/>
      <c r="J119" s="6"/>
      <c r="K119" s="6"/>
      <c r="L119" s="6"/>
      <c r="M119" s="6"/>
      <c r="N119" s="6"/>
      <c r="O119" s="6"/>
      <c r="P119" s="6"/>
      <c r="Q119" s="2"/>
      <c r="R119" s="2" t="s">
        <v>25</v>
      </c>
      <c r="S119" s="7">
        <v>46213</v>
      </c>
      <c r="T119" s="3"/>
      <c r="U119" s="3"/>
      <c r="V119" s="3"/>
      <c r="W119"/>
      <c r="AC119"/>
      <c r="AD119"/>
    </row>
    <row r="120" spans="1:30" ht="14.5" customHeight="1" x14ac:dyDescent="0.35">
      <c r="A120" s="2" t="s">
        <v>263</v>
      </c>
      <c r="B120" s="3" t="s">
        <v>264</v>
      </c>
      <c r="C120" s="3" t="s">
        <v>244</v>
      </c>
      <c r="D120" s="3"/>
      <c r="E120" s="2"/>
      <c r="F120" s="4">
        <v>6</v>
      </c>
      <c r="G120" s="5"/>
      <c r="H120" s="5"/>
      <c r="I120" s="34"/>
      <c r="J120" s="6"/>
      <c r="K120" s="6"/>
      <c r="L120" s="6"/>
      <c r="M120" s="6"/>
      <c r="N120" s="6"/>
      <c r="O120" s="6"/>
      <c r="P120" s="6"/>
      <c r="Q120" s="2"/>
      <c r="R120" s="2" t="s">
        <v>25</v>
      </c>
      <c r="S120" s="7">
        <v>46213</v>
      </c>
      <c r="T120" s="3"/>
      <c r="U120" s="3"/>
      <c r="V120" s="3"/>
      <c r="W120"/>
      <c r="AC120"/>
      <c r="AD120"/>
    </row>
    <row r="121" spans="1:30" ht="14.5" customHeight="1" x14ac:dyDescent="0.35">
      <c r="A121" s="2" t="s">
        <v>265</v>
      </c>
      <c r="B121" s="3" t="s">
        <v>266</v>
      </c>
      <c r="C121" s="3" t="s">
        <v>244</v>
      </c>
      <c r="D121" s="3"/>
      <c r="E121" s="2"/>
      <c r="F121" s="4">
        <v>3</v>
      </c>
      <c r="G121" s="5"/>
      <c r="H121" s="5"/>
      <c r="I121" s="34"/>
      <c r="J121" s="6"/>
      <c r="K121" s="6"/>
      <c r="L121" s="6"/>
      <c r="M121" s="6"/>
      <c r="N121" s="6"/>
      <c r="O121" s="6"/>
      <c r="P121" s="6"/>
      <c r="Q121" s="2"/>
      <c r="R121" s="2" t="s">
        <v>25</v>
      </c>
      <c r="S121" s="7">
        <v>46213</v>
      </c>
      <c r="T121" s="3"/>
      <c r="U121" s="3"/>
      <c r="V121" s="3"/>
      <c r="W121"/>
      <c r="AC121"/>
      <c r="AD121"/>
    </row>
    <row r="122" spans="1:30" ht="14.5" customHeight="1" x14ac:dyDescent="0.35">
      <c r="A122" s="2" t="s">
        <v>267</v>
      </c>
      <c r="B122" s="3" t="s">
        <v>268</v>
      </c>
      <c r="C122" s="3" t="s">
        <v>244</v>
      </c>
      <c r="D122" s="3"/>
      <c r="E122" s="2"/>
      <c r="F122" s="4">
        <v>7</v>
      </c>
      <c r="G122" s="5"/>
      <c r="H122" s="5"/>
      <c r="I122" s="34"/>
      <c r="J122" s="6"/>
      <c r="K122" s="6"/>
      <c r="L122" s="6"/>
      <c r="M122" s="6"/>
      <c r="N122" s="6"/>
      <c r="O122" s="6"/>
      <c r="P122" s="6"/>
      <c r="Q122" s="2"/>
      <c r="R122" s="2" t="s">
        <v>25</v>
      </c>
      <c r="S122" s="7">
        <v>46213</v>
      </c>
      <c r="T122" s="3"/>
      <c r="U122" s="3"/>
      <c r="V122" s="3"/>
      <c r="W122"/>
      <c r="AC122"/>
      <c r="AD122"/>
    </row>
    <row r="123" spans="1:30" ht="14.5" customHeight="1" x14ac:dyDescent="0.35">
      <c r="A123" s="2" t="s">
        <v>269</v>
      </c>
      <c r="B123" s="3" t="s">
        <v>270</v>
      </c>
      <c r="C123" s="3" t="s">
        <v>244</v>
      </c>
      <c r="D123" s="3"/>
      <c r="E123" s="2"/>
      <c r="F123" s="4">
        <v>2</v>
      </c>
      <c r="G123" s="5"/>
      <c r="H123" s="5"/>
      <c r="I123" s="34"/>
      <c r="J123" s="6"/>
      <c r="K123" s="6"/>
      <c r="L123" s="6"/>
      <c r="M123" s="6"/>
      <c r="N123" s="6"/>
      <c r="O123" s="6"/>
      <c r="P123" s="6"/>
      <c r="Q123" s="2"/>
      <c r="R123" s="2" t="s">
        <v>25</v>
      </c>
      <c r="S123" s="7">
        <v>46213</v>
      </c>
      <c r="T123" s="3"/>
      <c r="U123" s="3"/>
      <c r="V123" s="3"/>
      <c r="W123"/>
      <c r="AC123"/>
      <c r="AD123"/>
    </row>
    <row r="124" spans="1:30" ht="14.5" customHeight="1" x14ac:dyDescent="0.35">
      <c r="A124" s="2" t="s">
        <v>271</v>
      </c>
      <c r="B124" s="3" t="s">
        <v>272</v>
      </c>
      <c r="C124" s="3" t="s">
        <v>244</v>
      </c>
      <c r="D124" s="3"/>
      <c r="E124" s="2"/>
      <c r="F124" s="4">
        <v>3</v>
      </c>
      <c r="G124" s="5"/>
      <c r="H124" s="5"/>
      <c r="I124" s="36" t="s">
        <v>273</v>
      </c>
      <c r="J124" s="6"/>
      <c r="K124" s="6"/>
      <c r="L124" s="6"/>
      <c r="M124" s="6"/>
      <c r="N124" s="6"/>
      <c r="O124" s="6"/>
      <c r="P124" s="6"/>
      <c r="Q124" s="2"/>
      <c r="R124" s="2" t="s">
        <v>25</v>
      </c>
      <c r="S124" s="7">
        <v>46213</v>
      </c>
      <c r="T124" s="3"/>
      <c r="U124" s="3"/>
      <c r="V124" s="3"/>
      <c r="W124"/>
      <c r="AC124"/>
      <c r="AD124"/>
    </row>
    <row r="125" spans="1:30" ht="14.5" customHeight="1" x14ac:dyDescent="0.35">
      <c r="A125" s="2" t="s">
        <v>274</v>
      </c>
      <c r="B125" s="3" t="s">
        <v>268</v>
      </c>
      <c r="C125" s="3" t="s">
        <v>244</v>
      </c>
      <c r="D125" s="3"/>
      <c r="E125" s="2"/>
      <c r="F125" s="4"/>
      <c r="G125" s="5"/>
      <c r="H125" s="5"/>
      <c r="I125" s="34"/>
      <c r="J125" s="6"/>
      <c r="K125" s="6"/>
      <c r="L125" s="6"/>
      <c r="M125" s="6"/>
      <c r="N125" s="6"/>
      <c r="O125" s="6"/>
      <c r="P125" s="6"/>
      <c r="Q125" s="2"/>
      <c r="R125" s="2" t="s">
        <v>25</v>
      </c>
      <c r="S125" s="7">
        <v>46213</v>
      </c>
      <c r="T125" s="3"/>
      <c r="U125" s="3"/>
      <c r="V125" s="3"/>
      <c r="W125"/>
      <c r="AC125"/>
      <c r="AD125"/>
    </row>
    <row r="126" spans="1:30" ht="14.5" customHeight="1" x14ac:dyDescent="0.35">
      <c r="A126" s="2" t="s">
        <v>275</v>
      </c>
      <c r="B126" s="3" t="s">
        <v>276</v>
      </c>
      <c r="C126" s="3" t="s">
        <v>244</v>
      </c>
      <c r="D126" s="3"/>
      <c r="E126" s="2"/>
      <c r="F126" s="4"/>
      <c r="G126" s="5"/>
      <c r="H126" s="5"/>
      <c r="I126" s="34"/>
      <c r="J126" s="6"/>
      <c r="K126" s="6"/>
      <c r="L126" s="6"/>
      <c r="M126" s="6"/>
      <c r="N126" s="6"/>
      <c r="O126" s="6"/>
      <c r="P126" s="6"/>
      <c r="Q126" s="2"/>
      <c r="R126" s="2" t="s">
        <v>25</v>
      </c>
      <c r="S126" s="7">
        <v>46213</v>
      </c>
      <c r="T126" s="3"/>
      <c r="U126" s="3"/>
      <c r="V126" s="3"/>
      <c r="W126"/>
      <c r="AC126"/>
      <c r="AD126"/>
    </row>
    <row r="127" spans="1:30" ht="14.5" customHeight="1" x14ac:dyDescent="0.35">
      <c r="A127" s="39" t="s">
        <v>277</v>
      </c>
      <c r="B127" s="40"/>
      <c r="C127" s="40"/>
      <c r="D127" s="40"/>
      <c r="E127" s="39"/>
      <c r="F127" s="41"/>
      <c r="G127" s="42"/>
      <c r="H127" s="42"/>
      <c r="I127" s="43"/>
      <c r="J127" s="44"/>
      <c r="K127" s="44"/>
      <c r="L127" s="44"/>
      <c r="M127" s="44"/>
      <c r="N127" s="44"/>
      <c r="O127" s="44"/>
      <c r="P127" s="44"/>
      <c r="Q127" s="39"/>
      <c r="R127" s="39"/>
      <c r="S127" s="45"/>
      <c r="T127" s="40"/>
      <c r="U127" s="40"/>
      <c r="V127" s="40"/>
      <c r="W127"/>
      <c r="AC127"/>
      <c r="AD127"/>
    </row>
    <row r="128" spans="1:30" ht="14.5" customHeight="1" x14ac:dyDescent="0.35">
      <c r="A128" s="2" t="s">
        <v>278</v>
      </c>
      <c r="B128" s="3" t="s">
        <v>279</v>
      </c>
      <c r="C128" s="3" t="s">
        <v>277</v>
      </c>
      <c r="D128" s="3"/>
      <c r="E128" s="2"/>
      <c r="F128" s="4">
        <v>6</v>
      </c>
      <c r="G128" s="5"/>
      <c r="H128" s="5"/>
      <c r="I128" s="36" t="s">
        <v>280</v>
      </c>
      <c r="J128" s="6"/>
      <c r="K128" s="6"/>
      <c r="L128" s="6"/>
      <c r="M128" s="6"/>
      <c r="N128" s="6"/>
      <c r="O128" s="6"/>
      <c r="P128" s="6"/>
      <c r="Q128" s="2"/>
      <c r="R128" s="2" t="s">
        <v>25</v>
      </c>
      <c r="S128" s="7">
        <v>46213</v>
      </c>
      <c r="T128" s="3"/>
      <c r="U128" s="3"/>
      <c r="V128" s="3"/>
      <c r="W128"/>
      <c r="AC128"/>
      <c r="AD128"/>
    </row>
    <row r="129" spans="1:30" ht="14.5" customHeight="1" x14ac:dyDescent="0.35">
      <c r="A129" s="2" t="s">
        <v>281</v>
      </c>
      <c r="B129" s="3" t="s">
        <v>282</v>
      </c>
      <c r="C129" s="3" t="s">
        <v>277</v>
      </c>
      <c r="D129" s="3"/>
      <c r="E129" s="2"/>
      <c r="F129" s="4">
        <v>6</v>
      </c>
      <c r="G129" s="5"/>
      <c r="H129" s="5"/>
      <c r="I129" s="34"/>
      <c r="J129" s="6"/>
      <c r="K129" s="6"/>
      <c r="L129" s="6"/>
      <c r="M129" s="6"/>
      <c r="N129" s="6"/>
      <c r="O129" s="6"/>
      <c r="P129" s="6"/>
      <c r="Q129" s="2"/>
      <c r="R129" s="2" t="s">
        <v>25</v>
      </c>
      <c r="S129" s="7">
        <v>46213</v>
      </c>
      <c r="T129" s="3"/>
      <c r="U129" s="3"/>
      <c r="V129" s="3"/>
      <c r="W129"/>
      <c r="AC129"/>
      <c r="AD129"/>
    </row>
    <row r="130" spans="1:30" ht="14.5" customHeight="1" x14ac:dyDescent="0.35">
      <c r="A130" s="2" t="s">
        <v>283</v>
      </c>
      <c r="B130" s="3" t="s">
        <v>284</v>
      </c>
      <c r="C130" s="3" t="s">
        <v>277</v>
      </c>
      <c r="D130" s="3"/>
      <c r="E130" s="2"/>
      <c r="F130" s="4">
        <v>6</v>
      </c>
      <c r="G130" s="5"/>
      <c r="H130" s="5"/>
      <c r="I130" s="34"/>
      <c r="J130" s="6"/>
      <c r="K130" s="6"/>
      <c r="L130" s="6"/>
      <c r="M130" s="6"/>
      <c r="N130" s="6"/>
      <c r="O130" s="6"/>
      <c r="P130" s="6"/>
      <c r="Q130" s="2"/>
      <c r="R130" s="2" t="s">
        <v>25</v>
      </c>
      <c r="S130" s="7">
        <v>46213</v>
      </c>
      <c r="T130" s="3"/>
      <c r="U130" s="3"/>
      <c r="V130" s="3"/>
      <c r="W130"/>
      <c r="AC130"/>
      <c r="AD130"/>
    </row>
    <row r="131" spans="1:30" ht="14.5" customHeight="1" x14ac:dyDescent="0.35">
      <c r="A131" s="2" t="s">
        <v>285</v>
      </c>
      <c r="B131" s="3" t="s">
        <v>286</v>
      </c>
      <c r="C131" s="3" t="s">
        <v>277</v>
      </c>
      <c r="D131" s="3"/>
      <c r="E131" s="2"/>
      <c r="F131" s="4">
        <v>6</v>
      </c>
      <c r="G131" s="5"/>
      <c r="H131" s="5"/>
      <c r="I131" s="34"/>
      <c r="J131" s="6"/>
      <c r="K131" s="6"/>
      <c r="L131" s="6"/>
      <c r="M131" s="6"/>
      <c r="N131" s="6"/>
      <c r="O131" s="6"/>
      <c r="P131" s="6"/>
      <c r="Q131" s="2"/>
      <c r="R131" s="2" t="s">
        <v>25</v>
      </c>
      <c r="S131" s="7">
        <v>46213</v>
      </c>
      <c r="T131" s="3"/>
      <c r="U131" s="3"/>
      <c r="V131" s="3"/>
      <c r="W131"/>
      <c r="AC131"/>
      <c r="AD131"/>
    </row>
    <row r="132" spans="1:30" ht="14.5" customHeight="1" x14ac:dyDescent="0.35">
      <c r="A132" s="2" t="s">
        <v>287</v>
      </c>
      <c r="B132" s="3" t="s">
        <v>288</v>
      </c>
      <c r="C132" s="3" t="s">
        <v>277</v>
      </c>
      <c r="D132" s="3"/>
      <c r="E132" s="2"/>
      <c r="F132" s="4">
        <v>3</v>
      </c>
      <c r="G132" s="5"/>
      <c r="H132" s="5"/>
      <c r="I132" s="35" t="s">
        <v>289</v>
      </c>
      <c r="J132" s="6"/>
      <c r="K132" s="6"/>
      <c r="L132" s="6"/>
      <c r="M132" s="6"/>
      <c r="N132" s="6"/>
      <c r="O132" s="6"/>
      <c r="P132" s="6"/>
      <c r="Q132" s="2"/>
      <c r="R132" s="2" t="s">
        <v>25</v>
      </c>
      <c r="S132" s="7">
        <v>46213</v>
      </c>
      <c r="T132" s="3"/>
      <c r="U132" s="3"/>
      <c r="V132" s="3"/>
      <c r="W132"/>
      <c r="AC132"/>
      <c r="AD132"/>
    </row>
    <row r="133" spans="1:30" ht="14.5" customHeight="1" x14ac:dyDescent="0.35">
      <c r="A133" s="2" t="s">
        <v>290</v>
      </c>
      <c r="B133" s="3" t="s">
        <v>291</v>
      </c>
      <c r="C133" s="3" t="s">
        <v>277</v>
      </c>
      <c r="D133" s="3"/>
      <c r="E133" s="2"/>
      <c r="F133" s="4">
        <v>4</v>
      </c>
      <c r="G133" s="5"/>
      <c r="H133" s="5"/>
      <c r="I133" s="34"/>
      <c r="J133" s="6"/>
      <c r="K133" s="6"/>
      <c r="L133" s="6"/>
      <c r="M133" s="6"/>
      <c r="N133" s="6"/>
      <c r="O133" s="6"/>
      <c r="P133" s="6"/>
      <c r="Q133" s="2"/>
      <c r="R133" s="2" t="s">
        <v>25</v>
      </c>
      <c r="S133" s="7">
        <v>46213</v>
      </c>
      <c r="T133" s="3"/>
      <c r="U133" s="3"/>
      <c r="V133" s="3"/>
      <c r="W133"/>
      <c r="AC133"/>
      <c r="AD133"/>
    </row>
    <row r="134" spans="1:30" ht="14.5" customHeight="1" x14ac:dyDescent="0.35">
      <c r="A134" s="2" t="s">
        <v>292</v>
      </c>
      <c r="B134" s="3" t="s">
        <v>293</v>
      </c>
      <c r="C134" s="3" t="s">
        <v>277</v>
      </c>
      <c r="D134" s="3"/>
      <c r="E134" s="2"/>
      <c r="F134" s="4">
        <v>3</v>
      </c>
      <c r="G134" s="5"/>
      <c r="H134" s="5"/>
      <c r="I134" s="34"/>
      <c r="J134" s="6"/>
      <c r="K134" s="6"/>
      <c r="L134" s="6"/>
      <c r="M134" s="6"/>
      <c r="N134" s="6"/>
      <c r="O134" s="6"/>
      <c r="P134" s="6"/>
      <c r="Q134" s="2"/>
      <c r="R134" s="2" t="s">
        <v>25</v>
      </c>
      <c r="S134" s="7">
        <v>46213</v>
      </c>
      <c r="T134" s="3"/>
      <c r="U134" s="3"/>
      <c r="V134" s="3"/>
      <c r="W134"/>
      <c r="AC134"/>
      <c r="AD134"/>
    </row>
    <row r="135" spans="1:30" ht="14.5" customHeight="1" x14ac:dyDescent="0.35">
      <c r="A135" s="2" t="s">
        <v>294</v>
      </c>
      <c r="B135" s="3" t="s">
        <v>295</v>
      </c>
      <c r="C135" s="3" t="s">
        <v>277</v>
      </c>
      <c r="D135" s="3"/>
      <c r="E135" s="2"/>
      <c r="F135" s="4">
        <v>3</v>
      </c>
      <c r="G135" s="5"/>
      <c r="H135" s="5"/>
      <c r="I135" s="36" t="s">
        <v>296</v>
      </c>
      <c r="J135" s="6"/>
      <c r="K135" s="6"/>
      <c r="L135" s="6"/>
      <c r="M135" s="6"/>
      <c r="N135" s="6"/>
      <c r="O135" s="6"/>
      <c r="P135" s="6"/>
      <c r="Q135" s="2"/>
      <c r="R135" s="2" t="s">
        <v>25</v>
      </c>
      <c r="S135" s="7">
        <v>46213</v>
      </c>
      <c r="T135" s="3" t="s">
        <v>297</v>
      </c>
      <c r="U135" s="3"/>
      <c r="V135" s="3"/>
      <c r="W135"/>
      <c r="AC135"/>
      <c r="AD135"/>
    </row>
    <row r="136" spans="1:30" ht="14.5" customHeight="1" x14ac:dyDescent="0.35">
      <c r="A136" s="2" t="s">
        <v>298</v>
      </c>
      <c r="B136" s="3" t="s">
        <v>299</v>
      </c>
      <c r="C136" s="3" t="s">
        <v>277</v>
      </c>
      <c r="D136" s="3"/>
      <c r="E136" s="2"/>
      <c r="F136" s="4">
        <v>3</v>
      </c>
      <c r="G136" s="5"/>
      <c r="H136" s="5"/>
      <c r="I136" s="34"/>
      <c r="J136" s="6"/>
      <c r="K136" s="6"/>
      <c r="L136" s="6"/>
      <c r="M136" s="6"/>
      <c r="N136" s="6"/>
      <c r="O136" s="6"/>
      <c r="P136" s="6"/>
      <c r="Q136" s="2"/>
      <c r="R136" s="2" t="s">
        <v>25</v>
      </c>
      <c r="S136" s="7">
        <v>46213</v>
      </c>
      <c r="T136" s="3"/>
      <c r="U136" s="3"/>
      <c r="V136" s="3"/>
      <c r="W136"/>
      <c r="AC136"/>
      <c r="AD136"/>
    </row>
    <row r="137" spans="1:30" ht="14.5" customHeight="1" x14ac:dyDescent="0.35">
      <c r="A137" s="2" t="s">
        <v>300</v>
      </c>
      <c r="B137" s="3" t="s">
        <v>301</v>
      </c>
      <c r="C137" s="3" t="s">
        <v>277</v>
      </c>
      <c r="D137" s="3"/>
      <c r="E137" s="2"/>
      <c r="F137" s="4">
        <v>3</v>
      </c>
      <c r="G137" s="5"/>
      <c r="H137" s="5"/>
      <c r="I137" s="34"/>
      <c r="J137" s="6"/>
      <c r="K137" s="6"/>
      <c r="L137" s="6"/>
      <c r="M137" s="6"/>
      <c r="N137" s="6"/>
      <c r="O137" s="6"/>
      <c r="P137" s="6"/>
      <c r="Q137" s="2"/>
      <c r="R137" s="2" t="s">
        <v>25</v>
      </c>
      <c r="S137" s="7">
        <v>46213</v>
      </c>
      <c r="T137" s="3"/>
      <c r="U137" s="3"/>
      <c r="V137" s="3"/>
      <c r="W137"/>
      <c r="AC137"/>
      <c r="AD137"/>
    </row>
    <row r="138" spans="1:30" ht="14.5" customHeight="1" x14ac:dyDescent="0.35">
      <c r="A138" s="2" t="s">
        <v>302</v>
      </c>
      <c r="B138" s="3" t="s">
        <v>303</v>
      </c>
      <c r="C138" s="3" t="s">
        <v>277</v>
      </c>
      <c r="D138" s="3"/>
      <c r="E138" s="2"/>
      <c r="F138" s="4">
        <v>3</v>
      </c>
      <c r="G138" s="5"/>
      <c r="H138" s="5"/>
      <c r="I138" s="35" t="s">
        <v>304</v>
      </c>
      <c r="J138" s="6"/>
      <c r="K138" s="6"/>
      <c r="L138" s="6"/>
      <c r="M138" s="6"/>
      <c r="N138" s="6"/>
      <c r="O138" s="6"/>
      <c r="P138" s="6"/>
      <c r="Q138" s="2"/>
      <c r="R138" s="2" t="s">
        <v>25</v>
      </c>
      <c r="S138" s="7">
        <v>46213</v>
      </c>
      <c r="T138" s="3"/>
      <c r="U138" s="3"/>
      <c r="V138" s="3"/>
      <c r="W138"/>
      <c r="AC138"/>
      <c r="AD138"/>
    </row>
    <row r="139" spans="1:30" ht="14.5" customHeight="1" x14ac:dyDescent="0.35">
      <c r="A139" s="2" t="s">
        <v>305</v>
      </c>
      <c r="B139" s="3" t="s">
        <v>306</v>
      </c>
      <c r="C139" s="3" t="s">
        <v>277</v>
      </c>
      <c r="D139" s="3"/>
      <c r="E139" s="2"/>
      <c r="F139" s="4">
        <v>3</v>
      </c>
      <c r="G139" s="5"/>
      <c r="H139" s="5"/>
      <c r="I139" s="36" t="s">
        <v>307</v>
      </c>
      <c r="J139" s="6"/>
      <c r="K139" s="6"/>
      <c r="L139" s="6"/>
      <c r="M139" s="6"/>
      <c r="N139" s="6"/>
      <c r="O139" s="6"/>
      <c r="P139" s="6"/>
      <c r="Q139" s="2"/>
      <c r="R139" s="2" t="s">
        <v>25</v>
      </c>
      <c r="S139" s="7">
        <v>46213</v>
      </c>
      <c r="T139" s="3"/>
      <c r="U139" s="3"/>
      <c r="V139" s="3"/>
      <c r="W139"/>
      <c r="AC139"/>
      <c r="AD139"/>
    </row>
    <row r="140" spans="1:30" ht="14.5" customHeight="1" x14ac:dyDescent="0.35">
      <c r="A140" s="2" t="s">
        <v>308</v>
      </c>
      <c r="B140" s="3" t="s">
        <v>309</v>
      </c>
      <c r="C140" s="3" t="s">
        <v>277</v>
      </c>
      <c r="D140" s="3"/>
      <c r="E140" s="2"/>
      <c r="F140" s="4">
        <v>3</v>
      </c>
      <c r="G140" s="5"/>
      <c r="H140" s="5"/>
      <c r="I140" s="36" t="s">
        <v>310</v>
      </c>
      <c r="J140" s="6"/>
      <c r="K140" s="6"/>
      <c r="L140" s="6"/>
      <c r="M140" s="6"/>
      <c r="N140" s="6"/>
      <c r="O140" s="6"/>
      <c r="P140" s="6"/>
      <c r="Q140" s="2"/>
      <c r="R140" s="2" t="s">
        <v>25</v>
      </c>
      <c r="S140" s="7">
        <v>46213</v>
      </c>
      <c r="T140" s="3"/>
      <c r="U140" s="3"/>
      <c r="V140" s="3"/>
      <c r="W140"/>
      <c r="AC140"/>
      <c r="AD140"/>
    </row>
    <row r="141" spans="1:30" ht="14.5" customHeight="1" x14ac:dyDescent="0.35">
      <c r="A141" s="2" t="s">
        <v>311</v>
      </c>
      <c r="B141" s="3" t="s">
        <v>312</v>
      </c>
      <c r="C141" s="3" t="s">
        <v>277</v>
      </c>
      <c r="D141" s="3"/>
      <c r="E141" s="2"/>
      <c r="F141" s="4">
        <v>3</v>
      </c>
      <c r="G141" s="5"/>
      <c r="H141" s="5"/>
      <c r="I141" s="34"/>
      <c r="J141" s="6"/>
      <c r="K141" s="6"/>
      <c r="L141" s="6"/>
      <c r="M141" s="6"/>
      <c r="N141" s="6"/>
      <c r="O141" s="6"/>
      <c r="P141" s="6"/>
      <c r="Q141" s="2"/>
      <c r="R141" s="2" t="s">
        <v>25</v>
      </c>
      <c r="S141" s="7">
        <v>46213</v>
      </c>
      <c r="T141" s="3"/>
      <c r="U141" s="3"/>
      <c r="V141" s="3"/>
      <c r="W141"/>
      <c r="AC141"/>
      <c r="AD141"/>
    </row>
    <row r="142" spans="1:30" ht="14.5" customHeight="1" x14ac:dyDescent="0.35">
      <c r="A142" s="2" t="s">
        <v>313</v>
      </c>
      <c r="B142" s="3" t="s">
        <v>314</v>
      </c>
      <c r="C142" s="3" t="s">
        <v>277</v>
      </c>
      <c r="D142" s="3"/>
      <c r="E142" s="2"/>
      <c r="F142" s="4">
        <v>4</v>
      </c>
      <c r="G142" s="5"/>
      <c r="H142" s="5"/>
      <c r="I142" s="36" t="s">
        <v>315</v>
      </c>
      <c r="J142" s="6"/>
      <c r="K142" s="6"/>
      <c r="L142" s="6"/>
      <c r="M142" s="6"/>
      <c r="N142" s="6"/>
      <c r="O142" s="6"/>
      <c r="P142" s="6"/>
      <c r="Q142" s="2"/>
      <c r="R142" s="2" t="s">
        <v>25</v>
      </c>
      <c r="S142" s="7">
        <v>46213</v>
      </c>
      <c r="T142" s="3"/>
      <c r="U142" s="3"/>
      <c r="V142" s="3"/>
      <c r="W142"/>
      <c r="AC142"/>
      <c r="AD142"/>
    </row>
    <row r="143" spans="1:30" ht="14.5" customHeight="1" x14ac:dyDescent="0.35">
      <c r="A143" s="2" t="s">
        <v>316</v>
      </c>
      <c r="B143" s="3" t="s">
        <v>317</v>
      </c>
      <c r="C143" s="3" t="s">
        <v>277</v>
      </c>
      <c r="D143" s="3"/>
      <c r="E143" s="2"/>
      <c r="F143" s="4">
        <v>3</v>
      </c>
      <c r="G143" s="5"/>
      <c r="H143" s="5"/>
      <c r="I143" s="35" t="s">
        <v>318</v>
      </c>
      <c r="J143" s="6"/>
      <c r="K143" s="6"/>
      <c r="L143" s="6"/>
      <c r="M143" s="6"/>
      <c r="N143" s="6"/>
      <c r="O143" s="6"/>
      <c r="P143" s="6"/>
      <c r="Q143" s="2"/>
      <c r="R143" s="2" t="s">
        <v>25</v>
      </c>
      <c r="S143" s="7">
        <v>46213</v>
      </c>
      <c r="T143" s="3"/>
      <c r="U143" s="3"/>
      <c r="V143" s="3"/>
      <c r="W143"/>
      <c r="AC143"/>
      <c r="AD143"/>
    </row>
    <row r="144" spans="1:30" ht="14.5" customHeight="1" x14ac:dyDescent="0.35">
      <c r="A144" s="2" t="s">
        <v>319</v>
      </c>
      <c r="B144" s="3" t="s">
        <v>320</v>
      </c>
      <c r="C144" s="3" t="s">
        <v>277</v>
      </c>
      <c r="D144" s="3"/>
      <c r="E144" s="2"/>
      <c r="F144" s="4">
        <v>3</v>
      </c>
      <c r="G144" s="5"/>
      <c r="H144" s="5"/>
      <c r="I144" s="34"/>
      <c r="J144" s="6"/>
      <c r="K144" s="6"/>
      <c r="L144" s="6"/>
      <c r="M144" s="6"/>
      <c r="N144" s="6"/>
      <c r="O144" s="6"/>
      <c r="P144" s="6"/>
      <c r="Q144" s="2"/>
      <c r="R144" s="2" t="s">
        <v>25</v>
      </c>
      <c r="S144" s="7">
        <v>46213</v>
      </c>
      <c r="T144" s="3"/>
      <c r="U144" s="3"/>
      <c r="V144" s="3"/>
      <c r="W144"/>
      <c r="AC144"/>
      <c r="AD144"/>
    </row>
    <row r="145" spans="1:30" ht="14.5" customHeight="1" x14ac:dyDescent="0.35">
      <c r="A145" s="2" t="s">
        <v>321</v>
      </c>
      <c r="B145" s="3" t="s">
        <v>322</v>
      </c>
      <c r="C145" s="3" t="s">
        <v>277</v>
      </c>
      <c r="D145" s="3"/>
      <c r="E145" s="2"/>
      <c r="F145" s="4">
        <v>5</v>
      </c>
      <c r="G145" s="5"/>
      <c r="H145" s="5"/>
      <c r="I145" s="35" t="s">
        <v>323</v>
      </c>
      <c r="J145" s="6"/>
      <c r="K145" s="6"/>
      <c r="L145" s="6"/>
      <c r="M145" s="6"/>
      <c r="N145" s="6"/>
      <c r="O145" s="6"/>
      <c r="P145" s="6"/>
      <c r="Q145" s="2"/>
      <c r="R145" s="2" t="s">
        <v>25</v>
      </c>
      <c r="S145" s="7">
        <v>46213</v>
      </c>
      <c r="T145" s="3"/>
      <c r="U145" s="3"/>
      <c r="V145" s="3"/>
      <c r="W145"/>
      <c r="AC145"/>
      <c r="AD145"/>
    </row>
    <row r="146" spans="1:30" ht="14.5" customHeight="1" x14ac:dyDescent="0.35">
      <c r="A146" s="2" t="s">
        <v>324</v>
      </c>
      <c r="B146" s="3" t="s">
        <v>325</v>
      </c>
      <c r="C146" s="3" t="s">
        <v>277</v>
      </c>
      <c r="D146" s="3"/>
      <c r="E146" s="2"/>
      <c r="F146" s="4">
        <v>3</v>
      </c>
      <c r="G146" s="5"/>
      <c r="H146" s="5"/>
      <c r="I146" s="35" t="s">
        <v>326</v>
      </c>
      <c r="J146" s="6"/>
      <c r="K146" s="6"/>
      <c r="L146" s="6"/>
      <c r="M146" s="6"/>
      <c r="N146" s="6"/>
      <c r="O146" s="6"/>
      <c r="P146" s="6"/>
      <c r="Q146" s="2"/>
      <c r="R146" s="2" t="s">
        <v>25</v>
      </c>
      <c r="S146" s="7">
        <v>46213</v>
      </c>
      <c r="T146" s="3"/>
      <c r="U146" s="3"/>
      <c r="V146" s="3"/>
      <c r="W146"/>
      <c r="AC146"/>
      <c r="AD146"/>
    </row>
    <row r="147" spans="1:30" ht="14.5" customHeight="1" x14ac:dyDescent="0.35">
      <c r="A147" s="2" t="s">
        <v>327</v>
      </c>
      <c r="B147" s="3" t="s">
        <v>328</v>
      </c>
      <c r="C147" s="3" t="s">
        <v>277</v>
      </c>
      <c r="D147" s="3"/>
      <c r="E147" s="2"/>
      <c r="F147" s="4">
        <v>3</v>
      </c>
      <c r="G147" s="5"/>
      <c r="H147" s="5"/>
      <c r="I147" s="34"/>
      <c r="J147" s="6"/>
      <c r="K147" s="6"/>
      <c r="L147" s="6"/>
      <c r="M147" s="6"/>
      <c r="N147" s="6"/>
      <c r="O147" s="6"/>
      <c r="P147" s="6"/>
      <c r="Q147" s="2"/>
      <c r="R147" s="2" t="s">
        <v>25</v>
      </c>
      <c r="S147" s="7">
        <v>46213</v>
      </c>
      <c r="T147" s="3"/>
      <c r="U147" s="3"/>
      <c r="V147" s="3"/>
      <c r="W147"/>
      <c r="AC147"/>
      <c r="AD147"/>
    </row>
    <row r="148" spans="1:30" ht="14.5" customHeight="1" x14ac:dyDescent="0.35">
      <c r="A148" s="2" t="s">
        <v>329</v>
      </c>
      <c r="B148" s="3" t="s">
        <v>330</v>
      </c>
      <c r="C148" s="3" t="s">
        <v>277</v>
      </c>
      <c r="D148" s="3"/>
      <c r="E148" s="2"/>
      <c r="F148" s="4"/>
      <c r="G148" s="5"/>
      <c r="H148" s="5"/>
      <c r="I148" s="34"/>
      <c r="J148" s="6"/>
      <c r="K148" s="6"/>
      <c r="L148" s="6"/>
      <c r="M148" s="6"/>
      <c r="N148" s="6"/>
      <c r="O148" s="6"/>
      <c r="P148" s="6"/>
      <c r="Q148" s="2"/>
      <c r="R148" s="2" t="s">
        <v>25</v>
      </c>
      <c r="S148" s="7">
        <v>46213</v>
      </c>
      <c r="T148" s="3"/>
      <c r="U148" s="3"/>
      <c r="V148" s="3"/>
      <c r="W148"/>
      <c r="AC148"/>
      <c r="AD148"/>
    </row>
    <row r="149" spans="1:30" ht="14.5" customHeight="1" x14ac:dyDescent="0.35">
      <c r="A149" s="2" t="s">
        <v>331</v>
      </c>
      <c r="B149" s="3" t="s">
        <v>332</v>
      </c>
      <c r="C149" s="3" t="s">
        <v>277</v>
      </c>
      <c r="D149" s="3"/>
      <c r="E149" s="2"/>
      <c r="F149" s="4"/>
      <c r="G149" s="5"/>
      <c r="H149" s="5"/>
      <c r="I149" s="34"/>
      <c r="J149" s="6"/>
      <c r="K149" s="6"/>
      <c r="L149" s="6"/>
      <c r="M149" s="6"/>
      <c r="N149" s="6"/>
      <c r="O149" s="6"/>
      <c r="P149" s="6"/>
      <c r="Q149" s="2"/>
      <c r="R149" s="2" t="s">
        <v>25</v>
      </c>
      <c r="S149" s="7">
        <v>46213</v>
      </c>
      <c r="T149" s="3"/>
      <c r="U149" s="3"/>
      <c r="V149" s="3"/>
      <c r="W149"/>
      <c r="AC149"/>
      <c r="AD149"/>
    </row>
    <row r="150" spans="1:30" ht="14.5" customHeight="1" x14ac:dyDescent="0.35">
      <c r="A150" s="39" t="s">
        <v>333</v>
      </c>
      <c r="B150" s="40"/>
      <c r="C150" s="40"/>
      <c r="D150" s="40"/>
      <c r="E150" s="39"/>
      <c r="F150" s="41"/>
      <c r="G150" s="42"/>
      <c r="H150" s="42"/>
      <c r="I150" s="43"/>
      <c r="J150" s="44"/>
      <c r="K150" s="44"/>
      <c r="L150" s="44"/>
      <c r="M150" s="44"/>
      <c r="N150" s="44"/>
      <c r="O150" s="44"/>
      <c r="P150" s="44"/>
      <c r="Q150" s="39"/>
      <c r="R150" s="39"/>
      <c r="S150" s="45"/>
      <c r="T150" s="40"/>
      <c r="U150" s="40"/>
      <c r="V150" s="40"/>
      <c r="W150"/>
      <c r="AC150"/>
      <c r="AD150"/>
    </row>
    <row r="151" spans="1:30" ht="14.5" customHeight="1" x14ac:dyDescent="0.35">
      <c r="A151" s="2" t="s">
        <v>334</v>
      </c>
      <c r="B151" s="3" t="s">
        <v>335</v>
      </c>
      <c r="C151" s="3" t="s">
        <v>333</v>
      </c>
      <c r="D151" s="3"/>
      <c r="E151" s="2"/>
      <c r="F151" s="4">
        <v>6</v>
      </c>
      <c r="G151" s="5"/>
      <c r="H151" s="5"/>
      <c r="I151" s="36" t="s">
        <v>336</v>
      </c>
      <c r="J151" s="6"/>
      <c r="K151" s="6"/>
      <c r="L151" s="6"/>
      <c r="M151" s="6"/>
      <c r="N151" s="6"/>
      <c r="O151" s="6"/>
      <c r="P151" s="6"/>
      <c r="Q151" s="2"/>
      <c r="R151" s="2" t="s">
        <v>25</v>
      </c>
      <c r="S151" s="7">
        <v>46213</v>
      </c>
      <c r="T151" s="3"/>
      <c r="U151" s="3"/>
      <c r="V151" s="3"/>
      <c r="W151"/>
      <c r="AC151"/>
      <c r="AD151"/>
    </row>
    <row r="152" spans="1:30" ht="14.5" customHeight="1" x14ac:dyDescent="0.35">
      <c r="A152" s="2" t="s">
        <v>337</v>
      </c>
      <c r="B152" s="3" t="s">
        <v>338</v>
      </c>
      <c r="C152" s="3" t="s">
        <v>333</v>
      </c>
      <c r="D152" s="3"/>
      <c r="E152" s="2"/>
      <c r="F152" s="4">
        <v>6</v>
      </c>
      <c r="G152" s="5"/>
      <c r="H152" s="5"/>
      <c r="I152" s="34"/>
      <c r="J152" s="6"/>
      <c r="K152" s="6"/>
      <c r="L152" s="6"/>
      <c r="M152" s="6"/>
      <c r="N152" s="6"/>
      <c r="O152" s="6"/>
      <c r="P152" s="6"/>
      <c r="Q152" s="2"/>
      <c r="R152" s="2" t="s">
        <v>25</v>
      </c>
      <c r="S152" s="7">
        <v>46213</v>
      </c>
      <c r="T152" s="3"/>
      <c r="U152" s="3"/>
      <c r="V152" s="3"/>
      <c r="W152"/>
      <c r="AC152"/>
      <c r="AD152"/>
    </row>
    <row r="153" spans="1:30" ht="14.5" customHeight="1" x14ac:dyDescent="0.35">
      <c r="A153" s="2" t="s">
        <v>339</v>
      </c>
      <c r="B153" s="3" t="s">
        <v>340</v>
      </c>
      <c r="C153" s="3" t="s">
        <v>333</v>
      </c>
      <c r="D153" s="3"/>
      <c r="E153" s="2"/>
      <c r="F153" s="4">
        <v>6</v>
      </c>
      <c r="G153" s="5"/>
      <c r="H153" s="5"/>
      <c r="I153" s="34"/>
      <c r="J153" s="6"/>
      <c r="K153" s="6"/>
      <c r="L153" s="6"/>
      <c r="M153" s="6"/>
      <c r="N153" s="6"/>
      <c r="O153" s="6"/>
      <c r="P153" s="6"/>
      <c r="Q153" s="2"/>
      <c r="R153" s="2" t="s">
        <v>25</v>
      </c>
      <c r="S153" s="7">
        <v>46213</v>
      </c>
      <c r="T153" s="3"/>
      <c r="U153" s="3"/>
      <c r="V153" s="3"/>
      <c r="W153"/>
      <c r="AC153"/>
      <c r="AD153"/>
    </row>
    <row r="154" spans="1:30" ht="14.5" customHeight="1" x14ac:dyDescent="0.35">
      <c r="A154" s="2" t="s">
        <v>341</v>
      </c>
      <c r="B154" s="3" t="s">
        <v>342</v>
      </c>
      <c r="C154" s="3" t="s">
        <v>333</v>
      </c>
      <c r="D154" s="3"/>
      <c r="E154" s="2"/>
      <c r="F154" s="4">
        <v>6</v>
      </c>
      <c r="G154" s="5"/>
      <c r="H154" s="5"/>
      <c r="I154" s="34"/>
      <c r="J154" s="6"/>
      <c r="K154" s="6"/>
      <c r="L154" s="6"/>
      <c r="M154" s="6"/>
      <c r="N154" s="6"/>
      <c r="O154" s="6"/>
      <c r="P154" s="6"/>
      <c r="Q154" s="2"/>
      <c r="R154" s="2" t="s">
        <v>25</v>
      </c>
      <c r="S154" s="7">
        <v>46213</v>
      </c>
      <c r="T154" s="3"/>
      <c r="U154" s="3"/>
      <c r="V154" s="3"/>
      <c r="W154"/>
      <c r="AC154"/>
      <c r="AD154"/>
    </row>
    <row r="155" spans="1:30" ht="14.5" customHeight="1" x14ac:dyDescent="0.35">
      <c r="A155" s="2" t="s">
        <v>343</v>
      </c>
      <c r="B155" s="3" t="s">
        <v>344</v>
      </c>
      <c r="C155" s="3" t="s">
        <v>333</v>
      </c>
      <c r="D155" s="3"/>
      <c r="E155" s="2"/>
      <c r="F155" s="4">
        <v>6</v>
      </c>
      <c r="G155" s="5"/>
      <c r="H155" s="5"/>
      <c r="I155" s="34"/>
      <c r="J155" s="6"/>
      <c r="K155" s="6"/>
      <c r="L155" s="6"/>
      <c r="M155" s="6"/>
      <c r="N155" s="6"/>
      <c r="O155" s="6"/>
      <c r="P155" s="6"/>
      <c r="Q155" s="2"/>
      <c r="R155" s="2" t="s">
        <v>25</v>
      </c>
      <c r="S155" s="7">
        <v>46213</v>
      </c>
      <c r="T155" s="3"/>
      <c r="U155" s="3"/>
      <c r="V155" s="3"/>
      <c r="W155"/>
      <c r="AC155"/>
      <c r="AD155"/>
    </row>
    <row r="156" spans="1:30" ht="14.5" customHeight="1" x14ac:dyDescent="0.35">
      <c r="A156" s="2" t="s">
        <v>345</v>
      </c>
      <c r="B156" s="3" t="s">
        <v>346</v>
      </c>
      <c r="C156" s="3" t="s">
        <v>333</v>
      </c>
      <c r="D156" s="3"/>
      <c r="E156" s="2"/>
      <c r="F156" s="4">
        <v>6</v>
      </c>
      <c r="G156" s="5"/>
      <c r="H156" s="5"/>
      <c r="I156" s="34"/>
      <c r="J156" s="6"/>
      <c r="K156" s="6"/>
      <c r="L156" s="6"/>
      <c r="M156" s="6"/>
      <c r="N156" s="6"/>
      <c r="O156" s="6"/>
      <c r="P156" s="6"/>
      <c r="Q156" s="2"/>
      <c r="R156" s="2" t="s">
        <v>25</v>
      </c>
      <c r="S156" s="7">
        <v>46213</v>
      </c>
      <c r="T156" s="3"/>
      <c r="U156" s="3"/>
      <c r="V156" s="3"/>
      <c r="W156"/>
      <c r="AC156"/>
      <c r="AD156"/>
    </row>
    <row r="157" spans="1:30" ht="14.5" customHeight="1" x14ac:dyDescent="0.35">
      <c r="A157" s="2" t="s">
        <v>347</v>
      </c>
      <c r="B157" s="3" t="s">
        <v>348</v>
      </c>
      <c r="C157" s="3" t="s">
        <v>333</v>
      </c>
      <c r="D157" s="3"/>
      <c r="E157" s="2"/>
      <c r="F157" s="4">
        <v>5</v>
      </c>
      <c r="G157" s="5"/>
      <c r="H157" s="5"/>
      <c r="I157" s="36" t="s">
        <v>349</v>
      </c>
      <c r="J157" s="6"/>
      <c r="K157" s="6"/>
      <c r="L157" s="6"/>
      <c r="M157" s="6"/>
      <c r="N157" s="6"/>
      <c r="O157" s="6"/>
      <c r="P157" s="6"/>
      <c r="Q157" s="2"/>
      <c r="R157" s="2" t="s">
        <v>25</v>
      </c>
      <c r="S157" s="7">
        <v>46213</v>
      </c>
      <c r="T157" s="3"/>
      <c r="U157" s="3"/>
      <c r="V157" s="3"/>
      <c r="W157"/>
      <c r="AC157"/>
      <c r="AD157"/>
    </row>
    <row r="158" spans="1:30" ht="14.5" customHeight="1" x14ac:dyDescent="0.35">
      <c r="A158" s="2" t="s">
        <v>350</v>
      </c>
      <c r="B158" s="3" t="s">
        <v>351</v>
      </c>
      <c r="C158" s="3" t="s">
        <v>333</v>
      </c>
      <c r="D158" s="3"/>
      <c r="E158" s="2"/>
      <c r="F158" s="4">
        <v>4</v>
      </c>
      <c r="G158" s="5"/>
      <c r="H158" s="5"/>
      <c r="I158" s="36" t="s">
        <v>352</v>
      </c>
      <c r="J158" s="6"/>
      <c r="K158" s="6"/>
      <c r="L158" s="6"/>
      <c r="M158" s="6"/>
      <c r="N158" s="6"/>
      <c r="O158" s="6"/>
      <c r="P158" s="6"/>
      <c r="Q158" s="2"/>
      <c r="R158" s="2" t="s">
        <v>25</v>
      </c>
      <c r="S158" s="7">
        <v>46213</v>
      </c>
      <c r="T158" s="3"/>
      <c r="U158" s="3"/>
      <c r="V158" s="3"/>
      <c r="W158"/>
      <c r="AC158"/>
      <c r="AD158"/>
    </row>
    <row r="159" spans="1:30" ht="14.5" customHeight="1" x14ac:dyDescent="0.35">
      <c r="A159" s="2" t="s">
        <v>353</v>
      </c>
      <c r="B159" s="3" t="s">
        <v>354</v>
      </c>
      <c r="C159" s="3" t="s">
        <v>333</v>
      </c>
      <c r="D159" s="3"/>
      <c r="E159" s="2"/>
      <c r="F159" s="4">
        <v>4</v>
      </c>
      <c r="G159" s="5"/>
      <c r="H159" s="5"/>
      <c r="I159" s="36" t="s">
        <v>355</v>
      </c>
      <c r="J159" s="6"/>
      <c r="K159" s="6"/>
      <c r="L159" s="6"/>
      <c r="M159" s="6"/>
      <c r="N159" s="6"/>
      <c r="O159" s="6"/>
      <c r="P159" s="6"/>
      <c r="Q159" s="2"/>
      <c r="R159" s="2" t="s">
        <v>25</v>
      </c>
      <c r="S159" s="7">
        <v>46213</v>
      </c>
      <c r="T159" s="3"/>
      <c r="U159" s="3"/>
      <c r="V159" s="3"/>
      <c r="W159"/>
      <c r="AC159"/>
      <c r="AD159"/>
    </row>
    <row r="160" spans="1:30" ht="14.5" customHeight="1" x14ac:dyDescent="0.35">
      <c r="A160" s="2" t="s">
        <v>356</v>
      </c>
      <c r="B160" s="3" t="s">
        <v>357</v>
      </c>
      <c r="C160" s="3" t="s">
        <v>333</v>
      </c>
      <c r="D160" s="3"/>
      <c r="E160" s="2"/>
      <c r="F160" s="4">
        <v>6</v>
      </c>
      <c r="G160" s="5"/>
      <c r="H160" s="5"/>
      <c r="I160" s="36" t="s">
        <v>358</v>
      </c>
      <c r="J160" s="6"/>
      <c r="K160" s="6"/>
      <c r="L160" s="6"/>
      <c r="M160" s="6"/>
      <c r="N160" s="6"/>
      <c r="O160" s="6"/>
      <c r="P160" s="6"/>
      <c r="Q160" s="2"/>
      <c r="R160" s="2" t="s">
        <v>25</v>
      </c>
      <c r="S160" s="7">
        <v>46213</v>
      </c>
      <c r="T160" s="3"/>
      <c r="U160" s="3"/>
      <c r="V160" s="3"/>
      <c r="W160"/>
      <c r="AC160"/>
      <c r="AD160"/>
    </row>
    <row r="161" spans="1:30" ht="14.5" customHeight="1" x14ac:dyDescent="0.35">
      <c r="A161" s="2" t="s">
        <v>359</v>
      </c>
      <c r="B161" s="3" t="s">
        <v>360</v>
      </c>
      <c r="C161" s="3" t="s">
        <v>333</v>
      </c>
      <c r="D161" s="3"/>
      <c r="E161" s="2"/>
      <c r="F161" s="4">
        <v>6</v>
      </c>
      <c r="G161" s="5"/>
      <c r="H161" s="5"/>
      <c r="I161" s="36" t="s">
        <v>361</v>
      </c>
      <c r="J161" s="6"/>
      <c r="K161" s="6"/>
      <c r="L161" s="6"/>
      <c r="M161" s="6"/>
      <c r="N161" s="6"/>
      <c r="O161" s="6"/>
      <c r="P161" s="6"/>
      <c r="Q161" s="2"/>
      <c r="R161" s="2" t="s">
        <v>25</v>
      </c>
      <c r="S161" s="7">
        <v>46213</v>
      </c>
      <c r="T161" s="3"/>
      <c r="U161" s="3"/>
      <c r="V161" s="3"/>
      <c r="W161"/>
      <c r="AC161"/>
      <c r="AD161"/>
    </row>
    <row r="162" spans="1:30" ht="14.5" customHeight="1" x14ac:dyDescent="0.35">
      <c r="A162" s="2" t="s">
        <v>362</v>
      </c>
      <c r="B162" s="3" t="s">
        <v>363</v>
      </c>
      <c r="C162" s="3" t="s">
        <v>333</v>
      </c>
      <c r="D162" s="3"/>
      <c r="E162" s="2"/>
      <c r="F162" s="4">
        <v>4</v>
      </c>
      <c r="G162" s="5"/>
      <c r="H162" s="5"/>
      <c r="I162" s="36" t="s">
        <v>364</v>
      </c>
      <c r="J162" s="6"/>
      <c r="K162" s="6"/>
      <c r="L162" s="6"/>
      <c r="M162" s="6"/>
      <c r="N162" s="6"/>
      <c r="O162" s="6"/>
      <c r="P162" s="6"/>
      <c r="Q162" s="2"/>
      <c r="R162" s="2" t="s">
        <v>25</v>
      </c>
      <c r="S162" s="7">
        <v>46213</v>
      </c>
      <c r="T162" s="3"/>
      <c r="U162" s="3"/>
      <c r="V162" s="3"/>
      <c r="W162"/>
      <c r="AC162"/>
      <c r="AD162"/>
    </row>
    <row r="163" spans="1:30" ht="14.5" customHeight="1" x14ac:dyDescent="0.35">
      <c r="A163" s="2" t="s">
        <v>365</v>
      </c>
      <c r="B163" s="3" t="s">
        <v>366</v>
      </c>
      <c r="C163" s="3" t="s">
        <v>333</v>
      </c>
      <c r="D163" s="3"/>
      <c r="E163" s="2"/>
      <c r="F163" s="4">
        <v>4</v>
      </c>
      <c r="G163" s="5"/>
      <c r="H163" s="5"/>
      <c r="I163" s="35" t="s">
        <v>367</v>
      </c>
      <c r="J163" s="6"/>
      <c r="K163" s="6"/>
      <c r="L163" s="6"/>
      <c r="M163" s="6"/>
      <c r="N163" s="6"/>
      <c r="O163" s="6"/>
      <c r="P163" s="6"/>
      <c r="Q163" s="2"/>
      <c r="R163" s="2" t="s">
        <v>25</v>
      </c>
      <c r="S163" s="7">
        <v>46213</v>
      </c>
      <c r="T163" s="3"/>
      <c r="U163" s="3"/>
      <c r="V163" s="3"/>
      <c r="W163"/>
      <c r="AC163"/>
      <c r="AD163"/>
    </row>
    <row r="164" spans="1:30" ht="14.5" customHeight="1" x14ac:dyDescent="0.35">
      <c r="A164" s="2" t="s">
        <v>368</v>
      </c>
      <c r="B164" s="3" t="s">
        <v>369</v>
      </c>
      <c r="C164" s="3" t="s">
        <v>333</v>
      </c>
      <c r="D164" s="3"/>
      <c r="E164" s="2"/>
      <c r="F164" s="4">
        <v>5</v>
      </c>
      <c r="G164" s="5"/>
      <c r="H164" s="5"/>
      <c r="I164" s="35" t="s">
        <v>370</v>
      </c>
      <c r="J164" s="6"/>
      <c r="K164" s="6"/>
      <c r="L164" s="6"/>
      <c r="M164" s="6"/>
      <c r="N164" s="6"/>
      <c r="O164" s="6"/>
      <c r="P164" s="6"/>
      <c r="Q164" s="2"/>
      <c r="R164" s="2" t="s">
        <v>25</v>
      </c>
      <c r="S164" s="7">
        <v>46213</v>
      </c>
      <c r="T164" s="3"/>
      <c r="U164" s="3"/>
      <c r="V164" s="3"/>
      <c r="W164"/>
      <c r="AC164"/>
      <c r="AD164"/>
    </row>
    <row r="165" spans="1:30" ht="14.5" customHeight="1" x14ac:dyDescent="0.35">
      <c r="A165" s="2" t="s">
        <v>371</v>
      </c>
      <c r="B165" s="3" t="s">
        <v>372</v>
      </c>
      <c r="C165" s="3" t="s">
        <v>333</v>
      </c>
      <c r="D165" s="3"/>
      <c r="E165" s="2"/>
      <c r="F165" s="4">
        <v>6</v>
      </c>
      <c r="G165" s="5"/>
      <c r="H165" s="5"/>
      <c r="I165" s="36" t="s">
        <v>373</v>
      </c>
      <c r="J165" s="6"/>
      <c r="K165" s="6"/>
      <c r="L165" s="6"/>
      <c r="M165" s="6"/>
      <c r="N165" s="6"/>
      <c r="O165" s="6"/>
      <c r="P165" s="6"/>
      <c r="Q165" s="2"/>
      <c r="R165" s="2" t="s">
        <v>25</v>
      </c>
      <c r="S165" s="7">
        <v>46213</v>
      </c>
      <c r="T165" s="3"/>
      <c r="U165" s="3"/>
      <c r="V165" s="3"/>
      <c r="W165"/>
      <c r="AC165"/>
      <c r="AD165"/>
    </row>
    <row r="166" spans="1:30" ht="14.5" customHeight="1" x14ac:dyDescent="0.35">
      <c r="A166" s="2"/>
      <c r="B166" s="3" t="s">
        <v>374</v>
      </c>
      <c r="C166" s="3" t="s">
        <v>333</v>
      </c>
      <c r="D166" s="3"/>
      <c r="E166" s="2"/>
      <c r="F166" s="4">
        <v>6</v>
      </c>
      <c r="G166" s="5"/>
      <c r="H166" s="5"/>
      <c r="I166" s="34"/>
      <c r="J166" s="6"/>
      <c r="K166" s="6"/>
      <c r="L166" s="6"/>
      <c r="M166" s="6"/>
      <c r="N166" s="6"/>
      <c r="O166" s="6"/>
      <c r="P166" s="6"/>
      <c r="Q166" s="2"/>
      <c r="R166" s="2" t="s">
        <v>25</v>
      </c>
      <c r="S166" s="7">
        <v>46213</v>
      </c>
      <c r="T166" s="3" t="s">
        <v>26</v>
      </c>
      <c r="U166" s="3"/>
      <c r="V166" s="3"/>
      <c r="W166"/>
      <c r="AC166"/>
      <c r="AD166"/>
    </row>
    <row r="167" spans="1:30" ht="14.5" customHeight="1" x14ac:dyDescent="0.35">
      <c r="A167" s="2" t="s">
        <v>375</v>
      </c>
      <c r="B167" s="3" t="s">
        <v>376</v>
      </c>
      <c r="C167" s="3" t="s">
        <v>333</v>
      </c>
      <c r="D167" s="3"/>
      <c r="E167" s="2"/>
      <c r="F167" s="4">
        <v>6</v>
      </c>
      <c r="G167" s="5"/>
      <c r="H167" s="5"/>
      <c r="I167" s="34"/>
      <c r="J167" s="6"/>
      <c r="K167" s="6"/>
      <c r="L167" s="6"/>
      <c r="M167" s="6"/>
      <c r="N167" s="6"/>
      <c r="O167" s="6"/>
      <c r="P167" s="6"/>
      <c r="Q167" s="2"/>
      <c r="R167" s="2" t="s">
        <v>25</v>
      </c>
      <c r="S167" s="7">
        <v>46213</v>
      </c>
      <c r="T167" s="3"/>
      <c r="U167" s="3"/>
      <c r="V167" s="3"/>
      <c r="W167"/>
      <c r="AC167"/>
      <c r="AD167"/>
    </row>
    <row r="168" spans="1:30" ht="14.5" customHeight="1" x14ac:dyDescent="0.35">
      <c r="A168" s="2" t="s">
        <v>377</v>
      </c>
      <c r="B168" s="3" t="s">
        <v>378</v>
      </c>
      <c r="C168" s="3" t="s">
        <v>333</v>
      </c>
      <c r="D168" s="3"/>
      <c r="E168" s="2"/>
      <c r="F168" s="4">
        <v>6</v>
      </c>
      <c r="G168" s="5"/>
      <c r="H168" s="5"/>
      <c r="I168" s="34"/>
      <c r="J168" s="6"/>
      <c r="K168" s="6"/>
      <c r="L168" s="6"/>
      <c r="M168" s="6"/>
      <c r="N168" s="6"/>
      <c r="O168" s="6"/>
      <c r="P168" s="6"/>
      <c r="Q168" s="2"/>
      <c r="R168" s="2" t="s">
        <v>25</v>
      </c>
      <c r="S168" s="7">
        <v>46213</v>
      </c>
      <c r="T168" s="3"/>
      <c r="U168" s="3"/>
      <c r="V168" s="3"/>
      <c r="W168"/>
      <c r="AC168"/>
      <c r="AD168"/>
    </row>
    <row r="169" spans="1:30" ht="14.5" customHeight="1" x14ac:dyDescent="0.35">
      <c r="A169" s="2"/>
      <c r="B169" s="3" t="s">
        <v>379</v>
      </c>
      <c r="C169" s="3" t="s">
        <v>333</v>
      </c>
      <c r="D169" s="3"/>
      <c r="E169" s="2"/>
      <c r="F169" s="4">
        <v>7</v>
      </c>
      <c r="G169" s="5"/>
      <c r="H169" s="5"/>
      <c r="I169" s="34"/>
      <c r="J169" s="6"/>
      <c r="K169" s="6"/>
      <c r="L169" s="6"/>
      <c r="M169" s="6"/>
      <c r="N169" s="6"/>
      <c r="O169" s="6"/>
      <c r="P169" s="6"/>
      <c r="Q169" s="2"/>
      <c r="R169" s="2" t="s">
        <v>25</v>
      </c>
      <c r="S169" s="7">
        <v>46213</v>
      </c>
      <c r="T169" s="3" t="s">
        <v>26</v>
      </c>
      <c r="U169" s="3"/>
      <c r="V169" s="3"/>
      <c r="W169"/>
      <c r="AC169"/>
      <c r="AD169"/>
    </row>
    <row r="170" spans="1:30" ht="14.5" customHeight="1" x14ac:dyDescent="0.35">
      <c r="A170" s="2"/>
      <c r="B170" s="3" t="s">
        <v>380</v>
      </c>
      <c r="C170" s="3" t="s">
        <v>333</v>
      </c>
      <c r="D170" s="3"/>
      <c r="E170" s="2"/>
      <c r="F170" s="4">
        <v>6</v>
      </c>
      <c r="G170" s="5"/>
      <c r="H170" s="5"/>
      <c r="I170" s="34"/>
      <c r="J170" s="6"/>
      <c r="K170" s="6"/>
      <c r="L170" s="6"/>
      <c r="M170" s="6"/>
      <c r="N170" s="6"/>
      <c r="O170" s="6"/>
      <c r="P170" s="6"/>
      <c r="Q170" s="2"/>
      <c r="R170" s="2" t="s">
        <v>25</v>
      </c>
      <c r="S170" s="7">
        <v>46213</v>
      </c>
      <c r="T170" s="3" t="s">
        <v>26</v>
      </c>
      <c r="U170" s="3"/>
      <c r="V170" s="3"/>
      <c r="W170"/>
      <c r="AC170"/>
      <c r="AD170"/>
    </row>
    <row r="171" spans="1:30" ht="14.5" customHeight="1" x14ac:dyDescent="0.35">
      <c r="A171" s="2"/>
      <c r="B171" s="3" t="s">
        <v>381</v>
      </c>
      <c r="C171" s="3" t="s">
        <v>333</v>
      </c>
      <c r="D171" s="3"/>
      <c r="E171" s="2"/>
      <c r="F171" s="4">
        <v>6</v>
      </c>
      <c r="G171" s="5"/>
      <c r="H171" s="5"/>
      <c r="I171" s="34"/>
      <c r="J171" s="6"/>
      <c r="K171" s="6"/>
      <c r="L171" s="6"/>
      <c r="M171" s="6"/>
      <c r="N171" s="6"/>
      <c r="O171" s="6"/>
      <c r="P171" s="6"/>
      <c r="Q171" s="2"/>
      <c r="R171" s="2" t="s">
        <v>25</v>
      </c>
      <c r="S171" s="7">
        <v>46213</v>
      </c>
      <c r="T171" s="3" t="s">
        <v>26</v>
      </c>
      <c r="U171" s="3"/>
      <c r="V171" s="3"/>
      <c r="W171"/>
      <c r="AC171"/>
      <c r="AD171"/>
    </row>
    <row r="172" spans="1:30" ht="14.5" customHeight="1" x14ac:dyDescent="0.35">
      <c r="A172" s="2" t="s">
        <v>382</v>
      </c>
      <c r="B172" s="3" t="s">
        <v>383</v>
      </c>
      <c r="C172" s="3" t="s">
        <v>333</v>
      </c>
      <c r="D172" s="3"/>
      <c r="E172" s="2"/>
      <c r="F172" s="4">
        <v>4</v>
      </c>
      <c r="G172" s="5"/>
      <c r="H172" s="5"/>
      <c r="I172" s="34"/>
      <c r="J172" s="6"/>
      <c r="K172" s="6"/>
      <c r="L172" s="6"/>
      <c r="M172" s="6"/>
      <c r="N172" s="6"/>
      <c r="O172" s="6"/>
      <c r="P172" s="6"/>
      <c r="Q172" s="2"/>
      <c r="R172" s="2" t="s">
        <v>25</v>
      </c>
      <c r="S172" s="7">
        <v>46213</v>
      </c>
      <c r="T172" s="3"/>
      <c r="U172" s="3"/>
      <c r="V172" s="3"/>
      <c r="W172"/>
      <c r="AC172"/>
      <c r="AD172"/>
    </row>
    <row r="173" spans="1:30" ht="14.5" customHeight="1" x14ac:dyDescent="0.35">
      <c r="A173" s="2" t="s">
        <v>384</v>
      </c>
      <c r="B173" s="3" t="s">
        <v>385</v>
      </c>
      <c r="C173" s="3" t="s">
        <v>333</v>
      </c>
      <c r="D173" s="3"/>
      <c r="E173" s="2"/>
      <c r="F173" s="4">
        <v>4</v>
      </c>
      <c r="G173" s="5"/>
      <c r="H173" s="5"/>
      <c r="I173" s="36" t="s">
        <v>386</v>
      </c>
      <c r="J173" s="6"/>
      <c r="K173" s="6"/>
      <c r="L173" s="6"/>
      <c r="M173" s="6"/>
      <c r="N173" s="6"/>
      <c r="O173" s="6"/>
      <c r="P173" s="6"/>
      <c r="Q173" s="2"/>
      <c r="R173" s="2" t="s">
        <v>25</v>
      </c>
      <c r="S173" s="7">
        <v>46213</v>
      </c>
      <c r="T173" s="3"/>
      <c r="U173" s="3"/>
      <c r="V173" s="3"/>
      <c r="W173"/>
      <c r="AC173"/>
      <c r="AD173"/>
    </row>
    <row r="174" spans="1:30" ht="14.5" customHeight="1" x14ac:dyDescent="0.35">
      <c r="A174" s="2" t="s">
        <v>387</v>
      </c>
      <c r="B174" s="3" t="s">
        <v>388</v>
      </c>
      <c r="C174" s="3" t="s">
        <v>333</v>
      </c>
      <c r="D174" s="3"/>
      <c r="E174" s="2"/>
      <c r="F174" s="4">
        <v>5</v>
      </c>
      <c r="G174" s="5"/>
      <c r="H174" s="5"/>
      <c r="I174" s="34"/>
      <c r="J174" s="6"/>
      <c r="K174" s="6"/>
      <c r="L174" s="6"/>
      <c r="M174" s="6"/>
      <c r="N174" s="6"/>
      <c r="O174" s="6"/>
      <c r="P174" s="6"/>
      <c r="Q174" s="2"/>
      <c r="R174" s="2" t="s">
        <v>25</v>
      </c>
      <c r="S174" s="7">
        <v>46213</v>
      </c>
      <c r="T174" s="3"/>
      <c r="U174" s="3"/>
      <c r="V174" s="3"/>
      <c r="W174"/>
      <c r="AC174"/>
      <c r="AD174"/>
    </row>
    <row r="175" spans="1:30" ht="14.5" customHeight="1" x14ac:dyDescent="0.35">
      <c r="A175" s="2" t="s">
        <v>389</v>
      </c>
      <c r="B175" s="3" t="s">
        <v>390</v>
      </c>
      <c r="C175" s="3" t="s">
        <v>333</v>
      </c>
      <c r="D175" s="3"/>
      <c r="E175" s="2"/>
      <c r="F175" s="4">
        <v>4</v>
      </c>
      <c r="G175" s="5"/>
      <c r="H175" s="5"/>
      <c r="I175" s="34"/>
      <c r="J175" s="6"/>
      <c r="K175" s="6"/>
      <c r="L175" s="6"/>
      <c r="M175" s="6"/>
      <c r="N175" s="6"/>
      <c r="O175" s="6"/>
      <c r="P175" s="6"/>
      <c r="Q175" s="2"/>
      <c r="R175" s="2" t="s">
        <v>25</v>
      </c>
      <c r="S175" s="7">
        <v>46213</v>
      </c>
      <c r="T175" s="3"/>
      <c r="U175" s="3"/>
      <c r="V175" s="3"/>
      <c r="W175"/>
      <c r="AC175"/>
      <c r="AD175"/>
    </row>
    <row r="176" spans="1:30" ht="14.5" customHeight="1" x14ac:dyDescent="0.35">
      <c r="A176" s="2" t="s">
        <v>391</v>
      </c>
      <c r="B176" s="3" t="s">
        <v>392</v>
      </c>
      <c r="C176" s="3" t="s">
        <v>333</v>
      </c>
      <c r="D176" s="3"/>
      <c r="E176" s="2"/>
      <c r="F176" s="4">
        <v>4</v>
      </c>
      <c r="G176" s="5"/>
      <c r="H176" s="5"/>
      <c r="I176" s="34"/>
      <c r="J176" s="6"/>
      <c r="K176" s="6"/>
      <c r="L176" s="6"/>
      <c r="M176" s="6"/>
      <c r="N176" s="6"/>
      <c r="O176" s="6"/>
      <c r="P176" s="6"/>
      <c r="Q176" s="2"/>
      <c r="R176" s="2" t="s">
        <v>25</v>
      </c>
      <c r="S176" s="7">
        <v>46213</v>
      </c>
      <c r="T176" s="3"/>
      <c r="U176" s="3"/>
      <c r="V176" s="3"/>
      <c r="W176"/>
      <c r="AC176"/>
      <c r="AD176"/>
    </row>
    <row r="177" spans="1:30" ht="14.5" customHeight="1" x14ac:dyDescent="0.35">
      <c r="A177" s="2" t="s">
        <v>393</v>
      </c>
      <c r="B177" s="3" t="s">
        <v>394</v>
      </c>
      <c r="C177" s="3" t="s">
        <v>333</v>
      </c>
      <c r="D177" s="3"/>
      <c r="E177" s="2"/>
      <c r="F177" s="4">
        <v>6</v>
      </c>
      <c r="G177" s="5"/>
      <c r="H177" s="5"/>
      <c r="I177" s="34"/>
      <c r="J177" s="6"/>
      <c r="K177" s="6"/>
      <c r="L177" s="6"/>
      <c r="M177" s="6"/>
      <c r="N177" s="6"/>
      <c r="O177" s="6"/>
      <c r="P177" s="6"/>
      <c r="Q177" s="2"/>
      <c r="R177" s="2" t="s">
        <v>25</v>
      </c>
      <c r="S177" s="7">
        <v>46213</v>
      </c>
      <c r="T177" s="3"/>
      <c r="U177" s="3"/>
      <c r="V177" s="3"/>
      <c r="W177"/>
      <c r="AC177"/>
      <c r="AD177"/>
    </row>
    <row r="178" spans="1:30" ht="14.5" customHeight="1" x14ac:dyDescent="0.35">
      <c r="A178" s="2" t="s">
        <v>395</v>
      </c>
      <c r="B178" s="3" t="s">
        <v>396</v>
      </c>
      <c r="C178" s="3" t="s">
        <v>333</v>
      </c>
      <c r="D178" s="3"/>
      <c r="E178" s="2"/>
      <c r="F178" s="4">
        <v>7</v>
      </c>
      <c r="G178" s="5"/>
      <c r="H178" s="5"/>
      <c r="I178" s="34"/>
      <c r="J178" s="6"/>
      <c r="K178" s="6"/>
      <c r="L178" s="6"/>
      <c r="M178" s="6"/>
      <c r="N178" s="6"/>
      <c r="O178" s="6"/>
      <c r="P178" s="6"/>
      <c r="Q178" s="2"/>
      <c r="R178" s="2" t="s">
        <v>25</v>
      </c>
      <c r="S178" s="7">
        <v>46213</v>
      </c>
      <c r="T178" s="3"/>
      <c r="U178" s="3"/>
      <c r="V178" s="3"/>
      <c r="W178"/>
      <c r="AC178"/>
      <c r="AD178"/>
    </row>
    <row r="179" spans="1:30" ht="14.5" customHeight="1" x14ac:dyDescent="0.35">
      <c r="A179" s="2" t="s">
        <v>397</v>
      </c>
      <c r="B179" s="3" t="s">
        <v>398</v>
      </c>
      <c r="C179" s="3" t="s">
        <v>333</v>
      </c>
      <c r="D179" s="3"/>
      <c r="E179" s="2"/>
      <c r="F179" s="4">
        <v>7</v>
      </c>
      <c r="G179" s="5"/>
      <c r="H179" s="5"/>
      <c r="I179" s="34"/>
      <c r="J179" s="6"/>
      <c r="K179" s="6"/>
      <c r="L179" s="6"/>
      <c r="M179" s="6"/>
      <c r="N179" s="6"/>
      <c r="O179" s="6"/>
      <c r="P179" s="6"/>
      <c r="Q179" s="2"/>
      <c r="R179" s="2" t="s">
        <v>25</v>
      </c>
      <c r="S179" s="7">
        <v>46213</v>
      </c>
      <c r="T179" s="3"/>
      <c r="U179" s="3"/>
      <c r="V179" s="3"/>
      <c r="W179"/>
      <c r="AC179"/>
      <c r="AD179"/>
    </row>
    <row r="180" spans="1:30" ht="14.5" customHeight="1" x14ac:dyDescent="0.35">
      <c r="A180" s="2" t="s">
        <v>399</v>
      </c>
      <c r="B180" s="3" t="s">
        <v>400</v>
      </c>
      <c r="C180" s="3" t="s">
        <v>333</v>
      </c>
      <c r="D180" s="3"/>
      <c r="E180" s="2"/>
      <c r="F180" s="4">
        <v>7</v>
      </c>
      <c r="G180" s="5"/>
      <c r="H180" s="5"/>
      <c r="I180" s="34"/>
      <c r="J180" s="6"/>
      <c r="K180" s="6"/>
      <c r="L180" s="6"/>
      <c r="M180" s="6"/>
      <c r="N180" s="6"/>
      <c r="O180" s="6"/>
      <c r="P180" s="6"/>
      <c r="Q180" s="2"/>
      <c r="R180" s="2" t="s">
        <v>25</v>
      </c>
      <c r="S180" s="7">
        <v>46213</v>
      </c>
      <c r="T180" s="3"/>
      <c r="U180" s="3"/>
      <c r="V180" s="3"/>
      <c r="W180"/>
      <c r="AC180"/>
      <c r="AD180"/>
    </row>
    <row r="181" spans="1:30" ht="14.5" customHeight="1" x14ac:dyDescent="0.35">
      <c r="A181" s="2" t="s">
        <v>401</v>
      </c>
      <c r="B181" s="3" t="s">
        <v>402</v>
      </c>
      <c r="C181" s="3" t="s">
        <v>333</v>
      </c>
      <c r="D181" s="3"/>
      <c r="E181" s="2"/>
      <c r="F181" s="4">
        <v>7</v>
      </c>
      <c r="G181" s="5"/>
      <c r="H181" s="5"/>
      <c r="I181" s="34"/>
      <c r="J181" s="6"/>
      <c r="K181" s="6"/>
      <c r="L181" s="6"/>
      <c r="M181" s="6"/>
      <c r="N181" s="6"/>
      <c r="O181" s="6"/>
      <c r="P181" s="6"/>
      <c r="Q181" s="2"/>
      <c r="R181" s="2" t="s">
        <v>25</v>
      </c>
      <c r="S181" s="7">
        <v>46213</v>
      </c>
      <c r="T181" s="3"/>
      <c r="U181" s="3"/>
      <c r="V181" s="3"/>
      <c r="W181"/>
      <c r="AC181"/>
      <c r="AD181"/>
    </row>
    <row r="182" spans="1:30" ht="14.5" customHeight="1" x14ac:dyDescent="0.35">
      <c r="A182" s="2" t="s">
        <v>403</v>
      </c>
      <c r="B182" s="3" t="s">
        <v>404</v>
      </c>
      <c r="C182" s="3" t="s">
        <v>333</v>
      </c>
      <c r="D182" s="3"/>
      <c r="E182" s="2"/>
      <c r="F182" s="4">
        <v>4</v>
      </c>
      <c r="G182" s="5"/>
      <c r="H182" s="5"/>
      <c r="I182" s="36" t="s">
        <v>405</v>
      </c>
      <c r="J182" s="6"/>
      <c r="K182" s="6"/>
      <c r="L182" s="6"/>
      <c r="M182" s="6"/>
      <c r="N182" s="6"/>
      <c r="O182" s="6"/>
      <c r="P182" s="6"/>
      <c r="Q182" s="2"/>
      <c r="R182" s="2" t="s">
        <v>25</v>
      </c>
      <c r="S182" s="7">
        <v>46213</v>
      </c>
      <c r="T182" s="3"/>
      <c r="U182" s="3"/>
      <c r="V182" s="3"/>
      <c r="W182"/>
      <c r="AC182"/>
      <c r="AD182"/>
    </row>
    <row r="183" spans="1:30" ht="14.5" customHeight="1" x14ac:dyDescent="0.35">
      <c r="A183" s="2" t="s">
        <v>406</v>
      </c>
      <c r="B183" s="3" t="s">
        <v>407</v>
      </c>
      <c r="C183" s="3" t="s">
        <v>333</v>
      </c>
      <c r="D183" s="3"/>
      <c r="E183" s="2"/>
      <c r="F183" s="4">
        <v>4</v>
      </c>
      <c r="G183" s="5"/>
      <c r="H183" s="5"/>
      <c r="I183" s="36" t="s">
        <v>408</v>
      </c>
      <c r="J183" s="6"/>
      <c r="K183" s="6"/>
      <c r="L183" s="6"/>
      <c r="M183" s="6"/>
      <c r="N183" s="6"/>
      <c r="O183" s="6"/>
      <c r="P183" s="6"/>
      <c r="Q183" s="2"/>
      <c r="R183" s="2" t="s">
        <v>25</v>
      </c>
      <c r="S183" s="7">
        <v>46213</v>
      </c>
      <c r="T183" s="3"/>
      <c r="U183" s="3"/>
      <c r="V183" s="3"/>
      <c r="W183"/>
      <c r="AC183"/>
      <c r="AD183"/>
    </row>
    <row r="184" spans="1:30" ht="14.5" customHeight="1" x14ac:dyDescent="0.35">
      <c r="A184" s="2" t="s">
        <v>409</v>
      </c>
      <c r="B184" s="3" t="s">
        <v>410</v>
      </c>
      <c r="C184" s="3" t="s">
        <v>333</v>
      </c>
      <c r="D184" s="3"/>
      <c r="E184" s="2"/>
      <c r="F184" s="4">
        <v>4</v>
      </c>
      <c r="G184" s="5"/>
      <c r="H184" s="5"/>
      <c r="I184" s="36" t="s">
        <v>411</v>
      </c>
      <c r="J184" s="6"/>
      <c r="K184" s="6"/>
      <c r="L184" s="6"/>
      <c r="M184" s="6"/>
      <c r="N184" s="6"/>
      <c r="O184" s="6"/>
      <c r="P184" s="6"/>
      <c r="Q184" s="2"/>
      <c r="R184" s="2" t="s">
        <v>25</v>
      </c>
      <c r="S184" s="7">
        <v>46213</v>
      </c>
      <c r="T184" s="3"/>
      <c r="U184" s="3"/>
      <c r="V184" s="3"/>
      <c r="W184"/>
      <c r="AC184"/>
      <c r="AD184"/>
    </row>
    <row r="185" spans="1:30" ht="14.5" customHeight="1" x14ac:dyDescent="0.35">
      <c r="A185" s="2" t="s">
        <v>412</v>
      </c>
      <c r="B185" s="3" t="s">
        <v>413</v>
      </c>
      <c r="C185" s="3" t="s">
        <v>333</v>
      </c>
      <c r="D185" s="3"/>
      <c r="E185" s="2"/>
      <c r="F185" s="4">
        <v>6</v>
      </c>
      <c r="G185" s="5"/>
      <c r="H185" s="5"/>
      <c r="I185" s="34"/>
      <c r="J185" s="6"/>
      <c r="K185" s="6"/>
      <c r="L185" s="6"/>
      <c r="M185" s="6"/>
      <c r="N185" s="6"/>
      <c r="O185" s="6"/>
      <c r="P185" s="6"/>
      <c r="Q185" s="2"/>
      <c r="R185" s="2" t="s">
        <v>25</v>
      </c>
      <c r="S185" s="7">
        <v>46213</v>
      </c>
      <c r="T185" s="3"/>
      <c r="U185" s="3"/>
      <c r="V185" s="3"/>
      <c r="W185"/>
      <c r="AC185"/>
      <c r="AD185"/>
    </row>
    <row r="186" spans="1:30" ht="14.5" customHeight="1" x14ac:dyDescent="0.35">
      <c r="A186" s="2" t="s">
        <v>414</v>
      </c>
      <c r="B186" s="3" t="s">
        <v>415</v>
      </c>
      <c r="C186" s="3" t="s">
        <v>333</v>
      </c>
      <c r="D186" s="3"/>
      <c r="E186" s="2"/>
      <c r="F186" s="4">
        <v>4</v>
      </c>
      <c r="G186" s="5"/>
      <c r="H186" s="5"/>
      <c r="I186" s="36" t="s">
        <v>416</v>
      </c>
      <c r="J186" s="6"/>
      <c r="K186" s="6"/>
      <c r="L186" s="6"/>
      <c r="M186" s="6"/>
      <c r="N186" s="6"/>
      <c r="O186" s="6"/>
      <c r="P186" s="6"/>
      <c r="Q186" s="2"/>
      <c r="R186" s="2" t="s">
        <v>25</v>
      </c>
      <c r="S186" s="7">
        <v>46213</v>
      </c>
      <c r="T186" s="3"/>
      <c r="U186" s="3"/>
      <c r="V186" s="3"/>
      <c r="W186"/>
      <c r="AC186"/>
      <c r="AD186"/>
    </row>
    <row r="187" spans="1:30" ht="14.5" customHeight="1" x14ac:dyDescent="0.35">
      <c r="A187" s="2" t="s">
        <v>417</v>
      </c>
      <c r="B187" s="3" t="s">
        <v>418</v>
      </c>
      <c r="C187" s="3" t="s">
        <v>333</v>
      </c>
      <c r="D187" s="3"/>
      <c r="E187" s="2"/>
      <c r="F187" s="4">
        <v>6</v>
      </c>
      <c r="G187" s="5"/>
      <c r="H187" s="5"/>
      <c r="I187" s="36" t="s">
        <v>419</v>
      </c>
      <c r="J187" s="6"/>
      <c r="K187" s="6"/>
      <c r="L187" s="6"/>
      <c r="M187" s="6"/>
      <c r="N187" s="6"/>
      <c r="O187" s="6"/>
      <c r="P187" s="6"/>
      <c r="Q187" s="2"/>
      <c r="R187" s="2" t="s">
        <v>25</v>
      </c>
      <c r="S187" s="7">
        <v>46213</v>
      </c>
      <c r="T187" s="3"/>
      <c r="U187" s="3"/>
      <c r="V187" s="3"/>
      <c r="W187"/>
      <c r="AC187"/>
      <c r="AD187"/>
    </row>
    <row r="188" spans="1:30" ht="14.5" customHeight="1" x14ac:dyDescent="0.35">
      <c r="A188" s="2" t="s">
        <v>420</v>
      </c>
      <c r="B188" s="3" t="s">
        <v>421</v>
      </c>
      <c r="C188" s="3" t="s">
        <v>333</v>
      </c>
      <c r="D188" s="3"/>
      <c r="E188" s="2"/>
      <c r="F188" s="4">
        <v>4</v>
      </c>
      <c r="G188" s="5"/>
      <c r="H188" s="5"/>
      <c r="I188" s="34"/>
      <c r="J188" s="6"/>
      <c r="K188" s="6"/>
      <c r="L188" s="6"/>
      <c r="M188" s="6"/>
      <c r="N188" s="6"/>
      <c r="O188" s="6"/>
      <c r="P188" s="6"/>
      <c r="Q188" s="2"/>
      <c r="R188" s="2" t="s">
        <v>25</v>
      </c>
      <c r="S188" s="7">
        <v>46213</v>
      </c>
      <c r="T188" s="3"/>
      <c r="U188" s="3"/>
      <c r="V188" s="3"/>
      <c r="W188"/>
      <c r="AC188"/>
      <c r="AD188"/>
    </row>
    <row r="189" spans="1:30" ht="14.5" customHeight="1" x14ac:dyDescent="0.35">
      <c r="A189" s="2" t="s">
        <v>422</v>
      </c>
      <c r="B189" s="3" t="s">
        <v>423</v>
      </c>
      <c r="C189" s="3" t="s">
        <v>333</v>
      </c>
      <c r="D189" s="3"/>
      <c r="E189" s="2"/>
      <c r="F189" s="4">
        <v>7</v>
      </c>
      <c r="G189" s="5"/>
      <c r="H189" s="5"/>
      <c r="I189" s="34"/>
      <c r="J189" s="6"/>
      <c r="K189" s="6"/>
      <c r="L189" s="6"/>
      <c r="M189" s="6"/>
      <c r="N189" s="6"/>
      <c r="O189" s="6"/>
      <c r="P189" s="6"/>
      <c r="Q189" s="2"/>
      <c r="R189" s="2" t="s">
        <v>25</v>
      </c>
      <c r="S189" s="7">
        <v>46213</v>
      </c>
      <c r="T189" s="3"/>
      <c r="U189" s="3"/>
      <c r="V189" s="3"/>
      <c r="W189"/>
      <c r="AC189"/>
      <c r="AD189"/>
    </row>
    <row r="190" spans="1:30" ht="14.5" customHeight="1" x14ac:dyDescent="0.35">
      <c r="A190" s="2" t="s">
        <v>424</v>
      </c>
      <c r="B190" s="3" t="s">
        <v>425</v>
      </c>
      <c r="C190" s="3" t="s">
        <v>333</v>
      </c>
      <c r="D190" s="3"/>
      <c r="E190" s="2"/>
      <c r="F190" s="4">
        <v>6</v>
      </c>
      <c r="G190" s="5"/>
      <c r="H190" s="5"/>
      <c r="I190" s="34"/>
      <c r="J190" s="6"/>
      <c r="K190" s="6"/>
      <c r="L190" s="6"/>
      <c r="M190" s="6"/>
      <c r="N190" s="6"/>
      <c r="O190" s="6"/>
      <c r="P190" s="6"/>
      <c r="Q190" s="2"/>
      <c r="R190" s="2" t="s">
        <v>25</v>
      </c>
      <c r="S190" s="7">
        <v>46213</v>
      </c>
      <c r="T190" s="3"/>
      <c r="U190" s="3"/>
      <c r="V190" s="3"/>
      <c r="W190"/>
      <c r="AC190"/>
      <c r="AD190"/>
    </row>
    <row r="191" spans="1:30" ht="14.5" customHeight="1" x14ac:dyDescent="0.35">
      <c r="A191" s="2" t="s">
        <v>426</v>
      </c>
      <c r="B191" s="3" t="s">
        <v>427</v>
      </c>
      <c r="C191" s="3" t="s">
        <v>333</v>
      </c>
      <c r="D191" s="3"/>
      <c r="E191" s="2"/>
      <c r="F191" s="4">
        <v>4</v>
      </c>
      <c r="G191" s="5"/>
      <c r="H191" s="5"/>
      <c r="I191" s="34"/>
      <c r="J191" s="6"/>
      <c r="K191" s="6"/>
      <c r="L191" s="6"/>
      <c r="M191" s="6"/>
      <c r="N191" s="6"/>
      <c r="O191" s="6"/>
      <c r="P191" s="6"/>
      <c r="Q191" s="2"/>
      <c r="R191" s="2" t="s">
        <v>25</v>
      </c>
      <c r="S191" s="7">
        <v>46213</v>
      </c>
      <c r="T191" s="3"/>
      <c r="U191" s="3"/>
      <c r="V191" s="3"/>
      <c r="W191"/>
      <c r="AC191"/>
      <c r="AD191"/>
    </row>
    <row r="192" spans="1:30" ht="14.5" customHeight="1" x14ac:dyDescent="0.35">
      <c r="A192" s="2" t="s">
        <v>428</v>
      </c>
      <c r="B192" s="3" t="s">
        <v>429</v>
      </c>
      <c r="C192" s="3" t="s">
        <v>333</v>
      </c>
      <c r="D192" s="3"/>
      <c r="E192" s="2"/>
      <c r="F192" s="4">
        <v>6</v>
      </c>
      <c r="G192" s="5"/>
      <c r="H192" s="5"/>
      <c r="I192" s="34"/>
      <c r="J192" s="6"/>
      <c r="K192" s="6"/>
      <c r="L192" s="6"/>
      <c r="M192" s="6"/>
      <c r="N192" s="6"/>
      <c r="O192" s="6"/>
      <c r="P192" s="6"/>
      <c r="Q192" s="2"/>
      <c r="R192" s="2" t="s">
        <v>25</v>
      </c>
      <c r="S192" s="7">
        <v>46213</v>
      </c>
      <c r="T192" s="3"/>
      <c r="U192" s="3"/>
      <c r="V192" s="3"/>
      <c r="W192"/>
      <c r="AC192"/>
      <c r="AD192"/>
    </row>
    <row r="193" spans="1:30" ht="14.5" customHeight="1" x14ac:dyDescent="0.35">
      <c r="A193" s="2" t="s">
        <v>430</v>
      </c>
      <c r="B193" s="3" t="s">
        <v>431</v>
      </c>
      <c r="C193" s="3" t="s">
        <v>333</v>
      </c>
      <c r="D193" s="3"/>
      <c r="E193" s="2"/>
      <c r="F193" s="4">
        <v>6</v>
      </c>
      <c r="G193" s="5"/>
      <c r="H193" s="5"/>
      <c r="I193" s="34"/>
      <c r="J193" s="6"/>
      <c r="K193" s="6"/>
      <c r="L193" s="6"/>
      <c r="M193" s="6"/>
      <c r="N193" s="6"/>
      <c r="O193" s="6"/>
      <c r="P193" s="6"/>
      <c r="Q193" s="2"/>
      <c r="R193" s="2" t="s">
        <v>25</v>
      </c>
      <c r="S193" s="7">
        <v>46213</v>
      </c>
      <c r="T193" s="3"/>
      <c r="U193" s="3"/>
      <c r="V193" s="3"/>
      <c r="W193"/>
      <c r="AC193"/>
      <c r="AD193"/>
    </row>
    <row r="194" spans="1:30" ht="14.5" customHeight="1" x14ac:dyDescent="0.35">
      <c r="A194" s="2" t="s">
        <v>432</v>
      </c>
      <c r="B194" s="3" t="s">
        <v>433</v>
      </c>
      <c r="C194" s="3" t="s">
        <v>333</v>
      </c>
      <c r="D194" s="3"/>
      <c r="E194" s="2"/>
      <c r="F194" s="4">
        <v>6</v>
      </c>
      <c r="G194" s="5"/>
      <c r="H194" s="5"/>
      <c r="I194" s="34"/>
      <c r="J194" s="6"/>
      <c r="K194" s="6"/>
      <c r="L194" s="6"/>
      <c r="M194" s="6"/>
      <c r="N194" s="6"/>
      <c r="O194" s="6"/>
      <c r="P194" s="6"/>
      <c r="Q194" s="2"/>
      <c r="R194" s="2" t="s">
        <v>25</v>
      </c>
      <c r="S194" s="7">
        <v>46213</v>
      </c>
      <c r="T194" s="3"/>
      <c r="U194" s="3"/>
      <c r="V194" s="3"/>
      <c r="W194"/>
      <c r="AC194"/>
      <c r="AD194"/>
    </row>
    <row r="195" spans="1:30" ht="14.5" customHeight="1" x14ac:dyDescent="0.35">
      <c r="A195" s="2" t="s">
        <v>434</v>
      </c>
      <c r="B195" s="3" t="s">
        <v>435</v>
      </c>
      <c r="C195" s="3" t="s">
        <v>333</v>
      </c>
      <c r="D195" s="3"/>
      <c r="E195" s="2"/>
      <c r="F195" s="4">
        <v>6</v>
      </c>
      <c r="G195" s="5"/>
      <c r="H195" s="5"/>
      <c r="I195" s="34"/>
      <c r="J195" s="6"/>
      <c r="K195" s="6"/>
      <c r="L195" s="6"/>
      <c r="M195" s="6"/>
      <c r="N195" s="6"/>
      <c r="O195" s="6"/>
      <c r="P195" s="6"/>
      <c r="Q195" s="2"/>
      <c r="R195" s="2" t="s">
        <v>25</v>
      </c>
      <c r="S195" s="7">
        <v>46213</v>
      </c>
      <c r="T195" s="3"/>
      <c r="U195" s="3"/>
      <c r="V195" s="3"/>
      <c r="W195"/>
      <c r="AC195"/>
      <c r="AD195"/>
    </row>
    <row r="196" spans="1:30" ht="14.5" customHeight="1" x14ac:dyDescent="0.35">
      <c r="A196" s="2" t="s">
        <v>436</v>
      </c>
      <c r="B196" s="3" t="s">
        <v>437</v>
      </c>
      <c r="C196" s="3" t="s">
        <v>333</v>
      </c>
      <c r="D196" s="3"/>
      <c r="E196" s="2"/>
      <c r="F196" s="4">
        <v>7</v>
      </c>
      <c r="G196" s="5"/>
      <c r="H196" s="5"/>
      <c r="I196" s="34"/>
      <c r="J196" s="6"/>
      <c r="K196" s="6"/>
      <c r="L196" s="6"/>
      <c r="M196" s="6"/>
      <c r="N196" s="6"/>
      <c r="O196" s="6"/>
      <c r="P196" s="6"/>
      <c r="Q196" s="2"/>
      <c r="R196" s="2" t="s">
        <v>25</v>
      </c>
      <c r="S196" s="7">
        <v>46213</v>
      </c>
      <c r="T196" s="3"/>
      <c r="U196" s="3"/>
      <c r="V196" s="3"/>
      <c r="W196"/>
      <c r="AC196"/>
      <c r="AD196"/>
    </row>
    <row r="197" spans="1:30" ht="14.5" customHeight="1" x14ac:dyDescent="0.35">
      <c r="A197" s="2" t="s">
        <v>438</v>
      </c>
      <c r="B197" s="3" t="s">
        <v>439</v>
      </c>
      <c r="C197" s="3" t="s">
        <v>333</v>
      </c>
      <c r="D197" s="3"/>
      <c r="E197" s="2"/>
      <c r="F197" s="4">
        <v>6</v>
      </c>
      <c r="G197" s="5"/>
      <c r="H197" s="5"/>
      <c r="I197" s="34"/>
      <c r="J197" s="6"/>
      <c r="K197" s="6"/>
      <c r="L197" s="6"/>
      <c r="M197" s="6"/>
      <c r="N197" s="6"/>
      <c r="O197" s="6"/>
      <c r="P197" s="6"/>
      <c r="Q197" s="2"/>
      <c r="R197" s="2" t="s">
        <v>25</v>
      </c>
      <c r="S197" s="7">
        <v>46213</v>
      </c>
      <c r="T197" s="3"/>
      <c r="U197" s="3"/>
      <c r="V197" s="3"/>
      <c r="W197"/>
      <c r="AC197"/>
      <c r="AD197"/>
    </row>
    <row r="198" spans="1:30" ht="14.5" customHeight="1" x14ac:dyDescent="0.35">
      <c r="A198" s="2" t="s">
        <v>440</v>
      </c>
      <c r="B198" s="3" t="s">
        <v>441</v>
      </c>
      <c r="C198" s="3" t="s">
        <v>333</v>
      </c>
      <c r="D198" s="3"/>
      <c r="E198" s="2"/>
      <c r="F198" s="4">
        <v>7</v>
      </c>
      <c r="G198" s="5"/>
      <c r="H198" s="5"/>
      <c r="I198" s="34"/>
      <c r="J198" s="6"/>
      <c r="K198" s="6"/>
      <c r="L198" s="6"/>
      <c r="M198" s="6"/>
      <c r="N198" s="6"/>
      <c r="O198" s="6"/>
      <c r="P198" s="6"/>
      <c r="Q198" s="2"/>
      <c r="R198" s="2" t="s">
        <v>25</v>
      </c>
      <c r="S198" s="7">
        <v>46213</v>
      </c>
      <c r="T198" s="3"/>
      <c r="U198" s="3"/>
      <c r="V198" s="3"/>
      <c r="W198"/>
      <c r="AC198"/>
      <c r="AD198"/>
    </row>
    <row r="199" spans="1:30" ht="14.5" customHeight="1" x14ac:dyDescent="0.35">
      <c r="A199" s="2" t="s">
        <v>442</v>
      </c>
      <c r="B199" s="3" t="s">
        <v>443</v>
      </c>
      <c r="C199" s="3" t="s">
        <v>333</v>
      </c>
      <c r="D199" s="3"/>
      <c r="E199" s="2"/>
      <c r="F199" s="4">
        <v>6</v>
      </c>
      <c r="G199" s="5"/>
      <c r="H199" s="5"/>
      <c r="I199" s="34"/>
      <c r="J199" s="6"/>
      <c r="K199" s="6"/>
      <c r="L199" s="6"/>
      <c r="M199" s="6"/>
      <c r="N199" s="6"/>
      <c r="O199" s="6"/>
      <c r="P199" s="6"/>
      <c r="Q199" s="2"/>
      <c r="R199" s="2" t="s">
        <v>25</v>
      </c>
      <c r="S199" s="7">
        <v>46213</v>
      </c>
      <c r="T199" s="3"/>
      <c r="U199" s="3"/>
      <c r="V199" s="3"/>
      <c r="W199"/>
      <c r="AC199"/>
      <c r="AD199"/>
    </row>
    <row r="200" spans="1:30" ht="14.5" customHeight="1" x14ac:dyDescent="0.35">
      <c r="A200" s="2" t="s">
        <v>444</v>
      </c>
      <c r="B200" s="3" t="s">
        <v>445</v>
      </c>
      <c r="C200" s="3" t="s">
        <v>333</v>
      </c>
      <c r="D200" s="3"/>
      <c r="E200" s="2"/>
      <c r="F200" s="4">
        <v>6</v>
      </c>
      <c r="G200" s="5"/>
      <c r="H200" s="5"/>
      <c r="I200" s="34"/>
      <c r="J200" s="6"/>
      <c r="K200" s="6"/>
      <c r="L200" s="6"/>
      <c r="M200" s="6"/>
      <c r="N200" s="6"/>
      <c r="O200" s="6"/>
      <c r="P200" s="6"/>
      <c r="Q200" s="2"/>
      <c r="R200" s="2" t="s">
        <v>25</v>
      </c>
      <c r="S200" s="7">
        <v>46213</v>
      </c>
      <c r="T200" s="3"/>
      <c r="U200" s="3"/>
      <c r="V200" s="3"/>
      <c r="W200"/>
      <c r="AC200"/>
      <c r="AD200"/>
    </row>
    <row r="201" spans="1:30" ht="14.5" customHeight="1" x14ac:dyDescent="0.35">
      <c r="A201" s="2" t="s">
        <v>446</v>
      </c>
      <c r="B201" s="3" t="s">
        <v>447</v>
      </c>
      <c r="C201" s="3" t="s">
        <v>333</v>
      </c>
      <c r="D201" s="3"/>
      <c r="E201" s="2"/>
      <c r="F201" s="4">
        <v>6</v>
      </c>
      <c r="G201" s="5"/>
      <c r="H201" s="5"/>
      <c r="I201" s="34"/>
      <c r="J201" s="6"/>
      <c r="K201" s="6"/>
      <c r="L201" s="6"/>
      <c r="M201" s="6"/>
      <c r="N201" s="6"/>
      <c r="O201" s="6"/>
      <c r="P201" s="6"/>
      <c r="Q201" s="2"/>
      <c r="R201" s="2" t="s">
        <v>25</v>
      </c>
      <c r="S201" s="7">
        <v>46213</v>
      </c>
      <c r="T201" s="3"/>
      <c r="U201" s="3"/>
      <c r="V201" s="3"/>
      <c r="W201"/>
      <c r="AC201"/>
      <c r="AD201"/>
    </row>
    <row r="202" spans="1:30" ht="14.5" customHeight="1" x14ac:dyDescent="0.35">
      <c r="A202" s="2" t="s">
        <v>448</v>
      </c>
      <c r="B202" s="3" t="s">
        <v>449</v>
      </c>
      <c r="C202" s="3" t="s">
        <v>333</v>
      </c>
      <c r="D202" s="3"/>
      <c r="E202" s="2"/>
      <c r="F202" s="4">
        <v>6</v>
      </c>
      <c r="G202" s="5"/>
      <c r="H202" s="5"/>
      <c r="I202" s="34"/>
      <c r="J202" s="6"/>
      <c r="K202" s="6"/>
      <c r="L202" s="6"/>
      <c r="M202" s="6"/>
      <c r="N202" s="6"/>
      <c r="O202" s="6"/>
      <c r="P202" s="6"/>
      <c r="Q202" s="2"/>
      <c r="R202" s="2" t="s">
        <v>25</v>
      </c>
      <c r="S202" s="7">
        <v>46213</v>
      </c>
      <c r="T202" s="3"/>
      <c r="U202" s="3"/>
      <c r="V202" s="3"/>
      <c r="W202"/>
      <c r="AC202"/>
      <c r="AD202"/>
    </row>
    <row r="203" spans="1:30" ht="14.5" customHeight="1" x14ac:dyDescent="0.35">
      <c r="A203" s="2" t="s">
        <v>450</v>
      </c>
      <c r="B203" s="3" t="s">
        <v>451</v>
      </c>
      <c r="C203" s="3" t="s">
        <v>333</v>
      </c>
      <c r="D203" s="3"/>
      <c r="E203" s="2"/>
      <c r="F203" s="4">
        <v>6</v>
      </c>
      <c r="G203" s="5"/>
      <c r="H203" s="5"/>
      <c r="I203" s="34"/>
      <c r="J203" s="6"/>
      <c r="K203" s="6"/>
      <c r="L203" s="6"/>
      <c r="M203" s="6"/>
      <c r="N203" s="6"/>
      <c r="O203" s="6"/>
      <c r="P203" s="6"/>
      <c r="Q203" s="2"/>
      <c r="R203" s="2" t="s">
        <v>25</v>
      </c>
      <c r="S203" s="7">
        <v>46213</v>
      </c>
      <c r="T203" s="3"/>
      <c r="U203" s="3"/>
      <c r="V203" s="3"/>
      <c r="W203"/>
      <c r="AC203"/>
      <c r="AD203"/>
    </row>
    <row r="204" spans="1:30" ht="14.5" customHeight="1" x14ac:dyDescent="0.35">
      <c r="A204" s="2" t="s">
        <v>452</v>
      </c>
      <c r="B204" s="3" t="s">
        <v>453</v>
      </c>
      <c r="C204" s="3" t="s">
        <v>333</v>
      </c>
      <c r="D204" s="3"/>
      <c r="E204" s="2"/>
      <c r="F204" s="4">
        <v>5</v>
      </c>
      <c r="G204" s="5"/>
      <c r="H204" s="5"/>
      <c r="I204" s="34"/>
      <c r="J204" s="6"/>
      <c r="K204" s="6"/>
      <c r="L204" s="6"/>
      <c r="M204" s="6"/>
      <c r="N204" s="6"/>
      <c r="O204" s="6"/>
      <c r="P204" s="6"/>
      <c r="Q204" s="2"/>
      <c r="R204" s="2" t="s">
        <v>25</v>
      </c>
      <c r="S204" s="7">
        <v>46213</v>
      </c>
      <c r="T204" s="3"/>
      <c r="U204" s="3"/>
      <c r="V204" s="3"/>
      <c r="W204"/>
      <c r="AC204"/>
      <c r="AD204"/>
    </row>
    <row r="205" spans="1:30" ht="14.5" customHeight="1" x14ac:dyDescent="0.35">
      <c r="A205" s="2" t="s">
        <v>454</v>
      </c>
      <c r="B205" s="3" t="s">
        <v>455</v>
      </c>
      <c r="C205" s="3" t="s">
        <v>333</v>
      </c>
      <c r="D205" s="3"/>
      <c r="E205" s="2"/>
      <c r="F205" s="4">
        <v>4</v>
      </c>
      <c r="G205" s="5"/>
      <c r="H205" s="5"/>
      <c r="I205" s="34"/>
      <c r="J205" s="6"/>
      <c r="K205" s="6"/>
      <c r="L205" s="6"/>
      <c r="M205" s="6"/>
      <c r="N205" s="6"/>
      <c r="O205" s="6"/>
      <c r="P205" s="6"/>
      <c r="Q205" s="2"/>
      <c r="R205" s="2" t="s">
        <v>25</v>
      </c>
      <c r="S205" s="7">
        <v>46213</v>
      </c>
      <c r="T205" s="3"/>
      <c r="U205" s="3"/>
      <c r="V205" s="3"/>
      <c r="W205"/>
      <c r="AC205"/>
      <c r="AD205"/>
    </row>
    <row r="206" spans="1:30" ht="14.5" customHeight="1" x14ac:dyDescent="0.35">
      <c r="A206" s="2" t="s">
        <v>456</v>
      </c>
      <c r="B206" s="3" t="s">
        <v>457</v>
      </c>
      <c r="C206" s="3" t="s">
        <v>333</v>
      </c>
      <c r="D206" s="3"/>
      <c r="E206" s="2"/>
      <c r="F206" s="4">
        <v>6</v>
      </c>
      <c r="G206" s="5"/>
      <c r="H206" s="5"/>
      <c r="I206" s="34"/>
      <c r="J206" s="6"/>
      <c r="K206" s="6"/>
      <c r="L206" s="6"/>
      <c r="M206" s="6"/>
      <c r="N206" s="6"/>
      <c r="O206" s="6"/>
      <c r="P206" s="6"/>
      <c r="Q206" s="2"/>
      <c r="R206" s="2" t="s">
        <v>25</v>
      </c>
      <c r="S206" s="7">
        <v>46213</v>
      </c>
      <c r="T206" s="3"/>
      <c r="U206" s="3"/>
      <c r="V206" s="3"/>
      <c r="W206"/>
      <c r="AC206"/>
      <c r="AD206"/>
    </row>
    <row r="207" spans="1:30" ht="14.5" customHeight="1" x14ac:dyDescent="0.35">
      <c r="A207" s="2" t="s">
        <v>458</v>
      </c>
      <c r="B207" s="3" t="s">
        <v>459</v>
      </c>
      <c r="C207" s="3" t="s">
        <v>333</v>
      </c>
      <c r="D207" s="3"/>
      <c r="E207" s="2"/>
      <c r="F207" s="4">
        <v>6</v>
      </c>
      <c r="G207" s="5"/>
      <c r="H207" s="5"/>
      <c r="I207" s="34"/>
      <c r="J207" s="6"/>
      <c r="K207" s="6"/>
      <c r="L207" s="6"/>
      <c r="M207" s="6"/>
      <c r="N207" s="6"/>
      <c r="O207" s="6"/>
      <c r="P207" s="6"/>
      <c r="Q207" s="2"/>
      <c r="R207" s="2" t="s">
        <v>25</v>
      </c>
      <c r="S207" s="7">
        <v>46213</v>
      </c>
      <c r="T207" s="3"/>
      <c r="U207" s="3"/>
      <c r="V207" s="3"/>
      <c r="W207"/>
      <c r="AC207"/>
      <c r="AD207"/>
    </row>
    <row r="208" spans="1:30" ht="14.5" customHeight="1" x14ac:dyDescent="0.35">
      <c r="A208" s="2"/>
      <c r="B208" s="3" t="s">
        <v>460</v>
      </c>
      <c r="C208" s="3" t="s">
        <v>333</v>
      </c>
      <c r="D208" s="3"/>
      <c r="E208" s="2"/>
      <c r="F208" s="4">
        <v>6</v>
      </c>
      <c r="G208" s="5"/>
      <c r="H208" s="5"/>
      <c r="I208" s="34"/>
      <c r="J208" s="6"/>
      <c r="K208" s="6"/>
      <c r="L208" s="6"/>
      <c r="M208" s="6"/>
      <c r="N208" s="6"/>
      <c r="O208" s="6"/>
      <c r="P208" s="6"/>
      <c r="Q208" s="2"/>
      <c r="R208" s="2" t="s">
        <v>25</v>
      </c>
      <c r="S208" s="7">
        <v>46213</v>
      </c>
      <c r="T208" s="3" t="s">
        <v>26</v>
      </c>
      <c r="U208" s="3"/>
      <c r="V208" s="3"/>
      <c r="W208"/>
      <c r="AC208"/>
      <c r="AD208"/>
    </row>
    <row r="209" spans="1:30" ht="14.5" customHeight="1" x14ac:dyDescent="0.35">
      <c r="A209" s="2"/>
      <c r="B209" s="3" t="s">
        <v>379</v>
      </c>
      <c r="C209" s="3" t="s">
        <v>333</v>
      </c>
      <c r="D209" s="3"/>
      <c r="E209" s="2"/>
      <c r="F209" s="4">
        <v>7</v>
      </c>
      <c r="G209" s="5"/>
      <c r="H209" s="5"/>
      <c r="I209" s="34"/>
      <c r="J209" s="6"/>
      <c r="K209" s="6"/>
      <c r="L209" s="6"/>
      <c r="M209" s="6"/>
      <c r="N209" s="6"/>
      <c r="O209" s="6"/>
      <c r="P209" s="6"/>
      <c r="Q209" s="2"/>
      <c r="R209" s="2" t="s">
        <v>25</v>
      </c>
      <c r="S209" s="7">
        <v>46213</v>
      </c>
      <c r="T209" s="3" t="s">
        <v>26</v>
      </c>
      <c r="U209" s="3"/>
      <c r="V209" s="3"/>
      <c r="W209"/>
      <c r="AC209"/>
      <c r="AD209"/>
    </row>
    <row r="210" spans="1:30" ht="14.5" customHeight="1" x14ac:dyDescent="0.35">
      <c r="A210" s="2" t="s">
        <v>461</v>
      </c>
      <c r="B210" s="3" t="s">
        <v>462</v>
      </c>
      <c r="C210" s="3" t="s">
        <v>333</v>
      </c>
      <c r="D210" s="3"/>
      <c r="E210" s="2"/>
      <c r="F210" s="4">
        <v>7</v>
      </c>
      <c r="G210" s="5"/>
      <c r="H210" s="5"/>
      <c r="I210" s="34"/>
      <c r="J210" s="6"/>
      <c r="K210" s="6"/>
      <c r="L210" s="6"/>
      <c r="M210" s="6"/>
      <c r="N210" s="6"/>
      <c r="O210" s="6"/>
      <c r="P210" s="6"/>
      <c r="Q210" s="2"/>
      <c r="R210" s="2" t="s">
        <v>25</v>
      </c>
      <c r="S210" s="7">
        <v>46213</v>
      </c>
      <c r="T210" s="3"/>
      <c r="U210" s="3"/>
      <c r="V210" s="3"/>
      <c r="W210"/>
      <c r="AC210"/>
      <c r="AD210"/>
    </row>
    <row r="211" spans="1:30" ht="14.5" customHeight="1" x14ac:dyDescent="0.35">
      <c r="A211" s="2" t="s">
        <v>463</v>
      </c>
      <c r="B211" s="3" t="s">
        <v>464</v>
      </c>
      <c r="C211" s="3" t="s">
        <v>333</v>
      </c>
      <c r="D211" s="3"/>
      <c r="E211" s="2"/>
      <c r="F211" s="4">
        <v>6</v>
      </c>
      <c r="G211" s="5"/>
      <c r="H211" s="5"/>
      <c r="I211" s="34"/>
      <c r="J211" s="6"/>
      <c r="K211" s="6"/>
      <c r="L211" s="6"/>
      <c r="M211" s="6"/>
      <c r="N211" s="6"/>
      <c r="O211" s="6"/>
      <c r="P211" s="6"/>
      <c r="Q211" s="2"/>
      <c r="R211" s="2" t="s">
        <v>25</v>
      </c>
      <c r="S211" s="7">
        <v>46213</v>
      </c>
      <c r="T211" s="3"/>
      <c r="U211" s="3"/>
      <c r="V211" s="3"/>
      <c r="W211"/>
      <c r="AC211"/>
      <c r="AD211"/>
    </row>
    <row r="212" spans="1:30" ht="14.5" customHeight="1" x14ac:dyDescent="0.35">
      <c r="A212" s="2"/>
      <c r="B212" s="3" t="s">
        <v>465</v>
      </c>
      <c r="C212" s="3" t="s">
        <v>333</v>
      </c>
      <c r="D212" s="3"/>
      <c r="E212" s="2"/>
      <c r="F212" s="4">
        <v>6</v>
      </c>
      <c r="G212" s="5"/>
      <c r="H212" s="5"/>
      <c r="I212" s="34"/>
      <c r="J212" s="6"/>
      <c r="K212" s="6"/>
      <c r="L212" s="6"/>
      <c r="M212" s="6"/>
      <c r="N212" s="6"/>
      <c r="O212" s="6"/>
      <c r="P212" s="6"/>
      <c r="Q212" s="2"/>
      <c r="R212" s="2" t="s">
        <v>25</v>
      </c>
      <c r="S212" s="7">
        <v>46213</v>
      </c>
      <c r="T212" s="3" t="s">
        <v>26</v>
      </c>
      <c r="U212" s="3"/>
      <c r="V212" s="3"/>
      <c r="W212"/>
      <c r="AC212"/>
      <c r="AD212"/>
    </row>
    <row r="213" spans="1:30" ht="14.5" customHeight="1" x14ac:dyDescent="0.35">
      <c r="A213" s="39" t="s">
        <v>466</v>
      </c>
      <c r="B213" s="40"/>
      <c r="C213" s="40"/>
      <c r="D213" s="40"/>
      <c r="E213" s="39"/>
      <c r="F213" s="41"/>
      <c r="G213" s="42"/>
      <c r="H213" s="42"/>
      <c r="I213" s="43"/>
      <c r="J213" s="44"/>
      <c r="K213" s="44"/>
      <c r="L213" s="44"/>
      <c r="M213" s="44"/>
      <c r="N213" s="44"/>
      <c r="O213" s="44"/>
      <c r="P213" s="44"/>
      <c r="Q213" s="39"/>
      <c r="R213" s="39"/>
      <c r="S213" s="45"/>
      <c r="T213" s="40"/>
      <c r="U213" s="40"/>
      <c r="V213" s="40"/>
      <c r="W213"/>
      <c r="AC213"/>
      <c r="AD213"/>
    </row>
    <row r="214" spans="1:30" ht="14.5" customHeight="1" x14ac:dyDescent="0.35">
      <c r="A214" s="2" t="s">
        <v>467</v>
      </c>
      <c r="B214" s="3" t="s">
        <v>468</v>
      </c>
      <c r="C214" s="3" t="s">
        <v>466</v>
      </c>
      <c r="D214" s="3" t="s">
        <v>469</v>
      </c>
      <c r="E214" s="2"/>
      <c r="F214" s="4">
        <v>4</v>
      </c>
      <c r="G214" s="5"/>
      <c r="H214" s="5"/>
      <c r="I214" s="35" t="s">
        <v>470</v>
      </c>
      <c r="J214" s="6"/>
      <c r="K214" s="6"/>
      <c r="L214" s="6"/>
      <c r="M214" s="6"/>
      <c r="N214" s="6"/>
      <c r="O214" s="6"/>
      <c r="P214" s="6"/>
      <c r="Q214" s="2"/>
      <c r="R214" s="2" t="s">
        <v>25</v>
      </c>
      <c r="S214" s="7">
        <v>46213</v>
      </c>
      <c r="T214" s="3"/>
      <c r="U214" s="3"/>
      <c r="V214" s="3"/>
      <c r="W214"/>
      <c r="AC214"/>
      <c r="AD214"/>
    </row>
    <row r="215" spans="1:30" ht="14.5" customHeight="1" x14ac:dyDescent="0.35">
      <c r="A215" s="2" t="s">
        <v>471</v>
      </c>
      <c r="B215" s="3" t="s">
        <v>472</v>
      </c>
      <c r="C215" s="3" t="s">
        <v>466</v>
      </c>
      <c r="D215" s="3" t="s">
        <v>469</v>
      </c>
      <c r="E215" s="2"/>
      <c r="F215" s="4">
        <v>4</v>
      </c>
      <c r="G215" s="5"/>
      <c r="H215" s="5"/>
      <c r="I215" s="34"/>
      <c r="J215" s="6"/>
      <c r="K215" s="6"/>
      <c r="L215" s="6"/>
      <c r="M215" s="6"/>
      <c r="N215" s="6"/>
      <c r="O215" s="6"/>
      <c r="P215" s="6"/>
      <c r="Q215" s="2"/>
      <c r="R215" s="2" t="s">
        <v>25</v>
      </c>
      <c r="S215" s="7">
        <v>46213</v>
      </c>
      <c r="T215" s="3"/>
      <c r="U215" s="3"/>
      <c r="V215" s="3"/>
      <c r="W215"/>
      <c r="AC215"/>
      <c r="AD215"/>
    </row>
    <row r="216" spans="1:30" ht="14.5" customHeight="1" x14ac:dyDescent="0.35">
      <c r="A216" s="2" t="s">
        <v>473</v>
      </c>
      <c r="B216" s="3" t="s">
        <v>474</v>
      </c>
      <c r="C216" s="3" t="s">
        <v>466</v>
      </c>
      <c r="D216" s="3" t="s">
        <v>469</v>
      </c>
      <c r="E216" s="2"/>
      <c r="F216" s="4">
        <v>4</v>
      </c>
      <c r="G216" s="5"/>
      <c r="H216" s="5"/>
      <c r="I216" s="35" t="s">
        <v>475</v>
      </c>
      <c r="J216" s="6"/>
      <c r="K216" s="6"/>
      <c r="L216" s="6"/>
      <c r="M216" s="6"/>
      <c r="N216" s="6"/>
      <c r="O216" s="6"/>
      <c r="P216" s="6"/>
      <c r="Q216" s="2"/>
      <c r="R216" s="2" t="s">
        <v>25</v>
      </c>
      <c r="S216" s="7">
        <v>46213</v>
      </c>
      <c r="T216" s="3"/>
      <c r="U216" s="3"/>
      <c r="V216" s="3"/>
      <c r="W216"/>
      <c r="AC216"/>
      <c r="AD216"/>
    </row>
    <row r="217" spans="1:30" ht="14.5" customHeight="1" x14ac:dyDescent="0.35">
      <c r="A217" s="2" t="s">
        <v>476</v>
      </c>
      <c r="B217" s="3" t="s">
        <v>477</v>
      </c>
      <c r="C217" s="3" t="s">
        <v>466</v>
      </c>
      <c r="D217" s="3" t="s">
        <v>469</v>
      </c>
      <c r="E217" s="2"/>
      <c r="F217" s="4">
        <v>4</v>
      </c>
      <c r="G217" s="5"/>
      <c r="H217" s="5"/>
      <c r="I217" s="35" t="s">
        <v>478</v>
      </c>
      <c r="J217" s="6"/>
      <c r="K217" s="6"/>
      <c r="L217" s="6"/>
      <c r="M217" s="6"/>
      <c r="N217" s="6"/>
      <c r="O217" s="6"/>
      <c r="P217" s="6"/>
      <c r="Q217" s="2"/>
      <c r="R217" s="2" t="s">
        <v>25</v>
      </c>
      <c r="S217" s="7">
        <v>46213</v>
      </c>
      <c r="T217" s="3"/>
      <c r="U217" s="3"/>
      <c r="V217" s="3"/>
      <c r="W217"/>
      <c r="AC217"/>
      <c r="AD217"/>
    </row>
    <row r="218" spans="1:30" ht="14.5" customHeight="1" x14ac:dyDescent="0.35">
      <c r="A218" s="2" t="s">
        <v>479</v>
      </c>
      <c r="B218" s="3" t="s">
        <v>480</v>
      </c>
      <c r="C218" s="3" t="s">
        <v>466</v>
      </c>
      <c r="D218" s="3" t="s">
        <v>469</v>
      </c>
      <c r="E218" s="2"/>
      <c r="F218" s="4">
        <v>4</v>
      </c>
      <c r="G218" s="5"/>
      <c r="H218" s="5"/>
      <c r="I218" s="34"/>
      <c r="J218" s="6"/>
      <c r="K218" s="6"/>
      <c r="L218" s="6"/>
      <c r="M218" s="6"/>
      <c r="N218" s="6"/>
      <c r="O218" s="6"/>
      <c r="P218" s="6"/>
      <c r="Q218" s="2"/>
      <c r="R218" s="2" t="s">
        <v>25</v>
      </c>
      <c r="S218" s="7">
        <v>46213</v>
      </c>
      <c r="T218" s="3"/>
      <c r="U218" s="3"/>
      <c r="V218" s="3"/>
      <c r="W218"/>
      <c r="AC218"/>
      <c r="AD218"/>
    </row>
    <row r="219" spans="1:30" ht="14.5" customHeight="1" x14ac:dyDescent="0.35">
      <c r="A219" s="2" t="s">
        <v>481</v>
      </c>
      <c r="B219" s="3" t="s">
        <v>482</v>
      </c>
      <c r="C219" s="3" t="s">
        <v>466</v>
      </c>
      <c r="D219" s="3" t="s">
        <v>469</v>
      </c>
      <c r="E219" s="2"/>
      <c r="F219" s="4">
        <v>4</v>
      </c>
      <c r="G219" s="5"/>
      <c r="H219" s="5"/>
      <c r="I219" s="35" t="s">
        <v>483</v>
      </c>
      <c r="J219" s="6"/>
      <c r="K219" s="6"/>
      <c r="L219" s="6"/>
      <c r="M219" s="6"/>
      <c r="N219" s="6"/>
      <c r="O219" s="6"/>
      <c r="P219" s="6"/>
      <c r="Q219" s="2"/>
      <c r="R219" s="2" t="s">
        <v>25</v>
      </c>
      <c r="S219" s="7">
        <v>46213</v>
      </c>
      <c r="T219" s="3"/>
      <c r="U219" s="3"/>
      <c r="V219" s="3"/>
      <c r="W219"/>
      <c r="AC219"/>
      <c r="AD219"/>
    </row>
    <row r="220" spans="1:30" ht="14.5" customHeight="1" x14ac:dyDescent="0.35">
      <c r="A220" s="2" t="s">
        <v>484</v>
      </c>
      <c r="B220" s="3" t="s">
        <v>485</v>
      </c>
      <c r="C220" s="3" t="s">
        <v>466</v>
      </c>
      <c r="D220" s="3" t="s">
        <v>469</v>
      </c>
      <c r="E220" s="2"/>
      <c r="F220" s="4">
        <v>4</v>
      </c>
      <c r="G220" s="5"/>
      <c r="H220" s="5"/>
      <c r="I220" s="34"/>
      <c r="J220" s="6"/>
      <c r="K220" s="6"/>
      <c r="L220" s="6"/>
      <c r="M220" s="6"/>
      <c r="N220" s="6"/>
      <c r="O220" s="6"/>
      <c r="P220" s="6"/>
      <c r="Q220" s="2"/>
      <c r="R220" s="2" t="s">
        <v>25</v>
      </c>
      <c r="S220" s="7">
        <v>46213</v>
      </c>
      <c r="T220" s="3"/>
      <c r="U220" s="3"/>
      <c r="V220" s="3"/>
      <c r="W220"/>
      <c r="AC220"/>
      <c r="AD220"/>
    </row>
    <row r="221" spans="1:30" ht="14.5" customHeight="1" x14ac:dyDescent="0.35">
      <c r="A221" s="2" t="s">
        <v>486</v>
      </c>
      <c r="B221" s="3" t="s">
        <v>487</v>
      </c>
      <c r="C221" s="3" t="s">
        <v>466</v>
      </c>
      <c r="D221" s="3" t="s">
        <v>469</v>
      </c>
      <c r="E221" s="2"/>
      <c r="F221" s="4">
        <v>4</v>
      </c>
      <c r="G221" s="5"/>
      <c r="H221" s="5"/>
      <c r="I221" s="34"/>
      <c r="J221" s="6"/>
      <c r="K221" s="6"/>
      <c r="L221" s="6"/>
      <c r="M221" s="6"/>
      <c r="N221" s="6"/>
      <c r="O221" s="6"/>
      <c r="P221" s="6"/>
      <c r="Q221" s="2"/>
      <c r="R221" s="2" t="s">
        <v>25</v>
      </c>
      <c r="S221" s="7">
        <v>46213</v>
      </c>
      <c r="T221" s="3"/>
      <c r="U221" s="3"/>
      <c r="V221" s="3"/>
      <c r="W221"/>
      <c r="AC221"/>
      <c r="AD221"/>
    </row>
    <row r="222" spans="1:30" ht="14.5" customHeight="1" x14ac:dyDescent="0.35">
      <c r="A222" s="2" t="s">
        <v>488</v>
      </c>
      <c r="B222" s="3" t="s">
        <v>489</v>
      </c>
      <c r="C222" s="3" t="s">
        <v>466</v>
      </c>
      <c r="D222" s="3" t="s">
        <v>469</v>
      </c>
      <c r="E222" s="2"/>
      <c r="F222" s="4">
        <v>4</v>
      </c>
      <c r="G222" s="5"/>
      <c r="H222" s="5"/>
      <c r="I222" s="34"/>
      <c r="J222" s="6"/>
      <c r="K222" s="6"/>
      <c r="L222" s="6"/>
      <c r="M222" s="6"/>
      <c r="N222" s="6"/>
      <c r="O222" s="6"/>
      <c r="P222" s="6"/>
      <c r="Q222" s="2"/>
      <c r="R222" s="2" t="s">
        <v>25</v>
      </c>
      <c r="S222" s="7">
        <v>46213</v>
      </c>
      <c r="T222" s="3"/>
      <c r="U222" s="3"/>
      <c r="V222" s="3"/>
      <c r="W222"/>
      <c r="AC222"/>
      <c r="AD222"/>
    </row>
    <row r="223" spans="1:30" ht="14.5" customHeight="1" x14ac:dyDescent="0.35">
      <c r="A223" s="2" t="s">
        <v>490</v>
      </c>
      <c r="B223" s="3" t="s">
        <v>491</v>
      </c>
      <c r="C223" s="3" t="s">
        <v>466</v>
      </c>
      <c r="D223" s="3" t="s">
        <v>469</v>
      </c>
      <c r="E223" s="2"/>
      <c r="F223" s="4">
        <v>4</v>
      </c>
      <c r="G223" s="5"/>
      <c r="H223" s="5"/>
      <c r="I223" s="34"/>
      <c r="J223" s="6"/>
      <c r="K223" s="6"/>
      <c r="L223" s="6"/>
      <c r="M223" s="6"/>
      <c r="N223" s="6"/>
      <c r="O223" s="6"/>
      <c r="P223" s="6"/>
      <c r="Q223" s="2"/>
      <c r="R223" s="2" t="s">
        <v>25</v>
      </c>
      <c r="S223" s="7">
        <v>46213</v>
      </c>
      <c r="T223" s="3"/>
      <c r="U223" s="3"/>
      <c r="V223" s="3"/>
      <c r="W223"/>
      <c r="AC223"/>
      <c r="AD223"/>
    </row>
    <row r="224" spans="1:30" ht="14.5" customHeight="1" x14ac:dyDescent="0.35">
      <c r="A224" s="2" t="s">
        <v>492</v>
      </c>
      <c r="B224" s="3" t="s">
        <v>493</v>
      </c>
      <c r="C224" s="3" t="s">
        <v>466</v>
      </c>
      <c r="D224" s="3" t="s">
        <v>469</v>
      </c>
      <c r="E224" s="2"/>
      <c r="F224" s="4">
        <v>4</v>
      </c>
      <c r="G224" s="5"/>
      <c r="H224" s="5"/>
      <c r="I224" s="34"/>
      <c r="J224" s="6"/>
      <c r="K224" s="6"/>
      <c r="L224" s="6"/>
      <c r="M224" s="6"/>
      <c r="N224" s="6"/>
      <c r="O224" s="6"/>
      <c r="P224" s="6"/>
      <c r="Q224" s="2"/>
      <c r="R224" s="2" t="s">
        <v>25</v>
      </c>
      <c r="S224" s="7">
        <v>46213</v>
      </c>
      <c r="T224" s="3"/>
      <c r="U224" s="3"/>
      <c r="V224" s="3"/>
      <c r="W224"/>
      <c r="AC224"/>
      <c r="AD224"/>
    </row>
    <row r="225" spans="1:30" ht="14.5" customHeight="1" x14ac:dyDescent="0.35">
      <c r="A225" s="2" t="s">
        <v>494</v>
      </c>
      <c r="B225" s="3" t="s">
        <v>495</v>
      </c>
      <c r="C225" s="3" t="s">
        <v>466</v>
      </c>
      <c r="D225" s="3" t="s">
        <v>469</v>
      </c>
      <c r="E225" s="2"/>
      <c r="F225" s="4">
        <v>4</v>
      </c>
      <c r="G225" s="5"/>
      <c r="H225" s="5"/>
      <c r="I225" s="34"/>
      <c r="J225" s="6"/>
      <c r="K225" s="6"/>
      <c r="L225" s="6"/>
      <c r="M225" s="6"/>
      <c r="N225" s="6"/>
      <c r="O225" s="6"/>
      <c r="P225" s="6"/>
      <c r="Q225" s="2"/>
      <c r="R225" s="2" t="s">
        <v>25</v>
      </c>
      <c r="S225" s="7">
        <v>46213</v>
      </c>
      <c r="T225" s="3"/>
      <c r="U225" s="3"/>
      <c r="V225" s="3"/>
      <c r="W225"/>
      <c r="AC225"/>
      <c r="AD225"/>
    </row>
    <row r="226" spans="1:30" ht="14.5" customHeight="1" x14ac:dyDescent="0.35">
      <c r="A226" s="2" t="s">
        <v>496</v>
      </c>
      <c r="B226" s="3" t="s">
        <v>497</v>
      </c>
      <c r="C226" s="3" t="s">
        <v>466</v>
      </c>
      <c r="D226" s="3" t="s">
        <v>469</v>
      </c>
      <c r="E226" s="2"/>
      <c r="F226" s="4">
        <v>4</v>
      </c>
      <c r="G226" s="5"/>
      <c r="H226" s="5"/>
      <c r="I226" s="34"/>
      <c r="J226" s="6"/>
      <c r="K226" s="6"/>
      <c r="L226" s="6"/>
      <c r="M226" s="6"/>
      <c r="N226" s="6"/>
      <c r="O226" s="6"/>
      <c r="P226" s="6"/>
      <c r="Q226" s="2"/>
      <c r="R226" s="2" t="s">
        <v>25</v>
      </c>
      <c r="S226" s="7">
        <v>46213</v>
      </c>
      <c r="T226" s="3"/>
      <c r="U226" s="3"/>
      <c r="V226" s="3"/>
      <c r="W226"/>
      <c r="AC226"/>
      <c r="AD226"/>
    </row>
    <row r="227" spans="1:30" ht="14.5" customHeight="1" x14ac:dyDescent="0.35">
      <c r="A227" s="2" t="s">
        <v>498</v>
      </c>
      <c r="B227" s="3" t="s">
        <v>499</v>
      </c>
      <c r="C227" s="3" t="s">
        <v>466</v>
      </c>
      <c r="D227" s="3" t="s">
        <v>469</v>
      </c>
      <c r="E227" s="2"/>
      <c r="F227" s="4">
        <v>4</v>
      </c>
      <c r="G227" s="5"/>
      <c r="H227" s="5"/>
      <c r="I227" s="34"/>
      <c r="J227" s="6"/>
      <c r="K227" s="6"/>
      <c r="L227" s="6"/>
      <c r="M227" s="6"/>
      <c r="N227" s="6"/>
      <c r="O227" s="6"/>
      <c r="P227" s="6"/>
      <c r="Q227" s="2"/>
      <c r="R227" s="2" t="s">
        <v>25</v>
      </c>
      <c r="S227" s="7">
        <v>46213</v>
      </c>
      <c r="T227" s="3"/>
      <c r="U227" s="3"/>
      <c r="V227" s="3"/>
      <c r="W227"/>
      <c r="AC227"/>
      <c r="AD227"/>
    </row>
    <row r="228" spans="1:30" ht="14.5" customHeight="1" x14ac:dyDescent="0.35">
      <c r="A228" s="2" t="s">
        <v>500</v>
      </c>
      <c r="B228" s="3" t="s">
        <v>501</v>
      </c>
      <c r="C228" s="3" t="s">
        <v>466</v>
      </c>
      <c r="D228" s="3" t="s">
        <v>469</v>
      </c>
      <c r="E228" s="2"/>
      <c r="F228" s="4">
        <v>4</v>
      </c>
      <c r="G228" s="5"/>
      <c r="H228" s="5"/>
      <c r="I228" s="34"/>
      <c r="J228" s="6"/>
      <c r="K228" s="6"/>
      <c r="L228" s="6"/>
      <c r="M228" s="6"/>
      <c r="N228" s="6"/>
      <c r="O228" s="6"/>
      <c r="P228" s="6"/>
      <c r="Q228" s="2"/>
      <c r="R228" s="2" t="s">
        <v>25</v>
      </c>
      <c r="S228" s="7">
        <v>46213</v>
      </c>
      <c r="T228" s="3"/>
      <c r="U228" s="3"/>
      <c r="V228" s="3"/>
      <c r="W228"/>
      <c r="AC228"/>
      <c r="AD228"/>
    </row>
    <row r="229" spans="1:30" ht="14.5" customHeight="1" x14ac:dyDescent="0.35">
      <c r="A229" s="2" t="s">
        <v>502</v>
      </c>
      <c r="B229" s="3" t="s">
        <v>503</v>
      </c>
      <c r="C229" s="3" t="s">
        <v>466</v>
      </c>
      <c r="D229" s="3" t="s">
        <v>469</v>
      </c>
      <c r="E229" s="2"/>
      <c r="F229" s="4">
        <v>4</v>
      </c>
      <c r="G229" s="5"/>
      <c r="H229" s="5"/>
      <c r="I229" s="34"/>
      <c r="J229" s="6"/>
      <c r="K229" s="6"/>
      <c r="L229" s="6"/>
      <c r="M229" s="6"/>
      <c r="N229" s="6"/>
      <c r="O229" s="6"/>
      <c r="P229" s="6"/>
      <c r="Q229" s="2"/>
      <c r="R229" s="2" t="s">
        <v>25</v>
      </c>
      <c r="S229" s="7">
        <v>46213</v>
      </c>
      <c r="T229" s="3"/>
      <c r="U229" s="3"/>
      <c r="V229" s="3"/>
      <c r="W229"/>
      <c r="AC229"/>
      <c r="AD229"/>
    </row>
    <row r="230" spans="1:30" ht="14.5" customHeight="1" x14ac:dyDescent="0.35">
      <c r="A230" s="2" t="s">
        <v>504</v>
      </c>
      <c r="B230" s="3" t="s">
        <v>505</v>
      </c>
      <c r="C230" s="3" t="s">
        <v>466</v>
      </c>
      <c r="D230" s="3" t="s">
        <v>469</v>
      </c>
      <c r="E230" s="2"/>
      <c r="F230" s="4">
        <v>4</v>
      </c>
      <c r="G230" s="5"/>
      <c r="H230" s="5"/>
      <c r="I230" s="34"/>
      <c r="J230" s="6"/>
      <c r="K230" s="6"/>
      <c r="L230" s="6"/>
      <c r="M230" s="6"/>
      <c r="N230" s="6"/>
      <c r="O230" s="6"/>
      <c r="P230" s="6"/>
      <c r="Q230" s="2"/>
      <c r="R230" s="2" t="s">
        <v>25</v>
      </c>
      <c r="S230" s="7">
        <v>46213</v>
      </c>
      <c r="T230" s="3"/>
      <c r="U230" s="3"/>
      <c r="V230" s="3"/>
      <c r="W230"/>
      <c r="AC230"/>
      <c r="AD230"/>
    </row>
    <row r="231" spans="1:30" ht="14.5" customHeight="1" x14ac:dyDescent="0.35">
      <c r="A231" s="2" t="s">
        <v>506</v>
      </c>
      <c r="B231" s="3" t="s">
        <v>507</v>
      </c>
      <c r="C231" s="3" t="s">
        <v>466</v>
      </c>
      <c r="D231" s="3" t="s">
        <v>469</v>
      </c>
      <c r="E231" s="2"/>
      <c r="F231" s="4">
        <v>4</v>
      </c>
      <c r="G231" s="5"/>
      <c r="H231" s="5"/>
      <c r="I231" s="34"/>
      <c r="J231" s="6"/>
      <c r="K231" s="6"/>
      <c r="L231" s="6"/>
      <c r="M231" s="6"/>
      <c r="N231" s="6"/>
      <c r="O231" s="6"/>
      <c r="P231" s="6"/>
      <c r="Q231" s="2"/>
      <c r="R231" s="2" t="s">
        <v>25</v>
      </c>
      <c r="S231" s="7">
        <v>46213</v>
      </c>
      <c r="T231" s="3"/>
      <c r="U231" s="3"/>
      <c r="V231" s="3"/>
      <c r="W231"/>
      <c r="AC231"/>
      <c r="AD231"/>
    </row>
    <row r="232" spans="1:30" ht="14.5" customHeight="1" x14ac:dyDescent="0.35">
      <c r="A232" s="2" t="s">
        <v>508</v>
      </c>
      <c r="B232" s="3" t="s">
        <v>509</v>
      </c>
      <c r="C232" s="3" t="s">
        <v>466</v>
      </c>
      <c r="D232" s="3" t="s">
        <v>469</v>
      </c>
      <c r="E232" s="2"/>
      <c r="F232" s="4">
        <v>4</v>
      </c>
      <c r="G232" s="5"/>
      <c r="H232" s="5"/>
      <c r="I232" s="34"/>
      <c r="J232" s="6"/>
      <c r="K232" s="6"/>
      <c r="L232" s="6"/>
      <c r="M232" s="6"/>
      <c r="N232" s="6"/>
      <c r="O232" s="6"/>
      <c r="P232" s="6"/>
      <c r="Q232" s="2"/>
      <c r="R232" s="2" t="s">
        <v>25</v>
      </c>
      <c r="S232" s="7">
        <v>46213</v>
      </c>
      <c r="T232" s="3"/>
      <c r="U232" s="3"/>
      <c r="V232" s="3"/>
      <c r="W232"/>
      <c r="AC232"/>
      <c r="AD232"/>
    </row>
    <row r="233" spans="1:30" ht="14.5" customHeight="1" x14ac:dyDescent="0.35">
      <c r="A233" s="2" t="s">
        <v>510</v>
      </c>
      <c r="B233" s="3" t="s">
        <v>511</v>
      </c>
      <c r="C233" s="3" t="s">
        <v>466</v>
      </c>
      <c r="D233" s="3" t="s">
        <v>469</v>
      </c>
      <c r="E233" s="2"/>
      <c r="F233" s="4">
        <v>4</v>
      </c>
      <c r="G233" s="5"/>
      <c r="H233" s="5"/>
      <c r="I233" s="34"/>
      <c r="J233" s="6"/>
      <c r="K233" s="6"/>
      <c r="L233" s="6"/>
      <c r="M233" s="6"/>
      <c r="N233" s="6"/>
      <c r="O233" s="6"/>
      <c r="P233" s="6"/>
      <c r="Q233" s="2"/>
      <c r="R233" s="2" t="s">
        <v>25</v>
      </c>
      <c r="S233" s="7">
        <v>46213</v>
      </c>
      <c r="T233" s="3"/>
      <c r="U233" s="3"/>
      <c r="V233" s="3"/>
      <c r="W233"/>
      <c r="AC233"/>
      <c r="AD233"/>
    </row>
    <row r="234" spans="1:30" ht="14.5" customHeight="1" x14ac:dyDescent="0.35">
      <c r="A234" s="2" t="s">
        <v>512</v>
      </c>
      <c r="B234" s="3" t="s">
        <v>513</v>
      </c>
      <c r="C234" s="3" t="s">
        <v>466</v>
      </c>
      <c r="D234" s="3" t="s">
        <v>469</v>
      </c>
      <c r="E234" s="2"/>
      <c r="F234" s="4">
        <v>4</v>
      </c>
      <c r="G234" s="5"/>
      <c r="H234" s="5"/>
      <c r="I234" s="34"/>
      <c r="J234" s="6"/>
      <c r="K234" s="6"/>
      <c r="L234" s="6"/>
      <c r="M234" s="6"/>
      <c r="N234" s="6"/>
      <c r="O234" s="6"/>
      <c r="P234" s="6"/>
      <c r="Q234" s="2"/>
      <c r="R234" s="2" t="s">
        <v>25</v>
      </c>
      <c r="S234" s="7">
        <v>46213</v>
      </c>
      <c r="T234" s="3"/>
      <c r="U234" s="3"/>
      <c r="V234" s="3"/>
      <c r="W234"/>
      <c r="AC234"/>
      <c r="AD234"/>
    </row>
    <row r="235" spans="1:30" ht="14.5" customHeight="1" x14ac:dyDescent="0.35">
      <c r="A235" s="2" t="s">
        <v>514</v>
      </c>
      <c r="B235" s="3" t="s">
        <v>515</v>
      </c>
      <c r="C235" s="3" t="s">
        <v>466</v>
      </c>
      <c r="D235" s="3" t="s">
        <v>469</v>
      </c>
      <c r="E235" s="2"/>
      <c r="F235" s="4">
        <v>4</v>
      </c>
      <c r="G235" s="5"/>
      <c r="H235" s="5"/>
      <c r="I235" s="34"/>
      <c r="J235" s="6"/>
      <c r="K235" s="6"/>
      <c r="L235" s="6"/>
      <c r="M235" s="6"/>
      <c r="N235" s="6"/>
      <c r="O235" s="6"/>
      <c r="P235" s="6"/>
      <c r="Q235" s="2"/>
      <c r="R235" s="2" t="s">
        <v>25</v>
      </c>
      <c r="S235" s="7">
        <v>46213</v>
      </c>
      <c r="T235" s="3"/>
      <c r="U235" s="3"/>
      <c r="V235" s="3"/>
      <c r="W235"/>
      <c r="AC235"/>
      <c r="AD235"/>
    </row>
    <row r="236" spans="1:30" ht="14.5" customHeight="1" x14ac:dyDescent="0.35">
      <c r="A236" s="2" t="s">
        <v>516</v>
      </c>
      <c r="B236" s="3" t="s">
        <v>517</v>
      </c>
      <c r="C236" s="3" t="s">
        <v>466</v>
      </c>
      <c r="D236" s="3" t="s">
        <v>469</v>
      </c>
      <c r="E236" s="2"/>
      <c r="F236" s="4">
        <v>4</v>
      </c>
      <c r="G236" s="5"/>
      <c r="H236" s="5"/>
      <c r="I236" s="34"/>
      <c r="J236" s="6"/>
      <c r="K236" s="6"/>
      <c r="L236" s="6"/>
      <c r="M236" s="6"/>
      <c r="N236" s="6"/>
      <c r="O236" s="6"/>
      <c r="P236" s="6"/>
      <c r="Q236" s="2"/>
      <c r="R236" s="2" t="s">
        <v>25</v>
      </c>
      <c r="S236" s="7">
        <v>46213</v>
      </c>
      <c r="T236" s="3"/>
      <c r="U236" s="3"/>
      <c r="V236" s="3"/>
      <c r="W236"/>
      <c r="AC236"/>
      <c r="AD236"/>
    </row>
    <row r="237" spans="1:30" ht="14.5" customHeight="1" x14ac:dyDescent="0.35">
      <c r="A237" s="2" t="s">
        <v>518</v>
      </c>
      <c r="B237" s="3" t="s">
        <v>519</v>
      </c>
      <c r="C237" s="3" t="s">
        <v>466</v>
      </c>
      <c r="D237" s="3" t="s">
        <v>469</v>
      </c>
      <c r="E237" s="2"/>
      <c r="F237" s="4">
        <v>4</v>
      </c>
      <c r="G237" s="5"/>
      <c r="H237" s="5"/>
      <c r="I237" s="34"/>
      <c r="J237" s="6"/>
      <c r="K237" s="6"/>
      <c r="L237" s="6"/>
      <c r="M237" s="6"/>
      <c r="N237" s="6"/>
      <c r="O237" s="6"/>
      <c r="P237" s="6"/>
      <c r="Q237" s="2"/>
      <c r="R237" s="2" t="s">
        <v>25</v>
      </c>
      <c r="S237" s="7">
        <v>46213</v>
      </c>
      <c r="T237" s="3"/>
      <c r="U237" s="3"/>
      <c r="V237" s="3"/>
      <c r="W237"/>
      <c r="AC237"/>
      <c r="AD237"/>
    </row>
    <row r="238" spans="1:30" ht="14.5" customHeight="1" x14ac:dyDescent="0.35">
      <c r="A238" s="2" t="s">
        <v>520</v>
      </c>
      <c r="B238" s="3" t="s">
        <v>521</v>
      </c>
      <c r="C238" s="3" t="s">
        <v>466</v>
      </c>
      <c r="D238" s="3" t="s">
        <v>469</v>
      </c>
      <c r="E238" s="2"/>
      <c r="F238" s="4">
        <v>4</v>
      </c>
      <c r="G238" s="5"/>
      <c r="H238" s="5"/>
      <c r="I238" s="34"/>
      <c r="J238" s="6"/>
      <c r="K238" s="6"/>
      <c r="L238" s="6"/>
      <c r="M238" s="6"/>
      <c r="N238" s="6"/>
      <c r="O238" s="6"/>
      <c r="P238" s="6"/>
      <c r="Q238" s="2"/>
      <c r="R238" s="2" t="s">
        <v>25</v>
      </c>
      <c r="S238" s="7">
        <v>46213</v>
      </c>
      <c r="T238" s="3"/>
      <c r="U238" s="3"/>
      <c r="V238" s="3"/>
      <c r="W238"/>
      <c r="AC238"/>
      <c r="AD238"/>
    </row>
    <row r="239" spans="1:30" ht="14.5" customHeight="1" x14ac:dyDescent="0.35">
      <c r="A239" s="2" t="s">
        <v>522</v>
      </c>
      <c r="B239" s="3" t="s">
        <v>523</v>
      </c>
      <c r="C239" s="3" t="s">
        <v>466</v>
      </c>
      <c r="D239" s="3" t="s">
        <v>469</v>
      </c>
      <c r="E239" s="2"/>
      <c r="F239" s="4">
        <v>4</v>
      </c>
      <c r="G239" s="5"/>
      <c r="H239" s="5"/>
      <c r="I239" s="36" t="s">
        <v>524</v>
      </c>
      <c r="J239" s="6"/>
      <c r="K239" s="6"/>
      <c r="L239" s="6"/>
      <c r="M239" s="6"/>
      <c r="N239" s="6"/>
      <c r="O239" s="6"/>
      <c r="P239" s="6"/>
      <c r="Q239" s="2"/>
      <c r="R239" s="2" t="s">
        <v>25</v>
      </c>
      <c r="S239" s="7">
        <v>46213</v>
      </c>
      <c r="T239" s="3"/>
      <c r="U239" s="3"/>
      <c r="V239" s="3"/>
      <c r="W239"/>
      <c r="AC239"/>
      <c r="AD239"/>
    </row>
    <row r="240" spans="1:30" ht="14.5" customHeight="1" x14ac:dyDescent="0.35">
      <c r="A240" s="2" t="s">
        <v>525</v>
      </c>
      <c r="B240" s="3" t="s">
        <v>526</v>
      </c>
      <c r="C240" s="3" t="s">
        <v>466</v>
      </c>
      <c r="D240" s="3" t="s">
        <v>469</v>
      </c>
      <c r="E240" s="2"/>
      <c r="F240" s="4">
        <v>4</v>
      </c>
      <c r="G240" s="5"/>
      <c r="H240" s="5"/>
      <c r="I240" s="34"/>
      <c r="J240" s="6"/>
      <c r="K240" s="6"/>
      <c r="L240" s="6"/>
      <c r="M240" s="6"/>
      <c r="N240" s="6"/>
      <c r="O240" s="6"/>
      <c r="P240" s="6"/>
      <c r="Q240" s="2"/>
      <c r="R240" s="2" t="s">
        <v>25</v>
      </c>
      <c r="S240" s="7">
        <v>46213</v>
      </c>
      <c r="T240" s="3"/>
      <c r="U240" s="3"/>
      <c r="V240" s="3"/>
      <c r="W240"/>
      <c r="AC240"/>
      <c r="AD240"/>
    </row>
    <row r="241" spans="1:30" ht="14.5" customHeight="1" x14ac:dyDescent="0.35">
      <c r="A241" s="2" t="s">
        <v>527</v>
      </c>
      <c r="B241" s="3" t="s">
        <v>528</v>
      </c>
      <c r="C241" s="3" t="s">
        <v>466</v>
      </c>
      <c r="D241" s="3" t="s">
        <v>469</v>
      </c>
      <c r="E241" s="2"/>
      <c r="F241" s="4">
        <v>4</v>
      </c>
      <c r="G241" s="5"/>
      <c r="H241" s="5"/>
      <c r="I241" s="34"/>
      <c r="J241" s="6"/>
      <c r="K241" s="6"/>
      <c r="L241" s="6"/>
      <c r="M241" s="6"/>
      <c r="N241" s="6"/>
      <c r="O241" s="6"/>
      <c r="P241" s="6"/>
      <c r="Q241" s="2"/>
      <c r="R241" s="2" t="s">
        <v>25</v>
      </c>
      <c r="S241" s="7">
        <v>46213</v>
      </c>
      <c r="T241" s="3"/>
      <c r="U241" s="3"/>
      <c r="V241" s="3"/>
      <c r="W241"/>
      <c r="AC241"/>
      <c r="AD241"/>
    </row>
    <row r="242" spans="1:30" ht="14.5" customHeight="1" x14ac:dyDescent="0.35">
      <c r="A242" s="2" t="s">
        <v>529</v>
      </c>
      <c r="B242" s="3" t="s">
        <v>530</v>
      </c>
      <c r="C242" s="3" t="s">
        <v>466</v>
      </c>
      <c r="D242" s="3" t="s">
        <v>469</v>
      </c>
      <c r="E242" s="2"/>
      <c r="F242" s="4">
        <v>5</v>
      </c>
      <c r="G242" s="5"/>
      <c r="H242" s="5"/>
      <c r="I242" s="34"/>
      <c r="J242" s="6"/>
      <c r="K242" s="6"/>
      <c r="L242" s="6"/>
      <c r="M242" s="6"/>
      <c r="N242" s="6"/>
      <c r="O242" s="6"/>
      <c r="P242" s="6"/>
      <c r="Q242" s="2"/>
      <c r="R242" s="2" t="s">
        <v>25</v>
      </c>
      <c r="S242" s="7">
        <v>46213</v>
      </c>
      <c r="T242" s="3"/>
      <c r="U242" s="3"/>
      <c r="V242" s="3"/>
      <c r="W242"/>
      <c r="AC242"/>
      <c r="AD242"/>
    </row>
    <row r="243" spans="1:30" ht="14.5" customHeight="1" x14ac:dyDescent="0.35">
      <c r="A243" s="2" t="s">
        <v>531</v>
      </c>
      <c r="B243" s="3" t="s">
        <v>532</v>
      </c>
      <c r="C243" s="3" t="s">
        <v>466</v>
      </c>
      <c r="D243" s="3" t="s">
        <v>469</v>
      </c>
      <c r="E243" s="2"/>
      <c r="F243" s="4">
        <v>4</v>
      </c>
      <c r="G243" s="5"/>
      <c r="H243" s="5"/>
      <c r="I243" s="34"/>
      <c r="J243" s="6"/>
      <c r="K243" s="6"/>
      <c r="L243" s="6"/>
      <c r="M243" s="6"/>
      <c r="N243" s="6"/>
      <c r="O243" s="6"/>
      <c r="P243" s="6"/>
      <c r="Q243" s="2"/>
      <c r="R243" s="2" t="s">
        <v>25</v>
      </c>
      <c r="S243" s="7">
        <v>46213</v>
      </c>
      <c r="T243" s="3"/>
      <c r="U243" s="3"/>
      <c r="V243" s="3"/>
      <c r="W243"/>
      <c r="AC243"/>
      <c r="AD243"/>
    </row>
    <row r="244" spans="1:30" ht="14.5" customHeight="1" x14ac:dyDescent="0.35">
      <c r="A244" s="2" t="s">
        <v>533</v>
      </c>
      <c r="B244" s="3" t="s">
        <v>534</v>
      </c>
      <c r="C244" s="3" t="s">
        <v>466</v>
      </c>
      <c r="D244" s="3" t="s">
        <v>469</v>
      </c>
      <c r="E244" s="2"/>
      <c r="F244" s="4">
        <v>1</v>
      </c>
      <c r="G244" s="5"/>
      <c r="H244" s="5"/>
      <c r="I244" s="34"/>
      <c r="J244" s="6"/>
      <c r="K244" s="6"/>
      <c r="L244" s="6"/>
      <c r="M244" s="6"/>
      <c r="N244" s="6"/>
      <c r="O244" s="6"/>
      <c r="P244" s="6"/>
      <c r="Q244" s="2"/>
      <c r="R244" s="2" t="s">
        <v>25</v>
      </c>
      <c r="S244" s="7">
        <v>46213</v>
      </c>
      <c r="T244" s="3"/>
      <c r="U244" s="3"/>
      <c r="V244" s="3"/>
      <c r="W244"/>
      <c r="AC244"/>
      <c r="AD244"/>
    </row>
    <row r="245" spans="1:30" ht="14.5" customHeight="1" x14ac:dyDescent="0.35">
      <c r="A245" s="2" t="s">
        <v>535</v>
      </c>
      <c r="B245" s="3" t="s">
        <v>536</v>
      </c>
      <c r="C245" s="3" t="s">
        <v>466</v>
      </c>
      <c r="D245" s="3" t="s">
        <v>537</v>
      </c>
      <c r="E245" s="2"/>
      <c r="F245" s="4">
        <v>5</v>
      </c>
      <c r="G245" s="5"/>
      <c r="H245" s="5"/>
      <c r="I245" s="34"/>
      <c r="J245" s="6"/>
      <c r="K245" s="6"/>
      <c r="L245" s="6"/>
      <c r="M245" s="6"/>
      <c r="N245" s="6"/>
      <c r="O245" s="6"/>
      <c r="P245" s="6"/>
      <c r="Q245" s="2"/>
      <c r="R245" s="2" t="s">
        <v>25</v>
      </c>
      <c r="S245" s="7">
        <v>46213</v>
      </c>
      <c r="T245" s="3"/>
      <c r="U245" s="3"/>
      <c r="V245" s="3"/>
      <c r="W245"/>
      <c r="AC245"/>
      <c r="AD245"/>
    </row>
    <row r="246" spans="1:30" ht="14.5" customHeight="1" x14ac:dyDescent="0.35">
      <c r="A246" s="2" t="s">
        <v>538</v>
      </c>
      <c r="B246" s="3" t="s">
        <v>539</v>
      </c>
      <c r="C246" s="3" t="s">
        <v>466</v>
      </c>
      <c r="D246" s="3" t="s">
        <v>537</v>
      </c>
      <c r="E246" s="2"/>
      <c r="F246" s="4">
        <v>5</v>
      </c>
      <c r="G246" s="5"/>
      <c r="H246" s="5"/>
      <c r="I246" s="34"/>
      <c r="J246" s="6"/>
      <c r="K246" s="6"/>
      <c r="L246" s="6"/>
      <c r="M246" s="6"/>
      <c r="N246" s="6"/>
      <c r="O246" s="6"/>
      <c r="P246" s="6"/>
      <c r="Q246" s="2"/>
      <c r="R246" s="2" t="s">
        <v>25</v>
      </c>
      <c r="S246" s="7">
        <v>46213</v>
      </c>
      <c r="T246" s="3"/>
      <c r="U246" s="3"/>
      <c r="V246" s="3"/>
      <c r="W246"/>
      <c r="AC246"/>
      <c r="AD246"/>
    </row>
    <row r="247" spans="1:30" ht="14.5" customHeight="1" x14ac:dyDescent="0.35">
      <c r="A247" s="2" t="s">
        <v>540</v>
      </c>
      <c r="B247" s="3" t="s">
        <v>541</v>
      </c>
      <c r="C247" s="3" t="s">
        <v>466</v>
      </c>
      <c r="D247" s="3" t="s">
        <v>537</v>
      </c>
      <c r="E247" s="2"/>
      <c r="F247" s="4">
        <v>5</v>
      </c>
      <c r="G247" s="5"/>
      <c r="H247" s="5"/>
      <c r="I247" s="34"/>
      <c r="J247" s="6"/>
      <c r="K247" s="6"/>
      <c r="L247" s="6"/>
      <c r="M247" s="6"/>
      <c r="N247" s="6"/>
      <c r="O247" s="6"/>
      <c r="P247" s="6"/>
      <c r="Q247" s="2"/>
      <c r="R247" s="2" t="s">
        <v>25</v>
      </c>
      <c r="S247" s="7">
        <v>46213</v>
      </c>
      <c r="T247" s="3"/>
      <c r="U247" s="3"/>
      <c r="V247" s="3"/>
      <c r="W247"/>
      <c r="AC247"/>
      <c r="AD247"/>
    </row>
    <row r="248" spans="1:30" ht="14.5" customHeight="1" x14ac:dyDescent="0.35">
      <c r="A248" s="2" t="s">
        <v>542</v>
      </c>
      <c r="B248" s="3" t="s">
        <v>543</v>
      </c>
      <c r="C248" s="3" t="s">
        <v>466</v>
      </c>
      <c r="D248" s="3" t="s">
        <v>537</v>
      </c>
      <c r="E248" s="2"/>
      <c r="F248" s="4">
        <v>4</v>
      </c>
      <c r="G248" s="5"/>
      <c r="H248" s="5"/>
      <c r="I248" s="34"/>
      <c r="J248" s="6"/>
      <c r="K248" s="6"/>
      <c r="L248" s="6"/>
      <c r="M248" s="6"/>
      <c r="N248" s="6"/>
      <c r="O248" s="6"/>
      <c r="P248" s="6"/>
      <c r="Q248" s="2"/>
      <c r="R248" s="2" t="s">
        <v>25</v>
      </c>
      <c r="S248" s="7">
        <v>46213</v>
      </c>
      <c r="T248" s="3"/>
      <c r="U248" s="3"/>
      <c r="V248" s="3"/>
      <c r="W248"/>
      <c r="AC248"/>
      <c r="AD248"/>
    </row>
    <row r="249" spans="1:30" ht="14.5" customHeight="1" x14ac:dyDescent="0.35">
      <c r="A249" s="2" t="s">
        <v>544</v>
      </c>
      <c r="B249" s="3" t="s">
        <v>545</v>
      </c>
      <c r="C249" s="3" t="s">
        <v>466</v>
      </c>
      <c r="D249" s="3" t="s">
        <v>537</v>
      </c>
      <c r="E249" s="2"/>
      <c r="F249" s="4">
        <v>4</v>
      </c>
      <c r="G249" s="5"/>
      <c r="H249" s="5"/>
      <c r="I249" s="34"/>
      <c r="J249" s="6"/>
      <c r="K249" s="6"/>
      <c r="L249" s="6"/>
      <c r="M249" s="6"/>
      <c r="N249" s="6"/>
      <c r="O249" s="6"/>
      <c r="P249" s="6"/>
      <c r="Q249" s="2"/>
      <c r="R249" s="2" t="s">
        <v>25</v>
      </c>
      <c r="S249" s="7">
        <v>46213</v>
      </c>
      <c r="T249" s="3"/>
      <c r="U249" s="3"/>
      <c r="V249" s="3"/>
      <c r="W249"/>
      <c r="AC249"/>
      <c r="AD249"/>
    </row>
    <row r="250" spans="1:30" ht="14.5" customHeight="1" x14ac:dyDescent="0.35">
      <c r="A250" s="2" t="s">
        <v>546</v>
      </c>
      <c r="B250" s="3" t="s">
        <v>547</v>
      </c>
      <c r="C250" s="3" t="s">
        <v>466</v>
      </c>
      <c r="D250" s="3" t="s">
        <v>537</v>
      </c>
      <c r="E250" s="2"/>
      <c r="F250" s="4">
        <v>4</v>
      </c>
      <c r="G250" s="5"/>
      <c r="H250" s="5"/>
      <c r="I250" s="34"/>
      <c r="J250" s="6"/>
      <c r="K250" s="6"/>
      <c r="L250" s="6"/>
      <c r="M250" s="6"/>
      <c r="N250" s="6"/>
      <c r="O250" s="6"/>
      <c r="P250" s="6"/>
      <c r="Q250" s="2"/>
      <c r="R250" s="2" t="s">
        <v>25</v>
      </c>
      <c r="S250" s="7">
        <v>46213</v>
      </c>
      <c r="T250" s="3"/>
      <c r="U250" s="3"/>
      <c r="V250" s="3"/>
      <c r="W250"/>
      <c r="AC250"/>
      <c r="AD250"/>
    </row>
    <row r="251" spans="1:30" ht="14.5" customHeight="1" x14ac:dyDescent="0.35">
      <c r="A251" s="2" t="s">
        <v>548</v>
      </c>
      <c r="B251" s="3" t="s">
        <v>549</v>
      </c>
      <c r="C251" s="3" t="s">
        <v>466</v>
      </c>
      <c r="D251" s="3" t="s">
        <v>537</v>
      </c>
      <c r="E251" s="2"/>
      <c r="F251" s="4">
        <v>4</v>
      </c>
      <c r="G251" s="5"/>
      <c r="H251" s="5"/>
      <c r="I251" s="34"/>
      <c r="J251" s="6"/>
      <c r="K251" s="6"/>
      <c r="L251" s="6"/>
      <c r="M251" s="6"/>
      <c r="N251" s="6"/>
      <c r="O251" s="6"/>
      <c r="P251" s="6"/>
      <c r="Q251" s="2"/>
      <c r="R251" s="2" t="s">
        <v>25</v>
      </c>
      <c r="S251" s="7">
        <v>46213</v>
      </c>
      <c r="T251" s="3"/>
      <c r="U251" s="3"/>
      <c r="V251" s="3"/>
      <c r="W251"/>
      <c r="AC251"/>
      <c r="AD251"/>
    </row>
    <row r="252" spans="1:30" ht="14.5" customHeight="1" x14ac:dyDescent="0.35">
      <c r="A252" s="2" t="s">
        <v>550</v>
      </c>
      <c r="B252" s="3" t="s">
        <v>551</v>
      </c>
      <c r="C252" s="3" t="s">
        <v>466</v>
      </c>
      <c r="D252" s="3" t="s">
        <v>537</v>
      </c>
      <c r="E252" s="2"/>
      <c r="F252" s="4">
        <v>5</v>
      </c>
      <c r="G252" s="5"/>
      <c r="H252" s="5"/>
      <c r="I252" s="35" t="s">
        <v>552</v>
      </c>
      <c r="J252" s="6"/>
      <c r="K252" s="6"/>
      <c r="L252" s="6"/>
      <c r="M252" s="6"/>
      <c r="N252" s="6"/>
      <c r="O252" s="6"/>
      <c r="P252" s="6"/>
      <c r="Q252" s="2"/>
      <c r="R252" s="2" t="s">
        <v>25</v>
      </c>
      <c r="S252" s="7">
        <v>46213</v>
      </c>
      <c r="T252" s="3"/>
      <c r="U252" s="3"/>
      <c r="V252" s="3"/>
      <c r="W252"/>
      <c r="AC252"/>
      <c r="AD252"/>
    </row>
    <row r="253" spans="1:30" ht="14.5" customHeight="1" x14ac:dyDescent="0.35">
      <c r="A253" s="2" t="s">
        <v>553</v>
      </c>
      <c r="B253" s="3" t="s">
        <v>554</v>
      </c>
      <c r="C253" s="3" t="s">
        <v>466</v>
      </c>
      <c r="D253" s="3" t="s">
        <v>537</v>
      </c>
      <c r="E253" s="2"/>
      <c r="F253" s="4">
        <v>4</v>
      </c>
      <c r="G253" s="5"/>
      <c r="H253" s="5"/>
      <c r="I253" s="35" t="s">
        <v>555</v>
      </c>
      <c r="J253" s="6"/>
      <c r="K253" s="6"/>
      <c r="L253" s="6"/>
      <c r="M253" s="6"/>
      <c r="N253" s="6"/>
      <c r="O253" s="6"/>
      <c r="P253" s="6"/>
      <c r="Q253" s="2"/>
      <c r="R253" s="2" t="s">
        <v>25</v>
      </c>
      <c r="S253" s="7">
        <v>46213</v>
      </c>
      <c r="T253" s="3"/>
      <c r="U253" s="3"/>
      <c r="V253" s="3"/>
      <c r="W253"/>
      <c r="AC253"/>
      <c r="AD253"/>
    </row>
    <row r="254" spans="1:30" ht="14.5" customHeight="1" x14ac:dyDescent="0.35">
      <c r="A254" s="2" t="s">
        <v>556</v>
      </c>
      <c r="B254" s="3" t="s">
        <v>557</v>
      </c>
      <c r="C254" s="3" t="s">
        <v>466</v>
      </c>
      <c r="D254" s="3" t="s">
        <v>537</v>
      </c>
      <c r="E254" s="2"/>
      <c r="F254" s="4">
        <v>6</v>
      </c>
      <c r="G254" s="5"/>
      <c r="H254" s="5"/>
      <c r="I254" s="35" t="s">
        <v>558</v>
      </c>
      <c r="J254" s="6"/>
      <c r="K254" s="6"/>
      <c r="L254" s="6"/>
      <c r="M254" s="6"/>
      <c r="N254" s="6"/>
      <c r="O254" s="6"/>
      <c r="P254" s="6"/>
      <c r="Q254" s="2"/>
      <c r="R254" s="2" t="s">
        <v>25</v>
      </c>
      <c r="S254" s="7">
        <v>46213</v>
      </c>
      <c r="T254" s="3"/>
      <c r="U254" s="3"/>
      <c r="V254" s="3"/>
      <c r="W254"/>
      <c r="AC254"/>
      <c r="AD254"/>
    </row>
    <row r="255" spans="1:30" ht="14.5" customHeight="1" x14ac:dyDescent="0.35">
      <c r="A255" s="2" t="s">
        <v>559</v>
      </c>
      <c r="B255" s="3" t="s">
        <v>560</v>
      </c>
      <c r="C255" s="3" t="s">
        <v>466</v>
      </c>
      <c r="D255" s="3" t="s">
        <v>537</v>
      </c>
      <c r="E255" s="2"/>
      <c r="F255" s="4">
        <v>4</v>
      </c>
      <c r="G255" s="5"/>
      <c r="H255" s="5"/>
      <c r="I255" s="35" t="s">
        <v>561</v>
      </c>
      <c r="J255" s="6"/>
      <c r="K255" s="6"/>
      <c r="L255" s="6"/>
      <c r="M255" s="6"/>
      <c r="N255" s="6"/>
      <c r="O255" s="6"/>
      <c r="P255" s="6"/>
      <c r="Q255" s="2"/>
      <c r="R255" s="2" t="s">
        <v>25</v>
      </c>
      <c r="S255" s="7">
        <v>46213</v>
      </c>
      <c r="T255" s="3"/>
      <c r="U255" s="3"/>
      <c r="V255" s="3"/>
      <c r="W255"/>
      <c r="AC255"/>
      <c r="AD255"/>
    </row>
    <row r="256" spans="1:30" ht="14.5" customHeight="1" x14ac:dyDescent="0.35">
      <c r="A256" s="2" t="s">
        <v>562</v>
      </c>
      <c r="B256" s="3" t="s">
        <v>563</v>
      </c>
      <c r="C256" s="3" t="s">
        <v>466</v>
      </c>
      <c r="D256" s="3" t="s">
        <v>537</v>
      </c>
      <c r="E256" s="2"/>
      <c r="F256" s="4">
        <v>6</v>
      </c>
      <c r="G256" s="5"/>
      <c r="H256" s="5"/>
      <c r="I256" s="34"/>
      <c r="J256" s="6"/>
      <c r="K256" s="6"/>
      <c r="L256" s="6"/>
      <c r="M256" s="6"/>
      <c r="N256" s="6"/>
      <c r="O256" s="6"/>
      <c r="P256" s="6"/>
      <c r="Q256" s="2"/>
      <c r="R256" s="2" t="s">
        <v>25</v>
      </c>
      <c r="S256" s="7">
        <v>46213</v>
      </c>
      <c r="T256" s="3"/>
      <c r="U256" s="3"/>
      <c r="V256" s="3"/>
      <c r="W256"/>
      <c r="AC256"/>
      <c r="AD256"/>
    </row>
    <row r="257" spans="1:30" ht="14.5" customHeight="1" x14ac:dyDescent="0.35">
      <c r="A257" s="2" t="s">
        <v>564</v>
      </c>
      <c r="B257" s="3" t="s">
        <v>565</v>
      </c>
      <c r="C257" s="3" t="s">
        <v>466</v>
      </c>
      <c r="D257" s="3" t="s">
        <v>537</v>
      </c>
      <c r="E257" s="2"/>
      <c r="F257" s="4">
        <v>4</v>
      </c>
      <c r="G257" s="5"/>
      <c r="H257" s="5"/>
      <c r="I257" s="36" t="s">
        <v>566</v>
      </c>
      <c r="J257" s="6"/>
      <c r="K257" s="6"/>
      <c r="L257" s="6"/>
      <c r="M257" s="6"/>
      <c r="N257" s="6"/>
      <c r="O257" s="6"/>
      <c r="P257" s="6"/>
      <c r="Q257" s="2"/>
      <c r="R257" s="2" t="s">
        <v>25</v>
      </c>
      <c r="S257" s="7">
        <v>46213</v>
      </c>
      <c r="T257" s="3"/>
      <c r="U257" s="3"/>
      <c r="V257" s="3"/>
      <c r="W257"/>
      <c r="AC257"/>
      <c r="AD257"/>
    </row>
    <row r="258" spans="1:30" ht="14.5" customHeight="1" x14ac:dyDescent="0.35">
      <c r="A258" s="2" t="s">
        <v>567</v>
      </c>
      <c r="B258" s="3" t="s">
        <v>568</v>
      </c>
      <c r="C258" s="3" t="s">
        <v>466</v>
      </c>
      <c r="D258" s="3" t="s">
        <v>537</v>
      </c>
      <c r="E258" s="2"/>
      <c r="F258" s="4">
        <v>4</v>
      </c>
      <c r="G258" s="5"/>
      <c r="H258" s="5"/>
      <c r="I258" s="34"/>
      <c r="J258" s="6"/>
      <c r="K258" s="6"/>
      <c r="L258" s="6"/>
      <c r="M258" s="6"/>
      <c r="N258" s="6"/>
      <c r="O258" s="6"/>
      <c r="P258" s="6"/>
      <c r="Q258" s="2"/>
      <c r="R258" s="2" t="s">
        <v>25</v>
      </c>
      <c r="S258" s="7">
        <v>46213</v>
      </c>
      <c r="T258" s="3"/>
      <c r="U258" s="3"/>
      <c r="V258" s="3"/>
      <c r="W258"/>
      <c r="AC258"/>
      <c r="AD258"/>
    </row>
    <row r="259" spans="1:30" ht="14.5" customHeight="1" x14ac:dyDescent="0.35">
      <c r="A259" s="2" t="s">
        <v>569</v>
      </c>
      <c r="B259" s="3" t="s">
        <v>570</v>
      </c>
      <c r="C259" s="3" t="s">
        <v>466</v>
      </c>
      <c r="D259" s="3" t="s">
        <v>537</v>
      </c>
      <c r="E259" s="2"/>
      <c r="F259" s="4">
        <v>4</v>
      </c>
      <c r="G259" s="5"/>
      <c r="H259" s="5"/>
      <c r="I259" s="34"/>
      <c r="J259" s="6"/>
      <c r="K259" s="6"/>
      <c r="L259" s="6"/>
      <c r="M259" s="6"/>
      <c r="N259" s="6"/>
      <c r="O259" s="6"/>
      <c r="P259" s="6"/>
      <c r="Q259" s="2"/>
      <c r="R259" s="2" t="s">
        <v>25</v>
      </c>
      <c r="S259" s="7">
        <v>46213</v>
      </c>
      <c r="T259" s="3"/>
      <c r="U259" s="3"/>
      <c r="V259" s="3"/>
      <c r="W259"/>
      <c r="AC259"/>
      <c r="AD259"/>
    </row>
    <row r="260" spans="1:30" ht="14.5" customHeight="1" x14ac:dyDescent="0.35">
      <c r="A260" s="2" t="s">
        <v>571</v>
      </c>
      <c r="B260" s="3" t="s">
        <v>572</v>
      </c>
      <c r="C260" s="3" t="s">
        <v>466</v>
      </c>
      <c r="D260" s="3" t="s">
        <v>537</v>
      </c>
      <c r="E260" s="2"/>
      <c r="F260" s="4">
        <v>4</v>
      </c>
      <c r="G260" s="5"/>
      <c r="H260" s="5"/>
      <c r="I260" s="34"/>
      <c r="J260" s="6"/>
      <c r="K260" s="6"/>
      <c r="L260" s="6"/>
      <c r="M260" s="6"/>
      <c r="N260" s="6"/>
      <c r="O260" s="6"/>
      <c r="P260" s="6"/>
      <c r="Q260" s="2"/>
      <c r="R260" s="2" t="s">
        <v>25</v>
      </c>
      <c r="S260" s="7">
        <v>46213</v>
      </c>
      <c r="T260" s="3"/>
      <c r="U260" s="3"/>
      <c r="V260" s="3"/>
      <c r="W260"/>
      <c r="AC260"/>
      <c r="AD260"/>
    </row>
    <row r="261" spans="1:30" ht="14.5" customHeight="1" x14ac:dyDescent="0.35">
      <c r="A261" s="2" t="s">
        <v>573</v>
      </c>
      <c r="B261" s="3" t="s">
        <v>574</v>
      </c>
      <c r="C261" s="3" t="s">
        <v>466</v>
      </c>
      <c r="D261" s="3" t="s">
        <v>537</v>
      </c>
      <c r="E261" s="2"/>
      <c r="F261" s="4">
        <v>5</v>
      </c>
      <c r="G261" s="5"/>
      <c r="H261" s="5"/>
      <c r="I261" s="34"/>
      <c r="J261" s="6"/>
      <c r="K261" s="6"/>
      <c r="L261" s="6"/>
      <c r="M261" s="6"/>
      <c r="N261" s="6"/>
      <c r="O261" s="6"/>
      <c r="P261" s="6"/>
      <c r="Q261" s="2"/>
      <c r="R261" s="2" t="s">
        <v>25</v>
      </c>
      <c r="S261" s="7">
        <v>46213</v>
      </c>
      <c r="T261" s="3"/>
      <c r="U261" s="3"/>
      <c r="V261" s="3"/>
      <c r="W261"/>
      <c r="AC261"/>
      <c r="AD261"/>
    </row>
    <row r="262" spans="1:30" ht="14.5" customHeight="1" x14ac:dyDescent="0.35">
      <c r="A262" s="2" t="s">
        <v>575</v>
      </c>
      <c r="B262" s="3" t="s">
        <v>576</v>
      </c>
      <c r="C262" s="3" t="s">
        <v>466</v>
      </c>
      <c r="D262" s="3" t="s">
        <v>537</v>
      </c>
      <c r="E262" s="2"/>
      <c r="F262" s="4">
        <v>5</v>
      </c>
      <c r="G262" s="5"/>
      <c r="H262" s="5"/>
      <c r="I262" s="34"/>
      <c r="J262" s="6"/>
      <c r="K262" s="6"/>
      <c r="L262" s="6"/>
      <c r="M262" s="6"/>
      <c r="N262" s="6"/>
      <c r="O262" s="6"/>
      <c r="P262" s="6"/>
      <c r="Q262" s="2"/>
      <c r="R262" s="2" t="s">
        <v>25</v>
      </c>
      <c r="S262" s="7">
        <v>46213</v>
      </c>
      <c r="T262" s="3"/>
      <c r="U262" s="3"/>
      <c r="V262" s="3"/>
      <c r="W262"/>
      <c r="AC262"/>
      <c r="AD262"/>
    </row>
    <row r="263" spans="1:30" ht="14.5" customHeight="1" x14ac:dyDescent="0.35">
      <c r="A263" s="2" t="s">
        <v>577</v>
      </c>
      <c r="B263" s="3" t="s">
        <v>578</v>
      </c>
      <c r="C263" s="3" t="s">
        <v>466</v>
      </c>
      <c r="D263" s="3" t="s">
        <v>537</v>
      </c>
      <c r="E263" s="2"/>
      <c r="F263" s="4">
        <v>5</v>
      </c>
      <c r="G263" s="5"/>
      <c r="H263" s="5"/>
      <c r="I263" s="36" t="s">
        <v>579</v>
      </c>
      <c r="J263" s="6"/>
      <c r="K263" s="6"/>
      <c r="L263" s="6"/>
      <c r="M263" s="6"/>
      <c r="N263" s="6"/>
      <c r="O263" s="6"/>
      <c r="P263" s="6"/>
      <c r="Q263" s="2"/>
      <c r="R263" s="2" t="s">
        <v>25</v>
      </c>
      <c r="S263" s="7">
        <v>46213</v>
      </c>
      <c r="T263" s="3"/>
      <c r="U263" s="3"/>
      <c r="V263" s="3"/>
      <c r="W263"/>
      <c r="AC263"/>
      <c r="AD263"/>
    </row>
    <row r="264" spans="1:30" ht="14.5" customHeight="1" x14ac:dyDescent="0.35">
      <c r="A264" s="2" t="s">
        <v>580</v>
      </c>
      <c r="B264" s="3" t="s">
        <v>581</v>
      </c>
      <c r="C264" s="3" t="s">
        <v>466</v>
      </c>
      <c r="D264" s="3" t="s">
        <v>537</v>
      </c>
      <c r="E264" s="2"/>
      <c r="F264" s="4">
        <v>4</v>
      </c>
      <c r="G264" s="5"/>
      <c r="H264" s="5"/>
      <c r="I264" s="36" t="s">
        <v>582</v>
      </c>
      <c r="J264" s="6"/>
      <c r="K264" s="6"/>
      <c r="L264" s="6"/>
      <c r="M264" s="6"/>
      <c r="N264" s="6"/>
      <c r="O264" s="6"/>
      <c r="P264" s="6"/>
      <c r="Q264" s="2"/>
      <c r="R264" s="2" t="s">
        <v>25</v>
      </c>
      <c r="S264" s="7">
        <v>46213</v>
      </c>
      <c r="T264" s="3"/>
      <c r="U264" s="3"/>
      <c r="V264" s="3"/>
      <c r="W264"/>
      <c r="AC264"/>
      <c r="AD264"/>
    </row>
    <row r="265" spans="1:30" ht="14.5" customHeight="1" x14ac:dyDescent="0.35">
      <c r="A265" s="2" t="s">
        <v>583</v>
      </c>
      <c r="B265" s="3" t="s">
        <v>584</v>
      </c>
      <c r="C265" s="3" t="s">
        <v>466</v>
      </c>
      <c r="D265" s="3" t="s">
        <v>537</v>
      </c>
      <c r="E265" s="2"/>
      <c r="F265" s="4">
        <v>4</v>
      </c>
      <c r="G265" s="5"/>
      <c r="H265" s="5"/>
      <c r="I265" s="35" t="s">
        <v>585</v>
      </c>
      <c r="J265" s="6"/>
      <c r="K265" s="6"/>
      <c r="L265" s="6"/>
      <c r="M265" s="6"/>
      <c r="N265" s="6"/>
      <c r="O265" s="6"/>
      <c r="P265" s="6"/>
      <c r="Q265" s="2"/>
      <c r="R265" s="2" t="s">
        <v>25</v>
      </c>
      <c r="S265" s="7">
        <v>46213</v>
      </c>
      <c r="T265" s="3"/>
      <c r="U265" s="3"/>
      <c r="V265" s="3"/>
      <c r="W265"/>
      <c r="AC265"/>
      <c r="AD265"/>
    </row>
    <row r="266" spans="1:30" ht="14.5" customHeight="1" x14ac:dyDescent="0.35">
      <c r="A266" s="2" t="s">
        <v>586</v>
      </c>
      <c r="B266" s="3" t="s">
        <v>587</v>
      </c>
      <c r="C266" s="3" t="s">
        <v>466</v>
      </c>
      <c r="D266" s="3" t="s">
        <v>537</v>
      </c>
      <c r="E266" s="2"/>
      <c r="F266" s="4">
        <v>4</v>
      </c>
      <c r="G266" s="5"/>
      <c r="H266" s="5"/>
      <c r="I266" s="34"/>
      <c r="J266" s="6"/>
      <c r="K266" s="6"/>
      <c r="L266" s="6"/>
      <c r="M266" s="6"/>
      <c r="N266" s="6"/>
      <c r="O266" s="6"/>
      <c r="P266" s="6"/>
      <c r="Q266" s="2"/>
      <c r="R266" s="2" t="s">
        <v>25</v>
      </c>
      <c r="S266" s="7">
        <v>46213</v>
      </c>
      <c r="T266" s="3"/>
      <c r="U266" s="3"/>
      <c r="V266" s="3"/>
      <c r="W266"/>
      <c r="AC266"/>
      <c r="AD266"/>
    </row>
    <row r="267" spans="1:30" ht="14.5" customHeight="1" x14ac:dyDescent="0.35">
      <c r="A267" s="2" t="s">
        <v>588</v>
      </c>
      <c r="B267" s="3" t="s">
        <v>589</v>
      </c>
      <c r="C267" s="3" t="s">
        <v>466</v>
      </c>
      <c r="D267" s="3" t="s">
        <v>537</v>
      </c>
      <c r="E267" s="2"/>
      <c r="F267" s="4">
        <v>4</v>
      </c>
      <c r="G267" s="5"/>
      <c r="H267" s="5"/>
      <c r="I267" s="34"/>
      <c r="J267" s="6"/>
      <c r="K267" s="6"/>
      <c r="L267" s="6"/>
      <c r="M267" s="6"/>
      <c r="N267" s="6"/>
      <c r="O267" s="6"/>
      <c r="P267" s="6"/>
      <c r="Q267" s="2"/>
      <c r="R267" s="2" t="s">
        <v>25</v>
      </c>
      <c r="S267" s="7">
        <v>46213</v>
      </c>
      <c r="T267" s="3"/>
      <c r="U267" s="3"/>
      <c r="V267" s="3"/>
      <c r="W267"/>
      <c r="AC267"/>
      <c r="AD267"/>
    </row>
    <row r="268" spans="1:30" ht="14.5" customHeight="1" x14ac:dyDescent="0.35">
      <c r="A268" s="2" t="s">
        <v>590</v>
      </c>
      <c r="B268" s="3" t="s">
        <v>591</v>
      </c>
      <c r="C268" s="3" t="s">
        <v>466</v>
      </c>
      <c r="D268" s="3" t="s">
        <v>537</v>
      </c>
      <c r="E268" s="2"/>
      <c r="F268" s="4">
        <v>5</v>
      </c>
      <c r="G268" s="5"/>
      <c r="H268" s="5"/>
      <c r="I268" s="34"/>
      <c r="J268" s="6"/>
      <c r="K268" s="6"/>
      <c r="L268" s="6"/>
      <c r="M268" s="6"/>
      <c r="N268" s="6"/>
      <c r="O268" s="6"/>
      <c r="P268" s="6"/>
      <c r="Q268" s="2"/>
      <c r="R268" s="2" t="s">
        <v>25</v>
      </c>
      <c r="S268" s="7">
        <v>46213</v>
      </c>
      <c r="T268" s="3"/>
      <c r="U268" s="3"/>
      <c r="V268" s="3"/>
      <c r="W268"/>
      <c r="AC268"/>
      <c r="AD268"/>
    </row>
    <row r="269" spans="1:30" ht="14.5" customHeight="1" x14ac:dyDescent="0.35">
      <c r="A269" s="2" t="s">
        <v>592</v>
      </c>
      <c r="B269" s="3" t="s">
        <v>593</v>
      </c>
      <c r="C269" s="3" t="s">
        <v>466</v>
      </c>
      <c r="D269" s="3" t="s">
        <v>537</v>
      </c>
      <c r="E269" s="2"/>
      <c r="F269" s="4">
        <v>6</v>
      </c>
      <c r="G269" s="5"/>
      <c r="H269" s="5"/>
      <c r="I269" s="34"/>
      <c r="J269" s="6"/>
      <c r="K269" s="6"/>
      <c r="L269" s="6"/>
      <c r="M269" s="6"/>
      <c r="N269" s="6"/>
      <c r="O269" s="6"/>
      <c r="P269" s="6"/>
      <c r="Q269" s="2"/>
      <c r="R269" s="2" t="s">
        <v>25</v>
      </c>
      <c r="S269" s="7">
        <v>46213</v>
      </c>
      <c r="T269" s="3"/>
      <c r="U269" s="3"/>
      <c r="V269" s="3"/>
      <c r="W269"/>
      <c r="AC269"/>
      <c r="AD269"/>
    </row>
    <row r="270" spans="1:30" ht="14.5" customHeight="1" x14ac:dyDescent="0.35">
      <c r="A270" s="2" t="s">
        <v>594</v>
      </c>
      <c r="B270" s="3" t="s">
        <v>595</v>
      </c>
      <c r="C270" s="3" t="s">
        <v>466</v>
      </c>
      <c r="D270" s="3" t="s">
        <v>537</v>
      </c>
      <c r="E270" s="2"/>
      <c r="F270" s="4">
        <v>5</v>
      </c>
      <c r="G270" s="5"/>
      <c r="H270" s="5"/>
      <c r="I270" s="35" t="s">
        <v>596</v>
      </c>
      <c r="J270" s="6"/>
      <c r="K270" s="6"/>
      <c r="L270" s="6"/>
      <c r="M270" s="6"/>
      <c r="N270" s="6"/>
      <c r="O270" s="6"/>
      <c r="P270" s="6"/>
      <c r="Q270" s="2"/>
      <c r="R270" s="2" t="s">
        <v>25</v>
      </c>
      <c r="S270" s="7">
        <v>46213</v>
      </c>
      <c r="T270" s="3"/>
      <c r="U270" s="3"/>
      <c r="V270" s="3"/>
      <c r="W270"/>
      <c r="AC270"/>
      <c r="AD270"/>
    </row>
    <row r="271" spans="1:30" ht="14.5" customHeight="1" x14ac:dyDescent="0.35">
      <c r="A271" s="2" t="s">
        <v>597</v>
      </c>
      <c r="B271" s="3" t="s">
        <v>598</v>
      </c>
      <c r="C271" s="3" t="s">
        <v>466</v>
      </c>
      <c r="D271" s="3" t="s">
        <v>599</v>
      </c>
      <c r="E271" s="2"/>
      <c r="F271" s="4">
        <v>4</v>
      </c>
      <c r="G271" s="5"/>
      <c r="H271" s="5"/>
      <c r="I271" s="35" t="s">
        <v>600</v>
      </c>
      <c r="J271" s="6"/>
      <c r="K271" s="6"/>
      <c r="L271" s="6"/>
      <c r="M271" s="6"/>
      <c r="N271" s="6"/>
      <c r="O271" s="6"/>
      <c r="P271" s="6"/>
      <c r="Q271" s="2"/>
      <c r="R271" s="2" t="s">
        <v>25</v>
      </c>
      <c r="S271" s="7">
        <v>46213</v>
      </c>
      <c r="T271" s="3"/>
      <c r="U271" s="3"/>
      <c r="V271" s="3"/>
      <c r="W271"/>
      <c r="AC271"/>
      <c r="AD271"/>
    </row>
    <row r="272" spans="1:30" ht="14.5" customHeight="1" x14ac:dyDescent="0.35">
      <c r="A272" s="2" t="s">
        <v>601</v>
      </c>
      <c r="B272" s="3" t="s">
        <v>602</v>
      </c>
      <c r="C272" s="3" t="s">
        <v>466</v>
      </c>
      <c r="D272" s="3" t="s">
        <v>599</v>
      </c>
      <c r="E272" s="2"/>
      <c r="F272" s="4">
        <v>4</v>
      </c>
      <c r="G272" s="5"/>
      <c r="H272" s="5"/>
      <c r="I272" s="34"/>
      <c r="J272" s="6"/>
      <c r="K272" s="6"/>
      <c r="L272" s="6"/>
      <c r="M272" s="6"/>
      <c r="N272" s="6"/>
      <c r="O272" s="6"/>
      <c r="P272" s="6"/>
      <c r="Q272" s="2"/>
      <c r="R272" s="2" t="s">
        <v>25</v>
      </c>
      <c r="S272" s="7">
        <v>46213</v>
      </c>
      <c r="T272" s="3"/>
      <c r="U272" s="3"/>
      <c r="V272" s="3"/>
      <c r="W272"/>
      <c r="AC272"/>
      <c r="AD272"/>
    </row>
    <row r="273" spans="1:30" ht="14.5" customHeight="1" x14ac:dyDescent="0.35">
      <c r="A273" s="2" t="s">
        <v>603</v>
      </c>
      <c r="B273" s="3" t="s">
        <v>604</v>
      </c>
      <c r="C273" s="3" t="s">
        <v>466</v>
      </c>
      <c r="D273" s="3" t="s">
        <v>599</v>
      </c>
      <c r="E273" s="2"/>
      <c r="F273" s="4">
        <v>4</v>
      </c>
      <c r="G273" s="5"/>
      <c r="H273" s="5"/>
      <c r="I273" s="34"/>
      <c r="J273" s="6"/>
      <c r="K273" s="6"/>
      <c r="L273" s="6"/>
      <c r="M273" s="6"/>
      <c r="N273" s="6"/>
      <c r="O273" s="6"/>
      <c r="P273" s="6"/>
      <c r="Q273" s="2"/>
      <c r="R273" s="2" t="s">
        <v>25</v>
      </c>
      <c r="S273" s="7">
        <v>46213</v>
      </c>
      <c r="T273" s="3"/>
      <c r="U273" s="3"/>
      <c r="V273" s="3"/>
      <c r="W273"/>
      <c r="AC273"/>
      <c r="AD273"/>
    </row>
    <row r="274" spans="1:30" ht="14.5" customHeight="1" x14ac:dyDescent="0.35">
      <c r="A274" s="2" t="s">
        <v>605</v>
      </c>
      <c r="B274" s="3" t="s">
        <v>606</v>
      </c>
      <c r="C274" s="3" t="s">
        <v>466</v>
      </c>
      <c r="D274" s="3" t="s">
        <v>599</v>
      </c>
      <c r="E274" s="2"/>
      <c r="F274" s="4">
        <v>4</v>
      </c>
      <c r="G274" s="5"/>
      <c r="H274" s="5"/>
      <c r="I274" s="35" t="s">
        <v>607</v>
      </c>
      <c r="J274" s="6"/>
      <c r="K274" s="6"/>
      <c r="L274" s="6"/>
      <c r="M274" s="6"/>
      <c r="N274" s="6"/>
      <c r="O274" s="6"/>
      <c r="P274" s="6"/>
      <c r="Q274" s="2"/>
      <c r="R274" s="2" t="s">
        <v>25</v>
      </c>
      <c r="S274" s="7">
        <v>46213</v>
      </c>
      <c r="T274" s="3"/>
      <c r="U274" s="3"/>
      <c r="V274" s="3"/>
      <c r="W274"/>
      <c r="AC274"/>
      <c r="AD274"/>
    </row>
    <row r="275" spans="1:30" ht="14.5" customHeight="1" x14ac:dyDescent="0.35">
      <c r="A275" s="2" t="s">
        <v>608</v>
      </c>
      <c r="B275" s="3" t="s">
        <v>609</v>
      </c>
      <c r="C275" s="3" t="s">
        <v>466</v>
      </c>
      <c r="D275" s="3" t="s">
        <v>599</v>
      </c>
      <c r="E275" s="2"/>
      <c r="F275" s="4">
        <v>4</v>
      </c>
      <c r="G275" s="5"/>
      <c r="H275" s="5"/>
      <c r="I275" s="36" t="s">
        <v>610</v>
      </c>
      <c r="J275" s="6"/>
      <c r="K275" s="6"/>
      <c r="L275" s="6"/>
      <c r="M275" s="6"/>
      <c r="N275" s="6"/>
      <c r="O275" s="6"/>
      <c r="P275" s="6"/>
      <c r="Q275" s="2"/>
      <c r="R275" s="2" t="s">
        <v>25</v>
      </c>
      <c r="S275" s="7">
        <v>46213</v>
      </c>
      <c r="T275" s="3"/>
      <c r="U275" s="3"/>
      <c r="V275" s="3"/>
      <c r="W275"/>
      <c r="AC275"/>
      <c r="AD275"/>
    </row>
    <row r="276" spans="1:30" ht="14.5" customHeight="1" x14ac:dyDescent="0.35">
      <c r="A276" s="2" t="s">
        <v>611</v>
      </c>
      <c r="B276" s="3" t="s">
        <v>612</v>
      </c>
      <c r="C276" s="3" t="s">
        <v>466</v>
      </c>
      <c r="D276" s="3" t="s">
        <v>599</v>
      </c>
      <c r="E276" s="2"/>
      <c r="F276" s="4">
        <v>4</v>
      </c>
      <c r="G276" s="5"/>
      <c r="H276" s="5"/>
      <c r="I276" s="34"/>
      <c r="J276" s="6"/>
      <c r="K276" s="6"/>
      <c r="L276" s="6"/>
      <c r="M276" s="6"/>
      <c r="N276" s="6"/>
      <c r="O276" s="6"/>
      <c r="P276" s="6"/>
      <c r="Q276" s="2"/>
      <c r="R276" s="2" t="s">
        <v>25</v>
      </c>
      <c r="S276" s="7">
        <v>46213</v>
      </c>
      <c r="T276" s="3"/>
      <c r="U276" s="3"/>
      <c r="V276" s="3"/>
      <c r="W276"/>
      <c r="AC276"/>
      <c r="AD276"/>
    </row>
    <row r="277" spans="1:30" ht="14.5" customHeight="1" x14ac:dyDescent="0.35">
      <c r="A277" s="2" t="s">
        <v>613</v>
      </c>
      <c r="B277" s="3" t="s">
        <v>614</v>
      </c>
      <c r="C277" s="3" t="s">
        <v>466</v>
      </c>
      <c r="D277" s="3" t="s">
        <v>599</v>
      </c>
      <c r="E277" s="2"/>
      <c r="F277" s="4">
        <v>4</v>
      </c>
      <c r="G277" s="5"/>
      <c r="H277" s="5"/>
      <c r="I277" s="34"/>
      <c r="J277" s="6"/>
      <c r="K277" s="6"/>
      <c r="L277" s="6"/>
      <c r="M277" s="6"/>
      <c r="N277" s="6"/>
      <c r="O277" s="6"/>
      <c r="P277" s="6"/>
      <c r="Q277" s="2"/>
      <c r="R277" s="2" t="s">
        <v>25</v>
      </c>
      <c r="S277" s="7">
        <v>46213</v>
      </c>
      <c r="T277" s="3"/>
      <c r="U277" s="3"/>
      <c r="V277" s="3"/>
      <c r="W277"/>
      <c r="AC277"/>
      <c r="AD277"/>
    </row>
    <row r="278" spans="1:30" ht="14.5" customHeight="1" x14ac:dyDescent="0.35">
      <c r="A278" s="2" t="s">
        <v>615</v>
      </c>
      <c r="B278" s="3" t="s">
        <v>616</v>
      </c>
      <c r="C278" s="3" t="s">
        <v>466</v>
      </c>
      <c r="D278" s="3" t="s">
        <v>599</v>
      </c>
      <c r="E278" s="2"/>
      <c r="F278" s="4">
        <v>4</v>
      </c>
      <c r="G278" s="5"/>
      <c r="H278" s="5"/>
      <c r="I278" s="34"/>
      <c r="J278" s="6"/>
      <c r="K278" s="6"/>
      <c r="L278" s="6"/>
      <c r="M278" s="6"/>
      <c r="N278" s="6"/>
      <c r="O278" s="6"/>
      <c r="P278" s="6"/>
      <c r="Q278" s="2"/>
      <c r="R278" s="2" t="s">
        <v>25</v>
      </c>
      <c r="S278" s="7">
        <v>46213</v>
      </c>
      <c r="T278" s="3"/>
      <c r="U278" s="3"/>
      <c r="V278" s="3"/>
      <c r="W278"/>
      <c r="AC278"/>
      <c r="AD278"/>
    </row>
    <row r="279" spans="1:30" ht="14.5" customHeight="1" x14ac:dyDescent="0.35">
      <c r="A279" s="2" t="s">
        <v>617</v>
      </c>
      <c r="B279" s="3" t="s">
        <v>618</v>
      </c>
      <c r="C279" s="3" t="s">
        <v>466</v>
      </c>
      <c r="D279" s="3" t="s">
        <v>599</v>
      </c>
      <c r="E279" s="2"/>
      <c r="F279" s="4">
        <v>4</v>
      </c>
      <c r="G279" s="5"/>
      <c r="H279" s="5"/>
      <c r="I279" s="34"/>
      <c r="J279" s="6"/>
      <c r="K279" s="6"/>
      <c r="L279" s="6"/>
      <c r="M279" s="6"/>
      <c r="N279" s="6"/>
      <c r="O279" s="6"/>
      <c r="P279" s="6"/>
      <c r="Q279" s="2"/>
      <c r="R279" s="2" t="s">
        <v>25</v>
      </c>
      <c r="S279" s="7">
        <v>46213</v>
      </c>
      <c r="T279" s="3"/>
      <c r="U279" s="3"/>
      <c r="V279" s="3"/>
      <c r="W279"/>
      <c r="AC279"/>
      <c r="AD279"/>
    </row>
    <row r="280" spans="1:30" ht="14.5" customHeight="1" x14ac:dyDescent="0.35">
      <c r="A280" s="2" t="s">
        <v>619</v>
      </c>
      <c r="B280" s="3" t="s">
        <v>620</v>
      </c>
      <c r="C280" s="3" t="s">
        <v>466</v>
      </c>
      <c r="D280" s="3" t="s">
        <v>599</v>
      </c>
      <c r="E280" s="2"/>
      <c r="F280" s="4">
        <v>4</v>
      </c>
      <c r="G280" s="5"/>
      <c r="H280" s="5"/>
      <c r="I280" s="34"/>
      <c r="J280" s="6"/>
      <c r="K280" s="6"/>
      <c r="L280" s="6"/>
      <c r="M280" s="6"/>
      <c r="N280" s="6"/>
      <c r="O280" s="6"/>
      <c r="P280" s="6"/>
      <c r="Q280" s="2"/>
      <c r="R280" s="2" t="s">
        <v>25</v>
      </c>
      <c r="S280" s="7">
        <v>46213</v>
      </c>
      <c r="T280" s="3"/>
      <c r="U280" s="3"/>
      <c r="V280" s="3"/>
      <c r="W280"/>
      <c r="AC280"/>
      <c r="AD280"/>
    </row>
    <row r="281" spans="1:30" ht="14.5" customHeight="1" x14ac:dyDescent="0.35">
      <c r="A281" s="2" t="s">
        <v>621</v>
      </c>
      <c r="B281" s="3" t="s">
        <v>622</v>
      </c>
      <c r="C281" s="3" t="s">
        <v>466</v>
      </c>
      <c r="D281" s="3" t="s">
        <v>599</v>
      </c>
      <c r="E281" s="2"/>
      <c r="F281" s="4">
        <v>4</v>
      </c>
      <c r="G281" s="5"/>
      <c r="H281" s="5"/>
      <c r="I281" s="34"/>
      <c r="J281" s="6"/>
      <c r="K281" s="6"/>
      <c r="L281" s="6"/>
      <c r="M281" s="6"/>
      <c r="N281" s="6"/>
      <c r="O281" s="6"/>
      <c r="P281" s="6"/>
      <c r="Q281" s="2"/>
      <c r="R281" s="2" t="s">
        <v>25</v>
      </c>
      <c r="S281" s="7">
        <v>46213</v>
      </c>
      <c r="T281" s="3"/>
      <c r="U281" s="3"/>
      <c r="V281" s="3"/>
      <c r="W281"/>
      <c r="AC281"/>
      <c r="AD281"/>
    </row>
    <row r="282" spans="1:30" ht="14.5" customHeight="1" x14ac:dyDescent="0.35">
      <c r="A282" s="2" t="s">
        <v>623</v>
      </c>
      <c r="B282" s="3" t="s">
        <v>624</v>
      </c>
      <c r="C282" s="3" t="s">
        <v>466</v>
      </c>
      <c r="D282" s="3" t="s">
        <v>599</v>
      </c>
      <c r="E282" s="2"/>
      <c r="F282" s="4">
        <v>4</v>
      </c>
      <c r="G282" s="5"/>
      <c r="H282" s="5"/>
      <c r="I282" s="34"/>
      <c r="J282" s="6"/>
      <c r="K282" s="6"/>
      <c r="L282" s="6"/>
      <c r="M282" s="6"/>
      <c r="N282" s="6"/>
      <c r="O282" s="6"/>
      <c r="P282" s="6"/>
      <c r="Q282" s="2"/>
      <c r="R282" s="2" t="s">
        <v>25</v>
      </c>
      <c r="S282" s="7">
        <v>46213</v>
      </c>
      <c r="T282" s="3"/>
      <c r="U282" s="3"/>
      <c r="V282" s="3"/>
      <c r="W282"/>
      <c r="AC282"/>
      <c r="AD282"/>
    </row>
    <row r="283" spans="1:30" ht="14.5" customHeight="1" x14ac:dyDescent="0.35">
      <c r="A283" s="2" t="s">
        <v>625</v>
      </c>
      <c r="B283" s="3" t="s">
        <v>626</v>
      </c>
      <c r="C283" s="3" t="s">
        <v>466</v>
      </c>
      <c r="D283" s="3" t="s">
        <v>599</v>
      </c>
      <c r="E283" s="2"/>
      <c r="F283" s="4">
        <v>4</v>
      </c>
      <c r="G283" s="5"/>
      <c r="H283" s="5"/>
      <c r="I283" s="34"/>
      <c r="J283" s="6"/>
      <c r="K283" s="6"/>
      <c r="L283" s="6"/>
      <c r="M283" s="6"/>
      <c r="N283" s="6"/>
      <c r="O283" s="6"/>
      <c r="P283" s="6"/>
      <c r="Q283" s="2"/>
      <c r="R283" s="2" t="s">
        <v>25</v>
      </c>
      <c r="S283" s="7">
        <v>46213</v>
      </c>
      <c r="T283" s="3"/>
      <c r="U283" s="3"/>
      <c r="V283" s="3"/>
      <c r="W283"/>
      <c r="AC283"/>
      <c r="AD283"/>
    </row>
    <row r="284" spans="1:30" ht="14.5" customHeight="1" x14ac:dyDescent="0.35">
      <c r="A284" s="2" t="s">
        <v>627</v>
      </c>
      <c r="B284" s="3" t="s">
        <v>628</v>
      </c>
      <c r="C284" s="3" t="s">
        <v>466</v>
      </c>
      <c r="D284" s="3" t="s">
        <v>599</v>
      </c>
      <c r="E284" s="2"/>
      <c r="F284" s="4">
        <v>4</v>
      </c>
      <c r="G284" s="5"/>
      <c r="H284" s="5"/>
      <c r="I284" s="34"/>
      <c r="J284" s="6"/>
      <c r="K284" s="6"/>
      <c r="L284" s="6"/>
      <c r="M284" s="6"/>
      <c r="N284" s="6"/>
      <c r="O284" s="6"/>
      <c r="P284" s="6"/>
      <c r="Q284" s="2"/>
      <c r="R284" s="2" t="s">
        <v>25</v>
      </c>
      <c r="S284" s="7">
        <v>46213</v>
      </c>
      <c r="T284" s="3"/>
      <c r="U284" s="3"/>
      <c r="V284" s="3"/>
      <c r="W284"/>
      <c r="AC284"/>
      <c r="AD284"/>
    </row>
    <row r="285" spans="1:30" ht="14.5" customHeight="1" x14ac:dyDescent="0.35">
      <c r="A285" s="2" t="s">
        <v>629</v>
      </c>
      <c r="B285" s="3" t="s">
        <v>630</v>
      </c>
      <c r="C285" s="3" t="s">
        <v>466</v>
      </c>
      <c r="D285" s="3" t="s">
        <v>599</v>
      </c>
      <c r="E285" s="2"/>
      <c r="F285" s="4">
        <v>4</v>
      </c>
      <c r="G285" s="5"/>
      <c r="H285" s="5"/>
      <c r="I285" s="34"/>
      <c r="J285" s="6"/>
      <c r="K285" s="6"/>
      <c r="L285" s="6"/>
      <c r="M285" s="6"/>
      <c r="N285" s="6"/>
      <c r="O285" s="6"/>
      <c r="P285" s="6"/>
      <c r="Q285" s="2"/>
      <c r="R285" s="2" t="s">
        <v>25</v>
      </c>
      <c r="S285" s="7">
        <v>46213</v>
      </c>
      <c r="T285" s="3"/>
      <c r="U285" s="3"/>
      <c r="V285" s="3"/>
      <c r="W285"/>
      <c r="AC285"/>
      <c r="AD285"/>
    </row>
    <row r="286" spans="1:30" ht="14.5" customHeight="1" x14ac:dyDescent="0.35">
      <c r="A286" s="2" t="s">
        <v>631</v>
      </c>
      <c r="B286" s="3" t="s">
        <v>632</v>
      </c>
      <c r="C286" s="3" t="s">
        <v>466</v>
      </c>
      <c r="D286" s="3" t="s">
        <v>599</v>
      </c>
      <c r="E286" s="2"/>
      <c r="F286" s="4">
        <v>4</v>
      </c>
      <c r="G286" s="5"/>
      <c r="H286" s="5"/>
      <c r="I286" s="34"/>
      <c r="J286" s="6"/>
      <c r="K286" s="6"/>
      <c r="L286" s="6"/>
      <c r="M286" s="6"/>
      <c r="N286" s="6"/>
      <c r="O286" s="6"/>
      <c r="P286" s="6"/>
      <c r="Q286" s="2"/>
      <c r="R286" s="2" t="s">
        <v>25</v>
      </c>
      <c r="S286" s="7">
        <v>46213</v>
      </c>
      <c r="T286" s="3"/>
      <c r="U286" s="3"/>
      <c r="V286" s="3"/>
      <c r="W286"/>
      <c r="AC286"/>
      <c r="AD286"/>
    </row>
    <row r="287" spans="1:30" ht="14.5" customHeight="1" x14ac:dyDescent="0.35">
      <c r="A287" s="2" t="s">
        <v>633</v>
      </c>
      <c r="B287" s="3" t="s">
        <v>634</v>
      </c>
      <c r="C287" s="3" t="s">
        <v>466</v>
      </c>
      <c r="D287" s="3" t="s">
        <v>599</v>
      </c>
      <c r="E287" s="2"/>
      <c r="F287" s="4">
        <v>4</v>
      </c>
      <c r="G287" s="5"/>
      <c r="H287" s="5"/>
      <c r="I287" s="34"/>
      <c r="J287" s="6"/>
      <c r="K287" s="6"/>
      <c r="L287" s="6"/>
      <c r="M287" s="6"/>
      <c r="N287" s="6"/>
      <c r="O287" s="6"/>
      <c r="P287" s="6"/>
      <c r="Q287" s="2"/>
      <c r="R287" s="2" t="s">
        <v>25</v>
      </c>
      <c r="S287" s="7">
        <v>46213</v>
      </c>
      <c r="T287" s="3"/>
      <c r="U287" s="3"/>
      <c r="V287" s="3"/>
      <c r="W287"/>
      <c r="AC287"/>
      <c r="AD287"/>
    </row>
    <row r="288" spans="1:30" ht="14.5" customHeight="1" x14ac:dyDescent="0.35">
      <c r="A288" s="2" t="s">
        <v>635</v>
      </c>
      <c r="B288" s="3" t="s">
        <v>636</v>
      </c>
      <c r="C288" s="3" t="s">
        <v>466</v>
      </c>
      <c r="D288" s="3" t="s">
        <v>599</v>
      </c>
      <c r="E288" s="2"/>
      <c r="F288" s="4">
        <v>4</v>
      </c>
      <c r="G288" s="5"/>
      <c r="H288" s="5"/>
      <c r="I288" s="34"/>
      <c r="J288" s="6"/>
      <c r="K288" s="6"/>
      <c r="L288" s="6"/>
      <c r="M288" s="6"/>
      <c r="N288" s="6"/>
      <c r="O288" s="6"/>
      <c r="P288" s="6"/>
      <c r="Q288" s="2"/>
      <c r="R288" s="2" t="s">
        <v>25</v>
      </c>
      <c r="S288" s="7">
        <v>46213</v>
      </c>
      <c r="T288" s="3"/>
      <c r="U288" s="3"/>
      <c r="V288" s="3"/>
      <c r="W288"/>
      <c r="AC288"/>
      <c r="AD288"/>
    </row>
    <row r="289" spans="1:30" ht="14.5" customHeight="1" x14ac:dyDescent="0.35">
      <c r="A289" s="2" t="s">
        <v>637</v>
      </c>
      <c r="B289" s="3" t="s">
        <v>638</v>
      </c>
      <c r="C289" s="3" t="s">
        <v>466</v>
      </c>
      <c r="D289" s="3" t="s">
        <v>599</v>
      </c>
      <c r="E289" s="2"/>
      <c r="F289" s="4">
        <v>6</v>
      </c>
      <c r="G289" s="5"/>
      <c r="H289" s="5"/>
      <c r="I289" s="34"/>
      <c r="J289" s="6"/>
      <c r="K289" s="6"/>
      <c r="L289" s="6"/>
      <c r="M289" s="6"/>
      <c r="N289" s="6"/>
      <c r="O289" s="6"/>
      <c r="P289" s="6"/>
      <c r="Q289" s="2"/>
      <c r="R289" s="2" t="s">
        <v>25</v>
      </c>
      <c r="S289" s="7">
        <v>46213</v>
      </c>
      <c r="T289" s="3"/>
      <c r="U289" s="3"/>
      <c r="V289" s="3"/>
      <c r="W289"/>
      <c r="AC289"/>
      <c r="AD289"/>
    </row>
    <row r="290" spans="1:30" ht="14.5" customHeight="1" x14ac:dyDescent="0.35">
      <c r="A290" s="2" t="s">
        <v>639</v>
      </c>
      <c r="B290" s="3" t="s">
        <v>640</v>
      </c>
      <c r="C290" s="3" t="s">
        <v>466</v>
      </c>
      <c r="D290" s="3" t="s">
        <v>599</v>
      </c>
      <c r="E290" s="2"/>
      <c r="F290" s="4">
        <v>5</v>
      </c>
      <c r="G290" s="5"/>
      <c r="H290" s="5"/>
      <c r="I290" s="34"/>
      <c r="J290" s="6"/>
      <c r="K290" s="6"/>
      <c r="L290" s="6"/>
      <c r="M290" s="6"/>
      <c r="N290" s="6"/>
      <c r="O290" s="6"/>
      <c r="P290" s="6"/>
      <c r="Q290" s="2"/>
      <c r="R290" s="2" t="s">
        <v>25</v>
      </c>
      <c r="S290" s="7">
        <v>46213</v>
      </c>
      <c r="T290" s="3"/>
      <c r="U290" s="3"/>
      <c r="V290" s="3"/>
      <c r="W290"/>
      <c r="AC290"/>
      <c r="AD290"/>
    </row>
    <row r="291" spans="1:30" ht="14.5" customHeight="1" x14ac:dyDescent="0.35">
      <c r="A291" s="2" t="s">
        <v>641</v>
      </c>
      <c r="B291" s="3" t="s">
        <v>642</v>
      </c>
      <c r="C291" s="3" t="s">
        <v>466</v>
      </c>
      <c r="D291" s="3" t="s">
        <v>599</v>
      </c>
      <c r="E291" s="2"/>
      <c r="F291" s="4">
        <v>5</v>
      </c>
      <c r="G291" s="5"/>
      <c r="H291" s="5"/>
      <c r="I291" s="34"/>
      <c r="J291" s="6"/>
      <c r="K291" s="6"/>
      <c r="L291" s="6"/>
      <c r="M291" s="6"/>
      <c r="N291" s="6"/>
      <c r="O291" s="6"/>
      <c r="P291" s="6"/>
      <c r="Q291" s="2"/>
      <c r="R291" s="2" t="s">
        <v>25</v>
      </c>
      <c r="S291" s="7">
        <v>46213</v>
      </c>
      <c r="T291" s="3" t="s">
        <v>297</v>
      </c>
      <c r="U291" s="3"/>
      <c r="V291" s="3"/>
      <c r="W291"/>
      <c r="AC291"/>
      <c r="AD291"/>
    </row>
    <row r="292" spans="1:30" ht="14.5" customHeight="1" x14ac:dyDescent="0.35">
      <c r="A292" s="2" t="s">
        <v>643</v>
      </c>
      <c r="B292" s="3" t="s">
        <v>644</v>
      </c>
      <c r="C292" s="3" t="s">
        <v>466</v>
      </c>
      <c r="D292" s="3" t="s">
        <v>599</v>
      </c>
      <c r="E292" s="2"/>
      <c r="F292" s="4">
        <v>5</v>
      </c>
      <c r="G292" s="5"/>
      <c r="H292" s="5"/>
      <c r="I292" s="34"/>
      <c r="J292" s="6"/>
      <c r="K292" s="6"/>
      <c r="L292" s="6"/>
      <c r="M292" s="6"/>
      <c r="N292" s="6"/>
      <c r="O292" s="6"/>
      <c r="P292" s="6"/>
      <c r="Q292" s="2"/>
      <c r="R292" s="2" t="s">
        <v>25</v>
      </c>
      <c r="S292" s="7">
        <v>46213</v>
      </c>
      <c r="T292" s="3"/>
      <c r="U292" s="3"/>
      <c r="V292" s="3"/>
      <c r="W292"/>
      <c r="AC292"/>
      <c r="AD292"/>
    </row>
    <row r="293" spans="1:30" ht="14.5" customHeight="1" x14ac:dyDescent="0.35">
      <c r="A293" s="2" t="s">
        <v>645</v>
      </c>
      <c r="B293" s="3" t="s">
        <v>646</v>
      </c>
      <c r="C293" s="3" t="s">
        <v>466</v>
      </c>
      <c r="D293" s="3" t="s">
        <v>599</v>
      </c>
      <c r="E293" s="2"/>
      <c r="F293" s="4">
        <v>4</v>
      </c>
      <c r="G293" s="5"/>
      <c r="H293" s="5"/>
      <c r="I293" s="34"/>
      <c r="J293" s="6"/>
      <c r="K293" s="6"/>
      <c r="L293" s="6"/>
      <c r="M293" s="6"/>
      <c r="N293" s="6"/>
      <c r="O293" s="6"/>
      <c r="P293" s="6"/>
      <c r="Q293" s="2"/>
      <c r="R293" s="2" t="s">
        <v>25</v>
      </c>
      <c r="S293" s="7">
        <v>46213</v>
      </c>
      <c r="T293" s="3"/>
      <c r="U293" s="3"/>
      <c r="V293" s="3"/>
      <c r="W293"/>
      <c r="AC293"/>
      <c r="AD293"/>
    </row>
    <row r="294" spans="1:30" ht="14.5" customHeight="1" x14ac:dyDescent="0.35">
      <c r="A294" s="2" t="s">
        <v>647</v>
      </c>
      <c r="B294" s="3" t="s">
        <v>648</v>
      </c>
      <c r="C294" s="3" t="s">
        <v>466</v>
      </c>
      <c r="D294" s="3" t="s">
        <v>599</v>
      </c>
      <c r="E294" s="2"/>
      <c r="F294" s="4">
        <v>4</v>
      </c>
      <c r="G294" s="5"/>
      <c r="H294" s="5"/>
      <c r="I294" s="34"/>
      <c r="J294" s="6"/>
      <c r="K294" s="6"/>
      <c r="L294" s="6"/>
      <c r="M294" s="6"/>
      <c r="N294" s="6"/>
      <c r="O294" s="6"/>
      <c r="P294" s="6"/>
      <c r="Q294" s="2"/>
      <c r="R294" s="2" t="s">
        <v>25</v>
      </c>
      <c r="S294" s="7">
        <v>46213</v>
      </c>
      <c r="T294" s="3"/>
      <c r="U294" s="3"/>
      <c r="V294" s="3"/>
      <c r="W294"/>
      <c r="AC294"/>
      <c r="AD294"/>
    </row>
    <row r="295" spans="1:30" ht="14.5" customHeight="1" x14ac:dyDescent="0.35">
      <c r="A295" s="2" t="s">
        <v>649</v>
      </c>
      <c r="B295" s="3" t="s">
        <v>650</v>
      </c>
      <c r="C295" s="3" t="s">
        <v>466</v>
      </c>
      <c r="D295" s="3" t="s">
        <v>599</v>
      </c>
      <c r="E295" s="2"/>
      <c r="F295" s="4">
        <v>4</v>
      </c>
      <c r="G295" s="5"/>
      <c r="H295" s="5"/>
      <c r="I295" s="34"/>
      <c r="J295" s="6"/>
      <c r="K295" s="6"/>
      <c r="L295" s="6"/>
      <c r="M295" s="6"/>
      <c r="N295" s="6"/>
      <c r="O295" s="6"/>
      <c r="P295" s="6"/>
      <c r="Q295" s="2"/>
      <c r="R295" s="2" t="s">
        <v>25</v>
      </c>
      <c r="S295" s="7">
        <v>46213</v>
      </c>
      <c r="T295" s="3"/>
      <c r="U295" s="3"/>
      <c r="V295" s="3"/>
      <c r="W295"/>
      <c r="AC295"/>
      <c r="AD295"/>
    </row>
    <row r="296" spans="1:30" ht="14.5" customHeight="1" x14ac:dyDescent="0.35">
      <c r="A296" s="2" t="s">
        <v>651</v>
      </c>
      <c r="B296" s="3" t="s">
        <v>652</v>
      </c>
      <c r="C296" s="3" t="s">
        <v>466</v>
      </c>
      <c r="D296" s="3" t="s">
        <v>599</v>
      </c>
      <c r="E296" s="2"/>
      <c r="F296" s="4">
        <v>4</v>
      </c>
      <c r="G296" s="5"/>
      <c r="H296" s="5"/>
      <c r="I296" s="34"/>
      <c r="J296" s="6"/>
      <c r="K296" s="6"/>
      <c r="L296" s="6"/>
      <c r="M296" s="6"/>
      <c r="N296" s="6"/>
      <c r="O296" s="6"/>
      <c r="P296" s="6"/>
      <c r="Q296" s="2"/>
      <c r="R296" s="2" t="s">
        <v>25</v>
      </c>
      <c r="S296" s="7">
        <v>46213</v>
      </c>
      <c r="T296" s="3"/>
      <c r="U296" s="3"/>
      <c r="V296" s="3"/>
      <c r="W296"/>
      <c r="AC296"/>
      <c r="AD296"/>
    </row>
    <row r="297" spans="1:30" ht="14.5" customHeight="1" x14ac:dyDescent="0.35">
      <c r="A297" s="2" t="s">
        <v>653</v>
      </c>
      <c r="B297" s="3" t="s">
        <v>654</v>
      </c>
      <c r="C297" s="3" t="s">
        <v>466</v>
      </c>
      <c r="D297" s="3" t="s">
        <v>655</v>
      </c>
      <c r="E297" s="2"/>
      <c r="F297" s="4">
        <v>4</v>
      </c>
      <c r="G297" s="5"/>
      <c r="H297" s="5"/>
      <c r="I297" s="34"/>
      <c r="J297" s="6"/>
      <c r="K297" s="6"/>
      <c r="L297" s="6"/>
      <c r="M297" s="6"/>
      <c r="N297" s="6"/>
      <c r="O297" s="6"/>
      <c r="P297" s="6"/>
      <c r="Q297" s="2"/>
      <c r="R297" s="2" t="s">
        <v>25</v>
      </c>
      <c r="S297" s="7">
        <v>46213</v>
      </c>
      <c r="T297" s="3"/>
      <c r="U297" s="3"/>
      <c r="V297" s="3"/>
      <c r="W297"/>
      <c r="AC297"/>
      <c r="AD297"/>
    </row>
    <row r="298" spans="1:30" ht="14.5" customHeight="1" x14ac:dyDescent="0.35">
      <c r="A298" s="2" t="s">
        <v>656</v>
      </c>
      <c r="B298" s="3" t="s">
        <v>657</v>
      </c>
      <c r="C298" s="3" t="s">
        <v>466</v>
      </c>
      <c r="D298" s="3" t="s">
        <v>655</v>
      </c>
      <c r="E298" s="2"/>
      <c r="F298" s="4">
        <v>4</v>
      </c>
      <c r="G298" s="5"/>
      <c r="H298" s="5"/>
      <c r="I298" s="34"/>
      <c r="J298" s="6"/>
      <c r="K298" s="6"/>
      <c r="L298" s="6"/>
      <c r="M298" s="6"/>
      <c r="N298" s="6"/>
      <c r="O298" s="6"/>
      <c r="P298" s="6"/>
      <c r="Q298" s="2"/>
      <c r="R298" s="2" t="s">
        <v>25</v>
      </c>
      <c r="S298" s="7">
        <v>46213</v>
      </c>
      <c r="T298" s="3"/>
      <c r="U298" s="3"/>
      <c r="V298" s="3"/>
      <c r="W298"/>
      <c r="AC298"/>
      <c r="AD298"/>
    </row>
    <row r="299" spans="1:30" ht="14.5" customHeight="1" x14ac:dyDescent="0.35">
      <c r="A299" s="2" t="s">
        <v>658</v>
      </c>
      <c r="B299" s="3" t="s">
        <v>659</v>
      </c>
      <c r="C299" s="3"/>
      <c r="D299" s="3" t="s">
        <v>655</v>
      </c>
      <c r="E299" s="2"/>
      <c r="F299" s="4">
        <v>4</v>
      </c>
      <c r="G299" s="5"/>
      <c r="H299" s="5"/>
      <c r="I299" s="36" t="s">
        <v>660</v>
      </c>
      <c r="J299" s="6"/>
      <c r="K299" s="6"/>
      <c r="L299" s="6"/>
      <c r="M299" s="6"/>
      <c r="N299" s="6"/>
      <c r="O299" s="6"/>
      <c r="P299" s="6"/>
      <c r="Q299" s="2"/>
      <c r="R299" s="2" t="s">
        <v>25</v>
      </c>
      <c r="S299" s="7">
        <v>46232</v>
      </c>
      <c r="T299" s="3"/>
      <c r="U299" s="3"/>
      <c r="V299" s="3"/>
      <c r="W299"/>
      <c r="AC299"/>
      <c r="AD299"/>
    </row>
    <row r="300" spans="1:30" ht="14.5" customHeight="1" x14ac:dyDescent="0.35">
      <c r="A300" s="2" t="s">
        <v>661</v>
      </c>
      <c r="B300" s="3" t="s">
        <v>662</v>
      </c>
      <c r="C300" s="3" t="s">
        <v>466</v>
      </c>
      <c r="D300" s="3" t="s">
        <v>655</v>
      </c>
      <c r="E300" s="2"/>
      <c r="F300" s="4">
        <v>4</v>
      </c>
      <c r="G300" s="5"/>
      <c r="H300" s="5"/>
      <c r="I300" s="34"/>
      <c r="J300" s="6"/>
      <c r="K300" s="6"/>
      <c r="L300" s="6"/>
      <c r="M300" s="6"/>
      <c r="N300" s="6"/>
      <c r="O300" s="6"/>
      <c r="P300" s="6"/>
      <c r="Q300" s="2"/>
      <c r="R300" s="2" t="s">
        <v>25</v>
      </c>
      <c r="S300" s="7">
        <v>46213</v>
      </c>
      <c r="T300" s="3"/>
      <c r="U300" s="3"/>
      <c r="V300" s="3"/>
      <c r="W300"/>
      <c r="AC300"/>
      <c r="AD300"/>
    </row>
    <row r="301" spans="1:30" ht="14.5" customHeight="1" x14ac:dyDescent="0.35">
      <c r="A301" s="2" t="s">
        <v>663</v>
      </c>
      <c r="B301" s="3" t="s">
        <v>664</v>
      </c>
      <c r="C301" s="3" t="s">
        <v>466</v>
      </c>
      <c r="D301" s="3" t="s">
        <v>665</v>
      </c>
      <c r="E301" s="2"/>
      <c r="F301" s="4">
        <v>4</v>
      </c>
      <c r="G301" s="5"/>
      <c r="H301" s="5"/>
      <c r="I301" s="34"/>
      <c r="J301" s="6"/>
      <c r="K301" s="6"/>
      <c r="L301" s="6"/>
      <c r="M301" s="6"/>
      <c r="N301" s="6"/>
      <c r="O301" s="6"/>
      <c r="P301" s="6"/>
      <c r="Q301" s="2"/>
      <c r="R301" s="2" t="s">
        <v>25</v>
      </c>
      <c r="S301" s="7">
        <v>46213</v>
      </c>
      <c r="T301" s="3"/>
      <c r="U301" s="3"/>
      <c r="V301" s="3"/>
      <c r="W301"/>
      <c r="AC301"/>
      <c r="AD301"/>
    </row>
    <row r="302" spans="1:30" ht="14.5" customHeight="1" x14ac:dyDescent="0.35">
      <c r="A302" s="2" t="s">
        <v>666</v>
      </c>
      <c r="B302" s="3" t="s">
        <v>667</v>
      </c>
      <c r="C302" s="3" t="s">
        <v>466</v>
      </c>
      <c r="D302" s="3" t="s">
        <v>665</v>
      </c>
      <c r="E302" s="2"/>
      <c r="F302" s="4">
        <v>4</v>
      </c>
      <c r="G302" s="5"/>
      <c r="H302" s="5"/>
      <c r="I302" s="35" t="s">
        <v>668</v>
      </c>
      <c r="J302" s="6"/>
      <c r="K302" s="6"/>
      <c r="L302" s="6"/>
      <c r="M302" s="6"/>
      <c r="N302" s="6"/>
      <c r="O302" s="6"/>
      <c r="P302" s="6"/>
      <c r="Q302" s="2"/>
      <c r="R302" s="2" t="s">
        <v>25</v>
      </c>
      <c r="S302" s="7">
        <v>46213</v>
      </c>
      <c r="T302" s="3"/>
      <c r="U302" s="3"/>
      <c r="V302" s="3"/>
      <c r="W302"/>
      <c r="AC302"/>
      <c r="AD302"/>
    </row>
    <row r="303" spans="1:30" ht="14.5" customHeight="1" x14ac:dyDescent="0.35">
      <c r="A303" s="2" t="s">
        <v>669</v>
      </c>
      <c r="B303" s="3" t="s">
        <v>670</v>
      </c>
      <c r="C303" s="3" t="s">
        <v>466</v>
      </c>
      <c r="D303" s="3" t="s">
        <v>665</v>
      </c>
      <c r="E303" s="2"/>
      <c r="F303" s="4">
        <v>5</v>
      </c>
      <c r="G303" s="5"/>
      <c r="H303" s="5"/>
      <c r="I303" s="34"/>
      <c r="J303" s="6"/>
      <c r="K303" s="6"/>
      <c r="L303" s="6"/>
      <c r="M303" s="6"/>
      <c r="N303" s="6"/>
      <c r="O303" s="6"/>
      <c r="P303" s="6"/>
      <c r="Q303" s="2"/>
      <c r="R303" s="2" t="s">
        <v>25</v>
      </c>
      <c r="S303" s="7">
        <v>46213</v>
      </c>
      <c r="T303" s="3"/>
      <c r="U303" s="3"/>
      <c r="V303" s="3"/>
      <c r="W303"/>
      <c r="AC303"/>
      <c r="AD303"/>
    </row>
    <row r="304" spans="1:30" ht="14.5" customHeight="1" x14ac:dyDescent="0.35">
      <c r="A304" s="2" t="s">
        <v>671</v>
      </c>
      <c r="B304" s="3" t="s">
        <v>672</v>
      </c>
      <c r="C304" s="3" t="s">
        <v>466</v>
      </c>
      <c r="D304" s="3" t="s">
        <v>665</v>
      </c>
      <c r="E304" s="2"/>
      <c r="F304" s="4">
        <v>5</v>
      </c>
      <c r="G304" s="5"/>
      <c r="H304" s="5"/>
      <c r="I304" s="36" t="s">
        <v>673</v>
      </c>
      <c r="J304" s="6"/>
      <c r="K304" s="6"/>
      <c r="L304" s="6"/>
      <c r="M304" s="6"/>
      <c r="N304" s="6"/>
      <c r="O304" s="6"/>
      <c r="P304" s="6"/>
      <c r="Q304" s="2"/>
      <c r="R304" s="2" t="s">
        <v>25</v>
      </c>
      <c r="S304" s="7">
        <v>46213</v>
      </c>
      <c r="T304" s="3"/>
      <c r="U304" s="3"/>
      <c r="V304" s="3"/>
      <c r="W304"/>
      <c r="AC304"/>
      <c r="AD304"/>
    </row>
    <row r="305" spans="1:30" ht="14.5" customHeight="1" x14ac:dyDescent="0.35">
      <c r="A305" s="2" t="s">
        <v>674</v>
      </c>
      <c r="B305" s="3" t="s">
        <v>675</v>
      </c>
      <c r="C305" s="3" t="s">
        <v>466</v>
      </c>
      <c r="D305" s="3" t="s">
        <v>665</v>
      </c>
      <c r="E305" s="2"/>
      <c r="F305" s="4">
        <v>4</v>
      </c>
      <c r="G305" s="5"/>
      <c r="H305" s="5"/>
      <c r="I305" s="34"/>
      <c r="J305" s="6"/>
      <c r="K305" s="6"/>
      <c r="L305" s="6"/>
      <c r="M305" s="6"/>
      <c r="N305" s="6"/>
      <c r="O305" s="6"/>
      <c r="P305" s="6"/>
      <c r="Q305" s="2"/>
      <c r="R305" s="2" t="s">
        <v>25</v>
      </c>
      <c r="S305" s="7">
        <v>46213</v>
      </c>
      <c r="T305" s="3" t="s">
        <v>297</v>
      </c>
      <c r="U305" s="3"/>
      <c r="V305" s="3"/>
      <c r="W305"/>
      <c r="AC305"/>
      <c r="AD305"/>
    </row>
    <row r="306" spans="1:30" ht="14.5" customHeight="1" x14ac:dyDescent="0.35">
      <c r="A306" s="2" t="s">
        <v>676</v>
      </c>
      <c r="B306" s="3" t="s">
        <v>677</v>
      </c>
      <c r="C306" s="3" t="s">
        <v>466</v>
      </c>
      <c r="D306" s="3" t="s">
        <v>665</v>
      </c>
      <c r="E306" s="2"/>
      <c r="F306" s="4">
        <v>4</v>
      </c>
      <c r="G306" s="5"/>
      <c r="H306" s="5"/>
      <c r="I306" s="35" t="s">
        <v>678</v>
      </c>
      <c r="J306" s="6"/>
      <c r="K306" s="6"/>
      <c r="L306" s="6"/>
      <c r="M306" s="6"/>
      <c r="N306" s="6"/>
      <c r="O306" s="6"/>
      <c r="P306" s="6"/>
      <c r="Q306" s="2"/>
      <c r="R306" s="2" t="s">
        <v>25</v>
      </c>
      <c r="S306" s="7">
        <v>46213</v>
      </c>
      <c r="T306" s="3"/>
      <c r="U306" s="3"/>
      <c r="V306" s="3"/>
      <c r="W306"/>
      <c r="AC306"/>
      <c r="AD306"/>
    </row>
    <row r="307" spans="1:30" ht="14.5" customHeight="1" x14ac:dyDescent="0.35">
      <c r="A307" s="2" t="s">
        <v>679</v>
      </c>
      <c r="B307" s="3" t="s">
        <v>680</v>
      </c>
      <c r="C307" s="3" t="s">
        <v>466</v>
      </c>
      <c r="D307" s="3" t="s">
        <v>665</v>
      </c>
      <c r="E307" s="2"/>
      <c r="F307" s="4">
        <v>4</v>
      </c>
      <c r="G307" s="5"/>
      <c r="H307" s="5"/>
      <c r="I307" s="34"/>
      <c r="J307" s="6"/>
      <c r="K307" s="6"/>
      <c r="L307" s="6"/>
      <c r="M307" s="6"/>
      <c r="N307" s="6"/>
      <c r="O307" s="6"/>
      <c r="P307" s="6"/>
      <c r="Q307" s="2"/>
      <c r="R307" s="2" t="s">
        <v>25</v>
      </c>
      <c r="S307" s="7">
        <v>46213</v>
      </c>
      <c r="T307" s="3"/>
      <c r="U307" s="3"/>
      <c r="V307" s="3"/>
      <c r="W307"/>
      <c r="AC307"/>
      <c r="AD307"/>
    </row>
    <row r="308" spans="1:30" ht="14.5" customHeight="1" x14ac:dyDescent="0.35">
      <c r="A308" s="2" t="s">
        <v>681</v>
      </c>
      <c r="B308" s="3" t="s">
        <v>682</v>
      </c>
      <c r="C308" s="3" t="s">
        <v>466</v>
      </c>
      <c r="D308" s="3" t="s">
        <v>665</v>
      </c>
      <c r="E308" s="2"/>
      <c r="F308" s="4">
        <v>4</v>
      </c>
      <c r="G308" s="5"/>
      <c r="H308" s="5"/>
      <c r="I308" s="35" t="s">
        <v>683</v>
      </c>
      <c r="J308" s="6"/>
      <c r="K308" s="6"/>
      <c r="L308" s="6"/>
      <c r="M308" s="6"/>
      <c r="N308" s="6"/>
      <c r="O308" s="6"/>
      <c r="P308" s="6"/>
      <c r="Q308" s="2"/>
      <c r="R308" s="2" t="s">
        <v>25</v>
      </c>
      <c r="S308" s="7">
        <v>46213</v>
      </c>
      <c r="T308" s="3"/>
      <c r="U308" s="3"/>
      <c r="V308" s="3"/>
      <c r="W308"/>
      <c r="AC308"/>
      <c r="AD308"/>
    </row>
    <row r="309" spans="1:30" ht="14.5" customHeight="1" x14ac:dyDescent="0.35">
      <c r="A309" s="2" t="s">
        <v>684</v>
      </c>
      <c r="B309" s="3" t="s">
        <v>685</v>
      </c>
      <c r="C309" s="3" t="s">
        <v>466</v>
      </c>
      <c r="D309" s="3" t="s">
        <v>665</v>
      </c>
      <c r="E309" s="2"/>
      <c r="F309" s="4">
        <v>4</v>
      </c>
      <c r="G309" s="5"/>
      <c r="H309" s="5"/>
      <c r="I309" s="34"/>
      <c r="J309" s="6"/>
      <c r="K309" s="6"/>
      <c r="L309" s="6"/>
      <c r="M309" s="6"/>
      <c r="N309" s="6"/>
      <c r="O309" s="6"/>
      <c r="P309" s="6"/>
      <c r="Q309" s="2"/>
      <c r="R309" s="2" t="s">
        <v>25</v>
      </c>
      <c r="S309" s="7">
        <v>46213</v>
      </c>
      <c r="T309" s="3"/>
      <c r="U309" s="3"/>
      <c r="V309" s="3"/>
      <c r="W309"/>
      <c r="AC309"/>
      <c r="AD309"/>
    </row>
    <row r="310" spans="1:30" ht="14.5" customHeight="1" x14ac:dyDescent="0.35">
      <c r="A310" s="2" t="s">
        <v>686</v>
      </c>
      <c r="B310" s="3" t="s">
        <v>687</v>
      </c>
      <c r="C310" s="3" t="s">
        <v>466</v>
      </c>
      <c r="D310" s="3" t="s">
        <v>665</v>
      </c>
      <c r="E310" s="2"/>
      <c r="F310" s="4">
        <v>4</v>
      </c>
      <c r="G310" s="5"/>
      <c r="H310" s="5"/>
      <c r="I310" s="36" t="s">
        <v>688</v>
      </c>
      <c r="J310" s="6"/>
      <c r="K310" s="6"/>
      <c r="L310" s="6"/>
      <c r="M310" s="6"/>
      <c r="N310" s="6"/>
      <c r="O310" s="6"/>
      <c r="P310" s="6"/>
      <c r="Q310" s="2"/>
      <c r="R310" s="2" t="s">
        <v>25</v>
      </c>
      <c r="S310" s="7">
        <v>46213</v>
      </c>
      <c r="T310" s="3"/>
      <c r="U310" s="3"/>
      <c r="V310" s="3"/>
      <c r="W310"/>
      <c r="AC310"/>
      <c r="AD310"/>
    </row>
    <row r="311" spans="1:30" ht="14.5" customHeight="1" x14ac:dyDescent="0.35">
      <c r="A311" s="2" t="s">
        <v>689</v>
      </c>
      <c r="B311" s="3" t="s">
        <v>690</v>
      </c>
      <c r="C311" s="3" t="s">
        <v>466</v>
      </c>
      <c r="D311" s="3" t="s">
        <v>665</v>
      </c>
      <c r="E311" s="2"/>
      <c r="F311" s="4">
        <v>4</v>
      </c>
      <c r="G311" s="5"/>
      <c r="H311" s="5"/>
      <c r="I311" s="34"/>
      <c r="J311" s="6"/>
      <c r="K311" s="6"/>
      <c r="L311" s="6"/>
      <c r="M311" s="6"/>
      <c r="N311" s="6"/>
      <c r="O311" s="6"/>
      <c r="P311" s="6"/>
      <c r="Q311" s="2"/>
      <c r="R311" s="2" t="s">
        <v>25</v>
      </c>
      <c r="S311" s="7">
        <v>46213</v>
      </c>
      <c r="T311" s="3"/>
      <c r="U311" s="3"/>
      <c r="V311" s="3"/>
      <c r="W311"/>
      <c r="AC311"/>
      <c r="AD311"/>
    </row>
    <row r="312" spans="1:30" ht="14.5" customHeight="1" x14ac:dyDescent="0.35">
      <c r="A312" s="2" t="s">
        <v>691</v>
      </c>
      <c r="B312" s="3" t="s">
        <v>692</v>
      </c>
      <c r="C312" s="3" t="s">
        <v>466</v>
      </c>
      <c r="D312" s="3" t="s">
        <v>665</v>
      </c>
      <c r="E312" s="2"/>
      <c r="F312" s="4">
        <v>4</v>
      </c>
      <c r="G312" s="5"/>
      <c r="H312" s="5"/>
      <c r="I312" s="34"/>
      <c r="J312" s="6"/>
      <c r="K312" s="6"/>
      <c r="L312" s="6"/>
      <c r="M312" s="6"/>
      <c r="N312" s="6"/>
      <c r="O312" s="6"/>
      <c r="P312" s="6"/>
      <c r="Q312" s="2"/>
      <c r="R312" s="2" t="s">
        <v>25</v>
      </c>
      <c r="S312" s="7">
        <v>46213</v>
      </c>
      <c r="T312" s="3"/>
      <c r="U312" s="3"/>
      <c r="V312" s="3"/>
      <c r="W312"/>
      <c r="AC312"/>
      <c r="AD312"/>
    </row>
    <row r="313" spans="1:30" ht="14.5" customHeight="1" x14ac:dyDescent="0.35">
      <c r="A313" s="2" t="s">
        <v>693</v>
      </c>
      <c r="B313" s="3" t="s">
        <v>694</v>
      </c>
      <c r="C313" s="3" t="s">
        <v>466</v>
      </c>
      <c r="D313" s="3" t="s">
        <v>665</v>
      </c>
      <c r="E313" s="2"/>
      <c r="F313" s="4">
        <v>5</v>
      </c>
      <c r="G313" s="5"/>
      <c r="H313" s="5"/>
      <c r="I313" s="34"/>
      <c r="J313" s="6"/>
      <c r="K313" s="6"/>
      <c r="L313" s="6"/>
      <c r="M313" s="6"/>
      <c r="N313" s="6"/>
      <c r="O313" s="6"/>
      <c r="P313" s="6"/>
      <c r="Q313" s="2"/>
      <c r="R313" s="2" t="s">
        <v>25</v>
      </c>
      <c r="S313" s="7">
        <v>46213</v>
      </c>
      <c r="T313" s="3"/>
      <c r="U313" s="3"/>
      <c r="V313" s="3"/>
      <c r="W313"/>
      <c r="AC313"/>
      <c r="AD313"/>
    </row>
    <row r="314" spans="1:30" ht="14.5" customHeight="1" x14ac:dyDescent="0.35">
      <c r="A314" s="2" t="s">
        <v>695</v>
      </c>
      <c r="B314" s="3" t="s">
        <v>696</v>
      </c>
      <c r="C314" s="3" t="s">
        <v>466</v>
      </c>
      <c r="D314" s="3" t="s">
        <v>665</v>
      </c>
      <c r="E314" s="2"/>
      <c r="F314" s="4">
        <v>5</v>
      </c>
      <c r="G314" s="5"/>
      <c r="H314" s="5"/>
      <c r="I314" s="34"/>
      <c r="J314" s="6"/>
      <c r="K314" s="6"/>
      <c r="L314" s="6"/>
      <c r="M314" s="6"/>
      <c r="N314" s="6"/>
      <c r="O314" s="6"/>
      <c r="P314" s="6"/>
      <c r="Q314" s="2"/>
      <c r="R314" s="2" t="s">
        <v>25</v>
      </c>
      <c r="S314" s="7">
        <v>46213</v>
      </c>
      <c r="T314" s="3"/>
      <c r="U314" s="3"/>
      <c r="V314" s="3"/>
      <c r="W314"/>
      <c r="AC314"/>
      <c r="AD314"/>
    </row>
    <row r="315" spans="1:30" ht="14.5" customHeight="1" x14ac:dyDescent="0.35">
      <c r="A315" s="2" t="s">
        <v>697</v>
      </c>
      <c r="B315" s="3" t="s">
        <v>698</v>
      </c>
      <c r="C315" s="3" t="s">
        <v>466</v>
      </c>
      <c r="D315" s="3" t="s">
        <v>665</v>
      </c>
      <c r="E315" s="2"/>
      <c r="F315" s="4">
        <v>4</v>
      </c>
      <c r="G315" s="5"/>
      <c r="H315" s="5"/>
      <c r="I315" s="34"/>
      <c r="J315" s="6"/>
      <c r="K315" s="6"/>
      <c r="L315" s="6"/>
      <c r="M315" s="6"/>
      <c r="N315" s="6"/>
      <c r="O315" s="6"/>
      <c r="P315" s="6"/>
      <c r="Q315" s="2"/>
      <c r="R315" s="2" t="s">
        <v>25</v>
      </c>
      <c r="S315" s="7">
        <v>46213</v>
      </c>
      <c r="T315" s="3"/>
      <c r="U315" s="3"/>
      <c r="V315" s="3"/>
      <c r="W315"/>
      <c r="AC315"/>
      <c r="AD315"/>
    </row>
    <row r="316" spans="1:30" ht="14.5" customHeight="1" x14ac:dyDescent="0.35">
      <c r="A316" s="2" t="s">
        <v>699</v>
      </c>
      <c r="B316" s="3" t="s">
        <v>700</v>
      </c>
      <c r="C316" s="3" t="s">
        <v>466</v>
      </c>
      <c r="D316" s="3" t="s">
        <v>665</v>
      </c>
      <c r="E316" s="2"/>
      <c r="F316" s="4">
        <v>4</v>
      </c>
      <c r="G316" s="5"/>
      <c r="H316" s="5"/>
      <c r="I316" s="34"/>
      <c r="J316" s="6"/>
      <c r="K316" s="6"/>
      <c r="L316" s="6"/>
      <c r="M316" s="6"/>
      <c r="N316" s="6"/>
      <c r="O316" s="6"/>
      <c r="P316" s="6"/>
      <c r="Q316" s="2"/>
      <c r="R316" s="2" t="s">
        <v>25</v>
      </c>
      <c r="S316" s="7">
        <v>46213</v>
      </c>
      <c r="T316" s="3"/>
      <c r="U316" s="3"/>
      <c r="V316" s="3"/>
      <c r="W316"/>
      <c r="AC316"/>
      <c r="AD316"/>
    </row>
    <row r="317" spans="1:30" ht="14.5" customHeight="1" x14ac:dyDescent="0.35">
      <c r="A317" s="2" t="s">
        <v>701</v>
      </c>
      <c r="B317" s="3" t="s">
        <v>702</v>
      </c>
      <c r="C317" s="3" t="s">
        <v>466</v>
      </c>
      <c r="D317" s="3" t="s">
        <v>665</v>
      </c>
      <c r="E317" s="2"/>
      <c r="F317" s="4">
        <v>4</v>
      </c>
      <c r="G317" s="5"/>
      <c r="H317" s="5"/>
      <c r="I317" s="34"/>
      <c r="J317" s="6"/>
      <c r="K317" s="6"/>
      <c r="L317" s="6"/>
      <c r="M317" s="6"/>
      <c r="N317" s="6"/>
      <c r="O317" s="6"/>
      <c r="P317" s="6"/>
      <c r="Q317" s="2"/>
      <c r="R317" s="2" t="s">
        <v>25</v>
      </c>
      <c r="S317" s="7">
        <v>46213</v>
      </c>
      <c r="T317" s="3"/>
      <c r="U317" s="3"/>
      <c r="V317" s="3"/>
      <c r="W317"/>
      <c r="AC317"/>
      <c r="AD317"/>
    </row>
    <row r="318" spans="1:30" ht="14.5" customHeight="1" x14ac:dyDescent="0.35">
      <c r="A318" s="39" t="s">
        <v>703</v>
      </c>
      <c r="B318" s="40"/>
      <c r="C318" s="40"/>
      <c r="D318" s="40"/>
      <c r="E318" s="39"/>
      <c r="F318" s="41"/>
      <c r="G318" s="42"/>
      <c r="H318" s="42"/>
      <c r="I318" s="43"/>
      <c r="J318" s="44"/>
      <c r="K318" s="44"/>
      <c r="L318" s="44"/>
      <c r="M318" s="44"/>
      <c r="N318" s="44"/>
      <c r="O318" s="44"/>
      <c r="P318" s="44"/>
      <c r="Q318" s="39"/>
      <c r="R318" s="39"/>
      <c r="S318" s="45"/>
      <c r="T318" s="40"/>
      <c r="U318" s="40"/>
      <c r="V318" s="40"/>
      <c r="W318"/>
      <c r="AC318"/>
      <c r="AD318"/>
    </row>
    <row r="319" spans="1:30" ht="14.5" customHeight="1" x14ac:dyDescent="0.35">
      <c r="A319" s="2" t="s">
        <v>704</v>
      </c>
      <c r="B319" s="3" t="s">
        <v>705</v>
      </c>
      <c r="C319" s="3" t="s">
        <v>703</v>
      </c>
      <c r="D319" s="3"/>
      <c r="E319" s="2"/>
      <c r="F319" s="4">
        <v>4</v>
      </c>
      <c r="G319" s="5"/>
      <c r="H319" s="5"/>
      <c r="I319" s="34"/>
      <c r="J319" s="6"/>
      <c r="K319" s="6"/>
      <c r="L319" s="6"/>
      <c r="M319" s="6"/>
      <c r="N319" s="6"/>
      <c r="O319" s="6"/>
      <c r="P319" s="6"/>
      <c r="Q319" s="2"/>
      <c r="R319" s="2" t="s">
        <v>25</v>
      </c>
      <c r="S319" s="7">
        <v>46213</v>
      </c>
      <c r="T319" s="3"/>
      <c r="U319" s="3"/>
      <c r="V319" s="3"/>
      <c r="W319"/>
      <c r="AC319"/>
      <c r="AD319"/>
    </row>
    <row r="320" spans="1:30" ht="14.5" customHeight="1" x14ac:dyDescent="0.35">
      <c r="A320" s="2" t="s">
        <v>706</v>
      </c>
      <c r="B320" s="3" t="s">
        <v>707</v>
      </c>
      <c r="C320" s="3" t="s">
        <v>703</v>
      </c>
      <c r="D320" s="3"/>
      <c r="E320" s="2"/>
      <c r="F320" s="4">
        <v>7</v>
      </c>
      <c r="G320" s="5"/>
      <c r="H320" s="5"/>
      <c r="I320" s="34"/>
      <c r="J320" s="6"/>
      <c r="K320" s="6"/>
      <c r="L320" s="6"/>
      <c r="M320" s="6"/>
      <c r="N320" s="6"/>
      <c r="O320" s="6"/>
      <c r="P320" s="6"/>
      <c r="Q320" s="2"/>
      <c r="R320" s="2" t="s">
        <v>25</v>
      </c>
      <c r="S320" s="7">
        <v>46213</v>
      </c>
      <c r="T320" s="3"/>
      <c r="U320" s="3"/>
      <c r="V320" s="3"/>
      <c r="W320"/>
      <c r="AC320"/>
      <c r="AD320"/>
    </row>
    <row r="321" spans="1:30" ht="14.5" customHeight="1" x14ac:dyDescent="0.35">
      <c r="A321" s="2"/>
      <c r="B321" s="3"/>
      <c r="C321" s="3"/>
      <c r="D321" s="33"/>
      <c r="E321" s="2"/>
      <c r="F321" s="4"/>
      <c r="G321" s="5"/>
      <c r="H321" s="5"/>
      <c r="I321" s="34"/>
      <c r="J321" s="6"/>
      <c r="K321" s="6"/>
      <c r="L321" s="6"/>
      <c r="M321" s="6"/>
      <c r="N321" s="6"/>
      <c r="O321" s="6"/>
      <c r="P321" s="6"/>
      <c r="Q321" s="2"/>
      <c r="R321" s="2"/>
      <c r="S321" s="7"/>
      <c r="T321" s="3"/>
      <c r="U321" s="3"/>
      <c r="V321" s="3"/>
      <c r="W321"/>
      <c r="AC321"/>
      <c r="AD321"/>
    </row>
    <row r="322" spans="1:30" ht="14.5" customHeight="1" x14ac:dyDescent="0.35">
      <c r="A322" s="2"/>
      <c r="B322" s="3"/>
      <c r="C322" s="3"/>
      <c r="D322" s="3"/>
      <c r="E322" s="2"/>
      <c r="F322" s="4"/>
      <c r="G322" s="5"/>
      <c r="H322" s="5"/>
      <c r="I322" s="34"/>
      <c r="J322" s="6"/>
      <c r="K322" s="6"/>
      <c r="L322" s="6"/>
      <c r="M322" s="6"/>
      <c r="N322" s="6"/>
      <c r="O322" s="6"/>
      <c r="P322" s="6"/>
      <c r="Q322" s="2"/>
      <c r="R322" s="2"/>
      <c r="S322" s="7"/>
      <c r="T322" s="3"/>
      <c r="U322" s="3"/>
      <c r="V322" s="3"/>
      <c r="W322"/>
      <c r="AC322"/>
      <c r="AD322"/>
    </row>
    <row r="323" spans="1:30" ht="14.5" customHeight="1" x14ac:dyDescent="0.35">
      <c r="A323" s="2"/>
      <c r="B323" s="3"/>
      <c r="C323" s="3"/>
      <c r="D323" s="3"/>
      <c r="E323" s="2"/>
      <c r="F323" s="4"/>
      <c r="G323" s="5"/>
      <c r="H323" s="5"/>
      <c r="I323" s="34"/>
      <c r="J323" s="6"/>
      <c r="K323" s="6"/>
      <c r="L323" s="6"/>
      <c r="M323" s="6"/>
      <c r="N323" s="6"/>
      <c r="O323" s="6"/>
      <c r="P323" s="6"/>
      <c r="Q323" s="2"/>
      <c r="R323" s="2"/>
      <c r="S323" s="7"/>
      <c r="T323" s="3"/>
      <c r="U323" s="3"/>
      <c r="V323" s="3"/>
      <c r="W323"/>
      <c r="AC323"/>
      <c r="AD323"/>
    </row>
    <row r="324" spans="1:30" ht="14.5" customHeight="1" x14ac:dyDescent="0.35">
      <c r="A324" s="2"/>
      <c r="B324" s="3"/>
      <c r="C324" s="3"/>
      <c r="D324" s="3"/>
      <c r="E324" s="2"/>
      <c r="F324" s="4"/>
      <c r="G324" s="5"/>
      <c r="H324" s="5"/>
      <c r="I324" s="34"/>
      <c r="J324" s="6"/>
      <c r="K324" s="6"/>
      <c r="L324" s="6"/>
      <c r="M324" s="6"/>
      <c r="N324" s="6"/>
      <c r="O324" s="6"/>
      <c r="P324" s="6"/>
      <c r="Q324" s="2"/>
      <c r="R324" s="2"/>
      <c r="S324" s="7"/>
      <c r="T324" s="3"/>
      <c r="U324" s="3"/>
      <c r="V324" s="3"/>
      <c r="W324"/>
      <c r="AC324"/>
      <c r="AD324"/>
    </row>
    <row r="325" spans="1:30" ht="14.5" customHeight="1" x14ac:dyDescent="0.35">
      <c r="A325" s="2"/>
      <c r="B325" s="3"/>
      <c r="C325" s="3"/>
      <c r="D325" s="3"/>
      <c r="E325" s="2"/>
      <c r="F325" s="4"/>
      <c r="G325" s="5"/>
      <c r="H325" s="5"/>
      <c r="I325" s="34"/>
      <c r="J325" s="6"/>
      <c r="K325" s="6"/>
      <c r="L325" s="6"/>
      <c r="M325" s="6"/>
      <c r="N325" s="6"/>
      <c r="O325" s="6"/>
      <c r="P325" s="6"/>
      <c r="Q325" s="2"/>
      <c r="R325" s="2"/>
      <c r="S325" s="7"/>
      <c r="T325" s="3"/>
      <c r="U325" s="3"/>
      <c r="V325" s="3"/>
      <c r="W325"/>
      <c r="AC325"/>
      <c r="AD325"/>
    </row>
    <row r="326" spans="1:30" ht="14.5" customHeight="1" x14ac:dyDescent="0.35">
      <c r="A326" s="2"/>
      <c r="B326" s="3"/>
      <c r="C326" s="3"/>
      <c r="D326" s="3"/>
      <c r="E326" s="2"/>
      <c r="F326" s="4"/>
      <c r="G326" s="5"/>
      <c r="H326" s="5"/>
      <c r="I326" s="34"/>
      <c r="J326" s="6"/>
      <c r="K326" s="6"/>
      <c r="L326" s="6"/>
      <c r="M326" s="6"/>
      <c r="N326" s="6"/>
      <c r="O326" s="6"/>
      <c r="P326" s="6"/>
      <c r="Q326" s="2"/>
      <c r="R326" s="2"/>
      <c r="S326" s="7"/>
      <c r="T326" s="3"/>
      <c r="U326" s="3"/>
      <c r="V326" s="3"/>
      <c r="W326"/>
      <c r="AC326"/>
      <c r="AD326"/>
    </row>
    <row r="327" spans="1:30" ht="14.5" customHeight="1" x14ac:dyDescent="0.35">
      <c r="A327" s="2"/>
      <c r="B327" s="3"/>
      <c r="C327" s="3"/>
      <c r="D327" s="3"/>
      <c r="E327" s="2"/>
      <c r="F327" s="4"/>
      <c r="G327" s="5"/>
      <c r="H327" s="5"/>
      <c r="I327" s="34"/>
      <c r="J327" s="6"/>
      <c r="K327" s="6"/>
      <c r="L327" s="6"/>
      <c r="M327" s="6"/>
      <c r="N327" s="6"/>
      <c r="O327" s="6"/>
      <c r="P327" s="6"/>
      <c r="Q327" s="2"/>
      <c r="R327" s="2"/>
      <c r="S327" s="7"/>
      <c r="T327" s="3"/>
      <c r="U327" s="3"/>
      <c r="V327" s="3"/>
      <c r="W327"/>
      <c r="AC327"/>
      <c r="AD327"/>
    </row>
    <row r="328" spans="1:30" ht="14.5" customHeight="1" x14ac:dyDescent="0.35">
      <c r="A328" s="2"/>
      <c r="B328" s="3"/>
      <c r="C328" s="3"/>
      <c r="D328" s="3"/>
      <c r="E328" s="2"/>
      <c r="F328" s="4"/>
      <c r="G328" s="5"/>
      <c r="H328" s="5"/>
      <c r="I328" s="34"/>
      <c r="J328" s="6"/>
      <c r="K328" s="6"/>
      <c r="L328" s="6"/>
      <c r="M328" s="6"/>
      <c r="N328" s="6"/>
      <c r="O328" s="6"/>
      <c r="P328" s="6"/>
      <c r="Q328" s="2"/>
      <c r="R328" s="2"/>
      <c r="S328" s="7"/>
      <c r="T328" s="3"/>
      <c r="U328" s="3"/>
      <c r="V328" s="3"/>
      <c r="W328"/>
      <c r="AC328"/>
      <c r="AD328"/>
    </row>
    <row r="329" spans="1:30" ht="14.5" customHeight="1" x14ac:dyDescent="0.35">
      <c r="A329" s="2"/>
      <c r="B329" s="3"/>
      <c r="C329" s="3"/>
      <c r="D329" s="3"/>
      <c r="E329" s="2"/>
      <c r="F329" s="4"/>
      <c r="G329" s="5"/>
      <c r="H329" s="5"/>
      <c r="I329" s="34"/>
      <c r="J329" s="6"/>
      <c r="K329" s="6"/>
      <c r="L329" s="6"/>
      <c r="M329" s="6"/>
      <c r="N329" s="6"/>
      <c r="O329" s="6"/>
      <c r="P329" s="6"/>
      <c r="Q329" s="2"/>
      <c r="R329" s="2"/>
      <c r="S329" s="7"/>
      <c r="T329" s="3"/>
      <c r="U329" s="3"/>
      <c r="V329" s="3"/>
      <c r="W329"/>
      <c r="AC329"/>
      <c r="AD329"/>
    </row>
    <row r="330" spans="1:30" ht="14.5" customHeight="1" x14ac:dyDescent="0.35">
      <c r="A330" s="2"/>
      <c r="B330" s="3"/>
      <c r="C330" s="3"/>
      <c r="D330" s="3"/>
      <c r="E330" s="2"/>
      <c r="F330" s="4"/>
      <c r="G330" s="5"/>
      <c r="H330" s="5"/>
      <c r="I330" s="34"/>
      <c r="J330" s="6"/>
      <c r="K330" s="6"/>
      <c r="L330" s="6"/>
      <c r="M330" s="6"/>
      <c r="N330" s="6"/>
      <c r="O330" s="6"/>
      <c r="P330" s="6"/>
      <c r="Q330" s="2"/>
      <c r="R330" s="2"/>
      <c r="S330" s="7"/>
      <c r="T330" s="3"/>
      <c r="U330" s="3"/>
      <c r="V330" s="3"/>
      <c r="W330"/>
      <c r="AC330"/>
      <c r="AD330"/>
    </row>
    <row r="331" spans="1:30" ht="14.5" customHeight="1" x14ac:dyDescent="0.35">
      <c r="A331" s="2"/>
      <c r="B331" s="3"/>
      <c r="C331" s="3"/>
      <c r="D331" s="3"/>
      <c r="E331" s="2"/>
      <c r="F331" s="4"/>
      <c r="G331" s="5"/>
      <c r="H331" s="5"/>
      <c r="I331" s="34"/>
      <c r="J331" s="6"/>
      <c r="K331" s="6"/>
      <c r="L331" s="6"/>
      <c r="M331" s="6"/>
      <c r="N331" s="6"/>
      <c r="O331" s="6"/>
      <c r="P331" s="6"/>
      <c r="Q331" s="2"/>
      <c r="R331" s="2"/>
      <c r="S331" s="7"/>
      <c r="T331" s="3"/>
      <c r="U331" s="3"/>
      <c r="V331" s="3"/>
      <c r="W331"/>
      <c r="AC331"/>
      <c r="AD331"/>
    </row>
    <row r="332" spans="1:30" ht="14.5" customHeight="1" x14ac:dyDescent="0.35">
      <c r="A332" s="2"/>
      <c r="B332" s="3"/>
      <c r="C332" s="3"/>
      <c r="D332" s="3"/>
      <c r="E332" s="2"/>
      <c r="F332" s="4"/>
      <c r="G332" s="5"/>
      <c r="H332" s="5"/>
      <c r="I332" s="34"/>
      <c r="J332" s="6"/>
      <c r="K332" s="6"/>
      <c r="L332" s="6"/>
      <c r="M332" s="6"/>
      <c r="N332" s="6"/>
      <c r="O332" s="6"/>
      <c r="P332" s="6"/>
      <c r="Q332" s="2"/>
      <c r="R332" s="2"/>
      <c r="S332" s="7"/>
      <c r="T332" s="3"/>
      <c r="U332" s="3"/>
      <c r="V332" s="3"/>
      <c r="W332"/>
      <c r="AC332"/>
      <c r="AD332"/>
    </row>
    <row r="333" spans="1:30" ht="14.5" customHeight="1" x14ac:dyDescent="0.35">
      <c r="A333" s="2"/>
      <c r="B333" s="3"/>
      <c r="C333" s="3"/>
      <c r="D333" s="3"/>
      <c r="E333" s="2"/>
      <c r="F333" s="4"/>
      <c r="G333" s="5"/>
      <c r="H333" s="5"/>
      <c r="I333" s="34"/>
      <c r="J333" s="6"/>
      <c r="K333" s="6"/>
      <c r="L333" s="6"/>
      <c r="M333" s="6"/>
      <c r="N333" s="6"/>
      <c r="O333" s="6"/>
      <c r="P333" s="6"/>
      <c r="Q333" s="2"/>
      <c r="R333" s="2"/>
      <c r="S333" s="7"/>
      <c r="T333" s="3"/>
      <c r="U333" s="3"/>
      <c r="V333" s="3"/>
      <c r="W333"/>
      <c r="AC333"/>
      <c r="AD333"/>
    </row>
    <row r="334" spans="1:30" ht="14.5" customHeight="1" x14ac:dyDescent="0.35">
      <c r="A334" s="2"/>
      <c r="B334" s="3"/>
      <c r="C334" s="3"/>
      <c r="D334" s="3"/>
      <c r="E334" s="2"/>
      <c r="F334" s="4"/>
      <c r="G334" s="5"/>
      <c r="H334" s="5"/>
      <c r="I334" s="34"/>
      <c r="J334" s="6"/>
      <c r="K334" s="6"/>
      <c r="L334" s="6"/>
      <c r="M334" s="6"/>
      <c r="N334" s="6"/>
      <c r="O334" s="6"/>
      <c r="P334" s="6"/>
      <c r="Q334" s="2"/>
      <c r="R334" s="2"/>
      <c r="S334" s="7"/>
      <c r="T334" s="3"/>
      <c r="U334" s="3"/>
      <c r="V334" s="3"/>
      <c r="W334"/>
      <c r="AC334"/>
      <c r="AD334"/>
    </row>
    <row r="335" spans="1:30" ht="14.5" customHeight="1" x14ac:dyDescent="0.35">
      <c r="A335" s="2"/>
      <c r="B335" s="3"/>
      <c r="C335" s="3"/>
      <c r="D335" s="3"/>
      <c r="E335" s="2"/>
      <c r="F335" s="4"/>
      <c r="G335" s="5"/>
      <c r="H335" s="5"/>
      <c r="I335" s="34"/>
      <c r="J335" s="6"/>
      <c r="K335" s="6"/>
      <c r="L335" s="6"/>
      <c r="M335" s="6"/>
      <c r="N335" s="6"/>
      <c r="O335" s="6"/>
      <c r="P335" s="6"/>
      <c r="Q335" s="2"/>
      <c r="R335" s="2"/>
      <c r="S335" s="7"/>
      <c r="T335" s="3"/>
      <c r="U335" s="3"/>
      <c r="V335" s="3"/>
      <c r="W335"/>
      <c r="AC335"/>
      <c r="AD335"/>
    </row>
    <row r="336" spans="1:30" ht="14.5" customHeight="1" x14ac:dyDescent="0.35">
      <c r="A336" s="2"/>
      <c r="B336" s="3"/>
      <c r="C336" s="3"/>
      <c r="D336" s="3"/>
      <c r="E336" s="2"/>
      <c r="F336" s="4"/>
      <c r="G336" s="5"/>
      <c r="H336" s="5"/>
      <c r="I336" s="34"/>
      <c r="J336" s="6"/>
      <c r="K336" s="6"/>
      <c r="L336" s="6"/>
      <c r="M336" s="6"/>
      <c r="N336" s="6"/>
      <c r="O336" s="6"/>
      <c r="P336" s="6"/>
      <c r="Q336" s="2"/>
      <c r="R336" s="2"/>
      <c r="S336" s="7"/>
      <c r="T336" s="3"/>
      <c r="U336" s="3"/>
      <c r="V336" s="3"/>
      <c r="W336"/>
      <c r="AC336"/>
      <c r="AD336"/>
    </row>
    <row r="337" spans="1:30" ht="14.5" customHeight="1" x14ac:dyDescent="0.35">
      <c r="A337" s="2"/>
      <c r="B337" s="3"/>
      <c r="C337" s="3"/>
      <c r="D337" s="3"/>
      <c r="E337" s="2"/>
      <c r="F337" s="4"/>
      <c r="G337" s="5"/>
      <c r="H337" s="5"/>
      <c r="I337" s="34"/>
      <c r="J337" s="6"/>
      <c r="K337" s="6"/>
      <c r="L337" s="6"/>
      <c r="M337" s="6"/>
      <c r="N337" s="6"/>
      <c r="O337" s="6"/>
      <c r="P337" s="6"/>
      <c r="Q337" s="2"/>
      <c r="R337" s="2"/>
      <c r="S337" s="7"/>
      <c r="T337" s="3"/>
      <c r="U337" s="3"/>
      <c r="V337" s="3"/>
      <c r="W337"/>
      <c r="AC337"/>
      <c r="AD337"/>
    </row>
    <row r="338" spans="1:30" ht="14.5" customHeight="1" x14ac:dyDescent="0.35">
      <c r="A338" s="2"/>
      <c r="B338" s="3"/>
      <c r="C338" s="3"/>
      <c r="D338" s="3"/>
      <c r="E338" s="2"/>
      <c r="F338" s="4"/>
      <c r="G338" s="5"/>
      <c r="H338" s="5"/>
      <c r="I338" s="34"/>
      <c r="J338" s="6"/>
      <c r="K338" s="6"/>
      <c r="L338" s="6"/>
      <c r="M338" s="6"/>
      <c r="N338" s="6"/>
      <c r="O338" s="6"/>
      <c r="P338" s="6"/>
      <c r="Q338" s="2"/>
      <c r="R338" s="2"/>
      <c r="S338" s="7"/>
      <c r="T338" s="3"/>
      <c r="U338" s="3"/>
      <c r="V338" s="3"/>
      <c r="W338"/>
      <c r="AC338"/>
      <c r="AD338"/>
    </row>
    <row r="339" spans="1:30" ht="14.5" customHeight="1" x14ac:dyDescent="0.35">
      <c r="A339" s="2"/>
      <c r="B339" s="3"/>
      <c r="C339" s="3"/>
      <c r="D339" s="3"/>
      <c r="E339" s="2"/>
      <c r="F339" s="4"/>
      <c r="G339" s="5"/>
      <c r="H339" s="5"/>
      <c r="I339" s="34"/>
      <c r="J339" s="6"/>
      <c r="K339" s="6"/>
      <c r="L339" s="6"/>
      <c r="M339" s="6"/>
      <c r="N339" s="6"/>
      <c r="O339" s="6"/>
      <c r="P339" s="6"/>
      <c r="Q339" s="2"/>
      <c r="R339" s="2"/>
      <c r="S339" s="7"/>
      <c r="T339" s="3"/>
      <c r="U339" s="3"/>
      <c r="V339" s="3"/>
      <c r="W339"/>
      <c r="AC339"/>
      <c r="AD339"/>
    </row>
    <row r="340" spans="1:30" ht="14.5" customHeight="1" x14ac:dyDescent="0.35">
      <c r="A340" s="2"/>
      <c r="B340" s="3"/>
      <c r="C340" s="3"/>
      <c r="D340" s="3"/>
      <c r="E340" s="2"/>
      <c r="F340" s="4"/>
      <c r="G340" s="5"/>
      <c r="H340" s="5"/>
      <c r="I340" s="34"/>
      <c r="J340" s="6"/>
      <c r="K340" s="6"/>
      <c r="L340" s="6"/>
      <c r="M340" s="6"/>
      <c r="N340" s="6"/>
      <c r="O340" s="6"/>
      <c r="P340" s="6"/>
      <c r="Q340" s="2"/>
      <c r="R340" s="2"/>
      <c r="S340" s="7"/>
      <c r="T340" s="3"/>
      <c r="U340" s="3"/>
      <c r="V340" s="3"/>
      <c r="W340"/>
      <c r="AC340"/>
      <c r="AD340"/>
    </row>
    <row r="341" spans="1:30" ht="14.5" customHeight="1" x14ac:dyDescent="0.35">
      <c r="A341" s="2"/>
      <c r="B341" s="3"/>
      <c r="C341" s="3"/>
      <c r="D341" s="3"/>
      <c r="E341" s="2"/>
      <c r="F341" s="4"/>
      <c r="G341" s="5"/>
      <c r="H341" s="5"/>
      <c r="I341" s="34"/>
      <c r="J341" s="6"/>
      <c r="K341" s="6"/>
      <c r="L341" s="6"/>
      <c r="M341" s="6"/>
      <c r="N341" s="6"/>
      <c r="O341" s="6"/>
      <c r="P341" s="6"/>
      <c r="Q341" s="2"/>
      <c r="R341" s="2"/>
      <c r="S341" s="7"/>
      <c r="T341" s="3"/>
      <c r="U341" s="3"/>
      <c r="V341" s="3"/>
      <c r="W341"/>
      <c r="AC341"/>
      <c r="AD341"/>
    </row>
    <row r="342" spans="1:30" ht="14.5" customHeight="1" x14ac:dyDescent="0.35">
      <c r="A342" s="2"/>
      <c r="B342" s="3"/>
      <c r="C342" s="3"/>
      <c r="D342" s="3"/>
      <c r="E342" s="2"/>
      <c r="F342" s="4"/>
      <c r="G342" s="5"/>
      <c r="H342" s="5"/>
      <c r="I342" s="34"/>
      <c r="J342" s="6"/>
      <c r="K342" s="6"/>
      <c r="L342" s="6"/>
      <c r="M342" s="6"/>
      <c r="N342" s="6"/>
      <c r="O342" s="6"/>
      <c r="P342" s="6"/>
      <c r="Q342" s="2"/>
      <c r="R342" s="2"/>
      <c r="S342" s="7"/>
      <c r="T342" s="3"/>
      <c r="U342" s="3"/>
      <c r="V342" s="3"/>
      <c r="W342"/>
      <c r="AC342"/>
      <c r="AD342"/>
    </row>
    <row r="343" spans="1:30" ht="14.5" customHeight="1" x14ac:dyDescent="0.35">
      <c r="A343" s="2"/>
      <c r="B343" s="3"/>
      <c r="C343" s="3"/>
      <c r="D343" s="3"/>
      <c r="E343" s="2"/>
      <c r="F343" s="4"/>
      <c r="G343" s="5"/>
      <c r="H343" s="5"/>
      <c r="I343" s="34"/>
      <c r="J343" s="6"/>
      <c r="K343" s="6"/>
      <c r="L343" s="6"/>
      <c r="M343" s="6"/>
      <c r="N343" s="6"/>
      <c r="O343" s="6"/>
      <c r="P343" s="6"/>
      <c r="Q343" s="2"/>
      <c r="R343" s="2"/>
      <c r="S343" s="7"/>
      <c r="T343" s="3"/>
      <c r="U343" s="3"/>
      <c r="V343" s="3"/>
      <c r="W343"/>
      <c r="AC343"/>
      <c r="AD343"/>
    </row>
    <row r="344" spans="1:30" ht="14.5" customHeight="1" x14ac:dyDescent="0.35">
      <c r="A344" s="2"/>
      <c r="B344" s="3"/>
      <c r="C344" s="3"/>
      <c r="D344" s="3"/>
      <c r="E344" s="2"/>
      <c r="F344" s="4"/>
      <c r="G344" s="5"/>
      <c r="H344" s="5"/>
      <c r="I344" s="34"/>
      <c r="J344" s="6"/>
      <c r="K344" s="6"/>
      <c r="L344" s="6"/>
      <c r="M344" s="6"/>
      <c r="N344" s="6"/>
      <c r="O344" s="6"/>
      <c r="P344" s="6"/>
      <c r="Q344" s="2"/>
      <c r="R344" s="2"/>
      <c r="S344" s="7"/>
      <c r="T344" s="3"/>
      <c r="U344" s="3"/>
      <c r="V344" s="3"/>
      <c r="W344"/>
      <c r="AC344"/>
      <c r="AD344"/>
    </row>
    <row r="345" spans="1:30" ht="14.5" customHeight="1" x14ac:dyDescent="0.35">
      <c r="A345" s="2"/>
      <c r="B345" s="3"/>
      <c r="C345" s="3"/>
      <c r="D345" s="3"/>
      <c r="E345" s="2"/>
      <c r="F345" s="4"/>
      <c r="G345" s="5"/>
      <c r="H345" s="5"/>
      <c r="I345" s="34"/>
      <c r="J345" s="6"/>
      <c r="K345" s="6"/>
      <c r="L345" s="6"/>
      <c r="M345" s="6"/>
      <c r="N345" s="6"/>
      <c r="O345" s="6"/>
      <c r="P345" s="6"/>
      <c r="Q345" s="2"/>
      <c r="R345" s="2"/>
      <c r="S345" s="7"/>
      <c r="T345" s="3"/>
      <c r="U345" s="3"/>
      <c r="V345" s="3"/>
      <c r="W345"/>
      <c r="AC345"/>
      <c r="AD345"/>
    </row>
    <row r="346" spans="1:30" ht="14.5" customHeight="1" x14ac:dyDescent="0.35">
      <c r="A346" s="2"/>
      <c r="B346" s="3"/>
      <c r="C346" s="3"/>
      <c r="D346" s="3"/>
      <c r="E346" s="2"/>
      <c r="F346" s="4"/>
      <c r="G346" s="5"/>
      <c r="H346" s="5"/>
      <c r="I346" s="34"/>
      <c r="J346" s="6"/>
      <c r="K346" s="6"/>
      <c r="L346" s="6"/>
      <c r="M346" s="6"/>
      <c r="N346" s="6"/>
      <c r="O346" s="6"/>
      <c r="P346" s="6"/>
      <c r="Q346" s="2"/>
      <c r="R346" s="2"/>
      <c r="S346" s="7"/>
      <c r="T346" s="3"/>
      <c r="U346" s="3"/>
      <c r="V346" s="3"/>
      <c r="W346"/>
      <c r="AC346"/>
      <c r="AD346"/>
    </row>
    <row r="347" spans="1:30" ht="14.5" customHeight="1" x14ac:dyDescent="0.35">
      <c r="A347" s="2"/>
      <c r="B347" s="3"/>
      <c r="C347" s="3"/>
      <c r="D347" s="3"/>
      <c r="E347" s="2"/>
      <c r="F347" s="4"/>
      <c r="G347" s="5"/>
      <c r="H347" s="5"/>
      <c r="I347" s="34"/>
      <c r="J347" s="6"/>
      <c r="K347" s="6"/>
      <c r="L347" s="6"/>
      <c r="M347" s="6"/>
      <c r="N347" s="6"/>
      <c r="O347" s="6"/>
      <c r="P347" s="6"/>
      <c r="Q347" s="2"/>
      <c r="R347" s="2"/>
      <c r="S347" s="7"/>
      <c r="T347" s="3"/>
      <c r="U347" s="3"/>
      <c r="V347" s="3"/>
      <c r="W347"/>
      <c r="AC347"/>
      <c r="AD347"/>
    </row>
    <row r="348" spans="1:30" ht="14.5" customHeight="1" x14ac:dyDescent="0.35">
      <c r="A348" s="2"/>
      <c r="B348" s="3"/>
      <c r="C348" s="3"/>
      <c r="D348" s="3"/>
      <c r="E348" s="2"/>
      <c r="F348" s="4"/>
      <c r="G348" s="5"/>
      <c r="H348" s="5"/>
      <c r="I348" s="34"/>
      <c r="J348" s="6"/>
      <c r="K348" s="6"/>
      <c r="L348" s="6"/>
      <c r="M348" s="6"/>
      <c r="N348" s="6"/>
      <c r="O348" s="6"/>
      <c r="P348" s="6"/>
      <c r="Q348" s="2"/>
      <c r="R348" s="2"/>
      <c r="S348" s="7"/>
      <c r="T348" s="3"/>
      <c r="U348" s="3"/>
      <c r="V348" s="3"/>
      <c r="W348"/>
      <c r="AC348"/>
      <c r="AD348"/>
    </row>
    <row r="349" spans="1:30" ht="14.5" customHeight="1" x14ac:dyDescent="0.35">
      <c r="A349" s="2"/>
      <c r="B349" s="3"/>
      <c r="C349" s="3"/>
      <c r="D349" s="3"/>
      <c r="E349" s="2"/>
      <c r="F349" s="4"/>
      <c r="G349" s="5"/>
      <c r="H349" s="5"/>
      <c r="I349" s="34"/>
      <c r="J349" s="6"/>
      <c r="K349" s="6"/>
      <c r="L349" s="6"/>
      <c r="M349" s="6"/>
      <c r="N349" s="6"/>
      <c r="O349" s="6"/>
      <c r="P349" s="6"/>
      <c r="Q349" s="2"/>
      <c r="R349" s="2"/>
      <c r="S349" s="7"/>
      <c r="T349" s="3"/>
      <c r="U349" s="3"/>
      <c r="V349" s="3"/>
      <c r="W349"/>
      <c r="AC349"/>
      <c r="AD349"/>
    </row>
    <row r="350" spans="1:30" ht="14.5" customHeight="1" x14ac:dyDescent="0.35">
      <c r="A350" s="2"/>
      <c r="B350" s="3"/>
      <c r="C350" s="3"/>
      <c r="D350" s="3"/>
      <c r="E350" s="2"/>
      <c r="F350" s="4"/>
      <c r="G350" s="5"/>
      <c r="H350" s="5"/>
      <c r="I350" s="34"/>
      <c r="J350" s="6"/>
      <c r="K350" s="6"/>
      <c r="L350" s="6"/>
      <c r="M350" s="6"/>
      <c r="N350" s="6"/>
      <c r="O350" s="6"/>
      <c r="P350" s="6"/>
      <c r="Q350" s="2"/>
      <c r="R350" s="2"/>
      <c r="S350" s="7"/>
      <c r="T350" s="3"/>
      <c r="U350" s="3"/>
      <c r="V350" s="3"/>
      <c r="W350"/>
      <c r="AC350"/>
      <c r="AD350"/>
    </row>
    <row r="351" spans="1:30" ht="14.5" customHeight="1" x14ac:dyDescent="0.35">
      <c r="A351" s="2"/>
      <c r="B351" s="3"/>
      <c r="C351" s="3"/>
      <c r="D351" s="3"/>
      <c r="E351" s="2"/>
      <c r="F351" s="4"/>
      <c r="G351" s="5"/>
      <c r="H351" s="5"/>
      <c r="I351" s="34"/>
      <c r="J351" s="6"/>
      <c r="K351" s="6"/>
      <c r="L351" s="6"/>
      <c r="M351" s="6"/>
      <c r="N351" s="6"/>
      <c r="O351" s="6"/>
      <c r="P351" s="6"/>
      <c r="Q351" s="2"/>
      <c r="R351" s="2"/>
      <c r="S351" s="7"/>
      <c r="T351" s="3"/>
      <c r="U351" s="3"/>
      <c r="V351" s="3"/>
      <c r="W351"/>
      <c r="AC351"/>
      <c r="AD351"/>
    </row>
    <row r="352" spans="1:30" ht="14.5" customHeight="1" x14ac:dyDescent="0.35">
      <c r="A352" s="2"/>
      <c r="B352" s="3"/>
      <c r="C352" s="3"/>
      <c r="D352" s="3"/>
      <c r="E352" s="2"/>
      <c r="F352" s="4"/>
      <c r="G352" s="5"/>
      <c r="H352" s="5"/>
      <c r="I352" s="34"/>
      <c r="J352" s="6"/>
      <c r="K352" s="6"/>
      <c r="L352" s="6"/>
      <c r="M352" s="6"/>
      <c r="N352" s="6"/>
      <c r="O352" s="6"/>
      <c r="P352" s="6"/>
      <c r="Q352" s="2"/>
      <c r="R352" s="2"/>
      <c r="S352" s="7"/>
      <c r="T352" s="3"/>
      <c r="U352" s="3"/>
      <c r="V352" s="3"/>
      <c r="W352"/>
      <c r="AC352"/>
      <c r="AD352"/>
    </row>
    <row r="353" spans="1:30" ht="14.5" customHeight="1" x14ac:dyDescent="0.35">
      <c r="A353" s="2"/>
      <c r="B353" s="3"/>
      <c r="C353" s="3"/>
      <c r="D353" s="3"/>
      <c r="E353" s="2"/>
      <c r="F353" s="4"/>
      <c r="G353" s="5"/>
      <c r="H353" s="5"/>
      <c r="I353" s="34"/>
      <c r="J353" s="6"/>
      <c r="K353" s="6"/>
      <c r="L353" s="6"/>
      <c r="M353" s="6"/>
      <c r="N353" s="6"/>
      <c r="O353" s="6"/>
      <c r="P353" s="6"/>
      <c r="Q353" s="2"/>
      <c r="R353" s="2"/>
      <c r="S353" s="7"/>
      <c r="T353" s="3"/>
      <c r="U353" s="3"/>
      <c r="V353" s="3"/>
      <c r="W353"/>
      <c r="AC353"/>
      <c r="AD353"/>
    </row>
    <row r="354" spans="1:30" ht="14.5" customHeight="1" x14ac:dyDescent="0.35">
      <c r="A354" s="2"/>
      <c r="B354" s="3"/>
      <c r="C354" s="3"/>
      <c r="D354" s="3"/>
      <c r="E354" s="2"/>
      <c r="F354" s="4"/>
      <c r="G354" s="5"/>
      <c r="H354" s="5"/>
      <c r="I354" s="34"/>
      <c r="J354" s="6"/>
      <c r="K354" s="6"/>
      <c r="L354" s="6"/>
      <c r="M354" s="6"/>
      <c r="N354" s="6"/>
      <c r="O354" s="6"/>
      <c r="P354" s="6"/>
      <c r="Q354" s="2"/>
      <c r="R354" s="2"/>
      <c r="S354" s="7"/>
      <c r="T354" s="3"/>
      <c r="U354" s="3"/>
      <c r="V354" s="3"/>
      <c r="W354"/>
      <c r="AC354"/>
      <c r="AD354"/>
    </row>
    <row r="355" spans="1:30" ht="14.5" customHeight="1" x14ac:dyDescent="0.35">
      <c r="A355" s="2"/>
      <c r="B355" s="3"/>
      <c r="C355" s="3"/>
      <c r="D355" s="3"/>
      <c r="E355" s="2"/>
      <c r="F355" s="4"/>
      <c r="G355" s="5"/>
      <c r="H355" s="5"/>
      <c r="I355" s="34"/>
      <c r="J355" s="6"/>
      <c r="K355" s="6"/>
      <c r="L355" s="6"/>
      <c r="M355" s="6"/>
      <c r="N355" s="6"/>
      <c r="O355" s="6"/>
      <c r="P355" s="6"/>
      <c r="Q355" s="2"/>
      <c r="R355" s="2"/>
      <c r="S355" s="7"/>
      <c r="T355" s="3"/>
      <c r="U355" s="3"/>
      <c r="V355" s="3"/>
      <c r="W355"/>
      <c r="AC355"/>
      <c r="AD355"/>
    </row>
    <row r="356" spans="1:30" ht="14.5" customHeight="1" x14ac:dyDescent="0.35">
      <c r="A356" s="2"/>
      <c r="B356" s="3"/>
      <c r="C356" s="3"/>
      <c r="D356" s="3"/>
      <c r="E356" s="2"/>
      <c r="F356" s="4"/>
      <c r="G356" s="5"/>
      <c r="H356" s="5"/>
      <c r="I356" s="34"/>
      <c r="J356" s="6"/>
      <c r="K356" s="6"/>
      <c r="L356" s="6"/>
      <c r="M356" s="6"/>
      <c r="N356" s="6"/>
      <c r="O356" s="6"/>
      <c r="P356" s="6"/>
      <c r="Q356" s="2"/>
      <c r="R356" s="2"/>
      <c r="S356" s="7"/>
      <c r="T356" s="3"/>
      <c r="U356" s="3"/>
      <c r="V356" s="3"/>
      <c r="W356"/>
      <c r="AC356"/>
      <c r="AD356"/>
    </row>
    <row r="357" spans="1:30" ht="14.5" customHeight="1" x14ac:dyDescent="0.35">
      <c r="A357" s="2"/>
      <c r="B357" s="3"/>
      <c r="C357" s="3"/>
      <c r="D357" s="3"/>
      <c r="E357" s="2"/>
      <c r="F357" s="4"/>
      <c r="G357" s="5"/>
      <c r="H357" s="5"/>
      <c r="I357" s="34"/>
      <c r="J357" s="6"/>
      <c r="K357" s="6"/>
      <c r="L357" s="6"/>
      <c r="M357" s="6"/>
      <c r="N357" s="6"/>
      <c r="O357" s="6"/>
      <c r="P357" s="6"/>
      <c r="Q357" s="2"/>
      <c r="R357" s="2"/>
      <c r="S357" s="7"/>
      <c r="T357" s="3"/>
      <c r="U357" s="3"/>
      <c r="V357" s="3"/>
      <c r="W357"/>
      <c r="AC357"/>
      <c r="AD357"/>
    </row>
    <row r="358" spans="1:30" ht="14.5" customHeight="1" x14ac:dyDescent="0.35">
      <c r="A358" s="2"/>
      <c r="B358" s="3"/>
      <c r="C358" s="3"/>
      <c r="D358" s="3"/>
      <c r="E358" s="2"/>
      <c r="F358" s="4"/>
      <c r="G358" s="5"/>
      <c r="H358" s="5"/>
      <c r="I358" s="34"/>
      <c r="J358" s="6"/>
      <c r="K358" s="6"/>
      <c r="L358" s="6"/>
      <c r="M358" s="6"/>
      <c r="N358" s="6"/>
      <c r="O358" s="6"/>
      <c r="P358" s="6"/>
      <c r="Q358" s="2"/>
      <c r="R358" s="2"/>
      <c r="S358" s="7"/>
      <c r="T358" s="3"/>
      <c r="U358" s="3"/>
      <c r="V358" s="3"/>
      <c r="W358"/>
      <c r="AC358"/>
      <c r="AD358"/>
    </row>
    <row r="359" spans="1:30" ht="14.5" customHeight="1" x14ac:dyDescent="0.35">
      <c r="A359" s="2"/>
      <c r="B359" s="3"/>
      <c r="C359" s="3"/>
      <c r="D359" s="3"/>
      <c r="E359" s="2"/>
      <c r="F359" s="4"/>
      <c r="G359" s="5"/>
      <c r="H359" s="5"/>
      <c r="I359" s="34"/>
      <c r="J359" s="6"/>
      <c r="K359" s="6"/>
      <c r="L359" s="6"/>
      <c r="M359" s="6"/>
      <c r="N359" s="6"/>
      <c r="O359" s="6"/>
      <c r="P359" s="6"/>
      <c r="Q359" s="2"/>
      <c r="R359" s="2"/>
      <c r="S359" s="7"/>
      <c r="T359" s="3"/>
      <c r="U359" s="3"/>
      <c r="V359" s="3"/>
      <c r="W359"/>
      <c r="AC359"/>
      <c r="AD359"/>
    </row>
    <row r="360" spans="1:30" ht="14.5" customHeight="1" x14ac:dyDescent="0.35">
      <c r="A360" s="2"/>
      <c r="B360" s="3"/>
      <c r="C360" s="3"/>
      <c r="D360" s="3"/>
      <c r="E360" s="2"/>
      <c r="F360" s="4"/>
      <c r="G360" s="5"/>
      <c r="H360" s="5"/>
      <c r="I360" s="34"/>
      <c r="J360" s="6"/>
      <c r="K360" s="6"/>
      <c r="L360" s="6"/>
      <c r="M360" s="6"/>
      <c r="N360" s="6"/>
      <c r="O360" s="6"/>
      <c r="P360" s="6"/>
      <c r="Q360" s="2"/>
      <c r="R360" s="2"/>
      <c r="S360" s="7"/>
      <c r="T360" s="3"/>
      <c r="U360" s="3"/>
      <c r="V360" s="3"/>
      <c r="W360"/>
      <c r="AC360"/>
      <c r="AD360"/>
    </row>
    <row r="361" spans="1:30" ht="14.5" customHeight="1" x14ac:dyDescent="0.35">
      <c r="A361" s="2"/>
      <c r="B361" s="3"/>
      <c r="C361" s="3"/>
      <c r="D361" s="3"/>
      <c r="E361" s="2"/>
      <c r="F361" s="4"/>
      <c r="G361" s="5"/>
      <c r="H361" s="5"/>
      <c r="I361" s="34"/>
      <c r="J361" s="6"/>
      <c r="K361" s="6"/>
      <c r="L361" s="6"/>
      <c r="M361" s="6"/>
      <c r="N361" s="6"/>
      <c r="O361" s="6"/>
      <c r="P361" s="6"/>
      <c r="Q361" s="2"/>
      <c r="R361" s="2"/>
      <c r="S361" s="7"/>
      <c r="T361" s="3"/>
      <c r="U361" s="3"/>
      <c r="V361" s="3"/>
      <c r="W361"/>
      <c r="AC361"/>
      <c r="AD361"/>
    </row>
    <row r="362" spans="1:30" ht="14.5" customHeight="1" x14ac:dyDescent="0.35">
      <c r="A362" s="2"/>
      <c r="B362" s="3"/>
      <c r="C362" s="3"/>
      <c r="D362" s="3"/>
      <c r="E362" s="2"/>
      <c r="F362" s="4"/>
      <c r="G362" s="5"/>
      <c r="H362" s="5"/>
      <c r="I362" s="34"/>
      <c r="J362" s="6"/>
      <c r="K362" s="6"/>
      <c r="L362" s="6"/>
      <c r="M362" s="6"/>
      <c r="N362" s="6"/>
      <c r="O362" s="6"/>
      <c r="P362" s="6"/>
      <c r="Q362" s="2"/>
      <c r="R362" s="2"/>
      <c r="S362" s="7"/>
      <c r="T362" s="3"/>
      <c r="U362" s="3"/>
      <c r="V362" s="3"/>
      <c r="W362"/>
      <c r="AC362"/>
      <c r="AD362"/>
    </row>
    <row r="363" spans="1:30" ht="14.5" customHeight="1" x14ac:dyDescent="0.35">
      <c r="A363" s="2"/>
      <c r="B363" s="3"/>
      <c r="C363" s="3"/>
      <c r="D363" s="3"/>
      <c r="E363" s="2"/>
      <c r="F363" s="4"/>
      <c r="G363" s="5"/>
      <c r="H363" s="5"/>
      <c r="I363" s="34"/>
      <c r="J363" s="6"/>
      <c r="K363" s="6"/>
      <c r="L363" s="6"/>
      <c r="M363" s="6"/>
      <c r="N363" s="6"/>
      <c r="O363" s="6"/>
      <c r="P363" s="6"/>
      <c r="Q363" s="2"/>
      <c r="R363" s="2"/>
      <c r="S363" s="7"/>
      <c r="T363" s="3"/>
      <c r="U363" s="3"/>
      <c r="V363" s="3"/>
      <c r="W363"/>
      <c r="AC363"/>
      <c r="AD363"/>
    </row>
    <row r="364" spans="1:30" ht="14.5" customHeight="1" x14ac:dyDescent="0.35">
      <c r="A364" s="2"/>
      <c r="B364" s="3"/>
      <c r="C364" s="3"/>
      <c r="D364" s="3"/>
      <c r="E364" s="2"/>
      <c r="F364" s="4"/>
      <c r="G364" s="5"/>
      <c r="H364" s="5"/>
      <c r="I364" s="34"/>
      <c r="J364" s="6"/>
      <c r="K364" s="6"/>
      <c r="L364" s="6"/>
      <c r="M364" s="6"/>
      <c r="N364" s="6"/>
      <c r="O364" s="6"/>
      <c r="P364" s="6"/>
      <c r="Q364" s="2"/>
      <c r="R364" s="2"/>
      <c r="S364" s="7"/>
      <c r="T364" s="3"/>
      <c r="U364" s="3"/>
      <c r="V364" s="3"/>
      <c r="W364"/>
      <c r="AC364"/>
      <c r="AD364"/>
    </row>
    <row r="365" spans="1:30" ht="14.5" customHeight="1" x14ac:dyDescent="0.35">
      <c r="A365" s="2"/>
      <c r="B365" s="3"/>
      <c r="C365" s="3"/>
      <c r="D365" s="3"/>
      <c r="E365" s="2"/>
      <c r="F365" s="4"/>
      <c r="G365" s="5"/>
      <c r="H365" s="5"/>
      <c r="I365" s="34"/>
      <c r="J365" s="6"/>
      <c r="K365" s="6"/>
      <c r="L365" s="6"/>
      <c r="M365" s="6"/>
      <c r="N365" s="6"/>
      <c r="O365" s="6"/>
      <c r="P365" s="6"/>
      <c r="Q365" s="2"/>
      <c r="R365" s="2"/>
      <c r="S365" s="7"/>
      <c r="T365" s="3"/>
      <c r="U365" s="3"/>
      <c r="V365" s="3"/>
      <c r="W365"/>
      <c r="AC365"/>
      <c r="AD365"/>
    </row>
    <row r="366" spans="1:30" ht="14.5" customHeight="1" x14ac:dyDescent="0.35">
      <c r="A366" s="2"/>
      <c r="B366" s="3"/>
      <c r="C366" s="3"/>
      <c r="D366" s="3"/>
      <c r="E366" s="2"/>
      <c r="F366" s="4"/>
      <c r="G366" s="5"/>
      <c r="H366" s="5"/>
      <c r="I366" s="34"/>
      <c r="J366" s="6"/>
      <c r="K366" s="6"/>
      <c r="L366" s="6"/>
      <c r="M366" s="6"/>
      <c r="N366" s="6"/>
      <c r="O366" s="6"/>
      <c r="P366" s="6"/>
      <c r="Q366" s="2"/>
      <c r="R366" s="2"/>
      <c r="S366" s="7"/>
      <c r="T366" s="3"/>
      <c r="U366" s="3"/>
      <c r="V366" s="3"/>
      <c r="W366"/>
      <c r="AC366"/>
      <c r="AD366"/>
    </row>
    <row r="367" spans="1:30" ht="14.5" customHeight="1" x14ac:dyDescent="0.35">
      <c r="A367" s="2"/>
      <c r="B367" s="3"/>
      <c r="C367" s="3"/>
      <c r="D367" s="3"/>
      <c r="E367" s="2"/>
      <c r="F367" s="4"/>
      <c r="G367" s="5"/>
      <c r="H367" s="5"/>
      <c r="I367" s="34"/>
      <c r="J367" s="6"/>
      <c r="K367" s="6"/>
      <c r="L367" s="6"/>
      <c r="M367" s="6"/>
      <c r="N367" s="6"/>
      <c r="O367" s="6"/>
      <c r="P367" s="6"/>
      <c r="Q367" s="2"/>
      <c r="R367" s="2"/>
      <c r="S367" s="7"/>
      <c r="T367" s="3"/>
      <c r="U367" s="3"/>
      <c r="V367" s="3"/>
      <c r="W367"/>
      <c r="AC367"/>
      <c r="AD367"/>
    </row>
    <row r="368" spans="1:30" ht="14.5" customHeight="1" x14ac:dyDescent="0.35">
      <c r="A368" s="2"/>
      <c r="B368" s="3"/>
      <c r="C368" s="3"/>
      <c r="D368" s="3"/>
      <c r="E368" s="2"/>
      <c r="F368" s="4"/>
      <c r="G368" s="5"/>
      <c r="H368" s="5"/>
      <c r="I368" s="34"/>
      <c r="J368" s="6"/>
      <c r="K368" s="6"/>
      <c r="L368" s="6"/>
      <c r="M368" s="6"/>
      <c r="N368" s="6"/>
      <c r="O368" s="6"/>
      <c r="P368" s="6"/>
      <c r="Q368" s="2"/>
      <c r="R368" s="2"/>
      <c r="S368" s="7"/>
      <c r="T368" s="3"/>
      <c r="U368" s="3"/>
      <c r="V368" s="3"/>
      <c r="W368"/>
      <c r="AC368"/>
      <c r="AD368"/>
    </row>
    <row r="369" spans="1:30" ht="14.5" customHeight="1" x14ac:dyDescent="0.35">
      <c r="A369" s="2"/>
      <c r="B369" s="3"/>
      <c r="C369" s="3"/>
      <c r="D369" s="3"/>
      <c r="E369" s="2"/>
      <c r="F369" s="4"/>
      <c r="G369" s="5"/>
      <c r="H369" s="5"/>
      <c r="I369" s="34"/>
      <c r="J369" s="6"/>
      <c r="K369" s="6"/>
      <c r="L369" s="6"/>
      <c r="M369" s="6"/>
      <c r="N369" s="6"/>
      <c r="O369" s="6"/>
      <c r="P369" s="6"/>
      <c r="Q369" s="2"/>
      <c r="R369" s="2"/>
      <c r="S369" s="7"/>
      <c r="T369" s="3"/>
      <c r="U369" s="3"/>
      <c r="V369" s="3"/>
      <c r="W369"/>
      <c r="AC369"/>
      <c r="AD369"/>
    </row>
    <row r="370" spans="1:30" ht="14.5" customHeight="1" x14ac:dyDescent="0.35">
      <c r="A370" s="2"/>
      <c r="B370" s="3"/>
      <c r="C370" s="3"/>
      <c r="D370" s="3"/>
      <c r="E370" s="2"/>
      <c r="F370" s="4"/>
      <c r="G370" s="5"/>
      <c r="H370" s="5"/>
      <c r="I370" s="34"/>
      <c r="J370" s="6"/>
      <c r="K370" s="6"/>
      <c r="L370" s="6"/>
      <c r="M370" s="6"/>
      <c r="N370" s="6"/>
      <c r="O370" s="6"/>
      <c r="P370" s="6"/>
      <c r="Q370" s="2"/>
      <c r="R370" s="2"/>
      <c r="S370" s="7"/>
      <c r="T370" s="3"/>
      <c r="U370" s="3"/>
      <c r="V370" s="3"/>
      <c r="W370"/>
      <c r="AC370"/>
      <c r="AD370"/>
    </row>
    <row r="371" spans="1:30" ht="14.5" customHeight="1" x14ac:dyDescent="0.35">
      <c r="A371" s="2"/>
      <c r="B371" s="3"/>
      <c r="C371" s="3"/>
      <c r="D371" s="3"/>
      <c r="E371" s="2"/>
      <c r="F371" s="4"/>
      <c r="G371" s="5"/>
      <c r="H371" s="5"/>
      <c r="I371" s="34"/>
      <c r="J371" s="6"/>
      <c r="K371" s="6"/>
      <c r="L371" s="6"/>
      <c r="M371" s="6"/>
      <c r="N371" s="6"/>
      <c r="O371" s="6"/>
      <c r="P371" s="6"/>
      <c r="Q371" s="2"/>
      <c r="R371" s="2"/>
      <c r="S371" s="7"/>
      <c r="T371" s="3"/>
      <c r="U371" s="3"/>
      <c r="V371" s="3"/>
      <c r="W371"/>
      <c r="AC371"/>
      <c r="AD371"/>
    </row>
    <row r="372" spans="1:30" ht="14.5" customHeight="1" x14ac:dyDescent="0.35">
      <c r="A372" s="2"/>
      <c r="B372" s="3"/>
      <c r="C372" s="3"/>
      <c r="D372" s="3"/>
      <c r="E372" s="2"/>
      <c r="F372" s="4"/>
      <c r="G372" s="5"/>
      <c r="H372" s="5"/>
      <c r="I372" s="34"/>
      <c r="J372" s="6"/>
      <c r="K372" s="6"/>
      <c r="L372" s="6"/>
      <c r="M372" s="6"/>
      <c r="N372" s="6"/>
      <c r="O372" s="6"/>
      <c r="P372" s="6"/>
      <c r="Q372" s="2"/>
      <c r="R372" s="2"/>
      <c r="S372" s="7"/>
      <c r="T372" s="3"/>
      <c r="U372" s="3"/>
      <c r="V372" s="3"/>
      <c r="W372"/>
      <c r="AC372"/>
      <c r="AD372"/>
    </row>
    <row r="373" spans="1:30" ht="14.5" customHeight="1" x14ac:dyDescent="0.35">
      <c r="A373" s="2"/>
      <c r="B373" s="3"/>
      <c r="C373" s="3"/>
      <c r="D373" s="3"/>
      <c r="E373" s="2"/>
      <c r="F373" s="4"/>
      <c r="G373" s="5"/>
      <c r="H373" s="5"/>
      <c r="I373" s="34"/>
      <c r="J373" s="6"/>
      <c r="K373" s="6"/>
      <c r="L373" s="6"/>
      <c r="M373" s="6"/>
      <c r="N373" s="6"/>
      <c r="O373" s="6"/>
      <c r="P373" s="6"/>
      <c r="Q373" s="2"/>
      <c r="R373" s="2"/>
      <c r="S373" s="7"/>
      <c r="T373" s="3"/>
      <c r="U373" s="3"/>
      <c r="V373" s="3"/>
      <c r="W373"/>
      <c r="AC373"/>
      <c r="AD373"/>
    </row>
    <row r="374" spans="1:30" ht="14.5" customHeight="1" x14ac:dyDescent="0.35">
      <c r="A374" s="2"/>
      <c r="B374" s="3"/>
      <c r="C374" s="3"/>
      <c r="D374" s="3"/>
      <c r="E374" s="2"/>
      <c r="F374" s="4"/>
      <c r="G374" s="5"/>
      <c r="H374" s="5"/>
      <c r="I374" s="34"/>
      <c r="J374" s="6"/>
      <c r="K374" s="6"/>
      <c r="L374" s="6"/>
      <c r="M374" s="6"/>
      <c r="N374" s="6"/>
      <c r="O374" s="6"/>
      <c r="P374" s="6"/>
      <c r="Q374" s="2"/>
      <c r="R374" s="2"/>
      <c r="S374" s="7"/>
      <c r="T374" s="3"/>
      <c r="U374" s="3"/>
      <c r="V374" s="3"/>
      <c r="W374"/>
      <c r="AC374"/>
      <c r="AD374"/>
    </row>
    <row r="375" spans="1:30" ht="14.5" customHeight="1" x14ac:dyDescent="0.35">
      <c r="A375" s="2"/>
      <c r="B375" s="3"/>
      <c r="C375" s="3"/>
      <c r="D375" s="3"/>
      <c r="E375" s="2"/>
      <c r="F375" s="4"/>
      <c r="G375" s="5"/>
      <c r="H375" s="5"/>
      <c r="I375" s="34"/>
      <c r="J375" s="6"/>
      <c r="K375" s="6"/>
      <c r="L375" s="6"/>
      <c r="M375" s="6"/>
      <c r="N375" s="6"/>
      <c r="O375" s="6"/>
      <c r="P375" s="6"/>
      <c r="Q375" s="2"/>
      <c r="R375" s="2"/>
      <c r="S375" s="7"/>
      <c r="T375" s="3"/>
      <c r="U375" s="3"/>
      <c r="V375" s="3"/>
      <c r="W375"/>
      <c r="AC375"/>
      <c r="AD375"/>
    </row>
    <row r="376" spans="1:30" ht="14.5" customHeight="1" x14ac:dyDescent="0.35">
      <c r="A376" s="2"/>
      <c r="B376" s="3"/>
      <c r="C376" s="3"/>
      <c r="D376" s="3"/>
      <c r="E376" s="2"/>
      <c r="F376" s="4"/>
      <c r="G376" s="5"/>
      <c r="H376" s="5"/>
      <c r="I376" s="34"/>
      <c r="J376" s="6"/>
      <c r="K376" s="6"/>
      <c r="L376" s="6"/>
      <c r="M376" s="6"/>
      <c r="N376" s="6"/>
      <c r="O376" s="6"/>
      <c r="P376" s="6"/>
      <c r="Q376" s="2"/>
      <c r="R376" s="2"/>
      <c r="S376" s="7"/>
      <c r="T376" s="3"/>
      <c r="U376" s="3"/>
      <c r="V376" s="3"/>
      <c r="W376"/>
      <c r="AC376"/>
      <c r="AD376"/>
    </row>
    <row r="377" spans="1:30" ht="14.5" customHeight="1" x14ac:dyDescent="0.35">
      <c r="A377" s="2"/>
      <c r="B377" s="3"/>
      <c r="C377" s="3"/>
      <c r="D377" s="3"/>
      <c r="E377" s="2"/>
      <c r="F377" s="4"/>
      <c r="G377" s="5"/>
      <c r="H377" s="5"/>
      <c r="I377" s="34"/>
      <c r="J377" s="6"/>
      <c r="K377" s="6"/>
      <c r="L377" s="6"/>
      <c r="M377" s="6"/>
      <c r="N377" s="6"/>
      <c r="O377" s="6"/>
      <c r="P377" s="6"/>
      <c r="Q377" s="2"/>
      <c r="R377" s="2"/>
      <c r="S377" s="7"/>
      <c r="T377" s="3"/>
      <c r="U377" s="3"/>
      <c r="V377" s="3"/>
      <c r="W377"/>
      <c r="AC377"/>
      <c r="AD377"/>
    </row>
    <row r="378" spans="1:30" ht="14.5" customHeight="1" x14ac:dyDescent="0.35">
      <c r="A378" s="2"/>
      <c r="B378" s="3"/>
      <c r="C378" s="3"/>
      <c r="D378" s="3"/>
      <c r="E378" s="2"/>
      <c r="F378" s="4"/>
      <c r="G378" s="5"/>
      <c r="H378" s="5"/>
      <c r="I378" s="34"/>
      <c r="J378" s="6"/>
      <c r="K378" s="6"/>
      <c r="L378" s="6"/>
      <c r="M378" s="6"/>
      <c r="N378" s="6"/>
      <c r="O378" s="6"/>
      <c r="P378" s="6"/>
      <c r="Q378" s="2"/>
      <c r="R378" s="2"/>
      <c r="S378" s="7"/>
      <c r="T378" s="3"/>
      <c r="U378" s="3"/>
      <c r="V378" s="3"/>
      <c r="W378"/>
      <c r="AC378"/>
      <c r="AD378"/>
    </row>
    <row r="379" spans="1:30" ht="14.5" customHeight="1" x14ac:dyDescent="0.35">
      <c r="A379" s="2"/>
      <c r="B379" s="3"/>
      <c r="C379" s="3"/>
      <c r="D379" s="3"/>
      <c r="E379" s="2"/>
      <c r="F379" s="4"/>
      <c r="G379" s="5"/>
      <c r="H379" s="5"/>
      <c r="I379" s="34"/>
      <c r="J379" s="6"/>
      <c r="K379" s="6"/>
      <c r="L379" s="6"/>
      <c r="M379" s="6"/>
      <c r="N379" s="6"/>
      <c r="O379" s="6"/>
      <c r="P379" s="6"/>
      <c r="Q379" s="2"/>
      <c r="R379" s="2"/>
      <c r="S379" s="7"/>
      <c r="T379" s="3"/>
      <c r="U379" s="3"/>
      <c r="V379" s="3"/>
      <c r="W379"/>
      <c r="AC379"/>
      <c r="AD379"/>
    </row>
    <row r="380" spans="1:30" ht="14.5" customHeight="1" x14ac:dyDescent="0.35">
      <c r="A380" s="2"/>
      <c r="B380" s="3"/>
      <c r="C380" s="3"/>
      <c r="D380" s="3"/>
      <c r="E380" s="2"/>
      <c r="F380" s="4"/>
      <c r="G380" s="5"/>
      <c r="H380" s="5"/>
      <c r="I380" s="34"/>
      <c r="J380" s="6"/>
      <c r="K380" s="6"/>
      <c r="L380" s="6"/>
      <c r="M380" s="6"/>
      <c r="N380" s="6"/>
      <c r="O380" s="6"/>
      <c r="P380" s="6"/>
      <c r="Q380" s="2"/>
      <c r="R380" s="2"/>
      <c r="S380" s="7"/>
      <c r="T380" s="3"/>
      <c r="U380" s="3"/>
      <c r="V380" s="3"/>
      <c r="W380"/>
      <c r="AC380"/>
      <c r="AD380"/>
    </row>
    <row r="381" spans="1:30" ht="14.5" customHeight="1" x14ac:dyDescent="0.35">
      <c r="A381" s="2"/>
      <c r="B381" s="3"/>
      <c r="C381" s="3"/>
      <c r="D381" s="3"/>
      <c r="E381" s="2"/>
      <c r="F381" s="4"/>
      <c r="G381" s="5"/>
      <c r="H381" s="5"/>
      <c r="I381" s="34"/>
      <c r="J381" s="6"/>
      <c r="K381" s="6"/>
      <c r="L381" s="6"/>
      <c r="M381" s="6"/>
      <c r="N381" s="6"/>
      <c r="O381" s="6"/>
      <c r="P381" s="6"/>
      <c r="Q381" s="2"/>
      <c r="R381" s="2"/>
      <c r="S381" s="7"/>
      <c r="T381" s="3"/>
      <c r="U381" s="3"/>
      <c r="V381" s="3"/>
      <c r="W381"/>
      <c r="AC381"/>
      <c r="AD381"/>
    </row>
    <row r="382" spans="1:30" ht="14.5" customHeight="1" x14ac:dyDescent="0.35">
      <c r="A382" s="2"/>
      <c r="B382" s="3"/>
      <c r="C382" s="3"/>
      <c r="D382" s="3"/>
      <c r="E382" s="2"/>
      <c r="F382" s="4"/>
      <c r="G382" s="5"/>
      <c r="H382" s="5"/>
      <c r="I382" s="34"/>
      <c r="J382" s="6"/>
      <c r="K382" s="6"/>
      <c r="L382" s="6"/>
      <c r="M382" s="6"/>
      <c r="N382" s="6"/>
      <c r="O382" s="6"/>
      <c r="P382" s="6"/>
      <c r="Q382" s="2"/>
      <c r="R382" s="2"/>
      <c r="S382" s="7"/>
      <c r="T382" s="3"/>
      <c r="U382" s="3"/>
      <c r="V382" s="3"/>
      <c r="W382"/>
      <c r="AC382"/>
      <c r="AD382"/>
    </row>
    <row r="383" spans="1:30" ht="14.5" customHeight="1" x14ac:dyDescent="0.35">
      <c r="A383" s="2"/>
      <c r="B383" s="3"/>
      <c r="C383" s="3"/>
      <c r="D383" s="3"/>
      <c r="E383" s="2"/>
      <c r="F383" s="4"/>
      <c r="G383" s="5"/>
      <c r="H383" s="5"/>
      <c r="I383" s="34"/>
      <c r="J383" s="6"/>
      <c r="K383" s="6"/>
      <c r="L383" s="6"/>
      <c r="M383" s="6"/>
      <c r="N383" s="6"/>
      <c r="O383" s="6"/>
      <c r="P383" s="6"/>
      <c r="Q383" s="2"/>
      <c r="R383" s="2"/>
      <c r="S383" s="7"/>
      <c r="T383" s="3"/>
      <c r="U383" s="3"/>
      <c r="V383" s="3"/>
      <c r="W383"/>
      <c r="AC383"/>
      <c r="AD383"/>
    </row>
    <row r="384" spans="1:30" ht="14.5" customHeight="1" x14ac:dyDescent="0.35">
      <c r="A384" s="2"/>
      <c r="B384" s="3"/>
      <c r="C384" s="3"/>
      <c r="D384" s="3"/>
      <c r="E384" s="2"/>
      <c r="F384" s="4"/>
      <c r="G384" s="5"/>
      <c r="H384" s="5"/>
      <c r="I384" s="34"/>
      <c r="J384" s="6"/>
      <c r="K384" s="6"/>
      <c r="L384" s="6"/>
      <c r="M384" s="6"/>
      <c r="N384" s="6"/>
      <c r="O384" s="6"/>
      <c r="P384" s="6"/>
      <c r="Q384" s="2"/>
      <c r="R384" s="2"/>
      <c r="S384" s="7"/>
      <c r="T384" s="3"/>
      <c r="U384" s="3"/>
      <c r="V384" s="3"/>
      <c r="W384"/>
      <c r="AC384"/>
      <c r="AD384"/>
    </row>
    <row r="385" spans="1:30" ht="14.5" customHeight="1" x14ac:dyDescent="0.35">
      <c r="A385" s="2"/>
      <c r="B385" s="3"/>
      <c r="C385" s="3"/>
      <c r="D385" s="3"/>
      <c r="E385" s="2"/>
      <c r="F385" s="4"/>
      <c r="G385" s="5"/>
      <c r="H385" s="5"/>
      <c r="I385" s="34"/>
      <c r="J385" s="6"/>
      <c r="K385" s="6"/>
      <c r="L385" s="6"/>
      <c r="M385" s="6"/>
      <c r="N385" s="6"/>
      <c r="O385" s="6"/>
      <c r="P385" s="6"/>
      <c r="Q385" s="2"/>
      <c r="R385" s="2"/>
      <c r="S385" s="7"/>
      <c r="T385" s="3"/>
      <c r="U385" s="3"/>
      <c r="V385" s="3"/>
      <c r="W385"/>
      <c r="AC385"/>
      <c r="AD385"/>
    </row>
    <row r="386" spans="1:30" ht="14.5" customHeight="1" x14ac:dyDescent="0.35">
      <c r="A386" s="2"/>
      <c r="B386" s="3"/>
      <c r="C386" s="3"/>
      <c r="D386" s="3"/>
      <c r="E386" s="2"/>
      <c r="F386" s="4"/>
      <c r="G386" s="5"/>
      <c r="H386" s="5"/>
      <c r="I386" s="34"/>
      <c r="J386" s="6"/>
      <c r="K386" s="6"/>
      <c r="L386" s="6"/>
      <c r="M386" s="6"/>
      <c r="N386" s="6"/>
      <c r="O386" s="6"/>
      <c r="P386" s="6"/>
      <c r="Q386" s="2"/>
      <c r="R386" s="2"/>
      <c r="S386" s="7"/>
      <c r="T386" s="3"/>
      <c r="U386" s="3"/>
      <c r="V386" s="3"/>
      <c r="W386"/>
      <c r="AC386"/>
      <c r="AD386"/>
    </row>
    <row r="387" spans="1:30" ht="14.5" customHeight="1" x14ac:dyDescent="0.35">
      <c r="A387" s="2"/>
      <c r="B387" s="3"/>
      <c r="C387" s="3"/>
      <c r="D387" s="3"/>
      <c r="E387" s="2"/>
      <c r="F387" s="4"/>
      <c r="G387" s="5"/>
      <c r="H387" s="5"/>
      <c r="I387" s="34"/>
      <c r="J387" s="6"/>
      <c r="K387" s="6"/>
      <c r="L387" s="6"/>
      <c r="M387" s="6"/>
      <c r="N387" s="6"/>
      <c r="O387" s="6"/>
      <c r="P387" s="6"/>
      <c r="Q387" s="2"/>
      <c r="R387" s="2"/>
      <c r="S387" s="7"/>
      <c r="T387" s="3"/>
      <c r="U387" s="3"/>
      <c r="V387" s="3"/>
      <c r="W387"/>
      <c r="AC387"/>
      <c r="AD387"/>
    </row>
    <row r="388" spans="1:30" ht="14.5" customHeight="1" x14ac:dyDescent="0.35">
      <c r="A388" s="2"/>
      <c r="B388" s="3"/>
      <c r="C388" s="3"/>
      <c r="D388" s="3"/>
      <c r="E388" s="2"/>
      <c r="F388" s="4"/>
      <c r="G388" s="5"/>
      <c r="H388" s="5"/>
      <c r="I388" s="34"/>
      <c r="J388" s="6"/>
      <c r="K388" s="6"/>
      <c r="L388" s="6"/>
      <c r="M388" s="6"/>
      <c r="N388" s="6"/>
      <c r="O388" s="6"/>
      <c r="P388" s="6"/>
      <c r="Q388" s="2"/>
      <c r="R388" s="2"/>
      <c r="S388" s="7"/>
      <c r="T388" s="3"/>
      <c r="U388" s="3"/>
      <c r="V388" s="3"/>
      <c r="W388"/>
      <c r="AC388"/>
      <c r="AD388"/>
    </row>
    <row r="389" spans="1:30" ht="14.5" customHeight="1" x14ac:dyDescent="0.35">
      <c r="A389" s="2"/>
      <c r="B389" s="3"/>
      <c r="C389" s="3"/>
      <c r="D389" s="3"/>
      <c r="E389" s="2"/>
      <c r="F389" s="4"/>
      <c r="G389" s="5"/>
      <c r="H389" s="5"/>
      <c r="I389" s="34"/>
      <c r="J389" s="6"/>
      <c r="K389" s="6"/>
      <c r="L389" s="6"/>
      <c r="M389" s="6"/>
      <c r="N389" s="6"/>
      <c r="O389" s="6"/>
      <c r="P389" s="6"/>
      <c r="Q389" s="2"/>
      <c r="R389" s="2"/>
      <c r="S389" s="7"/>
      <c r="T389" s="3"/>
      <c r="U389" s="3"/>
      <c r="V389" s="3"/>
      <c r="W389"/>
      <c r="AC389"/>
      <c r="AD389"/>
    </row>
    <row r="390" spans="1:30" ht="14.5" customHeight="1" x14ac:dyDescent="0.35">
      <c r="A390" s="2"/>
      <c r="B390" s="3"/>
      <c r="C390" s="3"/>
      <c r="D390" s="3"/>
      <c r="E390" s="2"/>
      <c r="F390" s="4"/>
      <c r="G390" s="5"/>
      <c r="H390" s="5"/>
      <c r="I390" s="34"/>
      <c r="J390" s="6"/>
      <c r="K390" s="6"/>
      <c r="L390" s="6"/>
      <c r="M390" s="6"/>
      <c r="N390" s="6"/>
      <c r="O390" s="6"/>
      <c r="P390" s="6"/>
      <c r="Q390" s="2"/>
      <c r="R390" s="2"/>
      <c r="S390" s="7"/>
      <c r="T390" s="3"/>
      <c r="U390" s="3"/>
      <c r="V390" s="3"/>
      <c r="W390"/>
      <c r="AC390"/>
      <c r="AD390"/>
    </row>
    <row r="391" spans="1:30" ht="14.5" customHeight="1" x14ac:dyDescent="0.35">
      <c r="A391" s="2"/>
      <c r="B391" s="3"/>
      <c r="C391" s="3"/>
      <c r="D391" s="3"/>
      <c r="E391" s="2"/>
      <c r="F391" s="4"/>
      <c r="G391" s="5"/>
      <c r="H391" s="5"/>
      <c r="I391" s="34"/>
      <c r="J391" s="6"/>
      <c r="K391" s="6"/>
      <c r="L391" s="6"/>
      <c r="M391" s="6"/>
      <c r="N391" s="6"/>
      <c r="O391" s="6"/>
      <c r="P391" s="6"/>
      <c r="Q391" s="2"/>
      <c r="R391" s="2"/>
      <c r="S391" s="7"/>
      <c r="T391" s="3"/>
      <c r="U391" s="3"/>
      <c r="V391" s="3"/>
      <c r="W391"/>
      <c r="AC391"/>
      <c r="AD391"/>
    </row>
    <row r="392" spans="1:30" ht="14.5" customHeight="1" x14ac:dyDescent="0.35">
      <c r="A392" s="2"/>
      <c r="B392" s="3"/>
      <c r="C392" s="3"/>
      <c r="D392" s="3"/>
      <c r="E392" s="2"/>
      <c r="F392" s="4"/>
      <c r="G392" s="5"/>
      <c r="H392" s="5"/>
      <c r="I392" s="34"/>
      <c r="J392" s="6"/>
      <c r="K392" s="6"/>
      <c r="L392" s="6"/>
      <c r="M392" s="6"/>
      <c r="N392" s="6"/>
      <c r="O392" s="6"/>
      <c r="P392" s="6"/>
      <c r="Q392" s="2"/>
      <c r="R392" s="2"/>
      <c r="S392" s="7"/>
      <c r="T392" s="3"/>
      <c r="U392" s="3"/>
      <c r="V392" s="3"/>
      <c r="W392"/>
      <c r="AC392"/>
      <c r="AD392"/>
    </row>
    <row r="393" spans="1:30" ht="14.5" customHeight="1" x14ac:dyDescent="0.35">
      <c r="A393" s="2"/>
      <c r="B393" s="3"/>
      <c r="C393" s="3"/>
      <c r="D393" s="3"/>
      <c r="E393" s="2"/>
      <c r="F393" s="4"/>
      <c r="G393" s="5"/>
      <c r="H393" s="5"/>
      <c r="I393" s="34"/>
      <c r="J393" s="6"/>
      <c r="K393" s="6"/>
      <c r="L393" s="6"/>
      <c r="M393" s="6"/>
      <c r="N393" s="6"/>
      <c r="O393" s="6"/>
      <c r="P393" s="6"/>
      <c r="Q393" s="2"/>
      <c r="R393" s="2"/>
      <c r="S393" s="7"/>
      <c r="T393" s="3"/>
      <c r="U393" s="3"/>
      <c r="V393" s="3"/>
      <c r="W393"/>
      <c r="AC393"/>
      <c r="AD393"/>
    </row>
    <row r="394" spans="1:30" ht="14.5" customHeight="1" x14ac:dyDescent="0.35">
      <c r="A394" s="2"/>
      <c r="B394" s="3"/>
      <c r="C394" s="3"/>
      <c r="D394" s="3"/>
      <c r="E394" s="2"/>
      <c r="F394" s="4"/>
      <c r="G394" s="5"/>
      <c r="H394" s="5"/>
      <c r="I394" s="34"/>
      <c r="J394" s="6"/>
      <c r="K394" s="6"/>
      <c r="L394" s="6"/>
      <c r="M394" s="6"/>
      <c r="N394" s="6"/>
      <c r="O394" s="6"/>
      <c r="P394" s="6"/>
      <c r="Q394" s="2"/>
      <c r="R394" s="2"/>
      <c r="S394" s="7"/>
      <c r="T394" s="3"/>
      <c r="U394" s="3"/>
      <c r="V394" s="3"/>
      <c r="W394"/>
      <c r="AC394"/>
      <c r="AD394"/>
    </row>
    <row r="395" spans="1:30" ht="14.5" customHeight="1" x14ac:dyDescent="0.35">
      <c r="A395" s="2"/>
      <c r="B395" s="3"/>
      <c r="C395" s="3"/>
      <c r="D395" s="3"/>
      <c r="E395" s="2"/>
      <c r="F395" s="4"/>
      <c r="G395" s="5"/>
      <c r="H395" s="5"/>
      <c r="I395" s="34"/>
      <c r="J395" s="6"/>
      <c r="K395" s="6"/>
      <c r="L395" s="6"/>
      <c r="M395" s="6"/>
      <c r="N395" s="6"/>
      <c r="O395" s="6"/>
      <c r="P395" s="6"/>
      <c r="Q395" s="2"/>
      <c r="R395" s="2"/>
      <c r="S395" s="7"/>
      <c r="T395" s="3"/>
      <c r="U395" s="3"/>
      <c r="V395" s="3"/>
      <c r="W395"/>
      <c r="AC395"/>
      <c r="AD395"/>
    </row>
    <row r="396" spans="1:30" ht="14.5" customHeight="1" x14ac:dyDescent="0.35">
      <c r="A396" s="2"/>
      <c r="B396" s="3"/>
      <c r="C396" s="3"/>
      <c r="D396" s="3"/>
      <c r="E396" s="2"/>
      <c r="F396" s="4"/>
      <c r="G396" s="5"/>
      <c r="H396" s="5"/>
      <c r="I396" s="34"/>
      <c r="J396" s="6"/>
      <c r="K396" s="6"/>
      <c r="L396" s="6"/>
      <c r="M396" s="6"/>
      <c r="N396" s="6"/>
      <c r="O396" s="6"/>
      <c r="P396" s="6"/>
      <c r="Q396" s="2"/>
      <c r="R396" s="2"/>
      <c r="S396" s="7"/>
      <c r="T396" s="3"/>
      <c r="U396" s="3"/>
      <c r="V396" s="3"/>
      <c r="W396"/>
      <c r="AC396"/>
      <c r="AD396"/>
    </row>
    <row r="397" spans="1:30" ht="14.5" customHeight="1" x14ac:dyDescent="0.35">
      <c r="A397" s="2"/>
      <c r="B397" s="3"/>
      <c r="C397" s="3"/>
      <c r="D397" s="3"/>
      <c r="E397" s="2"/>
      <c r="F397" s="4"/>
      <c r="G397" s="5"/>
      <c r="H397" s="5"/>
      <c r="I397" s="34"/>
      <c r="J397" s="6"/>
      <c r="K397" s="6"/>
      <c r="L397" s="6"/>
      <c r="M397" s="6"/>
      <c r="N397" s="6"/>
      <c r="O397" s="6"/>
      <c r="P397" s="6"/>
      <c r="Q397" s="2"/>
      <c r="R397" s="2"/>
      <c r="S397" s="7"/>
      <c r="T397" s="3"/>
      <c r="U397" s="3"/>
      <c r="V397" s="3"/>
      <c r="W397"/>
      <c r="AC397"/>
      <c r="AD397"/>
    </row>
    <row r="398" spans="1:30" ht="14.5" customHeight="1" x14ac:dyDescent="0.35">
      <c r="A398" s="2"/>
      <c r="B398" s="3"/>
      <c r="C398" s="3"/>
      <c r="D398" s="3"/>
      <c r="E398" s="2"/>
      <c r="F398" s="4"/>
      <c r="G398" s="5"/>
      <c r="H398" s="5"/>
      <c r="I398" s="34"/>
      <c r="J398" s="6"/>
      <c r="K398" s="6"/>
      <c r="L398" s="6"/>
      <c r="M398" s="6"/>
      <c r="N398" s="6"/>
      <c r="O398" s="6"/>
      <c r="P398" s="6"/>
      <c r="Q398" s="2"/>
      <c r="R398" s="2"/>
      <c r="S398" s="7"/>
      <c r="T398" s="3"/>
      <c r="U398" s="3"/>
      <c r="V398" s="3"/>
      <c r="W398"/>
      <c r="AC398"/>
      <c r="AD398"/>
    </row>
    <row r="399" spans="1:30" ht="14.5" customHeight="1" x14ac:dyDescent="0.35">
      <c r="A399" s="2"/>
      <c r="B399" s="3"/>
      <c r="C399" s="3"/>
      <c r="D399" s="3"/>
      <c r="E399" s="2"/>
      <c r="F399" s="4"/>
      <c r="G399" s="5"/>
      <c r="H399" s="5"/>
      <c r="I399" s="34"/>
      <c r="J399" s="6"/>
      <c r="K399" s="6"/>
      <c r="L399" s="6"/>
      <c r="M399" s="6"/>
      <c r="N399" s="6"/>
      <c r="O399" s="6"/>
      <c r="P399" s="6"/>
      <c r="Q399" s="2"/>
      <c r="R399" s="2"/>
      <c r="S399" s="7"/>
      <c r="T399" s="3"/>
      <c r="U399" s="3"/>
      <c r="V399" s="3"/>
      <c r="W399"/>
      <c r="AC399"/>
      <c r="AD399"/>
    </row>
    <row r="400" spans="1:30" ht="14.5" customHeight="1" x14ac:dyDescent="0.35">
      <c r="A400" s="2"/>
      <c r="B400" s="3"/>
      <c r="C400" s="3"/>
      <c r="D400" s="3"/>
      <c r="E400" s="2"/>
      <c r="F400" s="4"/>
      <c r="G400" s="5"/>
      <c r="H400" s="5"/>
      <c r="I400" s="34"/>
      <c r="J400" s="6"/>
      <c r="K400" s="6"/>
      <c r="L400" s="6"/>
      <c r="M400" s="6"/>
      <c r="N400" s="6"/>
      <c r="O400" s="6"/>
      <c r="P400" s="6"/>
      <c r="Q400" s="2"/>
      <c r="R400" s="2"/>
      <c r="S400" s="7"/>
      <c r="T400" s="3"/>
      <c r="U400" s="3"/>
      <c r="V400" s="3"/>
      <c r="W400"/>
      <c r="AC400"/>
      <c r="AD400"/>
    </row>
    <row r="401" spans="1:30" ht="14.5" customHeight="1" x14ac:dyDescent="0.35">
      <c r="A401" s="2"/>
      <c r="B401" s="3"/>
      <c r="C401" s="3"/>
      <c r="D401" s="3"/>
      <c r="E401" s="2"/>
      <c r="F401" s="4"/>
      <c r="G401" s="5"/>
      <c r="H401" s="5"/>
      <c r="I401" s="34"/>
      <c r="J401" s="6"/>
      <c r="K401" s="6"/>
      <c r="L401" s="6"/>
      <c r="M401" s="6"/>
      <c r="N401" s="6"/>
      <c r="O401" s="6"/>
      <c r="P401" s="6"/>
      <c r="Q401" s="2"/>
      <c r="R401" s="2"/>
      <c r="S401" s="7"/>
      <c r="T401" s="3"/>
      <c r="U401" s="3"/>
      <c r="V401" s="3"/>
      <c r="W401"/>
      <c r="AC401"/>
      <c r="AD401"/>
    </row>
    <row r="402" spans="1:30" ht="14.5" customHeight="1" x14ac:dyDescent="0.35">
      <c r="A402" s="2"/>
      <c r="B402" s="3"/>
      <c r="C402" s="3"/>
      <c r="D402" s="3"/>
      <c r="E402" s="2"/>
      <c r="F402" s="4"/>
      <c r="G402" s="5"/>
      <c r="H402" s="5"/>
      <c r="I402" s="34"/>
      <c r="J402" s="6"/>
      <c r="K402" s="6"/>
      <c r="L402" s="6"/>
      <c r="M402" s="6"/>
      <c r="N402" s="6"/>
      <c r="O402" s="6"/>
      <c r="P402" s="6"/>
      <c r="Q402" s="2"/>
      <c r="R402" s="2"/>
      <c r="S402" s="7"/>
      <c r="T402" s="3"/>
      <c r="U402" s="3"/>
      <c r="V402" s="3"/>
      <c r="W402"/>
      <c r="AC402"/>
      <c r="AD402"/>
    </row>
    <row r="403" spans="1:30" ht="14.5" customHeight="1" x14ac:dyDescent="0.35">
      <c r="A403" s="2"/>
      <c r="B403" s="3"/>
      <c r="C403" s="3"/>
      <c r="D403" s="3"/>
      <c r="E403" s="2"/>
      <c r="F403" s="4"/>
      <c r="G403" s="5"/>
      <c r="H403" s="5"/>
      <c r="I403" s="34"/>
      <c r="J403" s="6"/>
      <c r="K403" s="6"/>
      <c r="L403" s="6"/>
      <c r="M403" s="6"/>
      <c r="N403" s="6"/>
      <c r="O403" s="6"/>
      <c r="P403" s="6"/>
      <c r="Q403" s="2"/>
      <c r="R403" s="2"/>
      <c r="S403" s="7"/>
      <c r="T403" s="3"/>
      <c r="U403" s="3"/>
      <c r="V403" s="3"/>
      <c r="W403"/>
      <c r="AC403"/>
      <c r="AD403"/>
    </row>
    <row r="404" spans="1:30" ht="14.5" customHeight="1" x14ac:dyDescent="0.35">
      <c r="A404" s="2"/>
      <c r="B404" s="3"/>
      <c r="C404" s="3"/>
      <c r="D404" s="3"/>
      <c r="E404" s="2"/>
      <c r="F404" s="4"/>
      <c r="G404" s="5"/>
      <c r="H404" s="5"/>
      <c r="I404" s="34"/>
      <c r="J404" s="6"/>
      <c r="K404" s="6"/>
      <c r="L404" s="6"/>
      <c r="M404" s="6"/>
      <c r="N404" s="6"/>
      <c r="O404" s="6"/>
      <c r="P404" s="6"/>
      <c r="Q404" s="2"/>
      <c r="R404" s="2"/>
      <c r="S404" s="7"/>
      <c r="T404" s="3"/>
      <c r="U404" s="3"/>
      <c r="V404" s="3"/>
      <c r="W404"/>
      <c r="AC404"/>
      <c r="AD404"/>
    </row>
    <row r="405" spans="1:30" ht="14.5" customHeight="1" x14ac:dyDescent="0.35">
      <c r="A405" s="2"/>
      <c r="B405" s="3"/>
      <c r="C405" s="3"/>
      <c r="D405" s="3"/>
      <c r="E405" s="2"/>
      <c r="F405" s="4"/>
      <c r="G405" s="5"/>
      <c r="H405" s="5"/>
      <c r="I405" s="34"/>
      <c r="J405" s="6"/>
      <c r="K405" s="6"/>
      <c r="L405" s="6"/>
      <c r="M405" s="6"/>
      <c r="N405" s="6"/>
      <c r="O405" s="6"/>
      <c r="P405" s="6"/>
      <c r="Q405" s="2"/>
      <c r="R405" s="2"/>
      <c r="S405" s="7"/>
      <c r="T405" s="3"/>
      <c r="U405" s="3"/>
      <c r="V405" s="3"/>
      <c r="W405"/>
      <c r="AC405"/>
      <c r="AD405"/>
    </row>
    <row r="406" spans="1:30" ht="14.5" customHeight="1" x14ac:dyDescent="0.35">
      <c r="A406" s="2"/>
      <c r="B406" s="3"/>
      <c r="C406" s="3"/>
      <c r="D406" s="3"/>
      <c r="E406" s="2"/>
      <c r="F406" s="4"/>
      <c r="G406" s="5"/>
      <c r="H406" s="5"/>
      <c r="I406" s="34"/>
      <c r="J406" s="6"/>
      <c r="K406" s="6"/>
      <c r="L406" s="6"/>
      <c r="M406" s="6"/>
      <c r="N406" s="6"/>
      <c r="O406" s="6"/>
      <c r="P406" s="6"/>
      <c r="Q406" s="2"/>
      <c r="R406" s="2"/>
      <c r="S406" s="7"/>
      <c r="T406" s="3"/>
      <c r="U406" s="3"/>
      <c r="V406" s="3"/>
      <c r="W406"/>
      <c r="AC406"/>
      <c r="AD406"/>
    </row>
    <row r="407" spans="1:30" ht="14.5" customHeight="1" x14ac:dyDescent="0.35">
      <c r="A407" s="2"/>
      <c r="B407" s="3"/>
      <c r="C407" s="3"/>
      <c r="D407" s="3"/>
      <c r="E407" s="2"/>
      <c r="F407" s="4"/>
      <c r="G407" s="5"/>
      <c r="H407" s="5"/>
      <c r="I407" s="34"/>
      <c r="J407" s="6"/>
      <c r="K407" s="6"/>
      <c r="L407" s="6"/>
      <c r="M407" s="6"/>
      <c r="N407" s="6"/>
      <c r="O407" s="6"/>
      <c r="P407" s="6"/>
      <c r="Q407" s="2"/>
      <c r="R407" s="2"/>
      <c r="S407" s="7"/>
      <c r="T407" s="3"/>
      <c r="U407" s="3"/>
      <c r="V407" s="3"/>
      <c r="W407"/>
      <c r="AC407"/>
      <c r="AD407"/>
    </row>
    <row r="408" spans="1:30" ht="14.5" customHeight="1" x14ac:dyDescent="0.35">
      <c r="A408" s="2"/>
      <c r="B408" s="3"/>
      <c r="C408" s="3"/>
      <c r="D408" s="3"/>
      <c r="E408" s="2"/>
      <c r="F408" s="4"/>
      <c r="G408" s="5"/>
      <c r="H408" s="5"/>
      <c r="I408" s="34"/>
      <c r="J408" s="6"/>
      <c r="K408" s="6"/>
      <c r="L408" s="6"/>
      <c r="M408" s="6"/>
      <c r="N408" s="6"/>
      <c r="O408" s="6"/>
      <c r="P408" s="6"/>
      <c r="Q408" s="2"/>
      <c r="R408" s="2"/>
      <c r="S408" s="7"/>
      <c r="T408" s="3"/>
      <c r="U408" s="3"/>
      <c r="V408" s="3"/>
      <c r="W408"/>
      <c r="AC408"/>
      <c r="AD408"/>
    </row>
    <row r="409" spans="1:30" ht="14.5" customHeight="1" x14ac:dyDescent="0.35">
      <c r="A409" s="2"/>
      <c r="B409" s="3"/>
      <c r="C409" s="3"/>
      <c r="D409" s="3"/>
      <c r="E409" s="2"/>
      <c r="F409" s="4"/>
      <c r="G409" s="5"/>
      <c r="H409" s="5"/>
      <c r="I409" s="34"/>
      <c r="J409" s="6"/>
      <c r="K409" s="6"/>
      <c r="L409" s="6"/>
      <c r="M409" s="6"/>
      <c r="N409" s="6"/>
      <c r="O409" s="6"/>
      <c r="P409" s="6"/>
      <c r="Q409" s="2"/>
      <c r="R409" s="2"/>
      <c r="S409" s="7"/>
      <c r="T409" s="3"/>
      <c r="U409" s="3"/>
      <c r="V409" s="3"/>
      <c r="W409"/>
      <c r="AC409"/>
      <c r="AD409"/>
    </row>
    <row r="410" spans="1:30" ht="14.5" customHeight="1" x14ac:dyDescent="0.35">
      <c r="A410" s="2"/>
      <c r="B410" s="3"/>
      <c r="C410" s="3"/>
      <c r="D410" s="3"/>
      <c r="E410" s="2"/>
      <c r="F410" s="4"/>
      <c r="G410" s="5"/>
      <c r="H410" s="5"/>
      <c r="I410" s="34"/>
      <c r="J410" s="6"/>
      <c r="K410" s="6"/>
      <c r="L410" s="6"/>
      <c r="M410" s="6"/>
      <c r="N410" s="6"/>
      <c r="O410" s="6"/>
      <c r="P410" s="6"/>
      <c r="Q410" s="2"/>
      <c r="R410" s="2"/>
      <c r="S410" s="7"/>
      <c r="T410" s="3"/>
      <c r="U410" s="3"/>
      <c r="V410" s="3"/>
      <c r="W410"/>
      <c r="AC410"/>
      <c r="AD410"/>
    </row>
    <row r="411" spans="1:30" ht="14.5" customHeight="1" x14ac:dyDescent="0.35">
      <c r="A411" s="2"/>
      <c r="B411" s="3"/>
      <c r="C411" s="3"/>
      <c r="D411" s="3"/>
      <c r="E411" s="2"/>
      <c r="F411" s="4"/>
      <c r="G411" s="5"/>
      <c r="H411" s="5"/>
      <c r="I411" s="34"/>
      <c r="J411" s="6"/>
      <c r="K411" s="6"/>
      <c r="L411" s="6"/>
      <c r="M411" s="6"/>
      <c r="N411" s="6"/>
      <c r="O411" s="6"/>
      <c r="P411" s="6"/>
      <c r="Q411" s="2"/>
      <c r="R411" s="2"/>
      <c r="S411" s="7"/>
      <c r="T411" s="3"/>
      <c r="U411" s="3"/>
      <c r="V411" s="3"/>
      <c r="W411"/>
      <c r="AC411"/>
      <c r="AD411"/>
    </row>
    <row r="412" spans="1:30" ht="14.5" customHeight="1" x14ac:dyDescent="0.35">
      <c r="A412" s="2"/>
      <c r="B412" s="3"/>
      <c r="C412" s="3"/>
      <c r="D412" s="3"/>
      <c r="E412" s="2"/>
      <c r="F412" s="4"/>
      <c r="G412" s="5"/>
      <c r="H412" s="5"/>
      <c r="I412" s="34"/>
      <c r="J412" s="6"/>
      <c r="K412" s="6"/>
      <c r="L412" s="6"/>
      <c r="M412" s="6"/>
      <c r="N412" s="6"/>
      <c r="O412" s="6"/>
      <c r="P412" s="6"/>
      <c r="Q412" s="2"/>
      <c r="R412" s="2"/>
      <c r="S412" s="7"/>
      <c r="T412" s="3"/>
      <c r="U412" s="3"/>
      <c r="V412" s="3"/>
      <c r="W412"/>
      <c r="AC412"/>
      <c r="AD412"/>
    </row>
    <row r="413" spans="1:30" ht="14.5" customHeight="1" x14ac:dyDescent="0.35">
      <c r="A413" s="2"/>
      <c r="B413" s="3"/>
      <c r="C413" s="3"/>
      <c r="D413" s="3"/>
      <c r="E413" s="2"/>
      <c r="F413" s="4"/>
      <c r="G413" s="5"/>
      <c r="H413" s="5"/>
      <c r="I413" s="34"/>
      <c r="J413" s="6"/>
      <c r="K413" s="6"/>
      <c r="L413" s="6"/>
      <c r="M413" s="6"/>
      <c r="N413" s="6"/>
      <c r="O413" s="6"/>
      <c r="P413" s="6"/>
      <c r="Q413" s="2"/>
      <c r="R413" s="2"/>
      <c r="S413" s="7"/>
      <c r="T413" s="3"/>
      <c r="U413" s="3"/>
      <c r="V413" s="3"/>
      <c r="W413"/>
      <c r="AC413"/>
      <c r="AD413"/>
    </row>
    <row r="414" spans="1:30" ht="14.5" customHeight="1" x14ac:dyDescent="0.35">
      <c r="A414" s="2"/>
      <c r="B414" s="3"/>
      <c r="C414" s="3"/>
      <c r="D414" s="3"/>
      <c r="E414" s="2"/>
      <c r="F414" s="4"/>
      <c r="G414" s="5"/>
      <c r="H414" s="5"/>
      <c r="I414" s="34"/>
      <c r="J414" s="6"/>
      <c r="K414" s="6"/>
      <c r="L414" s="6"/>
      <c r="M414" s="6"/>
      <c r="N414" s="6"/>
      <c r="O414" s="6"/>
      <c r="P414" s="6"/>
      <c r="Q414" s="2"/>
      <c r="R414" s="2"/>
      <c r="S414" s="7"/>
      <c r="T414" s="3"/>
      <c r="U414" s="3"/>
      <c r="V414" s="3"/>
      <c r="W414"/>
      <c r="AC414"/>
      <c r="AD414"/>
    </row>
    <row r="415" spans="1:30" ht="14.5" customHeight="1" x14ac:dyDescent="0.35">
      <c r="A415" s="2"/>
      <c r="B415" s="3"/>
      <c r="C415" s="3"/>
      <c r="D415" s="3"/>
      <c r="E415" s="2"/>
      <c r="F415" s="4"/>
      <c r="G415" s="5"/>
      <c r="H415" s="5"/>
      <c r="I415" s="34"/>
      <c r="J415" s="6"/>
      <c r="K415" s="6"/>
      <c r="L415" s="6"/>
      <c r="M415" s="6"/>
      <c r="N415" s="6"/>
      <c r="O415" s="6"/>
      <c r="P415" s="6"/>
      <c r="Q415" s="2"/>
      <c r="R415" s="2"/>
      <c r="S415" s="7"/>
      <c r="T415" s="3"/>
      <c r="U415" s="3"/>
      <c r="V415" s="3"/>
      <c r="W415"/>
      <c r="AC415"/>
      <c r="AD415"/>
    </row>
    <row r="416" spans="1:30" ht="14.5" customHeight="1" x14ac:dyDescent="0.35">
      <c r="A416" s="2"/>
      <c r="B416" s="3"/>
      <c r="C416" s="3"/>
      <c r="D416" s="3"/>
      <c r="E416" s="2"/>
      <c r="F416" s="4"/>
      <c r="G416" s="5"/>
      <c r="H416" s="5"/>
      <c r="I416" s="34"/>
      <c r="J416" s="6"/>
      <c r="K416" s="6"/>
      <c r="L416" s="6"/>
      <c r="M416" s="6"/>
      <c r="N416" s="6"/>
      <c r="O416" s="6"/>
      <c r="P416" s="6"/>
      <c r="Q416" s="2"/>
      <c r="R416" s="2"/>
      <c r="S416" s="7"/>
      <c r="T416" s="3"/>
      <c r="U416" s="3"/>
      <c r="V416" s="3"/>
      <c r="W416"/>
      <c r="AC416"/>
      <c r="AD416"/>
    </row>
    <row r="417" spans="1:30" ht="14.5" customHeight="1" x14ac:dyDescent="0.35">
      <c r="A417" s="2"/>
      <c r="B417" s="3"/>
      <c r="C417" s="3"/>
      <c r="D417" s="3"/>
      <c r="E417" s="2"/>
      <c r="F417" s="4"/>
      <c r="G417" s="5"/>
      <c r="H417" s="5"/>
      <c r="I417" s="34"/>
      <c r="J417" s="6"/>
      <c r="K417" s="6"/>
      <c r="L417" s="6"/>
      <c r="M417" s="6"/>
      <c r="N417" s="6"/>
      <c r="O417" s="6"/>
      <c r="P417" s="6"/>
      <c r="Q417" s="2"/>
      <c r="R417" s="2"/>
      <c r="S417" s="7"/>
      <c r="T417" s="3"/>
      <c r="U417" s="3"/>
      <c r="V417" s="3"/>
      <c r="W417"/>
      <c r="AC417"/>
      <c r="AD417"/>
    </row>
    <row r="418" spans="1:30" ht="14.5" customHeight="1" x14ac:dyDescent="0.35">
      <c r="A418" s="2"/>
      <c r="B418" s="3"/>
      <c r="C418" s="3"/>
      <c r="D418" s="3"/>
      <c r="E418" s="2"/>
      <c r="F418" s="4"/>
      <c r="G418" s="5"/>
      <c r="H418" s="5"/>
      <c r="I418" s="34"/>
      <c r="J418" s="6"/>
      <c r="K418" s="6"/>
      <c r="L418" s="6"/>
      <c r="M418" s="6"/>
      <c r="N418" s="6"/>
      <c r="O418" s="6"/>
      <c r="P418" s="6"/>
      <c r="Q418" s="2"/>
      <c r="R418" s="2"/>
      <c r="S418" s="7"/>
      <c r="T418" s="3"/>
      <c r="U418" s="3"/>
      <c r="V418" s="3"/>
      <c r="W418"/>
      <c r="AC418"/>
      <c r="AD418"/>
    </row>
  </sheetData>
  <sheetProtection formatCells="0" formatColumns="0" formatRows="0" insertRows="0" insertHyperlinks="0" deleteRows="0" autoFilter="0"/>
  <hyperlinks>
    <hyperlink ref="B14" r:id="rId1" xr:uid="{00000000-0004-0000-0000-000000000000}"/>
    <hyperlink ref="I14" r:id="rId2" xr:uid="{00000000-0004-0000-0000-000001000000}"/>
    <hyperlink ref="B17" r:id="rId3" xr:uid="{00000000-0004-0000-0000-000002000000}"/>
    <hyperlink ref="I17" r:id="rId4" xr:uid="{00000000-0004-0000-0000-000003000000}"/>
    <hyperlink ref="B23" r:id="rId5" xr:uid="{00000000-0004-0000-0000-000004000000}"/>
    <hyperlink ref="I23" r:id="rId6" xr:uid="{00000000-0004-0000-0000-000005000000}"/>
    <hyperlink ref="B25" r:id="rId7" xr:uid="{00000000-0004-0000-0000-000006000000}"/>
    <hyperlink ref="I25" r:id="rId8" xr:uid="{00000000-0004-0000-0000-000007000000}"/>
    <hyperlink ref="B30" r:id="rId9" xr:uid="{00000000-0004-0000-0000-000008000000}"/>
    <hyperlink ref="I30" r:id="rId10" xr:uid="{00000000-0004-0000-0000-000009000000}"/>
    <hyperlink ref="B41" r:id="rId11" xr:uid="{00000000-0004-0000-0000-00000A000000}"/>
    <hyperlink ref="I41" r:id="rId12" xr:uid="{00000000-0004-0000-0000-00000B000000}"/>
    <hyperlink ref="B63" r:id="rId13" xr:uid="{00000000-0004-0000-0000-00000C000000}"/>
    <hyperlink ref="I63" r:id="rId14" xr:uid="{00000000-0004-0000-0000-00000D000000}"/>
    <hyperlink ref="B64" r:id="rId15" xr:uid="{00000000-0004-0000-0000-00000E000000}"/>
    <hyperlink ref="I64" r:id="rId16" xr:uid="{00000000-0004-0000-0000-00000F000000}"/>
    <hyperlink ref="B86" r:id="rId17" xr:uid="{00000000-0004-0000-0000-000010000000}"/>
    <hyperlink ref="I86" r:id="rId18" xr:uid="{00000000-0004-0000-0000-000011000000}"/>
    <hyperlink ref="B89" r:id="rId19" xr:uid="{00000000-0004-0000-0000-000012000000}"/>
    <hyperlink ref="I89" r:id="rId20" xr:uid="{00000000-0004-0000-0000-000013000000}"/>
    <hyperlink ref="B91" r:id="rId21" xr:uid="{00000000-0004-0000-0000-000014000000}"/>
    <hyperlink ref="I91" r:id="rId22" xr:uid="{00000000-0004-0000-0000-000015000000}"/>
    <hyperlink ref="B101" r:id="rId23" xr:uid="{00000000-0004-0000-0000-000016000000}"/>
    <hyperlink ref="I101" r:id="rId24" xr:uid="{00000000-0004-0000-0000-000017000000}"/>
    <hyperlink ref="B132" r:id="rId25" xr:uid="{00000000-0004-0000-0000-000018000000}"/>
    <hyperlink ref="I132" r:id="rId26" xr:uid="{00000000-0004-0000-0000-000019000000}"/>
    <hyperlink ref="B138" r:id="rId27" xr:uid="{00000000-0004-0000-0000-00001A000000}"/>
    <hyperlink ref="I138" r:id="rId28" xr:uid="{00000000-0004-0000-0000-00001B000000}"/>
    <hyperlink ref="B143" r:id="rId29" xr:uid="{00000000-0004-0000-0000-00001C000000}"/>
    <hyperlink ref="I143" r:id="rId30" xr:uid="{00000000-0004-0000-0000-00001D000000}"/>
    <hyperlink ref="B145" r:id="rId31" xr:uid="{00000000-0004-0000-0000-00001E000000}"/>
    <hyperlink ref="I145" r:id="rId32" xr:uid="{00000000-0004-0000-0000-00001F000000}"/>
    <hyperlink ref="B146" r:id="rId33" xr:uid="{00000000-0004-0000-0000-000020000000}"/>
    <hyperlink ref="I146" r:id="rId34" xr:uid="{00000000-0004-0000-0000-000021000000}"/>
    <hyperlink ref="B163" r:id="rId35" xr:uid="{00000000-0004-0000-0000-000022000000}"/>
    <hyperlink ref="I163" r:id="rId36" xr:uid="{00000000-0004-0000-0000-000023000000}"/>
    <hyperlink ref="B164" r:id="rId37" xr:uid="{00000000-0004-0000-0000-000024000000}"/>
    <hyperlink ref="I164" r:id="rId38" xr:uid="{00000000-0004-0000-0000-000025000000}"/>
    <hyperlink ref="B186" r:id="rId39" xr:uid="{00000000-0004-0000-0000-000026000000}"/>
    <hyperlink ref="B214" r:id="rId40" xr:uid="{00000000-0004-0000-0000-000028000000}"/>
    <hyperlink ref="I214" r:id="rId41" xr:uid="{00000000-0004-0000-0000-000029000000}"/>
    <hyperlink ref="B216" r:id="rId42" xr:uid="{00000000-0004-0000-0000-00002A000000}"/>
    <hyperlink ref="I216" r:id="rId43" xr:uid="{00000000-0004-0000-0000-00002B000000}"/>
    <hyperlink ref="B217" r:id="rId44" xr:uid="{00000000-0004-0000-0000-00002C000000}"/>
    <hyperlink ref="I217" r:id="rId45" xr:uid="{00000000-0004-0000-0000-00002D000000}"/>
    <hyperlink ref="B218" r:id="rId46" xr:uid="{00000000-0004-0000-0000-00002E000000}"/>
    <hyperlink ref="B219" r:id="rId47" xr:uid="{00000000-0004-0000-0000-000030000000}"/>
    <hyperlink ref="I219" r:id="rId48" xr:uid="{00000000-0004-0000-0000-000031000000}"/>
    <hyperlink ref="B252" r:id="rId49" xr:uid="{00000000-0004-0000-0000-000032000000}"/>
    <hyperlink ref="I252" r:id="rId50" xr:uid="{00000000-0004-0000-0000-000033000000}"/>
    <hyperlink ref="B253" r:id="rId51" xr:uid="{00000000-0004-0000-0000-000034000000}"/>
    <hyperlink ref="I253" r:id="rId52" xr:uid="{00000000-0004-0000-0000-000035000000}"/>
    <hyperlink ref="B254" r:id="rId53" xr:uid="{00000000-0004-0000-0000-000036000000}"/>
    <hyperlink ref="I254" r:id="rId54" xr:uid="{00000000-0004-0000-0000-000037000000}"/>
    <hyperlink ref="B255" r:id="rId55" xr:uid="{00000000-0004-0000-0000-000038000000}"/>
    <hyperlink ref="I255" r:id="rId56" xr:uid="{00000000-0004-0000-0000-000039000000}"/>
    <hyperlink ref="B265" r:id="rId57" xr:uid="{00000000-0004-0000-0000-00003A000000}"/>
    <hyperlink ref="I265" r:id="rId58" xr:uid="{00000000-0004-0000-0000-00003B000000}"/>
    <hyperlink ref="B270" r:id="rId59" xr:uid="{00000000-0004-0000-0000-00003C000000}"/>
    <hyperlink ref="I270" r:id="rId60" xr:uid="{00000000-0004-0000-0000-00003D000000}"/>
    <hyperlink ref="B271" r:id="rId61" xr:uid="{00000000-0004-0000-0000-00003E000000}"/>
    <hyperlink ref="I271" r:id="rId62" xr:uid="{00000000-0004-0000-0000-00003F000000}"/>
    <hyperlink ref="B274" r:id="rId63" xr:uid="{00000000-0004-0000-0000-000040000000}"/>
    <hyperlink ref="I274" r:id="rId64" xr:uid="{00000000-0004-0000-0000-000041000000}"/>
    <hyperlink ref="B302" r:id="rId65" xr:uid="{00000000-0004-0000-0000-000042000000}"/>
    <hyperlink ref="I302" r:id="rId66" xr:uid="{00000000-0004-0000-0000-000043000000}"/>
    <hyperlink ref="B306" r:id="rId67" xr:uid="{00000000-0004-0000-0000-000044000000}"/>
    <hyperlink ref="I306" r:id="rId68" xr:uid="{00000000-0004-0000-0000-000045000000}"/>
    <hyperlink ref="B308" r:id="rId69" xr:uid="{00000000-0004-0000-0000-000046000000}"/>
    <hyperlink ref="I308" r:id="rId70" xr:uid="{00000000-0004-0000-0000-000047000000}"/>
    <hyperlink ref="I22" r:id="rId71" xr:uid="{54C0D613-F75D-4E90-9CCA-421C4A19FB01}"/>
    <hyperlink ref="I28" r:id="rId72" xr:uid="{C9DE004A-A130-4DAD-B234-7A79B7EAE3F3}"/>
    <hyperlink ref="I42" r:id="rId73" xr:uid="{EA99AA6A-DAEE-4057-AFD4-BFA1F593BCC4}"/>
    <hyperlink ref="I67" r:id="rId74" xr:uid="{5D299298-FB09-4C9E-961F-2C83B1949CCC}"/>
    <hyperlink ref="I87" r:id="rId75" xr:uid="{56E14F46-6598-4142-97D9-E81C6E4A86D5}"/>
    <hyperlink ref="I90" r:id="rId76" xr:uid="{658D0D8B-1770-4FD1-99FD-CD40B5E7221E}"/>
    <hyperlink ref="I95" r:id="rId77" xr:uid="{1EBD987B-7C8E-478D-B463-2DAA5B2C37BD}"/>
    <hyperlink ref="I100" r:id="rId78" xr:uid="{8E416925-DB69-45F1-B7FE-FBD94D7F06F2}"/>
    <hyperlink ref="I113" r:id="rId79" xr:uid="{3F90D93E-312C-452B-8D9B-B796F466B8C9}"/>
    <hyperlink ref="I116" r:id="rId80" xr:uid="{6A54AE6E-DB58-4119-AF62-E0D7E7002420}"/>
    <hyperlink ref="I117" r:id="rId81" xr:uid="{D696BF2A-EACB-4067-A044-11C0A536E85D}"/>
    <hyperlink ref="I118" r:id="rId82" xr:uid="{74D1DD50-AEF9-4DBF-8448-8EABD252DAFB}"/>
    <hyperlink ref="I124" r:id="rId83" xr:uid="{76989D80-51E6-4E05-BC68-012DA13E6B4E}"/>
    <hyperlink ref="I128" r:id="rId84" xr:uid="{4D568966-4D96-4613-8F65-237E92DDCF27}"/>
    <hyperlink ref="I135" r:id="rId85" xr:uid="{ADEA5A94-08DF-4DBE-A5E0-D97A5B4CE916}"/>
    <hyperlink ref="I139" r:id="rId86" xr:uid="{8986192E-A44C-4FC5-BE4F-B565A64D810C}"/>
    <hyperlink ref="I140" r:id="rId87" xr:uid="{E9F64688-2449-4226-ABFC-6F9AF6719451}"/>
    <hyperlink ref="I142" r:id="rId88" xr:uid="{48428F03-09BB-4244-915A-36B0C4E5D0AF}"/>
    <hyperlink ref="I151" r:id="rId89" xr:uid="{D53661A2-D1F4-47F1-97B5-5699CBE2A861}"/>
    <hyperlink ref="I157" r:id="rId90" xr:uid="{643914BC-E8A2-4874-841A-45F723B2D807}"/>
    <hyperlink ref="I158" r:id="rId91" xr:uid="{E607F540-7C80-46DA-B7A9-C0EE7BDA4C87}"/>
    <hyperlink ref="I159" r:id="rId92" xr:uid="{A6BF17A4-5ABF-4EB9-8C17-3C77192A25D4}"/>
    <hyperlink ref="I160" r:id="rId93" xr:uid="{CEAEADFF-2386-4E26-8C97-7CF4B1C8022A}"/>
    <hyperlink ref="I161" r:id="rId94" xr:uid="{84F77ADF-5247-4BB0-B7A7-CCB78739EA94}"/>
    <hyperlink ref="I162" r:id="rId95" xr:uid="{B2F45E2C-C974-42E0-B0A9-A6E0C0FE086F}"/>
    <hyperlink ref="I165" r:id="rId96" xr:uid="{1476F976-3932-4FCC-8D79-F431674931CE}"/>
    <hyperlink ref="I173" r:id="rId97" xr:uid="{BF478A34-1E7F-4067-BFA1-9B0C8965F828}"/>
    <hyperlink ref="I182" r:id="rId98" xr:uid="{8FA38586-B349-41EF-9AD9-C6B338542264}"/>
    <hyperlink ref="I183" r:id="rId99" xr:uid="{21D5747E-3211-4718-8CFD-AE82D7B30BBF}"/>
    <hyperlink ref="I184" r:id="rId100" xr:uid="{3923EC61-95E8-4027-AB01-E5F0BE959505}"/>
    <hyperlink ref="I186" r:id="rId101" xr:uid="{12754E4B-00A3-4A42-A38F-5D153E4CE3A2}"/>
    <hyperlink ref="I187" r:id="rId102" xr:uid="{5E1926A6-C7EC-4212-9CA2-3E23F164DF95}"/>
    <hyperlink ref="I263" r:id="rId103" xr:uid="{7AE6FAE7-107D-4B2C-B513-19689871E6D2}"/>
    <hyperlink ref="I264" r:id="rId104" xr:uid="{5B69BDEE-DDF5-46C9-B7F5-1455C48C5480}"/>
    <hyperlink ref="I275" r:id="rId105" xr:uid="{68E4C66A-BA14-4C2C-887C-8134917C0407}"/>
    <hyperlink ref="I304" r:id="rId106" xr:uid="{89C81C2E-69E4-40C0-AC4E-8CCC4BE461E5}"/>
    <hyperlink ref="I310" r:id="rId107" xr:uid="{5CEAB3F5-F281-47EB-95A7-D89141033022}"/>
    <hyperlink ref="I239" r:id="rId108" xr:uid="{0680DA2C-C5D6-497D-A97E-5B86C0C42F66}"/>
    <hyperlink ref="I257" r:id="rId109" xr:uid="{CF6A882C-66B0-44B4-997D-72BCA732EE23}"/>
    <hyperlink ref="I299" r:id="rId110" xr:uid="{8ED6C429-2769-403D-A181-1D1B7065A682}"/>
  </hyperlinks>
  <pageMargins left="0.75" right="0.75" top="1" bottom="1" header="0.5" footer="0.5"/>
  <tableParts count="1">
    <tablePart r:id="rId1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E9F8A-2F08-4C20-9273-B8B31EC0C94E}">
  <sheetPr>
    <tabColor rgb="FF273444"/>
  </sheetPr>
  <dimension ref="A1:BB418"/>
  <sheetViews>
    <sheetView tabSelected="1" zoomScale="55" zoomScaleNormal="55" workbookViewId="0">
      <pane xSplit="2" ySplit="1" topLeftCell="C2" activePane="bottomRight" state="frozenSplit"/>
      <selection pane="topRight" activeCell="C1" sqref="C1"/>
      <selection pane="bottomLeft" activeCell="A3" sqref="A3"/>
      <selection pane="bottomRight" activeCell="C324" sqref="C324"/>
    </sheetView>
  </sheetViews>
  <sheetFormatPr baseColWidth="10" defaultColWidth="8.7265625" defaultRowHeight="14.5" x14ac:dyDescent="0.35"/>
  <cols>
    <col min="1" max="1" width="15" customWidth="1"/>
    <col min="2" max="2" width="55" customWidth="1"/>
    <col min="3" max="3" width="24" customWidth="1"/>
    <col min="4" max="4" width="28" customWidth="1"/>
    <col min="5" max="5" width="14" customWidth="1"/>
    <col min="6" max="7" width="16.54296875" customWidth="1"/>
    <col min="8" max="8" width="12.26953125" customWidth="1"/>
    <col min="9" max="9" width="11.26953125" customWidth="1"/>
    <col min="10" max="13" width="12" customWidth="1"/>
    <col min="14" max="14" width="12" hidden="1" customWidth="1"/>
    <col min="15" max="15" width="12" customWidth="1"/>
    <col min="16" max="16" width="16.54296875" customWidth="1"/>
    <col min="17" max="18" width="16.54296875" style="5" customWidth="1"/>
    <col min="19" max="19" width="12" style="5" customWidth="1"/>
    <col min="20" max="20" width="16.54296875" style="5" customWidth="1"/>
    <col min="21" max="22" width="12" style="5" customWidth="1"/>
    <col min="23" max="23" width="16.54296875" style="5" customWidth="1"/>
    <col min="24" max="24" width="24.54296875" customWidth="1"/>
    <col min="25" max="25" width="26.54296875" hidden="1" customWidth="1"/>
    <col min="26" max="27" width="26.54296875" customWidth="1"/>
    <col min="28" max="28" width="46" customWidth="1"/>
    <col min="29" max="29" width="22" style="3" customWidth="1"/>
    <col min="30" max="30" width="14" style="3" customWidth="1"/>
    <col min="53" max="54" width="0" hidden="1" customWidth="1"/>
  </cols>
  <sheetData>
    <row r="1" spans="1:54" ht="48" customHeight="1" thickBot="1" x14ac:dyDescent="0.4">
      <c r="A1" s="1" t="s">
        <v>0</v>
      </c>
      <c r="B1" s="1" t="s">
        <v>1</v>
      </c>
      <c r="C1" s="1" t="s">
        <v>2</v>
      </c>
      <c r="D1" s="1" t="s">
        <v>3</v>
      </c>
      <c r="E1" s="1" t="s">
        <v>708</v>
      </c>
      <c r="F1" s="1" t="s">
        <v>709</v>
      </c>
      <c r="G1" s="1" t="s">
        <v>710</v>
      </c>
      <c r="H1" s="1" t="s">
        <v>711</v>
      </c>
      <c r="I1" s="1" t="s">
        <v>712</v>
      </c>
      <c r="J1" s="1" t="s">
        <v>713</v>
      </c>
      <c r="K1" s="1" t="s">
        <v>714</v>
      </c>
      <c r="L1" s="1" t="s">
        <v>715</v>
      </c>
      <c r="M1" s="1" t="s">
        <v>716</v>
      </c>
      <c r="N1" s="1" t="s">
        <v>717</v>
      </c>
      <c r="O1" s="1" t="s">
        <v>718</v>
      </c>
      <c r="P1" s="1" t="s">
        <v>719</v>
      </c>
      <c r="Q1" s="1" t="s">
        <v>720</v>
      </c>
      <c r="R1" s="1" t="s">
        <v>721</v>
      </c>
      <c r="S1" s="1" t="s">
        <v>722</v>
      </c>
      <c r="T1" s="1" t="s">
        <v>723</v>
      </c>
      <c r="U1" s="1" t="s">
        <v>18</v>
      </c>
      <c r="V1" s="1" t="s">
        <v>724</v>
      </c>
      <c r="W1" s="1" t="s">
        <v>19</v>
      </c>
      <c r="X1" s="59" t="s">
        <v>725</v>
      </c>
      <c r="Y1" s="59" t="s">
        <v>726</v>
      </c>
      <c r="Z1" s="59" t="s">
        <v>727</v>
      </c>
      <c r="AC1"/>
      <c r="AD1"/>
      <c r="BB1" t="s">
        <v>728</v>
      </c>
    </row>
    <row r="2" spans="1:54" ht="14.5" customHeight="1" x14ac:dyDescent="0.35">
      <c r="A2" s="46" t="s">
        <v>22</v>
      </c>
      <c r="B2" s="46"/>
      <c r="C2" s="46"/>
      <c r="D2" s="46"/>
      <c r="E2" s="52"/>
      <c r="F2" s="56"/>
      <c r="G2" s="56"/>
      <c r="H2" s="56"/>
      <c r="I2" s="56"/>
      <c r="J2" s="56"/>
      <c r="K2" s="56"/>
      <c r="L2" s="56"/>
      <c r="M2" s="56"/>
      <c r="N2" s="56"/>
      <c r="O2" s="56"/>
      <c r="P2" s="56"/>
      <c r="Q2" s="56"/>
      <c r="R2" s="46"/>
      <c r="S2" s="55"/>
      <c r="T2" s="46"/>
      <c r="U2" s="46"/>
      <c r="V2" s="55"/>
      <c r="W2" s="46"/>
      <c r="X2" s="55"/>
      <c r="Y2" s="61"/>
      <c r="Z2" s="61"/>
      <c r="AB2" t="s">
        <v>729</v>
      </c>
      <c r="AC2"/>
      <c r="AD2"/>
      <c r="BB2" t="s">
        <v>729</v>
      </c>
    </row>
    <row r="3" spans="1:54" ht="14.5" customHeight="1" x14ac:dyDescent="0.35">
      <c r="A3" s="2"/>
      <c r="B3" s="3" t="s">
        <v>23</v>
      </c>
      <c r="C3" s="3" t="s">
        <v>22</v>
      </c>
      <c r="D3" s="3" t="s">
        <v>24</v>
      </c>
      <c r="E3" s="53"/>
      <c r="F3" s="57"/>
      <c r="G3" s="57"/>
      <c r="H3" s="5"/>
      <c r="I3" s="5"/>
      <c r="J3" s="5"/>
      <c r="K3" s="5"/>
      <c r="L3" s="5"/>
      <c r="M3" s="5"/>
      <c r="N3" s="5"/>
      <c r="O3" s="5"/>
      <c r="P3" s="5"/>
      <c r="R3" s="7"/>
      <c r="S3" s="2"/>
      <c r="T3" s="2"/>
      <c r="U3" s="7"/>
      <c r="V3" s="2"/>
      <c r="W3" s="3"/>
      <c r="X3" s="3"/>
      <c r="Y3" s="3"/>
      <c r="Z3" s="3"/>
      <c r="AC3"/>
      <c r="AD3"/>
    </row>
    <row r="4" spans="1:54" ht="14.5" customHeight="1" x14ac:dyDescent="0.35">
      <c r="A4" s="2"/>
      <c r="B4" s="3" t="s">
        <v>27</v>
      </c>
      <c r="C4" s="3" t="s">
        <v>22</v>
      </c>
      <c r="D4" s="3" t="s">
        <v>24</v>
      </c>
      <c r="E4" s="53"/>
      <c r="F4" s="57"/>
      <c r="G4" s="57"/>
      <c r="H4" s="5">
        <v>9.0000000000000011E-3</v>
      </c>
      <c r="I4" s="5">
        <v>1.95E-2</v>
      </c>
      <c r="J4" s="5">
        <v>2.7E-2</v>
      </c>
      <c r="K4" s="5">
        <v>2.3E-2</v>
      </c>
      <c r="L4" s="5"/>
      <c r="M4" s="5"/>
      <c r="N4" s="5"/>
      <c r="O4" s="5"/>
      <c r="P4" s="5"/>
      <c r="R4" s="7"/>
      <c r="S4" s="2"/>
      <c r="T4" s="2"/>
      <c r="U4" s="7"/>
      <c r="V4" s="2"/>
      <c r="W4" s="3"/>
      <c r="X4" s="3"/>
      <c r="Y4" s="3"/>
      <c r="Z4" s="3"/>
      <c r="AC4"/>
      <c r="AD4"/>
    </row>
    <row r="5" spans="1:54" ht="14.5" customHeight="1" x14ac:dyDescent="0.35">
      <c r="A5" s="2"/>
      <c r="B5" s="3" t="s">
        <v>28</v>
      </c>
      <c r="C5" s="3" t="s">
        <v>22</v>
      </c>
      <c r="D5" s="3" t="s">
        <v>24</v>
      </c>
      <c r="E5" s="53"/>
      <c r="F5" s="57"/>
      <c r="G5" s="57"/>
      <c r="H5" s="5"/>
      <c r="I5" s="5"/>
      <c r="J5" s="5"/>
      <c r="K5" s="5"/>
      <c r="L5" s="5"/>
      <c r="M5" s="5"/>
      <c r="N5" s="5"/>
      <c r="O5" s="5"/>
      <c r="P5" s="5"/>
      <c r="R5" s="7"/>
      <c r="S5" s="2"/>
      <c r="T5" s="2"/>
      <c r="U5" s="7"/>
      <c r="V5" s="2"/>
      <c r="W5" s="3"/>
      <c r="X5" s="3"/>
      <c r="Y5" s="3"/>
      <c r="Z5" s="3"/>
      <c r="AC5"/>
      <c r="AD5"/>
    </row>
    <row r="6" spans="1:54" ht="14.5" customHeight="1" x14ac:dyDescent="0.35">
      <c r="A6" s="2"/>
      <c r="B6" s="3" t="s">
        <v>29</v>
      </c>
      <c r="C6" s="3" t="s">
        <v>22</v>
      </c>
      <c r="D6" s="3" t="s">
        <v>24</v>
      </c>
      <c r="E6" s="53"/>
      <c r="F6" s="57"/>
      <c r="G6" s="57"/>
      <c r="H6" s="5"/>
      <c r="I6" s="5"/>
      <c r="J6" s="5"/>
      <c r="K6" s="5"/>
      <c r="L6" s="5"/>
      <c r="M6" s="5"/>
      <c r="N6" s="5"/>
      <c r="O6" s="5"/>
      <c r="P6" s="5"/>
      <c r="R6" s="7"/>
      <c r="S6" s="2"/>
      <c r="T6" s="2"/>
      <c r="U6" s="7"/>
      <c r="V6" s="2"/>
      <c r="W6" s="3"/>
      <c r="X6" s="3"/>
      <c r="Y6" s="3"/>
      <c r="Z6" s="3"/>
      <c r="AC6"/>
      <c r="AD6"/>
    </row>
    <row r="7" spans="1:54" ht="14.5" customHeight="1" x14ac:dyDescent="0.35">
      <c r="A7" s="2"/>
      <c r="B7" s="3" t="s">
        <v>30</v>
      </c>
      <c r="C7" s="3" t="s">
        <v>22</v>
      </c>
      <c r="D7" s="3" t="s">
        <v>24</v>
      </c>
      <c r="E7" s="53"/>
      <c r="F7" s="57"/>
      <c r="G7" s="57"/>
      <c r="H7" s="5">
        <v>5.4999999999999979E-3</v>
      </c>
      <c r="I7" s="5">
        <v>9.0000000000000011E-3</v>
      </c>
      <c r="J7" s="5">
        <v>1.6500000000000001E-2</v>
      </c>
      <c r="K7" s="5">
        <v>1.55E-2</v>
      </c>
      <c r="L7" s="5"/>
      <c r="M7" s="5"/>
      <c r="N7" s="5"/>
      <c r="O7" s="5"/>
      <c r="P7" s="5"/>
      <c r="R7" s="7"/>
      <c r="S7" s="2"/>
      <c r="T7" s="2"/>
      <c r="U7" s="7"/>
      <c r="V7" s="2"/>
      <c r="W7" s="3"/>
      <c r="X7" s="3"/>
      <c r="Y7" s="3"/>
      <c r="Z7" s="3"/>
      <c r="AC7"/>
      <c r="AD7"/>
    </row>
    <row r="8" spans="1:54" ht="14.5" customHeight="1" x14ac:dyDescent="0.35">
      <c r="A8" s="2"/>
      <c r="B8" s="3" t="s">
        <v>31</v>
      </c>
      <c r="C8" s="3" t="s">
        <v>22</v>
      </c>
      <c r="D8" s="3" t="s">
        <v>24</v>
      </c>
      <c r="E8" s="53"/>
      <c r="F8" s="57"/>
      <c r="G8" s="57"/>
      <c r="H8" s="5"/>
      <c r="I8" s="5"/>
      <c r="J8" s="5"/>
      <c r="K8" s="5"/>
      <c r="L8" s="5"/>
      <c r="M8" s="5"/>
      <c r="N8" s="5"/>
      <c r="O8" s="5"/>
      <c r="P8" s="5"/>
      <c r="R8" s="7"/>
      <c r="S8" s="2"/>
      <c r="T8" s="2"/>
      <c r="U8" s="7"/>
      <c r="V8" s="2"/>
      <c r="W8" s="3"/>
      <c r="X8" s="3"/>
      <c r="Y8" s="3"/>
      <c r="Z8" s="3"/>
      <c r="AC8"/>
      <c r="AD8"/>
    </row>
    <row r="9" spans="1:54" s="83" customFormat="1" ht="14.5" customHeight="1" x14ac:dyDescent="0.35">
      <c r="A9" s="77"/>
      <c r="B9" s="78" t="s">
        <v>32</v>
      </c>
      <c r="C9" s="78" t="s">
        <v>22</v>
      </c>
      <c r="D9" s="78" t="s">
        <v>24</v>
      </c>
      <c r="E9" s="79"/>
      <c r="F9" s="80"/>
      <c r="G9" s="80"/>
      <c r="H9" s="81"/>
      <c r="I9" s="81"/>
      <c r="J9" s="81"/>
      <c r="K9" s="81"/>
      <c r="L9" s="81"/>
      <c r="M9" s="81"/>
      <c r="N9" s="81"/>
      <c r="O9" s="81"/>
      <c r="P9" s="81"/>
      <c r="Q9" s="81"/>
      <c r="R9" s="82"/>
      <c r="S9" s="77"/>
      <c r="T9" s="77"/>
      <c r="U9" s="82"/>
      <c r="V9" s="77"/>
      <c r="W9" s="78"/>
      <c r="X9" s="78"/>
      <c r="Y9" s="78"/>
      <c r="Z9" s="78"/>
    </row>
    <row r="10" spans="1:54" s="83" customFormat="1" ht="14.5" customHeight="1" x14ac:dyDescent="0.35">
      <c r="A10" s="77"/>
      <c r="B10" s="78" t="s">
        <v>33</v>
      </c>
      <c r="C10" s="78" t="s">
        <v>22</v>
      </c>
      <c r="D10" s="78" t="s">
        <v>34</v>
      </c>
      <c r="E10" s="79"/>
      <c r="F10" s="80"/>
      <c r="G10" s="80"/>
      <c r="H10" s="81">
        <v>0</v>
      </c>
      <c r="I10" s="81">
        <v>0</v>
      </c>
      <c r="J10" s="81">
        <v>0</v>
      </c>
      <c r="K10" s="81">
        <v>0</v>
      </c>
      <c r="L10" s="81">
        <v>0</v>
      </c>
      <c r="M10" s="81">
        <v>0</v>
      </c>
      <c r="N10" s="81"/>
      <c r="O10" s="81">
        <v>0</v>
      </c>
      <c r="P10" s="81"/>
      <c r="Q10" s="81"/>
      <c r="R10" s="82"/>
      <c r="S10" s="77"/>
      <c r="T10" s="77" t="s">
        <v>729</v>
      </c>
      <c r="U10" s="82"/>
      <c r="V10" s="77"/>
      <c r="W10" s="78"/>
      <c r="X10" s="78"/>
      <c r="Y10" s="78"/>
      <c r="Z10" s="78"/>
    </row>
    <row r="11" spans="1:54" s="83" customFormat="1" ht="14.5" customHeight="1" x14ac:dyDescent="0.35">
      <c r="A11" s="77" t="s">
        <v>35</v>
      </c>
      <c r="B11" s="78" t="s">
        <v>36</v>
      </c>
      <c r="C11" s="78" t="s">
        <v>22</v>
      </c>
      <c r="D11" s="78" t="s">
        <v>34</v>
      </c>
      <c r="E11" s="79"/>
      <c r="F11" s="80"/>
      <c r="G11" s="80"/>
      <c r="H11" s="81">
        <v>-4.7000000000000002E-3</v>
      </c>
      <c r="I11" s="81">
        <v>-6.1999999999999998E-3</v>
      </c>
      <c r="J11" s="81">
        <v>-8.0000000000000004E-4</v>
      </c>
      <c r="K11" s="81">
        <v>3.32E-2</v>
      </c>
      <c r="L11" s="81">
        <v>3.8199999999999998E-2</v>
      </c>
      <c r="M11" s="81">
        <v>2.29E-2</v>
      </c>
      <c r="N11" s="81"/>
      <c r="O11" s="81">
        <v>1.26E-2</v>
      </c>
      <c r="P11" s="81"/>
      <c r="Q11" s="81"/>
      <c r="R11" s="82">
        <v>46245</v>
      </c>
      <c r="S11" s="77"/>
      <c r="T11" s="77" t="s">
        <v>729</v>
      </c>
      <c r="U11" s="82"/>
      <c r="V11" s="77" t="s">
        <v>1362</v>
      </c>
      <c r="W11" s="78"/>
      <c r="X11" s="78"/>
      <c r="Y11" s="78"/>
      <c r="Z11" s="78"/>
    </row>
    <row r="12" spans="1:54" s="83" customFormat="1" ht="14.5" customHeight="1" x14ac:dyDescent="0.35">
      <c r="A12" s="77" t="s">
        <v>37</v>
      </c>
      <c r="B12" s="78" t="s">
        <v>38</v>
      </c>
      <c r="C12" s="78" t="s">
        <v>22</v>
      </c>
      <c r="D12" s="78" t="s">
        <v>34</v>
      </c>
      <c r="E12" s="79"/>
      <c r="F12" s="80"/>
      <c r="G12" s="80"/>
      <c r="H12" s="81">
        <v>-3.5999999999999999E-3</v>
      </c>
      <c r="I12" s="81">
        <v>-5.1999999999999998E-3</v>
      </c>
      <c r="J12" s="81" t="s">
        <v>1344</v>
      </c>
      <c r="K12" s="81">
        <v>3.44E-2</v>
      </c>
      <c r="L12" s="81">
        <v>3.9300000000000002E-2</v>
      </c>
      <c r="M12" s="81" t="s">
        <v>1343</v>
      </c>
      <c r="N12" s="81"/>
      <c r="O12" s="81">
        <v>1.34E-2</v>
      </c>
      <c r="P12" s="81"/>
      <c r="Q12" s="81"/>
      <c r="R12" s="82">
        <v>46246</v>
      </c>
      <c r="S12" s="77"/>
      <c r="T12" s="77" t="s">
        <v>729</v>
      </c>
      <c r="U12" s="82"/>
      <c r="V12" s="77" t="s">
        <v>1362</v>
      </c>
      <c r="W12" s="78"/>
      <c r="X12" s="78"/>
      <c r="Y12" s="78"/>
      <c r="Z12" s="78"/>
    </row>
    <row r="13" spans="1:54" s="83" customFormat="1" ht="14.5" customHeight="1" x14ac:dyDescent="0.35">
      <c r="A13" s="77" t="s">
        <v>39</v>
      </c>
      <c r="B13" s="78" t="s">
        <v>40</v>
      </c>
      <c r="C13" s="78" t="s">
        <v>22</v>
      </c>
      <c r="D13" s="78" t="s">
        <v>34</v>
      </c>
      <c r="E13" s="79"/>
      <c r="F13" s="80"/>
      <c r="G13" s="80"/>
      <c r="H13" s="81">
        <v>-6.1999999999999998E-3</v>
      </c>
      <c r="I13" s="81">
        <v>-8.2000000000000007E-3</v>
      </c>
      <c r="J13" s="81">
        <v>-2.5999999999999999E-3</v>
      </c>
      <c r="K13" s="81">
        <v>3.0099999999999998E-2</v>
      </c>
      <c r="L13" s="81">
        <v>3.39E-2</v>
      </c>
      <c r="M13" s="81" t="s">
        <v>1342</v>
      </c>
      <c r="N13" s="81"/>
      <c r="O13" s="81" t="s">
        <v>1341</v>
      </c>
      <c r="P13" s="81"/>
      <c r="Q13" s="81"/>
      <c r="R13" s="82">
        <v>46246</v>
      </c>
      <c r="S13" s="77"/>
      <c r="T13" s="77" t="s">
        <v>729</v>
      </c>
      <c r="U13" s="82"/>
      <c r="V13" s="77" t="s">
        <v>1362</v>
      </c>
      <c r="W13" s="78"/>
      <c r="X13" s="78"/>
      <c r="Y13" s="78"/>
      <c r="Z13" s="78"/>
    </row>
    <row r="14" spans="1:54" s="83" customFormat="1" ht="14.5" customHeight="1" x14ac:dyDescent="0.35">
      <c r="A14" s="77" t="s">
        <v>41</v>
      </c>
      <c r="B14" s="78" t="s">
        <v>42</v>
      </c>
      <c r="C14" s="78" t="s">
        <v>22</v>
      </c>
      <c r="D14" s="78" t="s">
        <v>34</v>
      </c>
      <c r="E14" s="79"/>
      <c r="F14" s="80"/>
      <c r="G14" s="80"/>
      <c r="H14" s="81">
        <v>-2.7000000000000001E-3</v>
      </c>
      <c r="I14" s="81">
        <v>-5.7999999999999996E-3</v>
      </c>
      <c r="J14" s="81">
        <v>0</v>
      </c>
      <c r="K14" s="81">
        <v>3.27E-2</v>
      </c>
      <c r="L14" s="81">
        <v>3.7999999999999999E-2</v>
      </c>
      <c r="M14" s="81">
        <v>2.3199999999999998E-2</v>
      </c>
      <c r="N14" s="81"/>
      <c r="O14" s="81" t="s">
        <v>1340</v>
      </c>
      <c r="P14" s="81"/>
      <c r="Q14" s="81"/>
      <c r="R14" s="82">
        <v>46246</v>
      </c>
      <c r="S14" s="77"/>
      <c r="T14" s="77" t="s">
        <v>729</v>
      </c>
      <c r="U14" s="82"/>
      <c r="V14" s="77" t="s">
        <v>1362</v>
      </c>
      <c r="W14" s="78"/>
      <c r="X14" s="78"/>
      <c r="Y14" s="78"/>
      <c r="Z14" s="78"/>
    </row>
    <row r="15" spans="1:54" s="83" customFormat="1" ht="14.5" customHeight="1" x14ac:dyDescent="0.35">
      <c r="A15" s="77" t="s">
        <v>44</v>
      </c>
      <c r="B15" s="78" t="s">
        <v>45</v>
      </c>
      <c r="C15" s="78" t="s">
        <v>22</v>
      </c>
      <c r="D15" s="78" t="s">
        <v>34</v>
      </c>
      <c r="E15" s="79"/>
      <c r="F15" s="80"/>
      <c r="G15" s="80"/>
      <c r="H15" s="81">
        <v>-5.3E-3</v>
      </c>
      <c r="I15" s="81">
        <v>-7.6E-3</v>
      </c>
      <c r="J15" s="81">
        <v>-2E-3</v>
      </c>
      <c r="K15" s="81">
        <v>3.1099999999999999E-2</v>
      </c>
      <c r="L15" s="81">
        <v>3.5999999999999997E-2</v>
      </c>
      <c r="M15" s="81" t="s">
        <v>1339</v>
      </c>
      <c r="N15" s="81"/>
      <c r="O15" s="81">
        <v>1.15E-2</v>
      </c>
      <c r="P15" s="81"/>
      <c r="Q15" s="81"/>
      <c r="R15" s="82">
        <v>46246</v>
      </c>
      <c r="S15" s="77"/>
      <c r="T15" s="77" t="s">
        <v>729</v>
      </c>
      <c r="U15" s="82"/>
      <c r="V15" s="77" t="s">
        <v>1362</v>
      </c>
      <c r="W15" s="78"/>
      <c r="X15" s="78"/>
      <c r="Y15" s="78"/>
      <c r="Z15" s="78"/>
    </row>
    <row r="16" spans="1:54" s="83" customFormat="1" ht="14.5" customHeight="1" x14ac:dyDescent="0.35">
      <c r="A16" s="77" t="s">
        <v>46</v>
      </c>
      <c r="B16" s="78" t="s">
        <v>47</v>
      </c>
      <c r="C16" s="78" t="s">
        <v>22</v>
      </c>
      <c r="D16" s="78" t="s">
        <v>34</v>
      </c>
      <c r="E16" s="79"/>
      <c r="F16" s="80"/>
      <c r="G16" s="80"/>
      <c r="H16" s="81">
        <v>-3.5999999999999999E-3</v>
      </c>
      <c r="I16" s="81">
        <v>-5.8999999999999999E-3</v>
      </c>
      <c r="J16" s="81">
        <v>-1.4E-3</v>
      </c>
      <c r="K16" s="81">
        <v>3.4099999999999998E-2</v>
      </c>
      <c r="L16" s="81">
        <v>4.0500000000000001E-2</v>
      </c>
      <c r="M16" s="81" t="s">
        <v>1338</v>
      </c>
      <c r="N16" s="81"/>
      <c r="O16" s="81" t="s">
        <v>1337</v>
      </c>
      <c r="P16" s="81"/>
      <c r="Q16" s="81"/>
      <c r="R16" s="82">
        <v>46246</v>
      </c>
      <c r="S16" s="77"/>
      <c r="T16" s="77" t="s">
        <v>729</v>
      </c>
      <c r="U16" s="82"/>
      <c r="V16" s="77" t="s">
        <v>1362</v>
      </c>
      <c r="W16" s="78"/>
      <c r="X16" s="78"/>
      <c r="Y16" s="78"/>
      <c r="Z16" s="78"/>
    </row>
    <row r="17" spans="1:26" s="83" customFormat="1" ht="14.5" customHeight="1" x14ac:dyDescent="0.35">
      <c r="A17" s="77" t="s">
        <v>48</v>
      </c>
      <c r="B17" s="78" t="s">
        <v>49</v>
      </c>
      <c r="C17" s="78" t="s">
        <v>22</v>
      </c>
      <c r="D17" s="78" t="s">
        <v>34</v>
      </c>
      <c r="E17" s="79"/>
      <c r="F17" s="80"/>
      <c r="G17" s="80"/>
      <c r="H17" s="81">
        <v>-3.0999999999999999E-3</v>
      </c>
      <c r="I17" s="81">
        <v>-4.5999999999999999E-3</v>
      </c>
      <c r="J17" s="81">
        <v>-1.4E-3</v>
      </c>
      <c r="K17" s="81" t="s">
        <v>1336</v>
      </c>
      <c r="L17" s="81">
        <v>3.9800000000000002E-2</v>
      </c>
      <c r="M17" s="81">
        <v>2.5100000000000001E-2</v>
      </c>
      <c r="N17" s="81"/>
      <c r="O17" s="81">
        <v>1.4200000000000001E-2</v>
      </c>
      <c r="P17" s="81"/>
      <c r="Q17" s="81"/>
      <c r="R17" s="82">
        <v>46246</v>
      </c>
      <c r="S17" s="77"/>
      <c r="T17" s="77" t="s">
        <v>729</v>
      </c>
      <c r="U17" s="82"/>
      <c r="V17" s="77" t="s">
        <v>1362</v>
      </c>
      <c r="W17" s="78"/>
      <c r="X17" s="78"/>
      <c r="Y17" s="78"/>
      <c r="Z17" s="78"/>
    </row>
    <row r="18" spans="1:26" s="83" customFormat="1" ht="14.5" customHeight="1" x14ac:dyDescent="0.35">
      <c r="A18" s="77" t="s">
        <v>51</v>
      </c>
      <c r="B18" s="78" t="s">
        <v>52</v>
      </c>
      <c r="C18" s="78" t="s">
        <v>22</v>
      </c>
      <c r="D18" s="78" t="s">
        <v>34</v>
      </c>
      <c r="E18" s="79"/>
      <c r="F18" s="80"/>
      <c r="G18" s="80"/>
      <c r="H18" s="81">
        <v>-2.8E-3</v>
      </c>
      <c r="I18" s="81">
        <v>-4.7999999999999996E-3</v>
      </c>
      <c r="J18" s="81">
        <v>4.0000000000000002E-4</v>
      </c>
      <c r="K18" s="81" t="s">
        <v>1335</v>
      </c>
      <c r="L18" s="81">
        <v>4.0500000000000001E-2</v>
      </c>
      <c r="M18" s="81" t="s">
        <v>1334</v>
      </c>
      <c r="N18" s="81"/>
      <c r="O18" s="81">
        <v>1.37E-2</v>
      </c>
      <c r="P18" s="81"/>
      <c r="Q18" s="81"/>
      <c r="R18" s="82">
        <v>46246</v>
      </c>
      <c r="S18" s="77"/>
      <c r="T18" s="77" t="s">
        <v>729</v>
      </c>
      <c r="U18" s="82"/>
      <c r="V18" s="77" t="s">
        <v>1362</v>
      </c>
      <c r="W18" s="78"/>
      <c r="X18" s="78"/>
      <c r="Y18" s="78"/>
      <c r="Z18" s="78"/>
    </row>
    <row r="19" spans="1:26" s="83" customFormat="1" ht="14.5" customHeight="1" x14ac:dyDescent="0.35">
      <c r="A19" s="77" t="s">
        <v>53</v>
      </c>
      <c r="B19" s="78" t="s">
        <v>54</v>
      </c>
      <c r="C19" s="78" t="s">
        <v>22</v>
      </c>
      <c r="D19" s="78" t="s">
        <v>34</v>
      </c>
      <c r="E19" s="79"/>
      <c r="F19" s="80"/>
      <c r="G19" s="80"/>
      <c r="H19" s="81">
        <v>-3.7000000000000002E-3</v>
      </c>
      <c r="I19" s="81">
        <v>-5.5999999999999999E-3</v>
      </c>
      <c r="J19" s="81">
        <v>-2.9999999999999997E-4</v>
      </c>
      <c r="K19" s="81" t="s">
        <v>1333</v>
      </c>
      <c r="L19" s="81">
        <v>3.8300000000000001E-2</v>
      </c>
      <c r="M19" s="81" t="s">
        <v>1332</v>
      </c>
      <c r="N19" s="81"/>
      <c r="O19" s="81" t="s">
        <v>1331</v>
      </c>
      <c r="P19" s="81"/>
      <c r="Q19" s="81"/>
      <c r="R19" s="82">
        <v>46245</v>
      </c>
      <c r="S19" s="77"/>
      <c r="T19" s="77" t="s">
        <v>729</v>
      </c>
      <c r="U19" s="82"/>
      <c r="V19" s="77" t="s">
        <v>1362</v>
      </c>
      <c r="W19" s="78"/>
      <c r="X19" s="78"/>
      <c r="Y19" s="78"/>
      <c r="Z19" s="78"/>
    </row>
    <row r="20" spans="1:26" s="83" customFormat="1" ht="14.5" customHeight="1" x14ac:dyDescent="0.35">
      <c r="A20" s="77"/>
      <c r="B20" s="78" t="s">
        <v>55</v>
      </c>
      <c r="C20" s="78" t="s">
        <v>22</v>
      </c>
      <c r="D20" s="78" t="s">
        <v>34</v>
      </c>
      <c r="E20" s="79"/>
      <c r="F20" s="80"/>
      <c r="G20" s="80"/>
      <c r="H20" s="81">
        <v>0</v>
      </c>
      <c r="I20" s="81">
        <v>0</v>
      </c>
      <c r="J20" s="81">
        <v>0</v>
      </c>
      <c r="K20" s="81">
        <v>0</v>
      </c>
      <c r="L20" s="81">
        <v>0</v>
      </c>
      <c r="M20" s="81">
        <v>0</v>
      </c>
      <c r="N20" s="81"/>
      <c r="O20" s="81">
        <v>0</v>
      </c>
      <c r="P20" s="81"/>
      <c r="Q20" s="81"/>
      <c r="R20" s="82"/>
      <c r="S20" s="77"/>
      <c r="T20" s="77" t="s">
        <v>729</v>
      </c>
      <c r="U20" s="82"/>
      <c r="V20" s="77"/>
      <c r="W20" s="78"/>
      <c r="X20" s="78"/>
      <c r="Y20" s="78"/>
      <c r="Z20" s="78"/>
    </row>
    <row r="21" spans="1:26" s="83" customFormat="1" ht="14.5" customHeight="1" x14ac:dyDescent="0.35">
      <c r="A21" s="77" t="s">
        <v>1348</v>
      </c>
      <c r="B21" s="78" t="s">
        <v>56</v>
      </c>
      <c r="C21" s="78" t="s">
        <v>22</v>
      </c>
      <c r="D21" s="78" t="s">
        <v>34</v>
      </c>
      <c r="E21" s="79"/>
      <c r="F21" s="80"/>
      <c r="G21" s="80"/>
      <c r="H21" s="81">
        <v>-2.8999999999999998E-3</v>
      </c>
      <c r="I21" s="81">
        <v>-5.1000000000000004E-3</v>
      </c>
      <c r="J21" s="81" t="s">
        <v>1347</v>
      </c>
      <c r="K21" s="81">
        <v>3.4200000000000001E-2</v>
      </c>
      <c r="L21" s="81" t="s">
        <v>1346</v>
      </c>
      <c r="M21" s="81">
        <v>2.4E-2</v>
      </c>
      <c r="N21" s="81"/>
      <c r="O21" s="81" t="s">
        <v>1345</v>
      </c>
      <c r="P21" s="81"/>
      <c r="Q21" s="81"/>
      <c r="R21" s="82">
        <v>46245</v>
      </c>
      <c r="S21" s="77"/>
      <c r="T21" s="77" t="s">
        <v>729</v>
      </c>
      <c r="U21" s="82"/>
      <c r="V21" s="77" t="s">
        <v>1362</v>
      </c>
      <c r="W21" s="78"/>
      <c r="X21" s="78"/>
      <c r="Y21" s="78"/>
      <c r="Z21" s="78"/>
    </row>
    <row r="22" spans="1:26" s="83" customFormat="1" ht="14.5" customHeight="1" x14ac:dyDescent="0.35">
      <c r="A22" s="77" t="s">
        <v>1349</v>
      </c>
      <c r="B22" s="78" t="s">
        <v>57</v>
      </c>
      <c r="C22" s="78" t="s">
        <v>22</v>
      </c>
      <c r="D22" s="78" t="s">
        <v>34</v>
      </c>
      <c r="E22" s="79"/>
      <c r="F22" s="80"/>
      <c r="G22" s="80"/>
      <c r="H22" s="81">
        <v>-3.5999999999999999E-3</v>
      </c>
      <c r="I22" s="81">
        <v>-5.3E-3</v>
      </c>
      <c r="J22" s="81">
        <v>2.0000000000000001E-4</v>
      </c>
      <c r="K22" s="81">
        <v>3.3799999999999997E-2</v>
      </c>
      <c r="L22" s="81">
        <v>3.8899999999999997E-2</v>
      </c>
      <c r="M22" s="81" t="s">
        <v>1350</v>
      </c>
      <c r="N22" s="81"/>
      <c r="O22" s="81">
        <v>1.3299999999999999E-2</v>
      </c>
      <c r="P22" s="81"/>
      <c r="Q22" s="81"/>
      <c r="R22" s="82">
        <v>46245</v>
      </c>
      <c r="S22" s="77"/>
      <c r="T22" s="77" t="s">
        <v>729</v>
      </c>
      <c r="U22" s="82"/>
      <c r="V22" s="77" t="s">
        <v>1362</v>
      </c>
      <c r="W22" s="78"/>
      <c r="X22" s="78"/>
      <c r="Y22" s="78"/>
      <c r="Z22" s="78"/>
    </row>
    <row r="23" spans="1:26" s="83" customFormat="1" ht="14.5" customHeight="1" x14ac:dyDescent="0.35">
      <c r="A23" s="77" t="s">
        <v>59</v>
      </c>
      <c r="B23" s="78" t="s">
        <v>60</v>
      </c>
      <c r="C23" s="78" t="s">
        <v>22</v>
      </c>
      <c r="D23" s="78" t="s">
        <v>61</v>
      </c>
      <c r="E23" s="79"/>
      <c r="F23" s="80"/>
      <c r="G23" s="80"/>
      <c r="H23" s="81">
        <v>-1.6E-2</v>
      </c>
      <c r="I23" s="81">
        <v>8.7999999999999995E-2</v>
      </c>
      <c r="J23" s="81">
        <v>-0.1</v>
      </c>
      <c r="K23" s="81">
        <v>0.09</v>
      </c>
      <c r="L23" s="81">
        <v>0.108</v>
      </c>
      <c r="M23" s="81">
        <v>7.3300000000000004E-2</v>
      </c>
      <c r="N23" s="81"/>
      <c r="O23" s="81">
        <v>3.9199999999999999E-2</v>
      </c>
      <c r="P23" s="81"/>
      <c r="Q23" s="81"/>
      <c r="R23" s="82">
        <v>46245</v>
      </c>
      <c r="S23" s="77"/>
      <c r="T23" s="77" t="s">
        <v>729</v>
      </c>
      <c r="U23" s="82"/>
      <c r="V23" s="77" t="s">
        <v>1362</v>
      </c>
      <c r="W23" s="78"/>
      <c r="X23" s="78"/>
      <c r="Y23" s="78"/>
      <c r="Z23" s="78"/>
    </row>
    <row r="24" spans="1:26" s="83" customFormat="1" ht="14.5" customHeight="1" x14ac:dyDescent="0.35">
      <c r="A24" s="77" t="s">
        <v>63</v>
      </c>
      <c r="B24" s="78" t="s">
        <v>64</v>
      </c>
      <c r="C24" s="78" t="s">
        <v>22</v>
      </c>
      <c r="D24" s="78" t="s">
        <v>61</v>
      </c>
      <c r="E24" s="79"/>
      <c r="F24" s="80"/>
      <c r="G24" s="80"/>
      <c r="H24" s="81">
        <v>-2.1000000000000001E-2</v>
      </c>
      <c r="I24" s="81">
        <v>8.2000000000000003E-2</v>
      </c>
      <c r="J24" s="81">
        <v>-0.104</v>
      </c>
      <c r="K24" s="81">
        <v>8.4000000000000005E-2</v>
      </c>
      <c r="L24" s="81">
        <v>0.1016</v>
      </c>
      <c r="M24" s="81">
        <v>6.8000000000000005E-2</v>
      </c>
      <c r="N24" s="81"/>
      <c r="O24" s="81" t="s">
        <v>1330</v>
      </c>
      <c r="P24" s="81"/>
      <c r="Q24" s="81"/>
      <c r="R24" s="82">
        <v>46245</v>
      </c>
      <c r="S24" s="77"/>
      <c r="T24" s="77" t="s">
        <v>729</v>
      </c>
      <c r="U24" s="82"/>
      <c r="V24" s="77" t="s">
        <v>1362</v>
      </c>
      <c r="W24" s="78"/>
      <c r="X24" s="78"/>
      <c r="Y24" s="78"/>
      <c r="Z24" s="78"/>
    </row>
    <row r="25" spans="1:26" s="83" customFormat="1" ht="14.5" customHeight="1" x14ac:dyDescent="0.35">
      <c r="A25" s="77" t="s">
        <v>65</v>
      </c>
      <c r="B25" s="78" t="s">
        <v>66</v>
      </c>
      <c r="C25" s="78" t="s">
        <v>22</v>
      </c>
      <c r="D25" s="78" t="s">
        <v>61</v>
      </c>
      <c r="E25" s="79"/>
      <c r="F25" s="80"/>
      <c r="G25" s="80"/>
      <c r="H25" s="81">
        <v>0.104</v>
      </c>
      <c r="I25" s="81">
        <v>1.9E-2</v>
      </c>
      <c r="J25" s="81">
        <v>-8.2000000000000003E-2</v>
      </c>
      <c r="K25" s="81">
        <v>9.0999999999999998E-2</v>
      </c>
      <c r="L25" s="81">
        <v>0.10100000000000001</v>
      </c>
      <c r="M25" s="81">
        <v>6.6000000000000003E-2</v>
      </c>
      <c r="N25" s="81"/>
      <c r="O25" s="81">
        <v>2.9600000000000001E-2</v>
      </c>
      <c r="P25" s="81"/>
      <c r="Q25" s="81"/>
      <c r="R25" s="82">
        <v>46245</v>
      </c>
      <c r="S25" s="77"/>
      <c r="T25" s="77" t="s">
        <v>729</v>
      </c>
      <c r="U25" s="82"/>
      <c r="V25" s="77" t="s">
        <v>1362</v>
      </c>
      <c r="W25" s="78"/>
      <c r="X25" s="78"/>
      <c r="Y25" s="78"/>
      <c r="Z25" s="78"/>
    </row>
    <row r="26" spans="1:26" s="83" customFormat="1" ht="14.5" customHeight="1" x14ac:dyDescent="0.35">
      <c r="A26" s="77" t="s">
        <v>68</v>
      </c>
      <c r="B26" s="78" t="s">
        <v>69</v>
      </c>
      <c r="C26" s="78" t="s">
        <v>22</v>
      </c>
      <c r="D26" s="78" t="s">
        <v>61</v>
      </c>
      <c r="E26" s="79"/>
      <c r="F26" s="80"/>
      <c r="G26" s="80"/>
      <c r="H26" s="81">
        <v>0.1032</v>
      </c>
      <c r="I26" s="81" t="s">
        <v>1144</v>
      </c>
      <c r="J26" s="81">
        <v>-8.3099999999999993E-2</v>
      </c>
      <c r="K26" s="81">
        <v>8.9300000000000004E-2</v>
      </c>
      <c r="L26" s="81">
        <v>9.98E-2</v>
      </c>
      <c r="M26" s="81" t="s">
        <v>1329</v>
      </c>
      <c r="N26" s="81"/>
      <c r="O26" s="81" t="s">
        <v>1328</v>
      </c>
      <c r="P26" s="81"/>
      <c r="Q26" s="81"/>
      <c r="R26" s="82">
        <v>46245</v>
      </c>
      <c r="S26" s="77"/>
      <c r="T26" s="77" t="s">
        <v>729</v>
      </c>
      <c r="U26" s="82"/>
      <c r="V26" s="77" t="s">
        <v>1362</v>
      </c>
      <c r="W26" s="78"/>
      <c r="X26" s="78"/>
      <c r="Y26" s="78"/>
      <c r="Z26" s="78"/>
    </row>
    <row r="27" spans="1:26" s="83" customFormat="1" ht="14.5" customHeight="1" x14ac:dyDescent="0.35">
      <c r="A27" s="77" t="s">
        <v>70</v>
      </c>
      <c r="B27" s="78" t="s">
        <v>71</v>
      </c>
      <c r="C27" s="78" t="s">
        <v>22</v>
      </c>
      <c r="D27" s="78" t="s">
        <v>61</v>
      </c>
      <c r="E27" s="79"/>
      <c r="F27" s="80"/>
      <c r="G27" s="80"/>
      <c r="H27" s="81" t="s">
        <v>1327</v>
      </c>
      <c r="I27" s="81" t="s">
        <v>1326</v>
      </c>
      <c r="J27" s="81">
        <v>-8.7599999999999997E-2</v>
      </c>
      <c r="K27" s="81" t="s">
        <v>1325</v>
      </c>
      <c r="L27" s="81" t="s">
        <v>1324</v>
      </c>
      <c r="M27" s="81" t="s">
        <v>1323</v>
      </c>
      <c r="N27" s="81"/>
      <c r="O27" s="81" t="s">
        <v>1322</v>
      </c>
      <c r="P27" s="81"/>
      <c r="Q27" s="81"/>
      <c r="R27" s="82">
        <v>46245</v>
      </c>
      <c r="S27" s="77"/>
      <c r="T27" s="77" t="s">
        <v>729</v>
      </c>
      <c r="U27" s="82"/>
      <c r="V27" s="77" t="s">
        <v>1362</v>
      </c>
      <c r="W27" s="78"/>
      <c r="X27" s="78"/>
      <c r="Y27" s="78"/>
      <c r="Z27" s="78"/>
    </row>
    <row r="28" spans="1:26" s="83" customFormat="1" ht="14.5" customHeight="1" x14ac:dyDescent="0.35">
      <c r="A28" s="77" t="s">
        <v>72</v>
      </c>
      <c r="B28" s="78" t="s">
        <v>73</v>
      </c>
      <c r="C28" s="78" t="s">
        <v>22</v>
      </c>
      <c r="D28" s="78" t="s">
        <v>61</v>
      </c>
      <c r="E28" s="79"/>
      <c r="F28" s="80"/>
      <c r="G28" s="80"/>
      <c r="H28" s="81"/>
      <c r="I28" s="81"/>
      <c r="J28" s="81"/>
      <c r="K28" s="81"/>
      <c r="L28" s="81"/>
      <c r="M28" s="81" t="s">
        <v>1321</v>
      </c>
      <c r="N28" s="81"/>
      <c r="O28" s="81">
        <v>2.3599999999999999E-2</v>
      </c>
      <c r="P28" s="81"/>
      <c r="Q28" s="81"/>
      <c r="R28" s="82">
        <v>46245</v>
      </c>
      <c r="S28" s="77"/>
      <c r="T28" s="77" t="s">
        <v>729</v>
      </c>
      <c r="U28" s="82"/>
      <c r="V28" s="77" t="s">
        <v>1362</v>
      </c>
      <c r="W28" s="78"/>
      <c r="X28" s="78"/>
      <c r="Y28" s="78"/>
      <c r="Z28" s="78"/>
    </row>
    <row r="29" spans="1:26" s="83" customFormat="1" ht="14.5" customHeight="1" x14ac:dyDescent="0.35">
      <c r="A29" s="77" t="s">
        <v>75</v>
      </c>
      <c r="B29" s="78" t="s">
        <v>76</v>
      </c>
      <c r="C29" s="78" t="s">
        <v>22</v>
      </c>
      <c r="D29" s="78" t="s">
        <v>61</v>
      </c>
      <c r="E29" s="79"/>
      <c r="F29" s="80"/>
      <c r="G29" s="80"/>
      <c r="H29" s="81"/>
      <c r="I29" s="81"/>
      <c r="J29" s="81"/>
      <c r="K29" s="81"/>
      <c r="L29" s="81"/>
      <c r="M29" s="81" t="s">
        <v>1214</v>
      </c>
      <c r="N29" s="81"/>
      <c r="O29" s="81" t="s">
        <v>1320</v>
      </c>
      <c r="P29" s="81"/>
      <c r="Q29" s="81"/>
      <c r="R29" s="82">
        <v>46245</v>
      </c>
      <c r="S29" s="77"/>
      <c r="T29" s="77" t="s">
        <v>729</v>
      </c>
      <c r="U29" s="82"/>
      <c r="V29" s="77" t="s">
        <v>1362</v>
      </c>
      <c r="W29" s="78"/>
      <c r="X29" s="78"/>
      <c r="Y29" s="78"/>
      <c r="Z29" s="78"/>
    </row>
    <row r="30" spans="1:26" s="83" customFormat="1" ht="14.5" customHeight="1" x14ac:dyDescent="0.35">
      <c r="A30" s="77" t="s">
        <v>77</v>
      </c>
      <c r="B30" s="78" t="s">
        <v>78</v>
      </c>
      <c r="C30" s="78" t="s">
        <v>22</v>
      </c>
      <c r="D30" s="78" t="s">
        <v>61</v>
      </c>
      <c r="E30" s="79"/>
      <c r="F30" s="80"/>
      <c r="G30" s="80"/>
      <c r="H30" s="81"/>
      <c r="I30" s="81"/>
      <c r="J30" s="81"/>
      <c r="K30" s="81">
        <v>9.7000000000000003E-2</v>
      </c>
      <c r="L30" s="81">
        <v>9.7000000000000003E-2</v>
      </c>
      <c r="M30" s="81">
        <v>6.4000000000000001E-2</v>
      </c>
      <c r="N30" s="81"/>
      <c r="O30" s="81">
        <v>1.7299999999999999E-2</v>
      </c>
      <c r="P30" s="81"/>
      <c r="Q30" s="81"/>
      <c r="R30" s="82">
        <v>46245</v>
      </c>
      <c r="S30" s="77"/>
      <c r="T30" s="77" t="s">
        <v>729</v>
      </c>
      <c r="U30" s="82"/>
      <c r="V30" s="77" t="s">
        <v>1362</v>
      </c>
      <c r="W30" s="78"/>
      <c r="X30" s="78"/>
      <c r="Y30" s="78"/>
      <c r="Z30" s="78"/>
    </row>
    <row r="31" spans="1:26" s="83" customFormat="1" ht="14.5" customHeight="1" x14ac:dyDescent="0.35">
      <c r="A31" s="77" t="s">
        <v>80</v>
      </c>
      <c r="B31" s="78" t="s">
        <v>81</v>
      </c>
      <c r="C31" s="78" t="s">
        <v>22</v>
      </c>
      <c r="D31" s="78" t="s">
        <v>61</v>
      </c>
      <c r="E31" s="79"/>
      <c r="F31" s="80"/>
      <c r="G31" s="80"/>
      <c r="H31" s="81"/>
      <c r="I31" s="81"/>
      <c r="J31" s="81"/>
      <c r="K31" s="81">
        <v>9.01E-2</v>
      </c>
      <c r="L31" s="81">
        <v>8.9399999999999993E-2</v>
      </c>
      <c r="M31" s="81" t="s">
        <v>1319</v>
      </c>
      <c r="N31" s="81"/>
      <c r="O31" s="81" t="s">
        <v>1318</v>
      </c>
      <c r="P31" s="81"/>
      <c r="Q31" s="81"/>
      <c r="R31" s="82">
        <v>46245</v>
      </c>
      <c r="S31" s="77"/>
      <c r="T31" s="77" t="s">
        <v>729</v>
      </c>
      <c r="U31" s="82"/>
      <c r="V31" s="77" t="s">
        <v>1362</v>
      </c>
      <c r="W31" s="78"/>
      <c r="X31" s="78"/>
      <c r="Y31" s="78"/>
      <c r="Z31" s="78"/>
    </row>
    <row r="32" spans="1:26" s="83" customFormat="1" ht="14.5" customHeight="1" x14ac:dyDescent="0.35">
      <c r="A32" s="77" t="s">
        <v>82</v>
      </c>
      <c r="B32" s="78" t="s">
        <v>83</v>
      </c>
      <c r="C32" s="78" t="s">
        <v>22</v>
      </c>
      <c r="D32" s="78" t="s">
        <v>61</v>
      </c>
      <c r="E32" s="79"/>
      <c r="F32" s="80"/>
      <c r="G32" s="80"/>
      <c r="H32" s="81"/>
      <c r="I32" s="81"/>
      <c r="J32" s="81"/>
      <c r="K32" s="81"/>
      <c r="L32" s="81"/>
      <c r="M32" s="81">
        <v>4.7500000000000001E-2</v>
      </c>
      <c r="N32" s="81"/>
      <c r="O32" s="81" t="s">
        <v>1317</v>
      </c>
      <c r="P32" s="81"/>
      <c r="Q32" s="81"/>
      <c r="R32" s="82">
        <v>46245</v>
      </c>
      <c r="S32" s="77"/>
      <c r="T32" s="77" t="s">
        <v>729</v>
      </c>
      <c r="U32" s="82"/>
      <c r="V32" s="77" t="s">
        <v>1362</v>
      </c>
      <c r="W32" s="78"/>
      <c r="X32" s="78"/>
      <c r="Y32" s="78"/>
      <c r="Z32" s="78"/>
    </row>
    <row r="33" spans="1:26" s="83" customFormat="1" ht="14.5" customHeight="1" x14ac:dyDescent="0.35">
      <c r="A33" s="77" t="s">
        <v>84</v>
      </c>
      <c r="B33" s="78" t="s">
        <v>85</v>
      </c>
      <c r="C33" s="78" t="s">
        <v>22</v>
      </c>
      <c r="D33" s="78" t="s">
        <v>61</v>
      </c>
      <c r="E33" s="79"/>
      <c r="F33" s="80"/>
      <c r="G33" s="80"/>
      <c r="H33" s="81"/>
      <c r="I33" s="81"/>
      <c r="J33" s="81"/>
      <c r="K33" s="81"/>
      <c r="L33" s="81"/>
      <c r="M33" s="81"/>
      <c r="N33" s="81"/>
      <c r="O33" s="81" t="s">
        <v>1316</v>
      </c>
      <c r="P33" s="81"/>
      <c r="Q33" s="81"/>
      <c r="R33" s="82">
        <v>46245</v>
      </c>
      <c r="S33" s="77"/>
      <c r="T33" s="77" t="s">
        <v>729</v>
      </c>
      <c r="U33" s="82"/>
      <c r="V33" s="77" t="s">
        <v>1362</v>
      </c>
      <c r="W33" s="78"/>
      <c r="X33" s="78"/>
      <c r="Y33" s="78"/>
      <c r="Z33" s="78"/>
    </row>
    <row r="34" spans="1:26" s="83" customFormat="1" ht="14.5" customHeight="1" x14ac:dyDescent="0.35">
      <c r="A34" s="77" t="s">
        <v>86</v>
      </c>
      <c r="B34" s="78" t="s">
        <v>87</v>
      </c>
      <c r="C34" s="78" t="s">
        <v>22</v>
      </c>
      <c r="D34" s="78" t="s">
        <v>61</v>
      </c>
      <c r="E34" s="79"/>
      <c r="F34" s="80"/>
      <c r="G34" s="80"/>
      <c r="H34" s="81"/>
      <c r="I34" s="81"/>
      <c r="J34" s="81"/>
      <c r="K34" s="81">
        <v>9.5799999999999996E-2</v>
      </c>
      <c r="L34" s="81">
        <v>5.0099999999999999E-2</v>
      </c>
      <c r="M34" s="81" t="s">
        <v>1315</v>
      </c>
      <c r="N34" s="81"/>
      <c r="O34" s="81" t="s">
        <v>1314</v>
      </c>
      <c r="P34" s="81"/>
      <c r="Q34" s="81"/>
      <c r="R34" s="82">
        <v>46245</v>
      </c>
      <c r="S34" s="77"/>
      <c r="T34" s="77" t="s">
        <v>729</v>
      </c>
      <c r="U34" s="82"/>
      <c r="V34" s="77" t="s">
        <v>1362</v>
      </c>
      <c r="W34" s="78"/>
      <c r="X34" s="78"/>
      <c r="Y34" s="78"/>
      <c r="Z34" s="78"/>
    </row>
    <row r="35" spans="1:26" s="83" customFormat="1" ht="14.5" customHeight="1" x14ac:dyDescent="0.35">
      <c r="A35" s="77" t="s">
        <v>88</v>
      </c>
      <c r="B35" s="78" t="s">
        <v>89</v>
      </c>
      <c r="C35" s="78" t="s">
        <v>22</v>
      </c>
      <c r="D35" s="78" t="s">
        <v>61</v>
      </c>
      <c r="E35" s="79"/>
      <c r="F35" s="80"/>
      <c r="G35" s="80"/>
      <c r="H35" s="81">
        <v>8.0000000000000002E-3</v>
      </c>
      <c r="I35" s="81">
        <v>8.6E-3</v>
      </c>
      <c r="J35" s="81">
        <v>-1.47E-2</v>
      </c>
      <c r="K35" s="81">
        <v>5.1299999999999998E-2</v>
      </c>
      <c r="L35" s="81" t="s">
        <v>1313</v>
      </c>
      <c r="M35" s="81" t="s">
        <v>1312</v>
      </c>
      <c r="N35" s="81"/>
      <c r="O35" s="81">
        <v>1.5699999999999999E-2</v>
      </c>
      <c r="P35" s="81"/>
      <c r="Q35" s="81"/>
      <c r="R35" s="82">
        <v>46245</v>
      </c>
      <c r="S35" s="77"/>
      <c r="T35" s="77" t="s">
        <v>729</v>
      </c>
      <c r="U35" s="82"/>
      <c r="V35" s="77" t="s">
        <v>1362</v>
      </c>
      <c r="W35" s="78"/>
      <c r="X35" s="78"/>
      <c r="Y35" s="78"/>
      <c r="Z35" s="78"/>
    </row>
    <row r="36" spans="1:26" s="83" customFormat="1" ht="14.5" customHeight="1" x14ac:dyDescent="0.35">
      <c r="A36" s="77" t="s">
        <v>90</v>
      </c>
      <c r="B36" s="78" t="s">
        <v>91</v>
      </c>
      <c r="C36" s="78" t="s">
        <v>22</v>
      </c>
      <c r="D36" s="78" t="s">
        <v>61</v>
      </c>
      <c r="E36" s="79"/>
      <c r="F36" s="80"/>
      <c r="G36" s="80"/>
      <c r="H36" s="81"/>
      <c r="I36" s="81"/>
      <c r="J36" s="81"/>
      <c r="K36" s="81"/>
      <c r="L36" s="81">
        <v>5.4800000000000001E-2</v>
      </c>
      <c r="M36" s="81">
        <v>3.5799999999999998E-2</v>
      </c>
      <c r="N36" s="81"/>
      <c r="O36" s="81" t="s">
        <v>1311</v>
      </c>
      <c r="P36" s="81"/>
      <c r="Q36" s="81"/>
      <c r="R36" s="82">
        <v>46245</v>
      </c>
      <c r="S36" s="77"/>
      <c r="T36" s="77" t="s">
        <v>729</v>
      </c>
      <c r="U36" s="82"/>
      <c r="V36" s="77" t="s">
        <v>1362</v>
      </c>
      <c r="W36" s="78"/>
      <c r="X36" s="78"/>
      <c r="Y36" s="78"/>
      <c r="Z36" s="78"/>
    </row>
    <row r="37" spans="1:26" s="83" customFormat="1" ht="14.5" customHeight="1" x14ac:dyDescent="0.35">
      <c r="A37" s="77" t="s">
        <v>92</v>
      </c>
      <c r="B37" s="78" t="s">
        <v>93</v>
      </c>
      <c r="C37" s="78" t="s">
        <v>22</v>
      </c>
      <c r="D37" s="78" t="s">
        <v>61</v>
      </c>
      <c r="E37" s="79"/>
      <c r="F37" s="80"/>
      <c r="G37" s="80"/>
      <c r="H37" s="81">
        <v>1.6999999999999999E-3</v>
      </c>
      <c r="I37" s="81">
        <v>1.8499999999999999E-2</v>
      </c>
      <c r="J37" s="81">
        <v>-0.10390000000000001</v>
      </c>
      <c r="K37" s="81">
        <v>0.1002</v>
      </c>
      <c r="L37" s="81">
        <v>5.9400000000000001E-2</v>
      </c>
      <c r="M37" s="81">
        <v>4.2500000000000003E-2</v>
      </c>
      <c r="N37" s="81"/>
      <c r="O37" s="81">
        <v>8.6E-3</v>
      </c>
      <c r="P37" s="81"/>
      <c r="Q37" s="81"/>
      <c r="R37" s="82">
        <v>46245</v>
      </c>
      <c r="S37" s="77"/>
      <c r="T37" s="77" t="s">
        <v>729</v>
      </c>
      <c r="U37" s="82"/>
      <c r="V37" s="77" t="s">
        <v>1362</v>
      </c>
      <c r="W37" s="78"/>
      <c r="X37" s="78"/>
      <c r="Y37" s="78"/>
      <c r="Z37" s="78"/>
    </row>
    <row r="38" spans="1:26" s="83" customFormat="1" ht="14.5" customHeight="1" x14ac:dyDescent="0.35">
      <c r="A38" s="77" t="s">
        <v>94</v>
      </c>
      <c r="B38" s="78" t="s">
        <v>95</v>
      </c>
      <c r="C38" s="78" t="s">
        <v>22</v>
      </c>
      <c r="D38" s="78" t="s">
        <v>61</v>
      </c>
      <c r="E38" s="79"/>
      <c r="F38" s="80"/>
      <c r="G38" s="80"/>
      <c r="H38" s="81">
        <v>-4.3E-3</v>
      </c>
      <c r="I38" s="81">
        <v>1.3100000000000001E-2</v>
      </c>
      <c r="J38" s="81">
        <v>-0.1089</v>
      </c>
      <c r="K38" s="81" t="s">
        <v>1310</v>
      </c>
      <c r="L38" s="81" t="s">
        <v>1309</v>
      </c>
      <c r="M38" s="81" t="s">
        <v>1308</v>
      </c>
      <c r="N38" s="81"/>
      <c r="O38" s="81" t="s">
        <v>1307</v>
      </c>
      <c r="P38" s="81"/>
      <c r="Q38" s="81"/>
      <c r="R38" s="82">
        <v>46245</v>
      </c>
      <c r="S38" s="77"/>
      <c r="T38" s="77" t="s">
        <v>729</v>
      </c>
      <c r="U38" s="82"/>
      <c r="V38" s="77" t="s">
        <v>1362</v>
      </c>
      <c r="W38" s="78"/>
      <c r="X38" s="78"/>
      <c r="Y38" s="78"/>
      <c r="Z38" s="78"/>
    </row>
    <row r="39" spans="1:26" s="83" customFormat="1" ht="14.5" customHeight="1" x14ac:dyDescent="0.35">
      <c r="A39" s="77" t="s">
        <v>96</v>
      </c>
      <c r="B39" s="78" t="s">
        <v>97</v>
      </c>
      <c r="C39" s="78" t="s">
        <v>22</v>
      </c>
      <c r="D39" s="78" t="s">
        <v>61</v>
      </c>
      <c r="E39" s="79"/>
      <c r="F39" s="80"/>
      <c r="G39" s="80"/>
      <c r="H39" s="81">
        <v>5.5899999999999998E-2</v>
      </c>
      <c r="I39" s="81" t="s">
        <v>1306</v>
      </c>
      <c r="J39" s="81">
        <v>-8.7999999999999995E-2</v>
      </c>
      <c r="K39" s="81" t="s">
        <v>1305</v>
      </c>
      <c r="L39" s="81" t="s">
        <v>1304</v>
      </c>
      <c r="M39" s="81" t="s">
        <v>1303</v>
      </c>
      <c r="N39" s="81"/>
      <c r="O39" s="81">
        <v>2.8E-3</v>
      </c>
      <c r="P39" s="81"/>
      <c r="Q39" s="81"/>
      <c r="R39" s="82">
        <v>46245</v>
      </c>
      <c r="S39" s="77"/>
      <c r="T39" s="77" t="s">
        <v>729</v>
      </c>
      <c r="U39" s="82"/>
      <c r="V39" s="77" t="s">
        <v>1362</v>
      </c>
      <c r="W39" s="78"/>
      <c r="X39" s="78"/>
      <c r="Y39" s="78"/>
      <c r="Z39" s="78"/>
    </row>
    <row r="40" spans="1:26" s="83" customFormat="1" ht="14.5" customHeight="1" x14ac:dyDescent="0.35">
      <c r="A40" s="77" t="s">
        <v>98</v>
      </c>
      <c r="B40" s="78" t="s">
        <v>99</v>
      </c>
      <c r="C40" s="78" t="s">
        <v>22</v>
      </c>
      <c r="D40" s="78" t="s">
        <v>61</v>
      </c>
      <c r="E40" s="79"/>
      <c r="F40" s="80"/>
      <c r="G40" s="80"/>
      <c r="H40" s="81">
        <v>3.0999999999999999E-3</v>
      </c>
      <c r="I40" s="81">
        <v>-2.2000000000000001E-3</v>
      </c>
      <c r="J40" s="81">
        <v>-1.1900000000000001E-2</v>
      </c>
      <c r="K40" s="81">
        <v>3.7499999999999999E-2</v>
      </c>
      <c r="L40" s="81">
        <v>4.1700000000000001E-2</v>
      </c>
      <c r="M40" s="81" t="s">
        <v>1245</v>
      </c>
      <c r="N40" s="81"/>
      <c r="O40" s="81">
        <v>1.32E-2</v>
      </c>
      <c r="P40" s="81"/>
      <c r="Q40" s="81"/>
      <c r="R40" s="82">
        <v>46244</v>
      </c>
      <c r="S40" s="77"/>
      <c r="T40" s="77" t="s">
        <v>729</v>
      </c>
      <c r="U40" s="82"/>
      <c r="V40" s="77" t="s">
        <v>1362</v>
      </c>
      <c r="W40" s="78"/>
      <c r="X40" s="78"/>
      <c r="Y40" s="78"/>
      <c r="Z40" s="78"/>
    </row>
    <row r="41" spans="1:26" s="83" customFormat="1" ht="14.5" customHeight="1" x14ac:dyDescent="0.35">
      <c r="A41" s="77" t="s">
        <v>100</v>
      </c>
      <c r="B41" s="78" t="s">
        <v>101</v>
      </c>
      <c r="C41" s="78" t="s">
        <v>22</v>
      </c>
      <c r="D41" s="78" t="s">
        <v>61</v>
      </c>
      <c r="E41" s="79"/>
      <c r="F41" s="80"/>
      <c r="G41" s="80"/>
      <c r="H41" s="81">
        <v>0.1</v>
      </c>
      <c r="I41" s="81">
        <v>5.8000000000000003E-2</v>
      </c>
      <c r="J41" s="81">
        <v>-0.14399999999999999</v>
      </c>
      <c r="K41" s="81">
        <v>0.1</v>
      </c>
      <c r="L41" s="81">
        <v>0.14799999999999999</v>
      </c>
      <c r="M41" s="81">
        <v>9.1999999999999998E-2</v>
      </c>
      <c r="N41" s="81"/>
      <c r="O41" s="81">
        <v>3.9E-2</v>
      </c>
      <c r="P41" s="81"/>
      <c r="Q41" s="81"/>
      <c r="R41" s="82">
        <v>46245</v>
      </c>
      <c r="S41" s="77"/>
      <c r="T41" s="77" t="s">
        <v>729</v>
      </c>
      <c r="U41" s="82"/>
      <c r="V41" s="77" t="s">
        <v>1362</v>
      </c>
      <c r="W41" s="78"/>
      <c r="X41" s="78"/>
      <c r="Y41" s="78"/>
      <c r="Z41" s="78"/>
    </row>
    <row r="42" spans="1:26" s="83" customFormat="1" ht="14.5" customHeight="1" x14ac:dyDescent="0.35">
      <c r="A42" s="77" t="s">
        <v>103</v>
      </c>
      <c r="B42" s="78" t="s">
        <v>104</v>
      </c>
      <c r="C42" s="78" t="s">
        <v>22</v>
      </c>
      <c r="D42" s="78" t="s">
        <v>61</v>
      </c>
      <c r="E42" s="79"/>
      <c r="F42" s="80"/>
      <c r="G42" s="80"/>
      <c r="H42" s="81" t="s">
        <v>1302</v>
      </c>
      <c r="I42" s="81" t="s">
        <v>1258</v>
      </c>
      <c r="J42" s="81">
        <v>6.5600000000000006E-2</v>
      </c>
      <c r="K42" s="81">
        <v>5.6300000000000003E-2</v>
      </c>
      <c r="L42" s="81">
        <v>4.4900000000000002E-2</v>
      </c>
      <c r="M42" s="81">
        <v>5.57E-2</v>
      </c>
      <c r="N42" s="81"/>
      <c r="O42" s="81" t="s">
        <v>1301</v>
      </c>
      <c r="P42" s="81"/>
      <c r="Q42" s="81"/>
      <c r="R42" s="82">
        <v>46245</v>
      </c>
      <c r="S42" s="77"/>
      <c r="T42" s="77" t="s">
        <v>729</v>
      </c>
      <c r="U42" s="82"/>
      <c r="V42" s="77" t="s">
        <v>1362</v>
      </c>
      <c r="W42" s="78"/>
      <c r="X42" s="78"/>
      <c r="Y42" s="78"/>
      <c r="Z42" s="78"/>
    </row>
    <row r="43" spans="1:26" s="83" customFormat="1" ht="14.5" customHeight="1" x14ac:dyDescent="0.35">
      <c r="A43" s="77" t="s">
        <v>106</v>
      </c>
      <c r="B43" s="78" t="s">
        <v>107</v>
      </c>
      <c r="C43" s="78" t="s">
        <v>22</v>
      </c>
      <c r="D43" s="78" t="s">
        <v>61</v>
      </c>
      <c r="E43" s="79"/>
      <c r="F43" s="80"/>
      <c r="G43" s="80"/>
      <c r="H43" s="81">
        <v>1.95E-2</v>
      </c>
      <c r="I43" s="81">
        <v>1.6799999999999999E-2</v>
      </c>
      <c r="J43" s="81">
        <v>-0.1186</v>
      </c>
      <c r="K43" s="81">
        <v>0.1077</v>
      </c>
      <c r="L43" s="81">
        <v>6.9999999999999999E-4</v>
      </c>
      <c r="M43" s="81">
        <v>5.2999999999999999E-2</v>
      </c>
      <c r="N43" s="81"/>
      <c r="O43" s="81">
        <v>-8.2000000000000007E-3</v>
      </c>
      <c r="P43" s="81"/>
      <c r="Q43" s="81"/>
      <c r="R43" s="82">
        <v>46246</v>
      </c>
      <c r="S43" s="77"/>
      <c r="T43" s="77" t="s">
        <v>729</v>
      </c>
      <c r="U43" s="82"/>
      <c r="V43" s="77" t="s">
        <v>1362</v>
      </c>
      <c r="W43" s="78"/>
      <c r="X43" s="78"/>
      <c r="Y43" s="78"/>
      <c r="Z43" s="78"/>
    </row>
    <row r="44" spans="1:26" s="83" customFormat="1" ht="14.5" customHeight="1" x14ac:dyDescent="0.35">
      <c r="A44" s="77" t="s">
        <v>108</v>
      </c>
      <c r="B44" s="78" t="s">
        <v>109</v>
      </c>
      <c r="C44" s="78" t="s">
        <v>22</v>
      </c>
      <c r="D44" s="78" t="s">
        <v>61</v>
      </c>
      <c r="E44" s="79"/>
      <c r="F44" s="80"/>
      <c r="G44" s="80"/>
      <c r="H44" s="81">
        <v>4.9799999999999997E-2</v>
      </c>
      <c r="I44" s="81">
        <v>5.8200000000000002E-2</v>
      </c>
      <c r="J44" s="81">
        <v>-8.7900000000000006E-2</v>
      </c>
      <c r="K44" s="81">
        <v>-8.0000000000000004E-4</v>
      </c>
      <c r="L44" s="81">
        <v>7.0699999999999999E-2</v>
      </c>
      <c r="M44" s="81" t="s">
        <v>1300</v>
      </c>
      <c r="N44" s="81"/>
      <c r="O44" s="81">
        <v>5.7000000000000002E-3</v>
      </c>
      <c r="P44" s="81"/>
      <c r="Q44" s="81"/>
      <c r="R44" s="82">
        <v>46245</v>
      </c>
      <c r="S44" s="77"/>
      <c r="T44" s="77" t="s">
        <v>729</v>
      </c>
      <c r="U44" s="82"/>
      <c r="V44" s="77" t="s">
        <v>1362</v>
      </c>
      <c r="W44" s="78"/>
      <c r="X44" s="78"/>
      <c r="Y44" s="78"/>
      <c r="Z44" s="78"/>
    </row>
    <row r="45" spans="1:26" s="83" customFormat="1" ht="14.5" customHeight="1" x14ac:dyDescent="0.35">
      <c r="A45" s="77" t="s">
        <v>110</v>
      </c>
      <c r="B45" s="78" t="s">
        <v>111</v>
      </c>
      <c r="C45" s="78" t="s">
        <v>22</v>
      </c>
      <c r="D45" s="78" t="s">
        <v>61</v>
      </c>
      <c r="E45" s="79"/>
      <c r="F45" s="80"/>
      <c r="G45" s="80"/>
      <c r="H45" s="81">
        <v>3.0000000000000001E-3</v>
      </c>
      <c r="I45" s="81">
        <v>6.4000000000000003E-3</v>
      </c>
      <c r="J45" s="81">
        <v>-2.87E-2</v>
      </c>
      <c r="K45" s="81" t="s">
        <v>1299</v>
      </c>
      <c r="L45" s="81" t="s">
        <v>1298</v>
      </c>
      <c r="M45" s="81" t="s">
        <v>1297</v>
      </c>
      <c r="N45" s="81"/>
      <c r="O45" s="81">
        <v>1.21E-2</v>
      </c>
      <c r="P45" s="81"/>
      <c r="Q45" s="81"/>
      <c r="R45" s="82">
        <v>46245</v>
      </c>
      <c r="S45" s="77"/>
      <c r="T45" s="77" t="s">
        <v>729</v>
      </c>
      <c r="U45" s="82"/>
      <c r="V45" s="77" t="s">
        <v>1362</v>
      </c>
      <c r="W45" s="78"/>
      <c r="X45" s="78"/>
      <c r="Y45" s="78"/>
      <c r="Z45" s="78"/>
    </row>
    <row r="46" spans="1:26" s="83" customFormat="1" ht="14.5" customHeight="1" x14ac:dyDescent="0.35">
      <c r="A46" s="77" t="s">
        <v>112</v>
      </c>
      <c r="B46" s="78" t="s">
        <v>113</v>
      </c>
      <c r="C46" s="78" t="s">
        <v>22</v>
      </c>
      <c r="D46" s="78" t="s">
        <v>61</v>
      </c>
      <c r="E46" s="79"/>
      <c r="F46" s="80"/>
      <c r="G46" s="80"/>
      <c r="H46" s="81"/>
      <c r="I46" s="81"/>
      <c r="J46" s="81"/>
      <c r="K46" s="81"/>
      <c r="L46" s="81"/>
      <c r="M46" s="81">
        <v>3.9899999999999998E-2</v>
      </c>
      <c r="N46" s="81"/>
      <c r="O46" s="81">
        <v>9.9000000000000008E-3</v>
      </c>
      <c r="P46" s="81"/>
      <c r="Q46" s="81"/>
      <c r="R46" s="82">
        <v>46245</v>
      </c>
      <c r="S46" s="77"/>
      <c r="T46" s="77" t="s">
        <v>729</v>
      </c>
      <c r="U46" s="82"/>
      <c r="V46" s="77" t="s">
        <v>1362</v>
      </c>
      <c r="W46" s="78"/>
      <c r="X46" s="78"/>
      <c r="Y46" s="78"/>
      <c r="Z46" s="78"/>
    </row>
    <row r="47" spans="1:26" s="83" customFormat="1" ht="14.5" customHeight="1" x14ac:dyDescent="0.35">
      <c r="A47" s="77" t="s">
        <v>114</v>
      </c>
      <c r="B47" s="78" t="s">
        <v>115</v>
      </c>
      <c r="C47" s="78" t="s">
        <v>22</v>
      </c>
      <c r="D47" s="78" t="s">
        <v>61</v>
      </c>
      <c r="E47" s="79"/>
      <c r="F47" s="80"/>
      <c r="G47" s="80"/>
      <c r="H47" s="81"/>
      <c r="I47" s="81"/>
      <c r="J47" s="81"/>
      <c r="K47" s="81">
        <v>0.12</v>
      </c>
      <c r="L47" s="81">
        <v>5.8799999999999998E-2</v>
      </c>
      <c r="M47" s="81">
        <v>3.6299999999999999E-2</v>
      </c>
      <c r="N47" s="81"/>
      <c r="O47" s="81">
        <v>1.1599999999999999E-2</v>
      </c>
      <c r="P47" s="81"/>
      <c r="Q47" s="81"/>
      <c r="R47" s="82">
        <v>46245</v>
      </c>
      <c r="S47" s="77"/>
      <c r="T47" s="77" t="s">
        <v>729</v>
      </c>
      <c r="U47" s="82"/>
      <c r="V47" s="77" t="s">
        <v>1362</v>
      </c>
      <c r="W47" s="78"/>
      <c r="X47" s="78"/>
      <c r="Y47" s="78"/>
      <c r="Z47" s="78"/>
    </row>
    <row r="48" spans="1:26" s="83" customFormat="1" ht="14.5" customHeight="1" x14ac:dyDescent="0.35">
      <c r="A48" s="77" t="s">
        <v>116</v>
      </c>
      <c r="B48" s="78" t="s">
        <v>117</v>
      </c>
      <c r="C48" s="78" t="s">
        <v>22</v>
      </c>
      <c r="D48" s="78" t="s">
        <v>61</v>
      </c>
      <c r="E48" s="79"/>
      <c r="F48" s="80"/>
      <c r="G48" s="80"/>
      <c r="H48" s="81">
        <v>-2.3300000000000001E-2</v>
      </c>
      <c r="I48" s="81">
        <v>4.5199999999999997E-2</v>
      </c>
      <c r="J48" s="81">
        <v>-6.3500000000000001E-2</v>
      </c>
      <c r="K48" s="81">
        <v>4.48E-2</v>
      </c>
      <c r="L48" s="81">
        <v>4.6600000000000003E-2</v>
      </c>
      <c r="M48" s="81" t="s">
        <v>1296</v>
      </c>
      <c r="N48" s="81"/>
      <c r="O48" s="81" t="s">
        <v>1295</v>
      </c>
      <c r="P48" s="81"/>
      <c r="Q48" s="81"/>
      <c r="R48" s="82">
        <v>46245</v>
      </c>
      <c r="S48" s="77"/>
      <c r="T48" s="77" t="s">
        <v>729</v>
      </c>
      <c r="U48" s="82"/>
      <c r="V48" s="77" t="s">
        <v>1362</v>
      </c>
      <c r="W48" s="78"/>
      <c r="X48" s="78"/>
      <c r="Y48" s="78"/>
      <c r="Z48" s="78"/>
    </row>
    <row r="49" spans="1:30" s="83" customFormat="1" ht="14.5" customHeight="1" x14ac:dyDescent="0.35">
      <c r="A49" s="77" t="s">
        <v>118</v>
      </c>
      <c r="B49" s="78" t="s">
        <v>119</v>
      </c>
      <c r="C49" s="78" t="s">
        <v>22</v>
      </c>
      <c r="D49" s="78" t="s">
        <v>61</v>
      </c>
      <c r="E49" s="79"/>
      <c r="F49" s="80"/>
      <c r="G49" s="80"/>
      <c r="H49" s="81"/>
      <c r="I49" s="81"/>
      <c r="J49" s="81"/>
      <c r="K49" s="81"/>
      <c r="L49" s="81" t="s">
        <v>1294</v>
      </c>
      <c r="M49" s="81">
        <v>5.0599999999999999E-2</v>
      </c>
      <c r="N49" s="81"/>
      <c r="O49" s="81" t="s">
        <v>1293</v>
      </c>
      <c r="P49" s="81"/>
      <c r="Q49" s="81"/>
      <c r="R49" s="82">
        <v>46245</v>
      </c>
      <c r="S49" s="77"/>
      <c r="T49" s="77" t="s">
        <v>729</v>
      </c>
      <c r="U49" s="82"/>
      <c r="V49" s="77" t="s">
        <v>1362</v>
      </c>
      <c r="W49" s="78"/>
      <c r="X49" s="78"/>
      <c r="Y49" s="78"/>
      <c r="Z49" s="78"/>
    </row>
    <row r="50" spans="1:30" s="83" customFormat="1" ht="14.5" customHeight="1" x14ac:dyDescent="0.35">
      <c r="A50" s="77" t="s">
        <v>120</v>
      </c>
      <c r="B50" s="78" t="s">
        <v>121</v>
      </c>
      <c r="C50" s="78" t="s">
        <v>22</v>
      </c>
      <c r="D50" s="78" t="s">
        <v>61</v>
      </c>
      <c r="E50" s="79"/>
      <c r="F50" s="80"/>
      <c r="G50" s="80"/>
      <c r="H50" s="81"/>
      <c r="I50" s="81"/>
      <c r="J50" s="81"/>
      <c r="K50" s="81"/>
      <c r="L50" s="81">
        <v>7.9699999999999993E-2</v>
      </c>
      <c r="M50" s="81">
        <v>5.0299999999999997E-2</v>
      </c>
      <c r="N50" s="81"/>
      <c r="O50" s="81" t="s">
        <v>1292</v>
      </c>
      <c r="P50" s="81"/>
      <c r="Q50" s="81"/>
      <c r="R50" s="82">
        <v>46245</v>
      </c>
      <c r="S50" s="77"/>
      <c r="T50" s="77" t="s">
        <v>729</v>
      </c>
      <c r="U50" s="82"/>
      <c r="V50" s="77" t="s">
        <v>1362</v>
      </c>
      <c r="W50" s="78"/>
      <c r="X50" s="78"/>
      <c r="Y50" s="78"/>
      <c r="Z50" s="78"/>
    </row>
    <row r="51" spans="1:30" s="83" customFormat="1" ht="14.5" customHeight="1" x14ac:dyDescent="0.35">
      <c r="A51" s="77" t="s">
        <v>122</v>
      </c>
      <c r="B51" s="78" t="s">
        <v>123</v>
      </c>
      <c r="C51" s="78" t="s">
        <v>22</v>
      </c>
      <c r="D51" s="78" t="s">
        <v>61</v>
      </c>
      <c r="E51" s="79"/>
      <c r="F51" s="80"/>
      <c r="G51" s="80"/>
      <c r="H51" s="81">
        <v>-0.35570000000000002</v>
      </c>
      <c r="I51" s="81">
        <v>4.02E-2</v>
      </c>
      <c r="J51" s="81">
        <v>0.2596</v>
      </c>
      <c r="K51" s="81" t="s">
        <v>1353</v>
      </c>
      <c r="L51" s="81">
        <v>-8.6099999999999996E-2</v>
      </c>
      <c r="M51" s="81" t="s">
        <v>1352</v>
      </c>
      <c r="N51" s="81"/>
      <c r="O51" s="81" t="s">
        <v>1351</v>
      </c>
      <c r="P51" s="81"/>
      <c r="Q51" s="81"/>
      <c r="R51" s="82">
        <v>46246</v>
      </c>
      <c r="S51" s="77"/>
      <c r="T51" s="77" t="s">
        <v>729</v>
      </c>
      <c r="U51" s="82"/>
      <c r="V51" s="77" t="s">
        <v>1362</v>
      </c>
      <c r="W51" s="78"/>
      <c r="X51" s="78"/>
      <c r="Y51" s="78"/>
      <c r="Z51" s="78"/>
    </row>
    <row r="52" spans="1:30" s="83" customFormat="1" ht="14.5" customHeight="1" x14ac:dyDescent="0.35">
      <c r="A52" s="77" t="s">
        <v>124</v>
      </c>
      <c r="B52" s="78" t="s">
        <v>125</v>
      </c>
      <c r="C52" s="78" t="s">
        <v>22</v>
      </c>
      <c r="D52" s="78" t="s">
        <v>61</v>
      </c>
      <c r="E52" s="79"/>
      <c r="F52" s="80"/>
      <c r="G52" s="80"/>
      <c r="H52" s="81">
        <v>-0.35980000000000001</v>
      </c>
      <c r="I52" s="81">
        <v>2.9100000000000001E-2</v>
      </c>
      <c r="J52" s="81">
        <v>0.24940000000000001</v>
      </c>
      <c r="K52" s="81">
        <v>0.26250000000000001</v>
      </c>
      <c r="L52" s="81">
        <v>-9.1600000000000001E-2</v>
      </c>
      <c r="M52" s="81" t="s">
        <v>1355</v>
      </c>
      <c r="N52" s="81"/>
      <c r="O52" s="81" t="s">
        <v>1354</v>
      </c>
      <c r="P52" s="81"/>
      <c r="Q52" s="81"/>
      <c r="R52" s="82">
        <v>46245</v>
      </c>
      <c r="S52" s="77"/>
      <c r="T52" s="77" t="s">
        <v>729</v>
      </c>
      <c r="U52" s="82"/>
      <c r="V52" s="77" t="s">
        <v>1362</v>
      </c>
      <c r="W52" s="78"/>
      <c r="X52" s="78"/>
      <c r="Y52" s="78"/>
      <c r="Z52" s="78"/>
    </row>
    <row r="53" spans="1:30" s="83" customFormat="1" ht="14.5" customHeight="1" x14ac:dyDescent="0.35">
      <c r="A53" s="77" t="s">
        <v>126</v>
      </c>
      <c r="B53" s="78" t="s">
        <v>127</v>
      </c>
      <c r="C53" s="78" t="s">
        <v>22</v>
      </c>
      <c r="D53" s="78" t="s">
        <v>61</v>
      </c>
      <c r="E53" s="79"/>
      <c r="F53" s="80"/>
      <c r="G53" s="80"/>
      <c r="H53" s="81">
        <v>-0.35799999999999998</v>
      </c>
      <c r="I53" s="81" t="s">
        <v>1356</v>
      </c>
      <c r="J53" s="81">
        <v>0.25159999999999999</v>
      </c>
      <c r="K53" s="81"/>
      <c r="L53" s="81"/>
      <c r="M53" s="81"/>
      <c r="N53" s="81"/>
      <c r="O53" s="81"/>
      <c r="P53" s="81"/>
      <c r="Q53" s="81"/>
      <c r="R53" s="82">
        <v>45112</v>
      </c>
      <c r="S53" s="77"/>
      <c r="T53" s="77" t="s">
        <v>729</v>
      </c>
      <c r="U53" s="82"/>
      <c r="V53" s="77" t="s">
        <v>1362</v>
      </c>
      <c r="W53" s="78"/>
      <c r="X53" s="78"/>
      <c r="Y53" s="78"/>
      <c r="Z53" s="78"/>
    </row>
    <row r="54" spans="1:30" s="83" customFormat="1" ht="14.5" customHeight="1" x14ac:dyDescent="0.35">
      <c r="A54" s="77" t="s">
        <v>128</v>
      </c>
      <c r="B54" s="78" t="s">
        <v>129</v>
      </c>
      <c r="C54" s="78" t="s">
        <v>22</v>
      </c>
      <c r="D54" s="78" t="s">
        <v>61</v>
      </c>
      <c r="E54" s="79"/>
      <c r="F54" s="80"/>
      <c r="G54" s="80"/>
      <c r="H54" s="81">
        <v>-0.36520000000000002</v>
      </c>
      <c r="I54" s="81" t="s">
        <v>1359</v>
      </c>
      <c r="J54" s="81">
        <v>0.1835</v>
      </c>
      <c r="K54" s="81" t="s">
        <v>1358</v>
      </c>
      <c r="L54" s="81">
        <v>-0.1018</v>
      </c>
      <c r="M54" s="81" t="s">
        <v>1357</v>
      </c>
      <c r="N54" s="81"/>
      <c r="O54" s="81">
        <v>9.5799999999999996E-2</v>
      </c>
      <c r="P54" s="81"/>
      <c r="Q54" s="81"/>
      <c r="R54" s="82">
        <v>46246</v>
      </c>
      <c r="S54" s="77"/>
      <c r="T54" s="77" t="s">
        <v>729</v>
      </c>
      <c r="U54" s="82"/>
      <c r="V54" s="77" t="s">
        <v>1362</v>
      </c>
      <c r="W54" s="78"/>
      <c r="X54" s="78"/>
      <c r="Y54" s="78"/>
      <c r="Z54" s="78"/>
    </row>
    <row r="55" spans="1:30" s="83" customFormat="1" ht="14.5" customHeight="1" x14ac:dyDescent="0.35">
      <c r="A55" s="77" t="s">
        <v>130</v>
      </c>
      <c r="B55" s="78" t="s">
        <v>131</v>
      </c>
      <c r="C55" s="78" t="s">
        <v>22</v>
      </c>
      <c r="D55" s="78" t="s">
        <v>61</v>
      </c>
      <c r="E55" s="79"/>
      <c r="F55" s="80"/>
      <c r="G55" s="80"/>
      <c r="H55" s="81"/>
      <c r="I55" s="81">
        <v>-0.32750000000000001</v>
      </c>
      <c r="J55" s="81">
        <v>1.1000000000000001E-3</v>
      </c>
      <c r="K55" s="81">
        <v>-0.69989999999999997</v>
      </c>
      <c r="L55" s="81">
        <v>-0.24210000000000001</v>
      </c>
      <c r="M55" s="81">
        <v>4.4000000000000003E-3</v>
      </c>
      <c r="N55" s="81"/>
      <c r="O55" s="81"/>
      <c r="P55" s="81"/>
      <c r="Q55" s="81"/>
      <c r="R55" s="82">
        <v>46246</v>
      </c>
      <c r="S55" s="77"/>
      <c r="T55" s="77" t="s">
        <v>729</v>
      </c>
      <c r="U55" s="82"/>
      <c r="V55" s="77" t="s">
        <v>1362</v>
      </c>
      <c r="W55" s="78"/>
      <c r="X55" s="78"/>
      <c r="Y55" s="78"/>
      <c r="Z55" s="78"/>
    </row>
    <row r="56" spans="1:30" s="83" customFormat="1" ht="14.5" customHeight="1" x14ac:dyDescent="0.35">
      <c r="A56" s="77" t="s">
        <v>132</v>
      </c>
      <c r="B56" s="78" t="s">
        <v>133</v>
      </c>
      <c r="C56" s="78" t="s">
        <v>22</v>
      </c>
      <c r="D56" s="78" t="s">
        <v>61</v>
      </c>
      <c r="E56" s="79"/>
      <c r="F56" s="80"/>
      <c r="G56" s="80"/>
      <c r="H56" s="81"/>
      <c r="I56" s="81">
        <v>-0.3306</v>
      </c>
      <c r="J56" s="81">
        <v>-2.8E-3</v>
      </c>
      <c r="K56" s="81">
        <v>-0.68620000000000003</v>
      </c>
      <c r="L56" s="81">
        <v>-0.2394</v>
      </c>
      <c r="M56" s="81"/>
      <c r="N56" s="81"/>
      <c r="O56" s="81"/>
      <c r="P56" s="81"/>
      <c r="Q56" s="81"/>
      <c r="R56" s="82">
        <v>46246</v>
      </c>
      <c r="S56" s="77"/>
      <c r="T56" s="77" t="s">
        <v>729</v>
      </c>
      <c r="U56" s="82"/>
      <c r="V56" s="77" t="s">
        <v>1362</v>
      </c>
      <c r="W56" s="78"/>
      <c r="X56" s="78"/>
      <c r="Y56" s="78"/>
      <c r="Z56" s="78"/>
    </row>
    <row r="57" spans="1:30" s="83" customFormat="1" ht="14.5" customHeight="1" x14ac:dyDescent="0.35">
      <c r="A57" s="77" t="s">
        <v>134</v>
      </c>
      <c r="B57" s="78" t="s">
        <v>135</v>
      </c>
      <c r="C57" s="78" t="s">
        <v>22</v>
      </c>
      <c r="D57" s="78" t="s">
        <v>61</v>
      </c>
      <c r="E57" s="79"/>
      <c r="F57" s="80"/>
      <c r="G57" s="80"/>
      <c r="H57" s="81"/>
      <c r="I57" s="81">
        <v>-0.32440000000000002</v>
      </c>
      <c r="J57" s="81">
        <v>5.5999999999999999E-3</v>
      </c>
      <c r="K57" s="81">
        <v>-0.70760000000000001</v>
      </c>
      <c r="L57" s="81">
        <v>-0.24160000000000001</v>
      </c>
      <c r="M57" s="81">
        <v>4.4999999999999997E-3</v>
      </c>
      <c r="N57" s="81"/>
      <c r="O57" s="81">
        <v>0</v>
      </c>
      <c r="P57" s="81"/>
      <c r="Q57" s="81"/>
      <c r="R57" s="82">
        <v>46246</v>
      </c>
      <c r="S57" s="77"/>
      <c r="T57" s="77" t="s">
        <v>729</v>
      </c>
      <c r="U57" s="82"/>
      <c r="V57" s="77" t="s">
        <v>1362</v>
      </c>
      <c r="W57" s="78"/>
      <c r="X57" s="78"/>
      <c r="Y57" s="78"/>
      <c r="Z57" s="78"/>
    </row>
    <row r="58" spans="1:30" s="83" customFormat="1" ht="14.5" customHeight="1" x14ac:dyDescent="0.35">
      <c r="A58" s="77" t="s">
        <v>136</v>
      </c>
      <c r="B58" s="78" t="s">
        <v>137</v>
      </c>
      <c r="C58" s="78" t="s">
        <v>22</v>
      </c>
      <c r="D58" s="78" t="s">
        <v>61</v>
      </c>
      <c r="E58" s="79"/>
      <c r="F58" s="80"/>
      <c r="G58" s="80"/>
      <c r="H58" s="81"/>
      <c r="I58" s="81">
        <v>-0.32479999999999998</v>
      </c>
      <c r="J58" s="81" t="s">
        <v>1291</v>
      </c>
      <c r="K58" s="81">
        <v>-0.70499999999999996</v>
      </c>
      <c r="L58" s="81">
        <v>-0.24010000000000001</v>
      </c>
      <c r="M58" s="81" t="s">
        <v>1290</v>
      </c>
      <c r="N58" s="81"/>
      <c r="O58" s="81">
        <v>-5.8000000000000003E-2</v>
      </c>
      <c r="P58" s="81"/>
      <c r="Q58" s="81"/>
      <c r="R58" s="82">
        <v>46246</v>
      </c>
      <c r="S58" s="77"/>
      <c r="T58" s="77" t="s">
        <v>729</v>
      </c>
      <c r="U58" s="82"/>
      <c r="V58" s="77" t="s">
        <v>1362</v>
      </c>
      <c r="W58" s="78"/>
      <c r="X58" s="78"/>
      <c r="Y58" s="78"/>
      <c r="Z58" s="78"/>
    </row>
    <row r="59" spans="1:30" s="83" customFormat="1" ht="14.5" customHeight="1" x14ac:dyDescent="0.35">
      <c r="A59" s="77" t="s">
        <v>138</v>
      </c>
      <c r="B59" s="78" t="s">
        <v>139</v>
      </c>
      <c r="C59" s="78" t="s">
        <v>22</v>
      </c>
      <c r="D59" s="78" t="s">
        <v>61</v>
      </c>
      <c r="E59" s="79"/>
      <c r="F59" s="80"/>
      <c r="G59" s="80"/>
      <c r="H59" s="81" t="s">
        <v>1289</v>
      </c>
      <c r="I59" s="81">
        <v>1.6299999999999999E-2</v>
      </c>
      <c r="J59" s="81">
        <v>-0.1055</v>
      </c>
      <c r="K59" s="81">
        <v>0.10829999999999999</v>
      </c>
      <c r="L59" s="81">
        <v>8.48E-2</v>
      </c>
      <c r="M59" s="81" t="s">
        <v>1288</v>
      </c>
      <c r="N59" s="81"/>
      <c r="O59" s="81" t="s">
        <v>1287</v>
      </c>
      <c r="P59" s="81"/>
      <c r="Q59" s="81"/>
      <c r="R59" s="82">
        <v>46245</v>
      </c>
      <c r="S59" s="77"/>
      <c r="T59" s="77" t="s">
        <v>729</v>
      </c>
      <c r="U59" s="82"/>
      <c r="V59" s="77" t="s">
        <v>1362</v>
      </c>
      <c r="W59" s="78"/>
      <c r="X59" s="78"/>
      <c r="Y59" s="78"/>
      <c r="Z59" s="78"/>
    </row>
    <row r="60" spans="1:30" s="83" customFormat="1" ht="14.5" customHeight="1" x14ac:dyDescent="0.35">
      <c r="A60" s="77" t="s">
        <v>140</v>
      </c>
      <c r="B60" s="78" t="s">
        <v>141</v>
      </c>
      <c r="C60" s="78" t="s">
        <v>22</v>
      </c>
      <c r="D60" s="78" t="s">
        <v>61</v>
      </c>
      <c r="E60" s="79"/>
      <c r="F60" s="80"/>
      <c r="G60" s="80"/>
      <c r="H60" s="81">
        <v>3.44E-2</v>
      </c>
      <c r="I60" s="81" t="s">
        <v>1286</v>
      </c>
      <c r="J60" s="81">
        <v>-7.0699999999999999E-2</v>
      </c>
      <c r="K60" s="81">
        <v>7.3999999999999996E-2</v>
      </c>
      <c r="L60" s="81" t="s">
        <v>1285</v>
      </c>
      <c r="M60" s="81">
        <v>5.7799999999999997E-2</v>
      </c>
      <c r="N60" s="81"/>
      <c r="O60" s="81" t="s">
        <v>1284</v>
      </c>
      <c r="P60" s="81"/>
      <c r="Q60" s="81"/>
      <c r="R60" s="82">
        <v>46244</v>
      </c>
      <c r="S60" s="77"/>
      <c r="T60" s="77" t="s">
        <v>729</v>
      </c>
      <c r="U60" s="82"/>
      <c r="V60" s="77" t="s">
        <v>1362</v>
      </c>
      <c r="W60" s="78"/>
      <c r="X60" s="78"/>
      <c r="Y60" s="78"/>
      <c r="Z60" s="78"/>
    </row>
    <row r="61" spans="1:30" ht="14.5" customHeight="1" x14ac:dyDescent="0.35">
      <c r="A61" s="2" t="s">
        <v>142</v>
      </c>
      <c r="B61" s="3" t="s">
        <v>143</v>
      </c>
      <c r="C61" s="3" t="s">
        <v>22</v>
      </c>
      <c r="D61" s="3" t="s">
        <v>61</v>
      </c>
      <c r="E61" s="53"/>
      <c r="F61" s="57"/>
      <c r="G61" s="57"/>
      <c r="H61" s="5"/>
      <c r="I61" s="5"/>
      <c r="J61" s="5"/>
      <c r="K61" s="5"/>
      <c r="L61" s="5"/>
      <c r="M61" s="5"/>
      <c r="N61" s="5"/>
      <c r="O61" s="5"/>
      <c r="P61" s="5"/>
      <c r="R61" s="7"/>
      <c r="S61" s="2"/>
      <c r="T61" s="2"/>
      <c r="U61" s="7"/>
      <c r="V61" s="2"/>
      <c r="W61" s="3"/>
      <c r="X61" s="3"/>
      <c r="Y61" s="3"/>
      <c r="Z61" s="3"/>
      <c r="AC61"/>
      <c r="AD61"/>
    </row>
    <row r="62" spans="1:30" ht="14.5" customHeight="1" x14ac:dyDescent="0.35">
      <c r="A62" s="39" t="s">
        <v>144</v>
      </c>
      <c r="B62" s="40"/>
      <c r="C62" s="40"/>
      <c r="D62" s="40"/>
      <c r="E62" s="54"/>
      <c r="F62" s="58"/>
      <c r="G62" s="58"/>
      <c r="H62" s="42"/>
      <c r="I62" s="42"/>
      <c r="J62" s="42"/>
      <c r="K62" s="42"/>
      <c r="L62" s="42"/>
      <c r="M62" s="42"/>
      <c r="N62" s="42"/>
      <c r="O62" s="42"/>
      <c r="P62" s="42"/>
      <c r="Q62" s="42"/>
      <c r="R62" s="45"/>
      <c r="S62" s="39"/>
      <c r="T62" s="39"/>
      <c r="U62" s="45"/>
      <c r="V62" s="39"/>
      <c r="W62" s="40"/>
      <c r="X62" s="40"/>
      <c r="Y62" s="61"/>
      <c r="Z62" s="61"/>
      <c r="AC62"/>
      <c r="AD62"/>
    </row>
    <row r="63" spans="1:30" s="83" customFormat="1" ht="14.5" customHeight="1" x14ac:dyDescent="0.35">
      <c r="A63" s="77" t="s">
        <v>145</v>
      </c>
      <c r="B63" s="78" t="s">
        <v>146</v>
      </c>
      <c r="C63" s="78" t="s">
        <v>144</v>
      </c>
      <c r="D63" s="78"/>
      <c r="E63" s="79"/>
      <c r="F63" s="80"/>
      <c r="G63" s="80"/>
      <c r="H63" s="81" t="s">
        <v>1245</v>
      </c>
      <c r="I63" s="81">
        <v>7.3200000000000001E-2</v>
      </c>
      <c r="J63" s="81">
        <v>4.4999999999999997E-3</v>
      </c>
      <c r="K63" s="81">
        <v>5.4600000000000003E-2</v>
      </c>
      <c r="L63" s="81">
        <v>4.1000000000000002E-2</v>
      </c>
      <c r="M63" s="81">
        <v>6.13E-2</v>
      </c>
      <c r="N63" s="81"/>
      <c r="O63" s="81" t="s">
        <v>1244</v>
      </c>
      <c r="P63" s="81"/>
      <c r="Q63" s="81"/>
      <c r="R63" s="82">
        <v>46244</v>
      </c>
      <c r="S63" s="77"/>
      <c r="T63" s="77" t="s">
        <v>729</v>
      </c>
      <c r="U63" s="82"/>
      <c r="V63" s="77" t="s">
        <v>1362</v>
      </c>
      <c r="W63" s="78"/>
      <c r="X63" s="78"/>
      <c r="Y63" s="78"/>
      <c r="Z63" s="78"/>
    </row>
    <row r="64" spans="1:30" s="83" customFormat="1" ht="14.5" customHeight="1" x14ac:dyDescent="0.35">
      <c r="A64" s="77" t="s">
        <v>148</v>
      </c>
      <c r="B64" s="78" t="s">
        <v>149</v>
      </c>
      <c r="C64" s="78" t="s">
        <v>144</v>
      </c>
      <c r="D64" s="78"/>
      <c r="E64" s="79"/>
      <c r="F64" s="80"/>
      <c r="G64" s="80"/>
      <c r="H64" s="81">
        <v>6.9900000000000004E-2</v>
      </c>
      <c r="I64" s="81">
        <v>0.1193</v>
      </c>
      <c r="J64" s="81">
        <v>2.9899999999999999E-2</v>
      </c>
      <c r="K64" s="81">
        <v>7.2400000000000006E-2</v>
      </c>
      <c r="L64" s="81">
        <v>4.4299999999999999E-2</v>
      </c>
      <c r="M64" s="81">
        <v>8.1000000000000003E-2</v>
      </c>
      <c r="N64" s="81"/>
      <c r="O64" s="81">
        <v>3.39E-2</v>
      </c>
      <c r="P64" s="81"/>
      <c r="Q64" s="81"/>
      <c r="R64" s="82">
        <v>46244</v>
      </c>
      <c r="S64" s="77"/>
      <c r="T64" s="77" t="s">
        <v>729</v>
      </c>
      <c r="U64" s="82"/>
      <c r="V64" s="77" t="s">
        <v>1362</v>
      </c>
      <c r="W64" s="78"/>
      <c r="X64" s="78"/>
      <c r="Y64" s="78"/>
      <c r="Z64" s="78"/>
    </row>
    <row r="65" spans="1:26" s="83" customFormat="1" ht="14.5" customHeight="1" x14ac:dyDescent="0.35">
      <c r="A65" s="77" t="s">
        <v>151</v>
      </c>
      <c r="B65" s="78" t="s">
        <v>152</v>
      </c>
      <c r="C65" s="78" t="s">
        <v>144</v>
      </c>
      <c r="D65" s="78"/>
      <c r="E65" s="79"/>
      <c r="F65" s="80"/>
      <c r="G65" s="80"/>
      <c r="H65" s="81" t="s">
        <v>1250</v>
      </c>
      <c r="I65" s="81" t="s">
        <v>1249</v>
      </c>
      <c r="J65" s="81" t="s">
        <v>1248</v>
      </c>
      <c r="K65" s="81" t="s">
        <v>1247</v>
      </c>
      <c r="L65" s="81">
        <v>4.3900000000000002E-2</v>
      </c>
      <c r="M65" s="81" t="s">
        <v>1246</v>
      </c>
      <c r="N65" s="81"/>
      <c r="O65" s="81">
        <v>3.39E-2</v>
      </c>
      <c r="P65" s="81"/>
      <c r="Q65" s="81"/>
      <c r="R65" s="82">
        <v>46244</v>
      </c>
      <c r="S65" s="77"/>
      <c r="T65" s="77" t="s">
        <v>729</v>
      </c>
      <c r="U65" s="82"/>
      <c r="V65" s="77" t="s">
        <v>1362</v>
      </c>
      <c r="W65" s="78"/>
      <c r="X65" s="78"/>
      <c r="Y65" s="78"/>
      <c r="Z65" s="78"/>
    </row>
    <row r="66" spans="1:26" s="83" customFormat="1" ht="14.5" customHeight="1" x14ac:dyDescent="0.35">
      <c r="A66" s="77" t="s">
        <v>153</v>
      </c>
      <c r="B66" s="78" t="s">
        <v>154</v>
      </c>
      <c r="C66" s="78" t="s">
        <v>144</v>
      </c>
      <c r="D66" s="78"/>
      <c r="E66" s="79"/>
      <c r="F66" s="80"/>
      <c r="G66" s="80"/>
      <c r="H66" s="81">
        <v>1.6899999999999998E-2</v>
      </c>
      <c r="I66" s="81">
        <v>4.8899999999999999E-2</v>
      </c>
      <c r="J66" s="81">
        <v>-4.0000000000000002E-4</v>
      </c>
      <c r="K66" s="81">
        <v>3.9399999999999998E-2</v>
      </c>
      <c r="L66" s="81">
        <v>3.32E-2</v>
      </c>
      <c r="M66" s="81" t="s">
        <v>1251</v>
      </c>
      <c r="N66" s="81"/>
      <c r="O66" s="81">
        <v>2.4400000000000002E-2</v>
      </c>
      <c r="P66" s="81"/>
      <c r="Q66" s="81"/>
      <c r="R66" s="82">
        <v>46244</v>
      </c>
      <c r="S66" s="77"/>
      <c r="T66" s="77" t="s">
        <v>729</v>
      </c>
      <c r="U66" s="82"/>
      <c r="V66" s="77" t="s">
        <v>1362</v>
      </c>
      <c r="W66" s="78"/>
      <c r="X66" s="78"/>
      <c r="Y66" s="78"/>
      <c r="Z66" s="78"/>
    </row>
    <row r="67" spans="1:26" s="83" customFormat="1" ht="14.5" customHeight="1" x14ac:dyDescent="0.35">
      <c r="A67" s="77" t="s">
        <v>155</v>
      </c>
      <c r="B67" s="78" t="s">
        <v>156</v>
      </c>
      <c r="C67" s="78" t="s">
        <v>144</v>
      </c>
      <c r="D67" s="78"/>
      <c r="E67" s="79"/>
      <c r="F67" s="80"/>
      <c r="G67" s="80"/>
      <c r="H67" s="81"/>
      <c r="I67" s="81"/>
      <c r="J67" s="81"/>
      <c r="K67" s="81"/>
      <c r="L67" s="81">
        <v>0.1101</v>
      </c>
      <c r="M67" s="81" t="s">
        <v>1252</v>
      </c>
      <c r="N67" s="81"/>
      <c r="O67" s="81">
        <v>6.5699999999999995E-2</v>
      </c>
      <c r="P67" s="81"/>
      <c r="Q67" s="81"/>
      <c r="R67" s="82">
        <v>46234</v>
      </c>
      <c r="S67" s="77"/>
      <c r="T67" s="77" t="s">
        <v>729</v>
      </c>
      <c r="U67" s="82"/>
      <c r="V67" s="77" t="s">
        <v>1362</v>
      </c>
      <c r="W67" s="78"/>
      <c r="X67" s="78"/>
      <c r="Y67" s="78"/>
      <c r="Z67" s="78"/>
    </row>
    <row r="68" spans="1:26" s="83" customFormat="1" ht="14.5" customHeight="1" x14ac:dyDescent="0.35">
      <c r="A68" s="77" t="s">
        <v>158</v>
      </c>
      <c r="B68" s="78" t="s">
        <v>159</v>
      </c>
      <c r="C68" s="78" t="s">
        <v>144</v>
      </c>
      <c r="D68" s="78"/>
      <c r="E68" s="79"/>
      <c r="F68" s="80"/>
      <c r="G68" s="80"/>
      <c r="H68" s="81">
        <v>6.5299999999999997E-2</v>
      </c>
      <c r="I68" s="81">
        <v>0.1144</v>
      </c>
      <c r="J68" s="81">
        <v>2.5399999999999999E-2</v>
      </c>
      <c r="K68" s="81">
        <v>6.7699999999999996E-2</v>
      </c>
      <c r="L68" s="81">
        <v>3.8600000000000002E-2</v>
      </c>
      <c r="M68" s="81" t="s">
        <v>1254</v>
      </c>
      <c r="N68" s="81"/>
      <c r="O68" s="81" t="s">
        <v>1253</v>
      </c>
      <c r="P68" s="81"/>
      <c r="Q68" s="81"/>
      <c r="R68" s="82">
        <v>46244</v>
      </c>
      <c r="S68" s="77"/>
      <c r="T68" s="77" t="s">
        <v>729</v>
      </c>
      <c r="U68" s="82"/>
      <c r="V68" s="77" t="s">
        <v>1362</v>
      </c>
      <c r="W68" s="78"/>
      <c r="X68" s="78"/>
      <c r="Y68" s="78"/>
      <c r="Z68" s="78"/>
    </row>
    <row r="69" spans="1:26" s="83" customFormat="1" ht="14.5" customHeight="1" x14ac:dyDescent="0.35">
      <c r="A69" s="77" t="s">
        <v>160</v>
      </c>
      <c r="B69" s="78" t="s">
        <v>161</v>
      </c>
      <c r="C69" s="78" t="s">
        <v>144</v>
      </c>
      <c r="D69" s="78"/>
      <c r="E69" s="79"/>
      <c r="F69" s="80"/>
      <c r="G69" s="80"/>
      <c r="H69" s="81">
        <v>2.3E-2</v>
      </c>
      <c r="I69" s="81" t="s">
        <v>1255</v>
      </c>
      <c r="J69" s="81">
        <v>1E-4</v>
      </c>
      <c r="K69" s="81">
        <v>5.0099999999999999E-2</v>
      </c>
      <c r="L69" s="81">
        <v>3.6200000000000003E-2</v>
      </c>
      <c r="M69" s="81">
        <v>5.7000000000000002E-2</v>
      </c>
      <c r="N69" s="81"/>
      <c r="O69" s="81">
        <v>2.35E-2</v>
      </c>
      <c r="P69" s="81"/>
      <c r="Q69" s="81"/>
      <c r="R69" s="82">
        <v>46244</v>
      </c>
      <c r="S69" s="77"/>
      <c r="T69" s="77" t="s">
        <v>729</v>
      </c>
      <c r="U69" s="82"/>
      <c r="V69" s="77" t="s">
        <v>1362</v>
      </c>
      <c r="W69" s="78"/>
      <c r="X69" s="78"/>
      <c r="Y69" s="78"/>
      <c r="Z69" s="78"/>
    </row>
    <row r="70" spans="1:26" s="83" customFormat="1" ht="14.5" customHeight="1" x14ac:dyDescent="0.35">
      <c r="A70" s="77" t="s">
        <v>162</v>
      </c>
      <c r="B70" s="78" t="s">
        <v>163</v>
      </c>
      <c r="C70" s="78" t="s">
        <v>144</v>
      </c>
      <c r="D70" s="78"/>
      <c r="E70" s="79"/>
      <c r="F70" s="80"/>
      <c r="G70" s="80"/>
      <c r="H70" s="81">
        <v>-4.1000000000000003E-3</v>
      </c>
      <c r="I70" s="81">
        <v>0.13780000000000001</v>
      </c>
      <c r="J70" s="81">
        <v>2.5100000000000001E-2</v>
      </c>
      <c r="K70" s="81">
        <v>4.8500000000000001E-2</v>
      </c>
      <c r="L70" s="81" t="s">
        <v>1257</v>
      </c>
      <c r="M70" s="81">
        <v>4.6800000000000001E-2</v>
      </c>
      <c r="N70" s="81"/>
      <c r="O70" s="81" t="s">
        <v>1256</v>
      </c>
      <c r="P70" s="81"/>
      <c r="Q70" s="81"/>
      <c r="R70" s="82">
        <v>46234</v>
      </c>
      <c r="S70" s="77"/>
      <c r="T70" s="77" t="s">
        <v>729</v>
      </c>
      <c r="U70" s="82"/>
      <c r="V70" s="77" t="s">
        <v>1362</v>
      </c>
      <c r="W70" s="78"/>
      <c r="X70" s="78"/>
      <c r="Y70" s="78"/>
      <c r="Z70" s="78"/>
    </row>
    <row r="71" spans="1:26" s="83" customFormat="1" ht="14.5" customHeight="1" x14ac:dyDescent="0.35">
      <c r="A71" s="77" t="s">
        <v>164</v>
      </c>
      <c r="B71" s="78" t="s">
        <v>165</v>
      </c>
      <c r="C71" s="78" t="s">
        <v>144</v>
      </c>
      <c r="D71" s="78"/>
      <c r="E71" s="79"/>
      <c r="F71" s="80"/>
      <c r="G71" s="80"/>
      <c r="H71" s="81">
        <v>-1.8599999999999998E-2</v>
      </c>
      <c r="I71" s="81">
        <v>5.6599999999999998E-2</v>
      </c>
      <c r="J71" s="81">
        <v>-9.0800000000000006E-2</v>
      </c>
      <c r="K71" s="81">
        <v>7.5899999999999995E-2</v>
      </c>
      <c r="L71" s="81">
        <v>6.3600000000000004E-2</v>
      </c>
      <c r="M71" s="81" t="s">
        <v>1258</v>
      </c>
      <c r="N71" s="81"/>
      <c r="O71" s="81">
        <v>4.8099999999999997E-2</v>
      </c>
      <c r="P71" s="81"/>
      <c r="Q71" s="81"/>
      <c r="R71" s="82">
        <v>46245</v>
      </c>
      <c r="S71" s="77"/>
      <c r="T71" s="77" t="s">
        <v>729</v>
      </c>
      <c r="U71" s="82"/>
      <c r="V71" s="77" t="s">
        <v>1362</v>
      </c>
      <c r="W71" s="78"/>
      <c r="X71" s="78"/>
      <c r="Y71" s="78"/>
      <c r="Z71" s="78"/>
    </row>
    <row r="72" spans="1:26" s="83" customFormat="1" ht="14.5" customHeight="1" x14ac:dyDescent="0.35">
      <c r="A72" s="77" t="s">
        <v>166</v>
      </c>
      <c r="B72" s="78" t="s">
        <v>167</v>
      </c>
      <c r="C72" s="78" t="s">
        <v>144</v>
      </c>
      <c r="D72" s="78"/>
      <c r="E72" s="79"/>
      <c r="F72" s="80"/>
      <c r="G72" s="80"/>
      <c r="H72" s="81">
        <v>-8.5699999999999998E-2</v>
      </c>
      <c r="I72" s="81">
        <v>2.6200000000000001E-2</v>
      </c>
      <c r="J72" s="81" t="s">
        <v>1261</v>
      </c>
      <c r="K72" s="81" t="s">
        <v>1260</v>
      </c>
      <c r="L72" s="81">
        <v>1.9900000000000001E-2</v>
      </c>
      <c r="M72" s="81" t="s">
        <v>1259</v>
      </c>
      <c r="N72" s="81"/>
      <c r="O72" s="81">
        <v>3.9100000000000003E-2</v>
      </c>
      <c r="P72" s="81"/>
      <c r="Q72" s="81"/>
      <c r="R72" s="82">
        <v>46244</v>
      </c>
      <c r="S72" s="77"/>
      <c r="T72" s="77" t="s">
        <v>729</v>
      </c>
      <c r="U72" s="82"/>
      <c r="V72" s="77" t="s">
        <v>1362</v>
      </c>
      <c r="W72" s="78"/>
      <c r="X72" s="78"/>
      <c r="Y72" s="78"/>
      <c r="Z72" s="78"/>
    </row>
    <row r="73" spans="1:26" s="83" customFormat="1" ht="14.5" customHeight="1" x14ac:dyDescent="0.35">
      <c r="A73" s="77" t="s">
        <v>168</v>
      </c>
      <c r="B73" s="78" t="s">
        <v>169</v>
      </c>
      <c r="C73" s="78" t="s">
        <v>144</v>
      </c>
      <c r="D73" s="78"/>
      <c r="E73" s="79"/>
      <c r="F73" s="80"/>
      <c r="G73" s="80"/>
      <c r="H73" s="81">
        <v>-9.2499999999999999E-2</v>
      </c>
      <c r="I73" s="81">
        <v>1.78E-2</v>
      </c>
      <c r="J73" s="81" t="s">
        <v>1265</v>
      </c>
      <c r="K73" s="81" t="s">
        <v>1264</v>
      </c>
      <c r="L73" s="81" t="s">
        <v>1263</v>
      </c>
      <c r="M73" s="81" t="s">
        <v>1262</v>
      </c>
      <c r="N73" s="81"/>
      <c r="O73" s="81">
        <v>3.8600000000000002E-2</v>
      </c>
      <c r="P73" s="81"/>
      <c r="Q73" s="81"/>
      <c r="R73" s="82">
        <v>46244</v>
      </c>
      <c r="S73" s="77"/>
      <c r="T73" s="77" t="s">
        <v>729</v>
      </c>
      <c r="U73" s="82"/>
      <c r="V73" s="77" t="s">
        <v>1362</v>
      </c>
      <c r="W73" s="78"/>
      <c r="X73" s="78"/>
      <c r="Y73" s="78"/>
      <c r="Z73" s="78"/>
    </row>
    <row r="74" spans="1:26" s="83" customFormat="1" ht="14.5" customHeight="1" x14ac:dyDescent="0.35">
      <c r="A74" s="77" t="s">
        <v>170</v>
      </c>
      <c r="B74" s="78" t="s">
        <v>171</v>
      </c>
      <c r="C74" s="78" t="s">
        <v>144</v>
      </c>
      <c r="D74" s="78"/>
      <c r="E74" s="79"/>
      <c r="F74" s="80"/>
      <c r="G74" s="80"/>
      <c r="H74" s="81">
        <v>-9.1800000000000007E-2</v>
      </c>
      <c r="I74" s="81">
        <v>1.4800000000000001E-2</v>
      </c>
      <c r="J74" s="81">
        <v>4.87E-2</v>
      </c>
      <c r="K74" s="81"/>
      <c r="L74" s="81"/>
      <c r="M74" s="81"/>
      <c r="N74" s="81"/>
      <c r="O74" s="81"/>
      <c r="P74" s="81"/>
      <c r="Q74" s="81"/>
      <c r="R74" s="82">
        <v>45112</v>
      </c>
      <c r="S74" s="77"/>
      <c r="T74" s="77" t="s">
        <v>729</v>
      </c>
      <c r="U74" s="82"/>
      <c r="V74" s="77" t="s">
        <v>1362</v>
      </c>
      <c r="W74" s="78"/>
      <c r="X74" s="78"/>
      <c r="Y74" s="78"/>
      <c r="Z74" s="78"/>
    </row>
    <row r="75" spans="1:26" s="83" customFormat="1" ht="14.5" customHeight="1" x14ac:dyDescent="0.35">
      <c r="A75" s="77" t="s">
        <v>172</v>
      </c>
      <c r="B75" s="78" t="s">
        <v>173</v>
      </c>
      <c r="C75" s="78" t="s">
        <v>144</v>
      </c>
      <c r="D75" s="78"/>
      <c r="E75" s="79"/>
      <c r="F75" s="80"/>
      <c r="G75" s="80"/>
      <c r="H75" s="81">
        <v>-0.1017</v>
      </c>
      <c r="I75" s="81">
        <v>1.5299999999999999E-2</v>
      </c>
      <c r="J75" s="81">
        <v>4.5900000000000003E-2</v>
      </c>
      <c r="K75" s="81" t="s">
        <v>1269</v>
      </c>
      <c r="L75" s="81" t="s">
        <v>1268</v>
      </c>
      <c r="M75" s="81" t="s">
        <v>1267</v>
      </c>
      <c r="N75" s="81"/>
      <c r="O75" s="81" t="s">
        <v>1266</v>
      </c>
      <c r="P75" s="81"/>
      <c r="Q75" s="81"/>
      <c r="R75" s="82">
        <v>46244</v>
      </c>
      <c r="S75" s="77"/>
      <c r="T75" s="77" t="s">
        <v>729</v>
      </c>
      <c r="U75" s="82"/>
      <c r="V75" s="77" t="s">
        <v>1362</v>
      </c>
      <c r="W75" s="78"/>
      <c r="X75" s="78"/>
      <c r="Y75" s="78"/>
      <c r="Z75" s="78"/>
    </row>
    <row r="76" spans="1:26" s="83" customFormat="1" ht="14.5" customHeight="1" x14ac:dyDescent="0.35">
      <c r="A76" s="77" t="s">
        <v>174</v>
      </c>
      <c r="B76" s="78" t="s">
        <v>175</v>
      </c>
      <c r="C76" s="78" t="s">
        <v>144</v>
      </c>
      <c r="D76" s="78"/>
      <c r="E76" s="79"/>
      <c r="F76" s="80"/>
      <c r="G76" s="80"/>
      <c r="H76" s="81">
        <v>-0.20319999999999999</v>
      </c>
      <c r="I76" s="81">
        <v>9.5100000000000004E-2</v>
      </c>
      <c r="J76" s="81" t="s">
        <v>1271</v>
      </c>
      <c r="K76" s="81">
        <v>9.8799999999999999E-2</v>
      </c>
      <c r="L76" s="81">
        <v>-2.3400000000000001E-2</v>
      </c>
      <c r="M76" s="81" t="s">
        <v>1270</v>
      </c>
      <c r="N76" s="81"/>
      <c r="O76" s="81">
        <v>7.0499999999999993E-2</v>
      </c>
      <c r="P76" s="81"/>
      <c r="Q76" s="81"/>
      <c r="R76" s="82">
        <v>46245</v>
      </c>
      <c r="S76" s="77"/>
      <c r="T76" s="77" t="s">
        <v>729</v>
      </c>
      <c r="U76" s="82"/>
      <c r="V76" s="77" t="s">
        <v>1362</v>
      </c>
      <c r="W76" s="78"/>
      <c r="X76" s="78"/>
      <c r="Y76" s="78"/>
      <c r="Z76" s="78"/>
    </row>
    <row r="77" spans="1:26" s="83" customFormat="1" ht="14.5" customHeight="1" x14ac:dyDescent="0.35">
      <c r="A77" s="77" t="s">
        <v>176</v>
      </c>
      <c r="B77" s="78" t="s">
        <v>177</v>
      </c>
      <c r="C77" s="78" t="s">
        <v>144</v>
      </c>
      <c r="D77" s="78"/>
      <c r="E77" s="79"/>
      <c r="F77" s="80"/>
      <c r="G77" s="80"/>
      <c r="H77" s="81">
        <v>-0.20399999999999999</v>
      </c>
      <c r="I77" s="81">
        <v>9.5399999999999999E-2</v>
      </c>
      <c r="J77" s="81">
        <v>7.5200000000000003E-2</v>
      </c>
      <c r="K77" s="81"/>
      <c r="L77" s="81"/>
      <c r="M77" s="81"/>
      <c r="N77" s="81"/>
      <c r="O77" s="81"/>
      <c r="P77" s="81"/>
      <c r="Q77" s="81"/>
      <c r="R77" s="82">
        <v>45113</v>
      </c>
      <c r="S77" s="77"/>
      <c r="T77" s="77" t="s">
        <v>729</v>
      </c>
      <c r="U77" s="82"/>
      <c r="V77" s="77" t="s">
        <v>1362</v>
      </c>
      <c r="W77" s="78"/>
      <c r="X77" s="78"/>
      <c r="Y77" s="78"/>
      <c r="Z77" s="78"/>
    </row>
    <row r="78" spans="1:26" s="83" customFormat="1" ht="14.5" customHeight="1" x14ac:dyDescent="0.35">
      <c r="A78" s="77" t="s">
        <v>178</v>
      </c>
      <c r="B78" s="78" t="s">
        <v>179</v>
      </c>
      <c r="C78" s="78" t="s">
        <v>144</v>
      </c>
      <c r="D78" s="78"/>
      <c r="E78" s="79"/>
      <c r="F78" s="80"/>
      <c r="G78" s="80"/>
      <c r="H78" s="81">
        <v>-0.20399999999999999</v>
      </c>
      <c r="I78" s="81" t="s">
        <v>1273</v>
      </c>
      <c r="J78" s="81" t="s">
        <v>1272</v>
      </c>
      <c r="K78" s="81">
        <v>8.9800000000000005E-2</v>
      </c>
      <c r="L78" s="81">
        <v>-3.2099999999999997E-2</v>
      </c>
      <c r="M78" s="81">
        <v>0.25</v>
      </c>
      <c r="N78" s="81"/>
      <c r="O78" s="81" t="s">
        <v>1274</v>
      </c>
      <c r="P78" s="81"/>
      <c r="Q78" s="81"/>
      <c r="R78" s="82">
        <v>46245</v>
      </c>
      <c r="S78" s="77"/>
      <c r="T78" s="77" t="s">
        <v>729</v>
      </c>
      <c r="U78" s="82"/>
      <c r="V78" s="77" t="s">
        <v>1362</v>
      </c>
      <c r="W78" s="78"/>
      <c r="X78" s="78"/>
      <c r="Y78" s="78"/>
      <c r="Z78" s="78"/>
    </row>
    <row r="79" spans="1:26" s="83" customFormat="1" ht="14.5" customHeight="1" x14ac:dyDescent="0.35">
      <c r="A79" s="77" t="s">
        <v>180</v>
      </c>
      <c r="B79" s="78" t="s">
        <v>181</v>
      </c>
      <c r="C79" s="78" t="s">
        <v>144</v>
      </c>
      <c r="D79" s="78"/>
      <c r="E79" s="79"/>
      <c r="F79" s="80"/>
      <c r="G79" s="80"/>
      <c r="H79" s="81">
        <v>-0.63349999999999995</v>
      </c>
      <c r="I79" s="81">
        <v>0.214</v>
      </c>
      <c r="J79" s="81" t="s">
        <v>1275</v>
      </c>
      <c r="K79" s="81" t="s">
        <v>1102</v>
      </c>
      <c r="L79" s="81">
        <v>-0.1118</v>
      </c>
      <c r="M79" s="81">
        <v>0.50870000000000004</v>
      </c>
      <c r="N79" s="81"/>
      <c r="O79" s="81">
        <v>0.10390000000000001</v>
      </c>
      <c r="P79" s="81"/>
      <c r="Q79" s="81"/>
      <c r="R79" s="82">
        <v>46245</v>
      </c>
      <c r="S79" s="77"/>
      <c r="T79" s="77" t="s">
        <v>729</v>
      </c>
      <c r="U79" s="82"/>
      <c r="V79" s="77" t="s">
        <v>1362</v>
      </c>
      <c r="W79" s="78"/>
      <c r="X79" s="78"/>
      <c r="Y79" s="78"/>
      <c r="Z79" s="78"/>
    </row>
    <row r="80" spans="1:26" s="83" customFormat="1" ht="14.5" customHeight="1" x14ac:dyDescent="0.35">
      <c r="A80" s="77" t="s">
        <v>182</v>
      </c>
      <c r="B80" s="78" t="s">
        <v>183</v>
      </c>
      <c r="C80" s="78" t="s">
        <v>144</v>
      </c>
      <c r="D80" s="78"/>
      <c r="E80" s="79"/>
      <c r="F80" s="80"/>
      <c r="G80" s="80"/>
      <c r="H80" s="81" t="s">
        <v>1278</v>
      </c>
      <c r="I80" s="81">
        <v>-0.62870000000000004</v>
      </c>
      <c r="J80" s="81">
        <v>0.21809999999999999</v>
      </c>
      <c r="K80" s="81">
        <v>0.20949999999999999</v>
      </c>
      <c r="L80" s="81">
        <v>-0.11269999999999999</v>
      </c>
      <c r="M80" s="81" t="s">
        <v>1277</v>
      </c>
      <c r="N80" s="81"/>
      <c r="O80" s="81" t="s">
        <v>1276</v>
      </c>
      <c r="P80" s="81"/>
      <c r="Q80" s="81"/>
      <c r="R80" s="82">
        <v>46245</v>
      </c>
      <c r="S80" s="77"/>
      <c r="T80" s="77" t="s">
        <v>729</v>
      </c>
      <c r="U80" s="82"/>
      <c r="V80" s="77" t="s">
        <v>1362</v>
      </c>
      <c r="W80" s="78"/>
      <c r="X80" s="78"/>
      <c r="Y80" s="78"/>
      <c r="Z80" s="78"/>
    </row>
    <row r="81" spans="1:30" s="83" customFormat="1" ht="14.5" customHeight="1" x14ac:dyDescent="0.35">
      <c r="A81" s="77" t="s">
        <v>184</v>
      </c>
      <c r="B81" s="78" t="s">
        <v>185</v>
      </c>
      <c r="C81" s="78" t="s">
        <v>144</v>
      </c>
      <c r="D81" s="78"/>
      <c r="E81" s="79"/>
      <c r="F81" s="80"/>
      <c r="G81" s="80"/>
      <c r="H81" s="81"/>
      <c r="I81" s="81">
        <v>-0.44829999999999998</v>
      </c>
      <c r="J81" s="81">
        <v>7.8100000000000003E-2</v>
      </c>
      <c r="K81" s="81">
        <v>-0.7792</v>
      </c>
      <c r="L81" s="81">
        <v>-0.37140000000000001</v>
      </c>
      <c r="M81" s="81" t="s">
        <v>1279</v>
      </c>
      <c r="N81" s="81"/>
      <c r="O81" s="81">
        <v>-0.13730000000000001</v>
      </c>
      <c r="P81" s="81"/>
      <c r="Q81" s="81"/>
      <c r="R81" s="82">
        <v>46246</v>
      </c>
      <c r="S81" s="77"/>
      <c r="T81" s="77" t="s">
        <v>729</v>
      </c>
      <c r="U81" s="82"/>
      <c r="V81" s="77" t="s">
        <v>1362</v>
      </c>
      <c r="W81" s="78"/>
      <c r="X81" s="78"/>
      <c r="Y81" s="78"/>
      <c r="Z81" s="78"/>
    </row>
    <row r="82" spans="1:30" s="83" customFormat="1" ht="14.5" customHeight="1" x14ac:dyDescent="0.35">
      <c r="A82" s="77" t="s">
        <v>186</v>
      </c>
      <c r="B82" s="78" t="s">
        <v>187</v>
      </c>
      <c r="C82" s="78" t="s">
        <v>144</v>
      </c>
      <c r="D82" s="78"/>
      <c r="E82" s="79"/>
      <c r="F82" s="80"/>
      <c r="G82" s="80"/>
      <c r="H82" s="81"/>
      <c r="I82" s="81">
        <v>-0.31919999999999998</v>
      </c>
      <c r="J82" s="81">
        <v>0.223</v>
      </c>
      <c r="K82" s="81">
        <v>-0.75639999999999996</v>
      </c>
      <c r="L82" s="81">
        <v>-0.44729999999999998</v>
      </c>
      <c r="M82" s="81">
        <v>-7.3700000000000002E-2</v>
      </c>
      <c r="N82" s="81"/>
      <c r="O82" s="81">
        <v>3.8E-3</v>
      </c>
      <c r="P82" s="81"/>
      <c r="Q82" s="81"/>
      <c r="R82" s="82">
        <v>46246</v>
      </c>
      <c r="S82" s="77"/>
      <c r="T82" s="77" t="s">
        <v>729</v>
      </c>
      <c r="U82" s="82"/>
      <c r="V82" s="77" t="s">
        <v>1362</v>
      </c>
      <c r="W82" s="78"/>
      <c r="X82" s="78"/>
      <c r="Y82" s="78"/>
      <c r="Z82" s="78"/>
    </row>
    <row r="83" spans="1:30" s="83" customFormat="1" ht="14.5" customHeight="1" x14ac:dyDescent="0.35">
      <c r="A83" s="77"/>
      <c r="B83" s="78" t="s">
        <v>188</v>
      </c>
      <c r="C83" s="78" t="s">
        <v>144</v>
      </c>
      <c r="D83" s="78"/>
      <c r="E83" s="79"/>
      <c r="F83" s="80"/>
      <c r="G83" s="80"/>
      <c r="H83" s="81"/>
      <c r="I83" s="81"/>
      <c r="J83" s="81"/>
      <c r="K83" s="81"/>
      <c r="L83" s="81"/>
      <c r="M83" s="81"/>
      <c r="N83" s="81"/>
      <c r="O83" s="81"/>
      <c r="P83" s="81"/>
      <c r="Q83" s="81"/>
      <c r="R83" s="82"/>
      <c r="S83" s="77"/>
      <c r="T83" s="77" t="s">
        <v>729</v>
      </c>
      <c r="U83" s="82"/>
      <c r="V83" s="77" t="s">
        <v>1362</v>
      </c>
      <c r="W83" s="78"/>
      <c r="X83" s="78"/>
      <c r="Y83" s="78"/>
      <c r="Z83" s="78"/>
    </row>
    <row r="84" spans="1:30" s="83" customFormat="1" ht="14.5" customHeight="1" x14ac:dyDescent="0.35">
      <c r="A84" s="77" t="s">
        <v>189</v>
      </c>
      <c r="B84" s="78" t="s">
        <v>190</v>
      </c>
      <c r="C84" s="78" t="s">
        <v>144</v>
      </c>
      <c r="D84" s="78"/>
      <c r="E84" s="79"/>
      <c r="F84" s="80"/>
      <c r="G84" s="80"/>
      <c r="H84" s="81">
        <v>-3.7400000000000003E-2</v>
      </c>
      <c r="I84" s="81" t="s">
        <v>1283</v>
      </c>
      <c r="J84" s="81">
        <v>7.4099999999999999E-2</v>
      </c>
      <c r="K84" s="81" t="s">
        <v>1282</v>
      </c>
      <c r="L84" s="81" t="s">
        <v>1281</v>
      </c>
      <c r="M84" s="81" t="s">
        <v>1280</v>
      </c>
      <c r="N84" s="81"/>
      <c r="O84" s="81">
        <v>1.7000000000000001E-2</v>
      </c>
      <c r="P84" s="81"/>
      <c r="Q84" s="81"/>
      <c r="R84" s="82">
        <v>46245</v>
      </c>
      <c r="S84" s="77"/>
      <c r="T84" s="77" t="s">
        <v>729</v>
      </c>
      <c r="U84" s="82"/>
      <c r="V84" s="77" t="s">
        <v>1362</v>
      </c>
      <c r="W84" s="78"/>
      <c r="X84" s="78"/>
      <c r="Y84" s="78"/>
      <c r="Z84" s="78"/>
    </row>
    <row r="85" spans="1:30" ht="14.5" customHeight="1" x14ac:dyDescent="0.35">
      <c r="A85" s="39" t="s">
        <v>191</v>
      </c>
      <c r="B85" s="40"/>
      <c r="C85" s="40"/>
      <c r="D85" s="40"/>
      <c r="E85" s="54"/>
      <c r="F85" s="58"/>
      <c r="G85" s="58"/>
      <c r="H85" s="42"/>
      <c r="I85" s="42"/>
      <c r="J85" s="42"/>
      <c r="K85" s="42"/>
      <c r="L85" s="42"/>
      <c r="M85" s="42"/>
      <c r="N85" s="42"/>
      <c r="O85" s="42"/>
      <c r="P85" s="42"/>
      <c r="Q85" s="42"/>
      <c r="R85" s="45"/>
      <c r="S85" s="39"/>
      <c r="T85" s="39"/>
      <c r="U85" s="45"/>
      <c r="V85" s="39"/>
      <c r="W85" s="40"/>
      <c r="X85" s="40"/>
      <c r="Y85" s="61"/>
      <c r="Z85" s="61"/>
      <c r="AC85"/>
      <c r="AD85"/>
    </row>
    <row r="86" spans="1:30" s="83" customFormat="1" ht="14.5" customHeight="1" x14ac:dyDescent="0.35">
      <c r="A86" s="77" t="s">
        <v>192</v>
      </c>
      <c r="B86" s="78" t="s">
        <v>193</v>
      </c>
      <c r="C86" s="78" t="s">
        <v>191</v>
      </c>
      <c r="D86" s="78"/>
      <c r="E86" s="79"/>
      <c r="F86" s="80"/>
      <c r="G86" s="80"/>
      <c r="H86" s="81">
        <v>4.7699999999999999E-2</v>
      </c>
      <c r="I86" s="81">
        <v>0.11269999999999999</v>
      </c>
      <c r="J86" s="81">
        <v>0.1023</v>
      </c>
      <c r="K86" s="81">
        <v>8.5300000000000001E-2</v>
      </c>
      <c r="L86" s="81">
        <v>8.9633638634471394E-2</v>
      </c>
      <c r="M86" s="81">
        <v>8.3900000000000002E-2</v>
      </c>
      <c r="N86" s="81"/>
      <c r="O86" s="81">
        <v>3.7400000000000003E-2</v>
      </c>
      <c r="P86" s="81"/>
      <c r="Q86" s="81"/>
      <c r="R86" s="82">
        <v>46112</v>
      </c>
      <c r="S86" s="77"/>
      <c r="T86" s="77" t="s">
        <v>729</v>
      </c>
      <c r="U86" s="82"/>
      <c r="V86" s="77" t="s">
        <v>1363</v>
      </c>
      <c r="W86" s="78"/>
      <c r="X86" s="78"/>
      <c r="Y86" s="78"/>
      <c r="Z86" s="78"/>
    </row>
    <row r="87" spans="1:30" s="83" customFormat="1" ht="14.5" customHeight="1" x14ac:dyDescent="0.35">
      <c r="A87" s="77" t="s">
        <v>195</v>
      </c>
      <c r="B87" s="78" t="s">
        <v>196</v>
      </c>
      <c r="C87" s="78" t="s">
        <v>191</v>
      </c>
      <c r="D87" s="78"/>
      <c r="E87" s="79"/>
      <c r="F87" s="80"/>
      <c r="G87" s="80"/>
      <c r="H87" s="81">
        <v>5.0900000000000001E-2</v>
      </c>
      <c r="I87" s="81">
        <v>0.1159</v>
      </c>
      <c r="J87" s="81">
        <v>0.1028</v>
      </c>
      <c r="K87" s="81">
        <v>8.7900000000000006E-2</v>
      </c>
      <c r="L87" s="81">
        <v>9.2799999999999994E-2</v>
      </c>
      <c r="M87" s="81">
        <v>8.6900000000000005E-2</v>
      </c>
      <c r="N87" s="81"/>
      <c r="O87" s="81">
        <v>3.9100000000000003E-2</v>
      </c>
      <c r="P87" s="81"/>
      <c r="Q87" s="81"/>
      <c r="R87" s="82">
        <v>46112</v>
      </c>
      <c r="S87" s="77"/>
      <c r="T87" s="77" t="s">
        <v>729</v>
      </c>
      <c r="U87" s="82"/>
      <c r="V87" s="77" t="s">
        <v>1363</v>
      </c>
      <c r="W87" s="78"/>
      <c r="X87" s="78"/>
      <c r="Y87" s="78"/>
      <c r="Z87" s="78"/>
    </row>
    <row r="88" spans="1:30" s="83" customFormat="1" ht="14.5" customHeight="1" x14ac:dyDescent="0.35">
      <c r="A88" s="77" t="s">
        <v>198</v>
      </c>
      <c r="B88" s="78" t="s">
        <v>199</v>
      </c>
      <c r="C88" s="78" t="s">
        <v>191</v>
      </c>
      <c r="D88" s="78"/>
      <c r="E88" s="79"/>
      <c r="F88" s="80"/>
      <c r="G88" s="80"/>
      <c r="H88" s="81"/>
      <c r="I88" s="81"/>
      <c r="J88" s="81"/>
      <c r="K88" s="81"/>
      <c r="L88" s="81"/>
      <c r="M88" s="81"/>
      <c r="N88" s="81"/>
      <c r="O88" s="81"/>
      <c r="P88" s="81"/>
      <c r="Q88" s="81"/>
      <c r="R88" s="82"/>
      <c r="S88" s="77"/>
      <c r="T88" s="77"/>
      <c r="U88" s="82"/>
      <c r="V88" s="77"/>
      <c r="W88" s="78"/>
      <c r="X88" s="78"/>
      <c r="Y88" s="78"/>
      <c r="Z88" s="78"/>
    </row>
    <row r="89" spans="1:30" s="83" customFormat="1" ht="14.5" customHeight="1" x14ac:dyDescent="0.35">
      <c r="A89" s="77" t="s">
        <v>200</v>
      </c>
      <c r="B89" s="78" t="s">
        <v>201</v>
      </c>
      <c r="C89" s="78" t="s">
        <v>191</v>
      </c>
      <c r="D89" s="78"/>
      <c r="E89" s="79"/>
      <c r="F89" s="80"/>
      <c r="G89" s="80"/>
      <c r="H89" s="81">
        <v>4.7100000000000003E-2</v>
      </c>
      <c r="I89" s="81">
        <v>0.1081</v>
      </c>
      <c r="J89" s="81">
        <v>0.1221</v>
      </c>
      <c r="K89" s="81">
        <v>7.7795051172431684E-2</v>
      </c>
      <c r="L89" s="81">
        <v>5.6674078971092001E-2</v>
      </c>
      <c r="M89" s="81">
        <v>6.2899999999999998E-2</v>
      </c>
      <c r="N89" s="81"/>
      <c r="O89" s="81">
        <v>1.7299999999999999E-2</v>
      </c>
      <c r="P89" s="81"/>
      <c r="Q89" s="81"/>
      <c r="R89" s="82">
        <v>46112</v>
      </c>
      <c r="S89" s="77"/>
      <c r="T89" s="77" t="s">
        <v>729</v>
      </c>
      <c r="U89" s="82"/>
      <c r="V89" s="77" t="s">
        <v>1363</v>
      </c>
      <c r="W89" s="78"/>
      <c r="X89" s="78"/>
      <c r="Y89" s="78"/>
      <c r="Z89" s="78"/>
    </row>
    <row r="90" spans="1:30" s="83" customFormat="1" ht="14.5" customHeight="1" x14ac:dyDescent="0.35">
      <c r="A90" s="77" t="s">
        <v>203</v>
      </c>
      <c r="B90" s="78" t="s">
        <v>204</v>
      </c>
      <c r="C90" s="78" t="s">
        <v>191</v>
      </c>
      <c r="D90" s="78"/>
      <c r="E90" s="79"/>
      <c r="F90" s="80"/>
      <c r="G90" s="80"/>
      <c r="H90" s="81">
        <v>5.8799999999999998E-2</v>
      </c>
      <c r="I90" s="81">
        <v>0.1217</v>
      </c>
      <c r="J90" s="81">
        <v>0.13500000000000001</v>
      </c>
      <c r="K90" s="81">
        <v>9.0899999999999995E-2</v>
      </c>
      <c r="L90" s="81">
        <v>6.6500000000000004E-2</v>
      </c>
      <c r="M90" s="81">
        <v>7.0499999999999993E-2</v>
      </c>
      <c r="N90" s="81"/>
      <c r="O90" s="81">
        <v>1.9099999999999999E-2</v>
      </c>
      <c r="P90" s="81"/>
      <c r="Q90" s="81"/>
      <c r="R90" s="82">
        <v>46112</v>
      </c>
      <c r="S90" s="77"/>
      <c r="T90" s="77" t="s">
        <v>729</v>
      </c>
      <c r="U90" s="82"/>
      <c r="V90" s="77" t="s">
        <v>1363</v>
      </c>
      <c r="W90" s="78"/>
      <c r="X90" s="78"/>
      <c r="Y90" s="78"/>
      <c r="Z90" s="78"/>
    </row>
    <row r="91" spans="1:30" s="83" customFormat="1" ht="14.5" customHeight="1" x14ac:dyDescent="0.35">
      <c r="A91" s="77" t="s">
        <v>206</v>
      </c>
      <c r="B91" s="78" t="s">
        <v>207</v>
      </c>
      <c r="C91" s="78" t="s">
        <v>191</v>
      </c>
      <c r="D91" s="78"/>
      <c r="E91" s="79"/>
      <c r="F91" s="80"/>
      <c r="G91" s="80"/>
      <c r="H91" s="84"/>
      <c r="I91" s="81">
        <v>0.15479999999999999</v>
      </c>
      <c r="J91" s="81">
        <v>0.12909999999999999</v>
      </c>
      <c r="K91" s="81">
        <v>8.5900000000000004E-2</v>
      </c>
      <c r="L91" s="81">
        <v>8.9347624119100022E-2</v>
      </c>
      <c r="M91" s="81">
        <v>8.1699999999999995E-2</v>
      </c>
      <c r="N91" s="81"/>
      <c r="O91" s="81">
        <v>1.9099999999999999E-2</v>
      </c>
      <c r="P91" s="81"/>
      <c r="Q91" s="81"/>
      <c r="R91" s="82">
        <v>46112</v>
      </c>
      <c r="S91" s="77"/>
      <c r="T91" s="77" t="s">
        <v>729</v>
      </c>
      <c r="U91" s="82"/>
      <c r="V91" s="77" t="s">
        <v>1363</v>
      </c>
      <c r="W91" s="78"/>
      <c r="X91" s="78"/>
      <c r="Y91" s="78"/>
      <c r="Z91" s="78"/>
    </row>
    <row r="92" spans="1:30" s="83" customFormat="1" ht="14.5" customHeight="1" x14ac:dyDescent="0.35">
      <c r="A92" s="77" t="s">
        <v>209</v>
      </c>
      <c r="B92" s="78" t="s">
        <v>210</v>
      </c>
      <c r="C92" s="78" t="s">
        <v>191</v>
      </c>
      <c r="D92" s="78"/>
      <c r="E92" s="79"/>
      <c r="F92" s="80"/>
      <c r="G92" s="80"/>
      <c r="H92" s="81"/>
      <c r="I92" s="81"/>
      <c r="J92" s="81"/>
      <c r="K92" s="81"/>
      <c r="L92" s="81">
        <v>6.7000000000000004E-2</v>
      </c>
      <c r="M92" s="81">
        <v>8.0600000000000005E-2</v>
      </c>
      <c r="N92" s="81"/>
      <c r="O92" s="81">
        <v>1.9099999999999999E-2</v>
      </c>
      <c r="P92" s="81"/>
      <c r="Q92" s="81"/>
      <c r="R92" s="82">
        <v>46112</v>
      </c>
      <c r="S92" s="77"/>
      <c r="T92" s="77" t="s">
        <v>729</v>
      </c>
      <c r="U92" s="82"/>
      <c r="V92" s="77" t="s">
        <v>1363</v>
      </c>
      <c r="W92" s="78"/>
      <c r="X92" s="78"/>
      <c r="Y92" s="78"/>
      <c r="Z92" s="78"/>
    </row>
    <row r="93" spans="1:30" s="69" customFormat="1" ht="14.5" customHeight="1" x14ac:dyDescent="0.35">
      <c r="A93" s="64" t="s">
        <v>211</v>
      </c>
      <c r="B93" s="65" t="s">
        <v>212</v>
      </c>
      <c r="C93" s="65" t="s">
        <v>191</v>
      </c>
      <c r="D93" s="65"/>
      <c r="E93" s="66"/>
      <c r="F93" s="67"/>
      <c r="G93" s="67"/>
      <c r="H93" s="63"/>
      <c r="I93" s="63"/>
      <c r="J93" s="63">
        <v>5.1799999999999999E-2</v>
      </c>
      <c r="K93" s="63">
        <v>5.5300000000000002E-2</v>
      </c>
      <c r="L93" s="63"/>
      <c r="M93" s="63"/>
      <c r="N93" s="63"/>
      <c r="O93" s="63"/>
      <c r="P93" s="63"/>
      <c r="Q93" s="63"/>
      <c r="R93" s="68"/>
      <c r="S93" s="64"/>
      <c r="T93" s="64"/>
      <c r="U93" s="68"/>
      <c r="V93" s="62" t="s">
        <v>1363</v>
      </c>
      <c r="W93" s="65"/>
      <c r="X93" s="65"/>
      <c r="Y93" s="65"/>
      <c r="Z93" s="65"/>
    </row>
    <row r="94" spans="1:30" s="69" customFormat="1" ht="14.5" customHeight="1" x14ac:dyDescent="0.35">
      <c r="A94" s="64" t="s">
        <v>213</v>
      </c>
      <c r="B94" s="65" t="s">
        <v>214</v>
      </c>
      <c r="C94" s="65" t="s">
        <v>191</v>
      </c>
      <c r="D94" s="65"/>
      <c r="E94" s="66"/>
      <c r="F94" s="67"/>
      <c r="G94" s="67"/>
      <c r="H94" s="63"/>
      <c r="I94" s="63"/>
      <c r="J94" s="63">
        <v>5.0500000000000003E-2</v>
      </c>
      <c r="K94" s="63">
        <v>5.8599999999999999E-2</v>
      </c>
      <c r="L94" s="63"/>
      <c r="M94" s="63"/>
      <c r="N94" s="63"/>
      <c r="O94" s="63"/>
      <c r="P94" s="63"/>
      <c r="Q94" s="63"/>
      <c r="R94" s="68"/>
      <c r="S94" s="64"/>
      <c r="T94" s="64"/>
      <c r="U94" s="68"/>
      <c r="V94" s="62" t="s">
        <v>1363</v>
      </c>
      <c r="W94" s="65"/>
      <c r="X94" s="65"/>
      <c r="Y94" s="65"/>
      <c r="Z94" s="65"/>
    </row>
    <row r="95" spans="1:30" s="69" customFormat="1" ht="14.5" customHeight="1" x14ac:dyDescent="0.35">
      <c r="A95" s="64" t="s">
        <v>215</v>
      </c>
      <c r="B95" s="65" t="s">
        <v>216</v>
      </c>
      <c r="C95" s="65" t="s">
        <v>191</v>
      </c>
      <c r="D95" s="65"/>
      <c r="E95" s="66"/>
      <c r="F95" s="67"/>
      <c r="G95" s="67"/>
      <c r="H95" s="63"/>
      <c r="I95" s="63"/>
      <c r="J95" s="63"/>
      <c r="K95" s="63"/>
      <c r="L95" s="63"/>
      <c r="M95" s="63"/>
      <c r="N95" s="63"/>
      <c r="O95" s="63"/>
      <c r="P95" s="63"/>
      <c r="Q95" s="63"/>
      <c r="R95" s="68"/>
      <c r="S95" s="64"/>
      <c r="T95" s="64"/>
      <c r="U95" s="68"/>
      <c r="V95" s="62" t="s">
        <v>1363</v>
      </c>
      <c r="W95" s="65"/>
      <c r="X95" s="65"/>
      <c r="Y95" s="65"/>
      <c r="Z95" s="65"/>
    </row>
    <row r="96" spans="1:30" s="83" customFormat="1" ht="14.5" customHeight="1" x14ac:dyDescent="0.35">
      <c r="A96" s="77"/>
      <c r="B96" s="78" t="s">
        <v>218</v>
      </c>
      <c r="C96" s="78" t="s">
        <v>191</v>
      </c>
      <c r="D96" s="78"/>
      <c r="E96" s="79"/>
      <c r="F96" s="80"/>
      <c r="G96" s="80"/>
      <c r="H96" s="81"/>
      <c r="I96" s="81">
        <v>7.0999999999999994E-2</v>
      </c>
      <c r="J96" s="81">
        <v>7.0400000000000004E-2</v>
      </c>
      <c r="K96" s="81">
        <v>7.1199999999999999E-2</v>
      </c>
      <c r="L96" s="81">
        <v>8.3199999999999996E-2</v>
      </c>
      <c r="M96" s="81">
        <v>8.1299999999999997E-2</v>
      </c>
      <c r="N96" s="81"/>
      <c r="O96" s="81"/>
      <c r="P96" s="81"/>
      <c r="Q96" s="81"/>
      <c r="R96" s="82">
        <v>46022</v>
      </c>
      <c r="S96" s="77"/>
      <c r="T96" s="77" t="s">
        <v>729</v>
      </c>
      <c r="U96" s="82"/>
      <c r="V96" s="77" t="s">
        <v>1364</v>
      </c>
      <c r="W96" s="78"/>
      <c r="X96" s="78"/>
      <c r="Y96" s="78"/>
      <c r="Z96" s="78"/>
    </row>
    <row r="97" spans="1:30" s="83" customFormat="1" ht="14.5" customHeight="1" x14ac:dyDescent="0.35">
      <c r="A97" s="77"/>
      <c r="B97" s="78" t="s">
        <v>219</v>
      </c>
      <c r="C97" s="78" t="s">
        <v>191</v>
      </c>
      <c r="D97" s="78"/>
      <c r="E97" s="79"/>
      <c r="F97" s="80"/>
      <c r="G97" s="80"/>
      <c r="H97" s="81"/>
      <c r="I97" s="81"/>
      <c r="J97" s="81"/>
      <c r="K97" s="81"/>
      <c r="L97" s="81"/>
      <c r="M97" s="81">
        <v>9.4100000000000003E-2</v>
      </c>
      <c r="N97" s="81"/>
      <c r="O97" s="81"/>
      <c r="P97" s="81"/>
      <c r="Q97" s="81"/>
      <c r="R97" s="82">
        <v>46022</v>
      </c>
      <c r="S97" s="77"/>
      <c r="T97" s="77" t="s">
        <v>729</v>
      </c>
      <c r="U97" s="82"/>
      <c r="V97" s="77" t="s">
        <v>1364</v>
      </c>
      <c r="W97" s="78"/>
      <c r="X97" s="78"/>
      <c r="Y97" s="78"/>
      <c r="Z97" s="78"/>
    </row>
    <row r="98" spans="1:30" s="83" customFormat="1" ht="14.5" customHeight="1" x14ac:dyDescent="0.35">
      <c r="A98" s="77" t="s">
        <v>220</v>
      </c>
      <c r="B98" s="78" t="s">
        <v>221</v>
      </c>
      <c r="C98" s="78" t="s">
        <v>191</v>
      </c>
      <c r="D98" s="78"/>
      <c r="E98" s="79"/>
      <c r="F98" s="80"/>
      <c r="G98" s="80"/>
      <c r="H98" s="81"/>
      <c r="I98" s="81"/>
      <c r="J98" s="81">
        <v>7.6499999999999999E-2</v>
      </c>
      <c r="K98" s="81">
        <v>7.7899999999999997E-2</v>
      </c>
      <c r="L98" s="81">
        <v>7.4999999999999997E-2</v>
      </c>
      <c r="M98" s="81">
        <v>7.0499999999999993E-2</v>
      </c>
      <c r="N98" s="81"/>
      <c r="O98" s="81"/>
      <c r="P98" s="81"/>
      <c r="Q98" s="81"/>
      <c r="R98" s="82">
        <v>46022</v>
      </c>
      <c r="S98" s="77"/>
      <c r="T98" s="77" t="s">
        <v>729</v>
      </c>
      <c r="U98" s="82"/>
      <c r="V98" s="77" t="s">
        <v>1365</v>
      </c>
      <c r="W98" s="78"/>
      <c r="X98" s="78"/>
      <c r="Y98" s="78"/>
      <c r="Z98" s="78"/>
    </row>
    <row r="99" spans="1:30" s="83" customFormat="1" ht="14.5" customHeight="1" x14ac:dyDescent="0.35">
      <c r="A99" s="77" t="s">
        <v>222</v>
      </c>
      <c r="B99" s="78" t="s">
        <v>223</v>
      </c>
      <c r="C99" s="78" t="s">
        <v>191</v>
      </c>
      <c r="D99" s="78"/>
      <c r="E99" s="79"/>
      <c r="F99" s="80"/>
      <c r="G99" s="80"/>
      <c r="H99" s="81"/>
      <c r="I99" s="81"/>
      <c r="J99" s="81">
        <v>7.6499999999999999E-2</v>
      </c>
      <c r="K99" s="81">
        <v>7.7899999999999997E-2</v>
      </c>
      <c r="L99" s="81">
        <v>7.4999999999999997E-2</v>
      </c>
      <c r="M99" s="81">
        <v>7.0499999999999993E-2</v>
      </c>
      <c r="N99" s="81"/>
      <c r="O99" s="81"/>
      <c r="P99" s="81"/>
      <c r="Q99" s="81"/>
      <c r="R99" s="82">
        <v>46022</v>
      </c>
      <c r="S99" s="77"/>
      <c r="T99" s="77" t="s">
        <v>729</v>
      </c>
      <c r="U99" s="82"/>
      <c r="V99" s="77" t="s">
        <v>1363</v>
      </c>
      <c r="W99" s="78"/>
      <c r="X99" s="78"/>
      <c r="Y99" s="78"/>
      <c r="Z99" s="78"/>
    </row>
    <row r="100" spans="1:30" s="83" customFormat="1" ht="14.5" customHeight="1" x14ac:dyDescent="0.35">
      <c r="A100" s="77" t="s">
        <v>225</v>
      </c>
      <c r="B100" s="78" t="s">
        <v>226</v>
      </c>
      <c r="C100" s="78" t="s">
        <v>191</v>
      </c>
      <c r="D100" s="78"/>
      <c r="E100" s="79"/>
      <c r="F100" s="80"/>
      <c r="G100" s="80"/>
      <c r="H100" s="81"/>
      <c r="I100" s="81"/>
      <c r="J100" s="81">
        <v>-1.6E-2</v>
      </c>
      <c r="K100" s="81">
        <v>-0.13</v>
      </c>
      <c r="L100" s="81">
        <v>-9.3299999999999994E-2</v>
      </c>
      <c r="M100" s="81">
        <v>-7.946934569809383E-2</v>
      </c>
      <c r="N100" s="81"/>
      <c r="O100" s="81"/>
      <c r="P100" s="81"/>
      <c r="Q100" s="81"/>
      <c r="R100" s="82">
        <v>46022</v>
      </c>
      <c r="S100" s="77"/>
      <c r="T100" s="77" t="s">
        <v>729</v>
      </c>
      <c r="U100" s="82"/>
      <c r="V100" s="77" t="s">
        <v>1363</v>
      </c>
      <c r="W100" s="78"/>
      <c r="X100" s="78"/>
      <c r="Y100" s="78"/>
      <c r="Z100" s="78"/>
    </row>
    <row r="101" spans="1:30" s="83" customFormat="1" ht="14.5" customHeight="1" x14ac:dyDescent="0.35">
      <c r="A101" s="77" t="s">
        <v>228</v>
      </c>
      <c r="B101" s="78" t="s">
        <v>229</v>
      </c>
      <c r="C101" s="78" t="s">
        <v>191</v>
      </c>
      <c r="D101" s="78"/>
      <c r="E101" s="79"/>
      <c r="F101" s="80"/>
      <c r="G101" s="80"/>
      <c r="H101" s="81"/>
      <c r="I101" s="81"/>
      <c r="J101" s="81"/>
      <c r="K101" s="81"/>
      <c r="L101" s="81">
        <v>0.154</v>
      </c>
      <c r="M101" s="81">
        <v>-5.2999999999999999E-2</v>
      </c>
      <c r="N101" s="81"/>
      <c r="O101" s="81">
        <v>4.0000000000000001E-3</v>
      </c>
      <c r="P101" s="81"/>
      <c r="Q101" s="81"/>
      <c r="R101" s="82">
        <v>46053</v>
      </c>
      <c r="S101" s="77"/>
      <c r="T101" s="77" t="s">
        <v>729</v>
      </c>
      <c r="U101" s="82"/>
      <c r="V101" s="77" t="s">
        <v>1363</v>
      </c>
      <c r="W101" s="78"/>
      <c r="X101" s="78"/>
      <c r="Y101" s="78"/>
      <c r="Z101" s="78"/>
    </row>
    <row r="102" spans="1:30" s="83" customFormat="1" ht="14.5" customHeight="1" x14ac:dyDescent="0.35">
      <c r="A102" s="77" t="s">
        <v>230</v>
      </c>
      <c r="B102" s="78" t="s">
        <v>231</v>
      </c>
      <c r="C102" s="78" t="s">
        <v>191</v>
      </c>
      <c r="D102" s="78"/>
      <c r="E102" s="79"/>
      <c r="F102" s="80"/>
      <c r="G102" s="80"/>
      <c r="H102" s="81"/>
      <c r="I102" s="81">
        <v>0.12959999999999999</v>
      </c>
      <c r="J102" s="81">
        <v>0.10349999999999999</v>
      </c>
      <c r="K102" s="81">
        <v>7.4499999999999997E-2</v>
      </c>
      <c r="L102" s="81">
        <v>5.1299999999999998E-2</v>
      </c>
      <c r="M102" s="81">
        <v>6.6100000000000006E-2</v>
      </c>
      <c r="N102" s="81"/>
      <c r="O102" s="81">
        <v>6.0000000000000001E-3</v>
      </c>
      <c r="P102" s="81"/>
      <c r="Q102" s="81"/>
      <c r="R102" s="82">
        <v>46112</v>
      </c>
      <c r="S102" s="77"/>
      <c r="T102" s="77" t="s">
        <v>729</v>
      </c>
      <c r="U102" s="82"/>
      <c r="V102" s="77" t="s">
        <v>1363</v>
      </c>
      <c r="W102" s="78"/>
      <c r="X102" s="78"/>
      <c r="Y102" s="78"/>
      <c r="Z102" s="78"/>
    </row>
    <row r="103" spans="1:30" s="83" customFormat="1" ht="14.5" customHeight="1" x14ac:dyDescent="0.35">
      <c r="A103" s="77" t="s">
        <v>232</v>
      </c>
      <c r="B103" s="78" t="s">
        <v>233</v>
      </c>
      <c r="C103" s="78" t="s">
        <v>191</v>
      </c>
      <c r="D103" s="78"/>
      <c r="E103" s="79"/>
      <c r="F103" s="80"/>
      <c r="G103" s="80"/>
      <c r="H103" s="81"/>
      <c r="I103" s="81"/>
      <c r="J103" s="81"/>
      <c r="K103" s="81"/>
      <c r="L103" s="81"/>
      <c r="M103" s="81"/>
      <c r="N103" s="81"/>
      <c r="O103" s="81"/>
      <c r="P103" s="81"/>
      <c r="Q103" s="81"/>
      <c r="R103" s="82"/>
      <c r="S103" s="77"/>
      <c r="T103" s="77"/>
      <c r="U103" s="82"/>
      <c r="V103" s="77"/>
      <c r="W103" s="78"/>
      <c r="X103" s="78"/>
      <c r="Y103" s="78"/>
      <c r="Z103" s="78"/>
    </row>
    <row r="104" spans="1:30" ht="14.5" customHeight="1" x14ac:dyDescent="0.35">
      <c r="A104" s="2" t="s">
        <v>234</v>
      </c>
      <c r="B104" s="3" t="s">
        <v>235</v>
      </c>
      <c r="C104" s="3" t="s">
        <v>191</v>
      </c>
      <c r="D104" s="3"/>
      <c r="E104" s="53"/>
      <c r="F104" s="57"/>
      <c r="G104" s="57"/>
      <c r="H104" s="5"/>
      <c r="I104" s="5"/>
      <c r="J104" s="5"/>
      <c r="K104" s="5"/>
      <c r="L104" s="5"/>
      <c r="M104" s="5"/>
      <c r="N104" s="5"/>
      <c r="O104" s="5"/>
      <c r="P104" s="5"/>
      <c r="R104" s="7"/>
      <c r="S104" s="2"/>
      <c r="T104" s="2"/>
      <c r="U104" s="7"/>
      <c r="V104" s="2"/>
      <c r="W104" s="3"/>
      <c r="X104" s="3"/>
      <c r="Y104" s="3"/>
      <c r="Z104" s="3"/>
      <c r="AC104"/>
      <c r="AD104"/>
    </row>
    <row r="105" spans="1:30" ht="14.5" customHeight="1" x14ac:dyDescent="0.35">
      <c r="A105" s="2"/>
      <c r="B105" s="3" t="s">
        <v>236</v>
      </c>
      <c r="C105" s="3" t="s">
        <v>191</v>
      </c>
      <c r="D105" s="3"/>
      <c r="E105" s="53"/>
      <c r="F105" s="57"/>
      <c r="G105" s="57"/>
      <c r="H105" s="5"/>
      <c r="I105" s="5"/>
      <c r="J105" s="5"/>
      <c r="K105" s="5"/>
      <c r="L105" s="5"/>
      <c r="M105" s="5"/>
      <c r="N105" s="5"/>
      <c r="O105" s="5"/>
      <c r="P105" s="5"/>
      <c r="R105" s="7"/>
      <c r="S105" s="2"/>
      <c r="T105" s="2"/>
      <c r="U105" s="7"/>
      <c r="V105" s="2"/>
      <c r="W105" s="3"/>
      <c r="X105" s="3"/>
      <c r="Y105" s="3"/>
      <c r="Z105" s="3"/>
      <c r="AC105"/>
      <c r="AD105"/>
    </row>
    <row r="106" spans="1:30" ht="14.5" customHeight="1" x14ac:dyDescent="0.35">
      <c r="A106" s="2"/>
      <c r="B106" s="3" t="s">
        <v>237</v>
      </c>
      <c r="C106" s="3" t="s">
        <v>191</v>
      </c>
      <c r="D106" s="3"/>
      <c r="E106" s="53"/>
      <c r="F106" s="57"/>
      <c r="G106" s="57"/>
      <c r="H106" s="5"/>
      <c r="I106" s="5"/>
      <c r="J106" s="5"/>
      <c r="K106" s="5"/>
      <c r="L106" s="5"/>
      <c r="M106" s="5"/>
      <c r="N106" s="5"/>
      <c r="O106" s="5"/>
      <c r="P106" s="5"/>
      <c r="R106" s="7"/>
      <c r="S106" s="2"/>
      <c r="T106" s="2"/>
      <c r="U106" s="7"/>
      <c r="V106" s="2"/>
      <c r="W106" s="3"/>
      <c r="X106" s="3"/>
      <c r="Y106" s="3"/>
      <c r="Z106" s="3"/>
      <c r="AC106"/>
      <c r="AD106"/>
    </row>
    <row r="107" spans="1:30" ht="14.5" customHeight="1" x14ac:dyDescent="0.35">
      <c r="A107" s="2"/>
      <c r="B107" s="3" t="s">
        <v>238</v>
      </c>
      <c r="C107" s="3" t="s">
        <v>191</v>
      </c>
      <c r="D107" s="3"/>
      <c r="E107" s="53"/>
      <c r="F107" s="57"/>
      <c r="G107" s="57"/>
      <c r="H107" s="5"/>
      <c r="I107" s="5"/>
      <c r="J107" s="5"/>
      <c r="K107" s="5"/>
      <c r="L107" s="5"/>
      <c r="M107" s="5"/>
      <c r="N107" s="5"/>
      <c r="O107" s="5"/>
      <c r="P107" s="5"/>
      <c r="R107" s="7"/>
      <c r="S107" s="2"/>
      <c r="T107" s="2"/>
      <c r="U107" s="7"/>
      <c r="V107" s="2"/>
      <c r="W107" s="3"/>
      <c r="X107" s="3"/>
      <c r="Y107" s="3"/>
      <c r="Z107" s="3"/>
      <c r="AC107"/>
      <c r="AD107"/>
    </row>
    <row r="108" spans="1:30" ht="14.5" customHeight="1" x14ac:dyDescent="0.35">
      <c r="A108" s="2"/>
      <c r="B108" s="3" t="s">
        <v>239</v>
      </c>
      <c r="C108" s="3" t="s">
        <v>191</v>
      </c>
      <c r="D108" s="3"/>
      <c r="E108" s="53"/>
      <c r="F108" s="57"/>
      <c r="G108" s="57"/>
      <c r="H108" s="5"/>
      <c r="I108" s="5"/>
      <c r="J108" s="5"/>
      <c r="K108" s="5"/>
      <c r="L108" s="5"/>
      <c r="M108" s="5"/>
      <c r="N108" s="5"/>
      <c r="O108" s="5"/>
      <c r="P108" s="5"/>
      <c r="R108" s="7"/>
      <c r="S108" s="2"/>
      <c r="T108" s="2"/>
      <c r="U108" s="7"/>
      <c r="V108" s="2"/>
      <c r="W108" s="3"/>
      <c r="X108" s="3"/>
      <c r="Y108" s="3"/>
      <c r="Z108" s="3"/>
      <c r="AC108"/>
      <c r="AD108"/>
    </row>
    <row r="109" spans="1:30" ht="14.5" customHeight="1" x14ac:dyDescent="0.35">
      <c r="A109" s="2"/>
      <c r="B109" s="3" t="s">
        <v>240</v>
      </c>
      <c r="C109" s="3" t="s">
        <v>191</v>
      </c>
      <c r="D109" s="3"/>
      <c r="E109" s="53"/>
      <c r="F109" s="57"/>
      <c r="G109" s="57"/>
      <c r="H109" s="5"/>
      <c r="I109" s="5"/>
      <c r="J109" s="5"/>
      <c r="K109" s="5"/>
      <c r="L109" s="5"/>
      <c r="M109" s="5"/>
      <c r="N109" s="5"/>
      <c r="O109" s="5"/>
      <c r="P109" s="5"/>
      <c r="R109" s="7"/>
      <c r="S109" s="2"/>
      <c r="T109" s="2"/>
      <c r="U109" s="7"/>
      <c r="V109" s="2"/>
      <c r="W109" s="3"/>
      <c r="X109" s="3"/>
      <c r="Y109" s="3"/>
      <c r="Z109" s="3"/>
      <c r="AC109"/>
      <c r="AD109"/>
    </row>
    <row r="110" spans="1:30" ht="14.5" customHeight="1" x14ac:dyDescent="0.35">
      <c r="A110" s="2"/>
      <c r="B110" s="3" t="s">
        <v>241</v>
      </c>
      <c r="C110" s="3" t="s">
        <v>191</v>
      </c>
      <c r="D110" s="3"/>
      <c r="E110" s="53"/>
      <c r="F110" s="57"/>
      <c r="G110" s="57"/>
      <c r="H110" s="5"/>
      <c r="I110" s="5"/>
      <c r="J110" s="5"/>
      <c r="K110" s="5"/>
      <c r="L110" s="5"/>
      <c r="M110" s="5"/>
      <c r="N110" s="5"/>
      <c r="O110" s="5"/>
      <c r="P110" s="5"/>
      <c r="R110" s="7"/>
      <c r="S110" s="2"/>
      <c r="T110" s="2"/>
      <c r="U110" s="7"/>
      <c r="V110" s="2"/>
      <c r="W110" s="3"/>
      <c r="X110" s="3"/>
      <c r="Y110" s="3"/>
      <c r="Z110" s="3"/>
      <c r="AC110"/>
      <c r="AD110"/>
    </row>
    <row r="111" spans="1:30" ht="14.5" customHeight="1" x14ac:dyDescent="0.35">
      <c r="A111" s="2" t="s">
        <v>242</v>
      </c>
      <c r="B111" s="3" t="s">
        <v>243</v>
      </c>
      <c r="C111" s="3" t="s">
        <v>191</v>
      </c>
      <c r="D111" s="3"/>
      <c r="E111" s="53"/>
      <c r="F111" s="57"/>
      <c r="G111" s="57"/>
      <c r="H111" s="5"/>
      <c r="I111" s="5"/>
      <c r="J111" s="5"/>
      <c r="K111" s="5"/>
      <c r="L111" s="5"/>
      <c r="M111" s="5"/>
      <c r="N111" s="5"/>
      <c r="O111" s="5"/>
      <c r="P111" s="5"/>
      <c r="R111" s="7"/>
      <c r="S111" s="2"/>
      <c r="T111" s="2"/>
      <c r="U111" s="7"/>
      <c r="V111" s="2"/>
      <c r="W111" s="3"/>
      <c r="X111" s="3"/>
      <c r="Y111" s="3"/>
      <c r="Z111" s="3"/>
      <c r="AC111"/>
      <c r="AD111"/>
    </row>
    <row r="112" spans="1:30" ht="14.5" customHeight="1" x14ac:dyDescent="0.35">
      <c r="A112" s="47" t="s">
        <v>244</v>
      </c>
      <c r="B112" s="40"/>
      <c r="C112" s="40"/>
      <c r="D112" s="40"/>
      <c r="E112" s="54"/>
      <c r="F112" s="58"/>
      <c r="G112" s="58"/>
      <c r="H112" s="42"/>
      <c r="I112" s="42"/>
      <c r="J112" s="42"/>
      <c r="K112" s="42"/>
      <c r="L112" s="42"/>
      <c r="M112" s="42"/>
      <c r="N112" s="42"/>
      <c r="O112" s="42"/>
      <c r="P112" s="42"/>
      <c r="Q112" s="42"/>
      <c r="R112" s="45"/>
      <c r="S112" s="39"/>
      <c r="T112" s="39"/>
      <c r="U112" s="45"/>
      <c r="V112" s="39"/>
      <c r="W112" s="40"/>
      <c r="X112" s="40"/>
      <c r="Y112" s="61"/>
      <c r="Z112" s="61"/>
      <c r="AC112"/>
      <c r="AD112"/>
    </row>
    <row r="113" spans="1:30" s="76" customFormat="1" ht="14.5" customHeight="1" x14ac:dyDescent="0.35">
      <c r="A113" s="70" t="s">
        <v>245</v>
      </c>
      <c r="B113" s="71" t="s">
        <v>246</v>
      </c>
      <c r="C113" s="71" t="s">
        <v>244</v>
      </c>
      <c r="D113" s="71"/>
      <c r="E113" s="72"/>
      <c r="F113" s="73"/>
      <c r="G113" s="73"/>
      <c r="H113" s="74"/>
      <c r="I113" s="74"/>
      <c r="J113" s="74"/>
      <c r="K113" s="74"/>
      <c r="L113" s="74">
        <v>-8.900000000000019E-3</v>
      </c>
      <c r="M113" s="74">
        <v>-8.900000000000019E-3</v>
      </c>
      <c r="N113" s="74"/>
      <c r="O113" s="74"/>
      <c r="P113" s="74"/>
      <c r="Q113" s="74"/>
      <c r="R113" s="75"/>
      <c r="S113" s="70"/>
      <c r="T113" s="70"/>
      <c r="U113" s="75"/>
      <c r="V113" s="70"/>
      <c r="W113" s="71"/>
      <c r="X113" s="71"/>
      <c r="Y113" s="71"/>
      <c r="Z113" s="71"/>
    </row>
    <row r="114" spans="1:30" s="76" customFormat="1" ht="14.5" customHeight="1" x14ac:dyDescent="0.35">
      <c r="A114" s="70" t="s">
        <v>248</v>
      </c>
      <c r="B114" s="71" t="s">
        <v>249</v>
      </c>
      <c r="C114" s="71" t="s">
        <v>244</v>
      </c>
      <c r="D114" s="71"/>
      <c r="E114" s="72"/>
      <c r="F114" s="73"/>
      <c r="G114" s="73"/>
      <c r="H114" s="74"/>
      <c r="I114" s="74"/>
      <c r="J114" s="74"/>
      <c r="K114" s="74"/>
      <c r="L114" s="74"/>
      <c r="M114" s="74">
        <v>-1.049999999999995E-2</v>
      </c>
      <c r="N114" s="74"/>
      <c r="O114" s="74"/>
      <c r="P114" s="74"/>
      <c r="Q114" s="74"/>
      <c r="R114" s="75"/>
      <c r="S114" s="70"/>
      <c r="T114" s="70"/>
      <c r="U114" s="75"/>
      <c r="V114" s="70"/>
      <c r="W114" s="71"/>
      <c r="X114" s="71"/>
      <c r="Y114" s="71"/>
      <c r="Z114" s="71"/>
    </row>
    <row r="115" spans="1:30" s="76" customFormat="1" ht="14.5" customHeight="1" x14ac:dyDescent="0.35">
      <c r="A115" s="70" t="s">
        <v>250</v>
      </c>
      <c r="B115" s="71" t="s">
        <v>251</v>
      </c>
      <c r="C115" s="71" t="s">
        <v>244</v>
      </c>
      <c r="D115" s="71"/>
      <c r="E115" s="72"/>
      <c r="F115" s="73"/>
      <c r="G115" s="73"/>
      <c r="H115" s="74"/>
      <c r="I115" s="74"/>
      <c r="J115" s="74"/>
      <c r="K115" s="74"/>
      <c r="L115" s="74"/>
      <c r="M115" s="74">
        <v>-1.129999999999998E-2</v>
      </c>
      <c r="N115" s="74"/>
      <c r="O115" s="74"/>
      <c r="P115" s="74"/>
      <c r="Q115" s="74"/>
      <c r="R115" s="75"/>
      <c r="S115" s="70"/>
      <c r="T115" s="70"/>
      <c r="U115" s="75"/>
      <c r="V115" s="70"/>
      <c r="W115" s="71"/>
      <c r="X115" s="71"/>
      <c r="Y115" s="71"/>
      <c r="Z115" s="71"/>
    </row>
    <row r="116" spans="1:30" s="83" customFormat="1" ht="14.5" customHeight="1" x14ac:dyDescent="0.35">
      <c r="A116" s="77" t="s">
        <v>252</v>
      </c>
      <c r="B116" s="78" t="s">
        <v>253</v>
      </c>
      <c r="C116" s="78" t="s">
        <v>244</v>
      </c>
      <c r="D116" s="78"/>
      <c r="E116" s="79"/>
      <c r="F116" s="80"/>
      <c r="G116" s="80"/>
      <c r="H116" s="81"/>
      <c r="I116" s="81"/>
      <c r="J116" s="81"/>
      <c r="K116" s="81"/>
      <c r="L116" s="81"/>
      <c r="M116" s="81">
        <v>7.1523999999999893E-2</v>
      </c>
      <c r="N116" s="81"/>
      <c r="O116" s="81" t="s">
        <v>1238</v>
      </c>
      <c r="P116" s="81"/>
      <c r="Q116" s="81"/>
      <c r="R116" s="82">
        <v>46203</v>
      </c>
      <c r="S116" s="77"/>
      <c r="T116" s="77" t="s">
        <v>729</v>
      </c>
      <c r="U116" s="82"/>
      <c r="V116" s="77" t="s">
        <v>1363</v>
      </c>
      <c r="W116" s="78"/>
      <c r="X116" s="78"/>
      <c r="Y116" s="78"/>
      <c r="Z116" s="78"/>
    </row>
    <row r="117" spans="1:30" s="83" customFormat="1" ht="14.5" customHeight="1" x14ac:dyDescent="0.35">
      <c r="A117" s="77" t="s">
        <v>255</v>
      </c>
      <c r="B117" s="78" t="s">
        <v>256</v>
      </c>
      <c r="C117" s="78" t="s">
        <v>244</v>
      </c>
      <c r="D117" s="78"/>
      <c r="E117" s="79"/>
      <c r="F117" s="80"/>
      <c r="G117" s="80"/>
      <c r="H117" s="81"/>
      <c r="I117" s="81"/>
      <c r="J117" s="81"/>
      <c r="K117" s="81"/>
      <c r="L117" s="81"/>
      <c r="M117" s="81" t="s">
        <v>1240</v>
      </c>
      <c r="N117" s="81"/>
      <c r="O117" s="81" t="s">
        <v>1239</v>
      </c>
      <c r="P117" s="81"/>
      <c r="Q117" s="81"/>
      <c r="R117" s="82" t="s">
        <v>1235</v>
      </c>
      <c r="S117" s="77"/>
      <c r="T117" s="77" t="s">
        <v>729</v>
      </c>
      <c r="U117" s="82"/>
      <c r="V117" s="77" t="s">
        <v>1363</v>
      </c>
      <c r="W117" s="78"/>
      <c r="X117" s="78"/>
      <c r="Y117" s="78"/>
      <c r="Z117" s="78"/>
    </row>
    <row r="118" spans="1:30" s="83" customFormat="1" ht="14.5" customHeight="1" x14ac:dyDescent="0.35">
      <c r="A118" s="77" t="s">
        <v>258</v>
      </c>
      <c r="B118" s="78" t="s">
        <v>259</v>
      </c>
      <c r="C118" s="78" t="s">
        <v>244</v>
      </c>
      <c r="D118" s="78"/>
      <c r="E118" s="79"/>
      <c r="F118" s="80"/>
      <c r="G118" s="80"/>
      <c r="H118" s="81"/>
      <c r="I118" s="81"/>
      <c r="J118" s="81"/>
      <c r="K118" s="81"/>
      <c r="L118" s="81">
        <v>2.3E-2</v>
      </c>
      <c r="M118" s="81">
        <v>0.1351</v>
      </c>
      <c r="N118" s="81"/>
      <c r="O118" s="81">
        <v>0.05</v>
      </c>
      <c r="P118" s="81"/>
      <c r="Q118" s="81"/>
      <c r="R118" s="82" t="s">
        <v>1235</v>
      </c>
      <c r="S118" s="77"/>
      <c r="T118" s="77" t="s">
        <v>729</v>
      </c>
      <c r="U118" s="82"/>
      <c r="V118" s="77" t="s">
        <v>1363</v>
      </c>
      <c r="W118" s="78"/>
      <c r="X118" s="78"/>
      <c r="Y118" s="78"/>
      <c r="Z118" s="78"/>
    </row>
    <row r="119" spans="1:30" s="83" customFormat="1" ht="14.5" customHeight="1" x14ac:dyDescent="0.35">
      <c r="A119" s="77" t="s">
        <v>261</v>
      </c>
      <c r="B119" s="78" t="s">
        <v>262</v>
      </c>
      <c r="C119" s="78" t="s">
        <v>244</v>
      </c>
      <c r="D119" s="78"/>
      <c r="E119" s="79"/>
      <c r="F119" s="80"/>
      <c r="G119" s="80"/>
      <c r="H119" s="81"/>
      <c r="I119" s="81"/>
      <c r="J119" s="81"/>
      <c r="K119" s="81"/>
      <c r="L119" s="81">
        <v>6.9599999999999995E-2</v>
      </c>
      <c r="M119" s="81">
        <v>7.2700000000000001E-2</v>
      </c>
      <c r="N119" s="81"/>
      <c r="O119" s="81">
        <v>2.87E-2</v>
      </c>
      <c r="P119" s="81"/>
      <c r="Q119" s="81"/>
      <c r="R119" s="82">
        <v>46142</v>
      </c>
      <c r="S119" s="77"/>
      <c r="T119" s="77" t="s">
        <v>729</v>
      </c>
      <c r="U119" s="82"/>
      <c r="V119" s="77" t="s">
        <v>1363</v>
      </c>
      <c r="W119" s="78"/>
      <c r="X119" s="78"/>
      <c r="Y119" s="78"/>
      <c r="Z119" s="78"/>
    </row>
    <row r="120" spans="1:30" s="83" customFormat="1" ht="14.5" customHeight="1" x14ac:dyDescent="0.35">
      <c r="A120" s="77" t="s">
        <v>263</v>
      </c>
      <c r="B120" s="78" t="s">
        <v>264</v>
      </c>
      <c r="C120" s="78" t="s">
        <v>244</v>
      </c>
      <c r="D120" s="78"/>
      <c r="E120" s="79"/>
      <c r="F120" s="80"/>
      <c r="G120" s="80"/>
      <c r="H120" s="81"/>
      <c r="I120" s="81"/>
      <c r="J120" s="81"/>
      <c r="K120" s="81"/>
      <c r="L120" s="81">
        <v>-3.0000000000000001E-3</v>
      </c>
      <c r="M120" s="81">
        <v>3.9572985084539443E-2</v>
      </c>
      <c r="N120" s="81"/>
      <c r="O120" s="81" t="s">
        <v>1241</v>
      </c>
      <c r="P120" s="81"/>
      <c r="Q120" s="81"/>
      <c r="R120" s="82">
        <v>46203</v>
      </c>
      <c r="S120" s="77"/>
      <c r="T120" s="77" t="s">
        <v>729</v>
      </c>
      <c r="U120" s="82"/>
      <c r="V120" s="77" t="s">
        <v>1363</v>
      </c>
      <c r="W120" s="78"/>
      <c r="X120" s="78"/>
      <c r="Y120" s="78"/>
      <c r="Z120" s="78"/>
    </row>
    <row r="121" spans="1:30" s="83" customFormat="1" ht="14.5" customHeight="1" x14ac:dyDescent="0.35">
      <c r="A121" s="77" t="s">
        <v>265</v>
      </c>
      <c r="B121" s="78" t="s">
        <v>266</v>
      </c>
      <c r="C121" s="78" t="s">
        <v>244</v>
      </c>
      <c r="D121" s="78"/>
      <c r="E121" s="79"/>
      <c r="F121" s="80"/>
      <c r="G121" s="80"/>
      <c r="H121" s="81"/>
      <c r="I121" s="81"/>
      <c r="J121" s="81"/>
      <c r="K121" s="81" t="s">
        <v>1243</v>
      </c>
      <c r="L121" s="81" t="s">
        <v>1242</v>
      </c>
      <c r="M121" s="81">
        <v>5.0999999999999997E-2</v>
      </c>
      <c r="N121" s="81"/>
      <c r="O121" s="81">
        <v>5.5E-2</v>
      </c>
      <c r="P121" s="81"/>
      <c r="Q121" s="81"/>
      <c r="R121" s="82">
        <v>46199</v>
      </c>
      <c r="S121" s="77"/>
      <c r="T121" s="77" t="s">
        <v>729</v>
      </c>
      <c r="U121" s="82"/>
      <c r="V121" s="77" t="s">
        <v>1363</v>
      </c>
      <c r="W121" s="78"/>
      <c r="X121" s="78"/>
      <c r="Y121" s="78"/>
      <c r="Z121" s="78"/>
    </row>
    <row r="122" spans="1:30" s="83" customFormat="1" ht="14.5" customHeight="1" x14ac:dyDescent="0.35">
      <c r="A122" s="77" t="s">
        <v>267</v>
      </c>
      <c r="B122" s="78" t="s">
        <v>268</v>
      </c>
      <c r="C122" s="78" t="s">
        <v>244</v>
      </c>
      <c r="D122" s="78"/>
      <c r="E122" s="79"/>
      <c r="F122" s="80"/>
      <c r="G122" s="80"/>
      <c r="H122" s="81"/>
      <c r="I122" s="81"/>
      <c r="J122" s="81">
        <v>5.0999999999999997E-2</v>
      </c>
      <c r="K122" s="81">
        <v>9.6000000000000002E-2</v>
      </c>
      <c r="L122" s="81">
        <v>8.5000000000000006E-2</v>
      </c>
      <c r="M122" s="81">
        <v>8.7999999999999995E-2</v>
      </c>
      <c r="N122" s="81"/>
      <c r="O122" s="81">
        <v>2.4E-2</v>
      </c>
      <c r="P122" s="81"/>
      <c r="Q122" s="81"/>
      <c r="R122" s="82">
        <v>46112</v>
      </c>
      <c r="S122" s="77"/>
      <c r="T122" s="77" t="s">
        <v>729</v>
      </c>
      <c r="U122" s="82"/>
      <c r="V122" s="77" t="s">
        <v>1363</v>
      </c>
      <c r="W122" s="78"/>
      <c r="X122" s="78"/>
      <c r="Y122" s="78"/>
      <c r="Z122" s="78"/>
    </row>
    <row r="123" spans="1:30" s="83" customFormat="1" ht="14.5" customHeight="1" x14ac:dyDescent="0.35">
      <c r="A123" s="77" t="s">
        <v>269</v>
      </c>
      <c r="B123" s="78" t="s">
        <v>270</v>
      </c>
      <c r="C123" s="78" t="s">
        <v>244</v>
      </c>
      <c r="D123" s="78"/>
      <c r="E123" s="79"/>
      <c r="F123" s="80"/>
      <c r="G123" s="80"/>
      <c r="H123" s="81"/>
      <c r="I123" s="81"/>
      <c r="J123" s="81"/>
      <c r="K123" s="81">
        <v>2.8400000000000002E-2</v>
      </c>
      <c r="L123" s="85">
        <v>4.5499999999999999E-2</v>
      </c>
      <c r="M123" s="85">
        <v>4.8800000000000003E-2</v>
      </c>
      <c r="N123" s="81"/>
      <c r="O123" s="81">
        <v>3.3000000000000002E-2</v>
      </c>
      <c r="P123" s="81"/>
      <c r="Q123" s="81"/>
      <c r="R123" s="82">
        <v>46234</v>
      </c>
      <c r="S123" s="77"/>
      <c r="T123" s="77" t="s">
        <v>729</v>
      </c>
      <c r="U123" s="82"/>
      <c r="V123" s="77" t="s">
        <v>1363</v>
      </c>
      <c r="W123" s="78"/>
      <c r="X123" s="78"/>
      <c r="Y123" s="78"/>
      <c r="Z123" s="78"/>
    </row>
    <row r="124" spans="1:30" s="83" customFormat="1" ht="14.5" customHeight="1" x14ac:dyDescent="0.35">
      <c r="A124" s="77" t="s">
        <v>271</v>
      </c>
      <c r="B124" s="78" t="s">
        <v>272</v>
      </c>
      <c r="C124" s="78" t="s">
        <v>244</v>
      </c>
      <c r="D124" s="78"/>
      <c r="E124" s="79"/>
      <c r="F124" s="80"/>
      <c r="G124" s="80"/>
      <c r="H124" s="81"/>
      <c r="I124" s="81">
        <v>6.2799999999999995E-2</v>
      </c>
      <c r="J124" s="81">
        <v>4.5199999999999997E-2</v>
      </c>
      <c r="K124" s="81">
        <v>5.5899999999999998E-2</v>
      </c>
      <c r="L124" s="81">
        <v>6.6314996232102352E-2</v>
      </c>
      <c r="M124" s="81">
        <v>4.41E-2</v>
      </c>
      <c r="N124" s="81"/>
      <c r="O124" s="81">
        <v>-4.0000000000000001E-3</v>
      </c>
      <c r="P124" s="81"/>
      <c r="Q124" s="81"/>
      <c r="R124" s="82">
        <v>46234</v>
      </c>
      <c r="S124" s="77"/>
      <c r="T124" s="77" t="s">
        <v>729</v>
      </c>
      <c r="U124" s="82"/>
      <c r="V124" s="77" t="s">
        <v>1363</v>
      </c>
      <c r="W124" s="78"/>
      <c r="X124" s="78"/>
      <c r="Y124" s="78"/>
      <c r="Z124" s="78"/>
    </row>
    <row r="125" spans="1:30" s="83" customFormat="1" ht="14.5" customHeight="1" x14ac:dyDescent="0.35">
      <c r="A125" s="77" t="s">
        <v>274</v>
      </c>
      <c r="B125" s="78" t="s">
        <v>268</v>
      </c>
      <c r="C125" s="78" t="s">
        <v>244</v>
      </c>
      <c r="D125" s="78"/>
      <c r="E125" s="79"/>
      <c r="F125" s="80"/>
      <c r="G125" s="80"/>
      <c r="H125" s="81"/>
      <c r="I125" s="81"/>
      <c r="J125" s="81">
        <v>5.0999999999999997E-2</v>
      </c>
      <c r="K125" s="81">
        <v>9.6000000000000002E-2</v>
      </c>
      <c r="L125" s="81">
        <v>8.5000000000000006E-2</v>
      </c>
      <c r="M125" s="81">
        <v>8.7999999999999995E-2</v>
      </c>
      <c r="N125" s="81"/>
      <c r="O125" s="81">
        <v>2.4E-2</v>
      </c>
      <c r="P125" s="81"/>
      <c r="Q125" s="81"/>
      <c r="R125" s="82">
        <v>46112</v>
      </c>
      <c r="S125" s="77"/>
      <c r="T125" s="77" t="s">
        <v>729</v>
      </c>
      <c r="U125" s="82"/>
      <c r="V125" s="77" t="s">
        <v>1363</v>
      </c>
      <c r="W125" s="78"/>
      <c r="X125" s="78"/>
      <c r="Y125" s="78"/>
      <c r="Z125" s="78"/>
    </row>
    <row r="126" spans="1:30" s="83" customFormat="1" ht="14.5" customHeight="1" x14ac:dyDescent="0.35">
      <c r="A126" s="77" t="s">
        <v>275</v>
      </c>
      <c r="B126" s="78" t="s">
        <v>276</v>
      </c>
      <c r="C126" s="78" t="s">
        <v>244</v>
      </c>
      <c r="D126" s="78"/>
      <c r="E126" s="79"/>
      <c r="F126" s="80"/>
      <c r="G126" s="80"/>
      <c r="H126" s="81"/>
      <c r="I126" s="81"/>
      <c r="J126" s="81">
        <v>5.0999999999999997E-2</v>
      </c>
      <c r="K126" s="81">
        <v>9.6000000000000002E-2</v>
      </c>
      <c r="L126" s="81">
        <v>8.5000000000000006E-2</v>
      </c>
      <c r="M126" s="81">
        <v>8.7999999999999995E-2</v>
      </c>
      <c r="N126" s="81"/>
      <c r="O126" s="81">
        <v>2.4E-2</v>
      </c>
      <c r="P126" s="81"/>
      <c r="Q126" s="81"/>
      <c r="R126" s="82">
        <v>46112</v>
      </c>
      <c r="S126" s="77"/>
      <c r="T126" s="77" t="s">
        <v>729</v>
      </c>
      <c r="U126" s="82"/>
      <c r="V126" s="77" t="s">
        <v>1363</v>
      </c>
      <c r="W126" s="78"/>
      <c r="X126" s="78"/>
      <c r="Y126" s="78"/>
      <c r="Z126" s="78"/>
    </row>
    <row r="127" spans="1:30" ht="14.5" customHeight="1" x14ac:dyDescent="0.35">
      <c r="A127" s="39" t="s">
        <v>277</v>
      </c>
      <c r="B127" s="40"/>
      <c r="C127" s="40"/>
      <c r="D127" s="40"/>
      <c r="E127" s="54"/>
      <c r="F127" s="58"/>
      <c r="G127" s="58"/>
      <c r="H127" s="42"/>
      <c r="I127" s="42"/>
      <c r="J127" s="42"/>
      <c r="K127" s="42"/>
      <c r="L127" s="42"/>
      <c r="M127" s="42"/>
      <c r="N127" s="42"/>
      <c r="O127" s="42"/>
      <c r="P127" s="42"/>
      <c r="Q127" s="42"/>
      <c r="R127" s="45"/>
      <c r="S127" s="39"/>
      <c r="T127" s="39"/>
      <c r="U127" s="45"/>
      <c r="V127" s="39"/>
      <c r="W127" s="40"/>
      <c r="X127" s="40"/>
      <c r="Y127" s="61"/>
      <c r="Z127" s="61"/>
      <c r="AC127"/>
      <c r="AD127"/>
    </row>
    <row r="128" spans="1:30" s="83" customFormat="1" ht="14.5" customHeight="1" x14ac:dyDescent="0.35">
      <c r="A128" s="77" t="s">
        <v>278</v>
      </c>
      <c r="B128" s="78" t="s">
        <v>279</v>
      </c>
      <c r="C128" s="78" t="s">
        <v>277</v>
      </c>
      <c r="D128" s="78"/>
      <c r="E128" s="79"/>
      <c r="F128" s="80"/>
      <c r="G128" s="80"/>
      <c r="H128" s="81"/>
      <c r="I128" s="81"/>
      <c r="J128" s="81"/>
      <c r="K128" s="81"/>
      <c r="L128" s="81"/>
      <c r="M128" s="81">
        <v>4.9399999999999888E-2</v>
      </c>
      <c r="N128" s="81"/>
      <c r="O128" s="81">
        <v>2.29E-2</v>
      </c>
      <c r="P128" s="81"/>
      <c r="Q128" s="81"/>
      <c r="R128" s="82">
        <v>46173</v>
      </c>
      <c r="S128" s="77"/>
      <c r="T128" s="77" t="s">
        <v>729</v>
      </c>
      <c r="U128" s="82"/>
      <c r="V128" s="77" t="s">
        <v>1363</v>
      </c>
      <c r="W128" s="78"/>
      <c r="X128" s="78"/>
      <c r="Y128" s="78"/>
      <c r="Z128" s="78"/>
    </row>
    <row r="129" spans="1:26" s="83" customFormat="1" ht="14.5" customHeight="1" x14ac:dyDescent="0.35">
      <c r="A129" s="77" t="s">
        <v>281</v>
      </c>
      <c r="B129" s="78" t="s">
        <v>282</v>
      </c>
      <c r="C129" s="78" t="s">
        <v>277</v>
      </c>
      <c r="D129" s="78"/>
      <c r="E129" s="79"/>
      <c r="F129" s="80"/>
      <c r="G129" s="80"/>
      <c r="H129" s="81"/>
      <c r="I129" s="81"/>
      <c r="J129" s="81"/>
      <c r="K129" s="81"/>
      <c r="L129" s="81"/>
      <c r="M129" s="81">
        <v>5.4699999999999999E-2</v>
      </c>
      <c r="N129" s="81"/>
      <c r="O129" s="81">
        <v>1.8800000000000001E-2</v>
      </c>
      <c r="P129" s="81"/>
      <c r="Q129" s="81"/>
      <c r="R129" s="82">
        <v>46173</v>
      </c>
      <c r="S129" s="77"/>
      <c r="T129" s="77" t="s">
        <v>729</v>
      </c>
      <c r="U129" s="82"/>
      <c r="V129" s="77" t="s">
        <v>1363</v>
      </c>
      <c r="W129" s="78"/>
      <c r="X129" s="78"/>
      <c r="Y129" s="78"/>
      <c r="Z129" s="78"/>
    </row>
    <row r="130" spans="1:26" s="83" customFormat="1" ht="14.5" customHeight="1" x14ac:dyDescent="0.35">
      <c r="A130" s="77" t="s">
        <v>283</v>
      </c>
      <c r="B130" s="78" t="s">
        <v>284</v>
      </c>
      <c r="C130" s="78" t="s">
        <v>277</v>
      </c>
      <c r="D130" s="78"/>
      <c r="E130" s="79"/>
      <c r="F130" s="80"/>
      <c r="G130" s="80"/>
      <c r="H130" s="81"/>
      <c r="I130" s="81"/>
      <c r="J130" s="81"/>
      <c r="K130" s="81"/>
      <c r="L130" s="81"/>
      <c r="M130" s="81">
        <v>2.1800000000000042E-2</v>
      </c>
      <c r="N130" s="81"/>
      <c r="O130" s="81">
        <v>1.84E-2</v>
      </c>
      <c r="P130" s="81"/>
      <c r="Q130" s="81"/>
      <c r="R130" s="82">
        <v>46173</v>
      </c>
      <c r="S130" s="77"/>
      <c r="T130" s="77" t="s">
        <v>729</v>
      </c>
      <c r="U130" s="82"/>
      <c r="V130" s="77" t="s">
        <v>1363</v>
      </c>
      <c r="W130" s="78"/>
      <c r="X130" s="78"/>
      <c r="Y130" s="78"/>
      <c r="Z130" s="78"/>
    </row>
    <row r="131" spans="1:26" s="83" customFormat="1" ht="14.5" customHeight="1" x14ac:dyDescent="0.35">
      <c r="A131" s="77" t="s">
        <v>285</v>
      </c>
      <c r="B131" s="78" t="s">
        <v>286</v>
      </c>
      <c r="C131" s="78" t="s">
        <v>277</v>
      </c>
      <c r="D131" s="78"/>
      <c r="E131" s="79"/>
      <c r="F131" s="80"/>
      <c r="G131" s="80"/>
      <c r="H131" s="81"/>
      <c r="I131" s="81"/>
      <c r="J131" s="81"/>
      <c r="K131" s="81"/>
      <c r="L131" s="81"/>
      <c r="M131" s="81">
        <v>5.0999999999999997E-2</v>
      </c>
      <c r="N131" s="81"/>
      <c r="O131" s="81">
        <v>1.5599999999999999E-2</v>
      </c>
      <c r="P131" s="81"/>
      <c r="Q131" s="81"/>
      <c r="R131" s="82">
        <v>46173</v>
      </c>
      <c r="S131" s="77"/>
      <c r="T131" s="77" t="s">
        <v>729</v>
      </c>
      <c r="U131" s="82"/>
      <c r="V131" s="77" t="s">
        <v>1363</v>
      </c>
      <c r="W131" s="78"/>
      <c r="X131" s="78"/>
      <c r="Y131" s="78"/>
      <c r="Z131" s="78"/>
    </row>
    <row r="132" spans="1:26" s="83" customFormat="1" ht="14.5" customHeight="1" x14ac:dyDescent="0.35">
      <c r="A132" s="77" t="s">
        <v>287</v>
      </c>
      <c r="B132" s="78" t="s">
        <v>288</v>
      </c>
      <c r="C132" s="78" t="s">
        <v>277</v>
      </c>
      <c r="D132" s="78"/>
      <c r="E132" s="79"/>
      <c r="F132" s="80"/>
      <c r="G132" s="80"/>
      <c r="H132" s="81"/>
      <c r="I132" s="81"/>
      <c r="J132" s="81"/>
      <c r="K132" s="81"/>
      <c r="L132" s="81"/>
      <c r="M132" s="81">
        <v>7.2300000000000003E-2</v>
      </c>
      <c r="N132" s="81"/>
      <c r="O132" s="81">
        <v>3.4000000000000002E-2</v>
      </c>
      <c r="P132" s="81"/>
      <c r="Q132" s="81"/>
      <c r="R132" s="82">
        <v>46173</v>
      </c>
      <c r="S132" s="77"/>
      <c r="T132" s="77" t="s">
        <v>729</v>
      </c>
      <c r="U132" s="82"/>
      <c r="V132" s="77" t="s">
        <v>1363</v>
      </c>
      <c r="W132" s="78"/>
      <c r="X132" s="78" t="s">
        <v>736</v>
      </c>
      <c r="Y132" s="78"/>
      <c r="Z132" s="78"/>
    </row>
    <row r="133" spans="1:26" s="83" customFormat="1" ht="14.5" customHeight="1" x14ac:dyDescent="0.35">
      <c r="A133" s="77" t="s">
        <v>290</v>
      </c>
      <c r="B133" s="78" t="s">
        <v>291</v>
      </c>
      <c r="C133" s="78" t="s">
        <v>277</v>
      </c>
      <c r="D133" s="78"/>
      <c r="E133" s="79"/>
      <c r="F133" s="80"/>
      <c r="G133" s="80"/>
      <c r="H133" s="81"/>
      <c r="I133" s="81"/>
      <c r="J133" s="81"/>
      <c r="K133" s="81"/>
      <c r="L133" s="81"/>
      <c r="M133" s="81">
        <v>9.5000000000000001E-2</v>
      </c>
      <c r="N133" s="81"/>
      <c r="O133" s="81">
        <v>2.1000000000000001E-2</v>
      </c>
      <c r="P133" s="81"/>
      <c r="Q133" s="81"/>
      <c r="R133" s="82">
        <v>46173</v>
      </c>
      <c r="S133" s="77"/>
      <c r="T133" s="77" t="s">
        <v>729</v>
      </c>
      <c r="U133" s="82"/>
      <c r="V133" s="77" t="s">
        <v>1363</v>
      </c>
      <c r="W133" s="78"/>
      <c r="X133" s="78"/>
      <c r="Y133" s="78"/>
      <c r="Z133" s="78"/>
    </row>
    <row r="134" spans="1:26" s="83" customFormat="1" ht="14.5" customHeight="1" x14ac:dyDescent="0.35">
      <c r="A134" s="77" t="s">
        <v>292</v>
      </c>
      <c r="B134" s="78" t="s">
        <v>293</v>
      </c>
      <c r="C134" s="78" t="s">
        <v>277</v>
      </c>
      <c r="D134" s="78"/>
      <c r="E134" s="79"/>
      <c r="F134" s="80"/>
      <c r="G134" s="80"/>
      <c r="H134" s="81"/>
      <c r="I134" s="81"/>
      <c r="J134" s="81"/>
      <c r="K134" s="81"/>
      <c r="L134" s="81">
        <v>0.09</v>
      </c>
      <c r="M134" s="81">
        <v>6.7000000000000004E-2</v>
      </c>
      <c r="N134" s="81"/>
      <c r="O134" s="81">
        <v>1.4E-2</v>
      </c>
      <c r="P134" s="81"/>
      <c r="Q134" s="81"/>
      <c r="R134" s="82">
        <v>46173</v>
      </c>
      <c r="S134" s="77"/>
      <c r="T134" s="77" t="s">
        <v>729</v>
      </c>
      <c r="U134" s="82"/>
      <c r="V134" s="77" t="s">
        <v>1363</v>
      </c>
      <c r="W134" s="78"/>
      <c r="X134" s="78"/>
      <c r="Y134" s="78"/>
      <c r="Z134" s="78"/>
    </row>
    <row r="135" spans="1:26" s="83" customFormat="1" ht="14.5" customHeight="1" x14ac:dyDescent="0.35">
      <c r="A135" s="77" t="s">
        <v>294</v>
      </c>
      <c r="B135" s="78" t="s">
        <v>295</v>
      </c>
      <c r="C135" s="78" t="s">
        <v>277</v>
      </c>
      <c r="D135" s="78"/>
      <c r="E135" s="79"/>
      <c r="F135" s="80"/>
      <c r="G135" s="80"/>
      <c r="H135" s="81"/>
      <c r="I135" s="81"/>
      <c r="J135" s="81"/>
      <c r="K135" s="81"/>
      <c r="L135" s="81">
        <v>0.11799999999999999</v>
      </c>
      <c r="M135" s="81">
        <v>7.3999999999999996E-2</v>
      </c>
      <c r="N135" s="81"/>
      <c r="O135" s="81">
        <v>2.93E-2</v>
      </c>
      <c r="P135" s="81"/>
      <c r="Q135" s="81"/>
      <c r="R135" s="82">
        <v>46203</v>
      </c>
      <c r="S135" s="77"/>
      <c r="T135" s="77" t="s">
        <v>729</v>
      </c>
      <c r="U135" s="82"/>
      <c r="V135" s="77" t="s">
        <v>1363</v>
      </c>
      <c r="W135" s="78"/>
      <c r="X135" s="78"/>
      <c r="Y135" s="78"/>
      <c r="Z135" s="78"/>
    </row>
    <row r="136" spans="1:26" s="83" customFormat="1" ht="14.5" customHeight="1" x14ac:dyDescent="0.35">
      <c r="A136" s="77" t="s">
        <v>298</v>
      </c>
      <c r="B136" s="78" t="s">
        <v>299</v>
      </c>
      <c r="C136" s="78" t="s">
        <v>277</v>
      </c>
      <c r="D136" s="78"/>
      <c r="E136" s="79"/>
      <c r="F136" s="80"/>
      <c r="G136" s="80"/>
      <c r="H136" s="81"/>
      <c r="I136" s="81"/>
      <c r="J136" s="81"/>
      <c r="K136" s="81"/>
      <c r="L136" s="81"/>
      <c r="M136" s="81"/>
      <c r="N136" s="81"/>
      <c r="O136" s="81">
        <v>4.9599999999999998E-2</v>
      </c>
      <c r="P136" s="81"/>
      <c r="Q136" s="81"/>
      <c r="R136" s="82">
        <v>46172.916666666664</v>
      </c>
      <c r="S136" s="77"/>
      <c r="T136" s="77" t="s">
        <v>729</v>
      </c>
      <c r="U136" s="82"/>
      <c r="V136" s="77" t="s">
        <v>1363</v>
      </c>
      <c r="W136" s="78"/>
      <c r="X136" s="78"/>
      <c r="Y136" s="78"/>
      <c r="Z136" s="78"/>
    </row>
    <row r="137" spans="1:26" s="83" customFormat="1" ht="14.5" customHeight="1" x14ac:dyDescent="0.35">
      <c r="A137" s="77" t="s">
        <v>300</v>
      </c>
      <c r="B137" s="78" t="s">
        <v>301</v>
      </c>
      <c r="C137" s="78" t="s">
        <v>277</v>
      </c>
      <c r="D137" s="78"/>
      <c r="E137" s="79"/>
      <c r="F137" s="80"/>
      <c r="G137" s="80"/>
      <c r="H137" s="81"/>
      <c r="I137" s="81"/>
      <c r="J137" s="81"/>
      <c r="K137" s="81"/>
      <c r="L137" s="81"/>
      <c r="M137" s="81"/>
      <c r="N137" s="81"/>
      <c r="O137" s="81">
        <v>1.55E-2</v>
      </c>
      <c r="P137" s="81"/>
      <c r="Q137" s="81"/>
      <c r="R137" s="82">
        <v>46112</v>
      </c>
      <c r="S137" s="77"/>
      <c r="T137" s="77" t="s">
        <v>729</v>
      </c>
      <c r="U137" s="82"/>
      <c r="V137" s="77" t="s">
        <v>1363</v>
      </c>
      <c r="W137" s="78"/>
      <c r="X137" s="78" t="s">
        <v>739</v>
      </c>
      <c r="Y137" s="78"/>
      <c r="Z137" s="86"/>
    </row>
    <row r="138" spans="1:26" s="83" customFormat="1" ht="14.5" customHeight="1" x14ac:dyDescent="0.35">
      <c r="A138" s="77" t="s">
        <v>302</v>
      </c>
      <c r="B138" s="78" t="s">
        <v>303</v>
      </c>
      <c r="C138" s="78" t="s">
        <v>277</v>
      </c>
      <c r="D138" s="78"/>
      <c r="E138" s="79"/>
      <c r="F138" s="80"/>
      <c r="G138" s="80"/>
      <c r="H138" s="81"/>
      <c r="I138" s="81"/>
      <c r="J138" s="81"/>
      <c r="K138" s="81"/>
      <c r="L138" s="81"/>
      <c r="M138" s="81"/>
      <c r="N138" s="81"/>
      <c r="O138" s="81">
        <v>2.1000000000000001E-2</v>
      </c>
      <c r="P138" s="81"/>
      <c r="Q138" s="81"/>
      <c r="R138" s="82">
        <v>46172.916666666664</v>
      </c>
      <c r="S138" s="77"/>
      <c r="T138" s="77" t="s">
        <v>729</v>
      </c>
      <c r="U138" s="82"/>
      <c r="V138" s="77" t="s">
        <v>1363</v>
      </c>
      <c r="W138" s="78"/>
      <c r="X138" s="78"/>
      <c r="Y138" s="78"/>
      <c r="Z138" s="78"/>
    </row>
    <row r="139" spans="1:26" s="83" customFormat="1" ht="14.5" customHeight="1" x14ac:dyDescent="0.35">
      <c r="A139" s="77" t="s">
        <v>305</v>
      </c>
      <c r="B139" s="78" t="s">
        <v>306</v>
      </c>
      <c r="C139" s="78" t="s">
        <v>277</v>
      </c>
      <c r="D139" s="78"/>
      <c r="E139" s="79"/>
      <c r="F139" s="80"/>
      <c r="G139" s="80"/>
      <c r="H139" s="81"/>
      <c r="I139" s="81"/>
      <c r="J139" s="81">
        <v>2.1999999999999999E-2</v>
      </c>
      <c r="K139" s="81">
        <v>0.127</v>
      </c>
      <c r="L139" s="81">
        <v>0.10299999999999999</v>
      </c>
      <c r="M139" s="81">
        <v>7.2999999999999995E-2</v>
      </c>
      <c r="N139" s="81"/>
      <c r="O139" s="81">
        <v>1.7999999999999999E-2</v>
      </c>
      <c r="P139" s="81"/>
      <c r="Q139" s="81"/>
      <c r="R139" s="82">
        <v>46173</v>
      </c>
      <c r="S139" s="77"/>
      <c r="T139" s="77" t="s">
        <v>729</v>
      </c>
      <c r="U139" s="82"/>
      <c r="V139" s="77" t="s">
        <v>1363</v>
      </c>
      <c r="W139" s="78"/>
      <c r="X139" s="78"/>
      <c r="Y139" s="78"/>
      <c r="Z139" s="78"/>
    </row>
    <row r="140" spans="1:26" s="83" customFormat="1" ht="14.5" customHeight="1" x14ac:dyDescent="0.35">
      <c r="A140" s="77" t="s">
        <v>308</v>
      </c>
      <c r="B140" s="78" t="s">
        <v>309</v>
      </c>
      <c r="C140" s="78" t="s">
        <v>277</v>
      </c>
      <c r="D140" s="78"/>
      <c r="E140" s="79"/>
      <c r="F140" s="80"/>
      <c r="G140" s="80"/>
      <c r="H140" s="81"/>
      <c r="I140" s="81"/>
      <c r="J140" s="81"/>
      <c r="K140" s="81"/>
      <c r="L140" s="81"/>
      <c r="M140" s="81"/>
      <c r="N140" s="81"/>
      <c r="O140" s="81"/>
      <c r="P140" s="81"/>
      <c r="Q140" s="81"/>
      <c r="R140" s="82"/>
      <c r="S140" s="77"/>
      <c r="T140" s="77" t="s">
        <v>729</v>
      </c>
      <c r="U140" s="82"/>
      <c r="V140" s="77" t="s">
        <v>1363</v>
      </c>
      <c r="W140" s="78"/>
      <c r="X140" s="78"/>
      <c r="Y140" s="78"/>
      <c r="Z140" s="78"/>
    </row>
    <row r="141" spans="1:26" s="83" customFormat="1" ht="14.5" customHeight="1" x14ac:dyDescent="0.35">
      <c r="A141" s="77" t="s">
        <v>311</v>
      </c>
      <c r="B141" s="78" t="s">
        <v>312</v>
      </c>
      <c r="C141" s="78" t="s">
        <v>277</v>
      </c>
      <c r="D141" s="78"/>
      <c r="E141" s="79"/>
      <c r="F141" s="80"/>
      <c r="G141" s="80"/>
      <c r="H141" s="81"/>
      <c r="I141" s="81"/>
      <c r="J141" s="81"/>
      <c r="K141" s="81"/>
      <c r="L141" s="81"/>
      <c r="M141" s="81"/>
      <c r="N141" s="81"/>
      <c r="O141" s="81"/>
      <c r="P141" s="81"/>
      <c r="Q141" s="81"/>
      <c r="R141" s="82"/>
      <c r="S141" s="77"/>
      <c r="T141" s="77" t="s">
        <v>729</v>
      </c>
      <c r="U141" s="82"/>
      <c r="V141" s="77" t="s">
        <v>1363</v>
      </c>
      <c r="W141" s="78"/>
      <c r="X141" s="78"/>
      <c r="Y141" s="78"/>
      <c r="Z141" s="78"/>
    </row>
    <row r="142" spans="1:26" s="83" customFormat="1" ht="14.5" customHeight="1" x14ac:dyDescent="0.35">
      <c r="A142" s="77" t="s">
        <v>313</v>
      </c>
      <c r="B142" s="78" t="s">
        <v>314</v>
      </c>
      <c r="C142" s="78" t="s">
        <v>277</v>
      </c>
      <c r="D142" s="78"/>
      <c r="E142" s="79"/>
      <c r="F142" s="80"/>
      <c r="G142" s="80"/>
      <c r="H142" s="81">
        <v>2.81E-2</v>
      </c>
      <c r="I142" s="81">
        <v>7.1099999999999997E-2</v>
      </c>
      <c r="J142" s="81">
        <v>6.7599999999999993E-2</v>
      </c>
      <c r="K142" s="81">
        <v>0.09</v>
      </c>
      <c r="L142" s="81">
        <v>7.4800000000000005E-2</v>
      </c>
      <c r="M142" s="81">
        <v>4.9299999999999997E-2</v>
      </c>
      <c r="N142" s="81"/>
      <c r="O142" s="81">
        <v>3.44E-2</v>
      </c>
      <c r="P142" s="81"/>
      <c r="Q142" s="81"/>
      <c r="R142" s="82">
        <v>46234</v>
      </c>
      <c r="S142" s="77"/>
      <c r="T142" s="77" t="s">
        <v>729</v>
      </c>
      <c r="U142" s="82"/>
      <c r="V142" s="77" t="s">
        <v>1363</v>
      </c>
      <c r="W142" s="78"/>
      <c r="X142" s="78"/>
      <c r="Y142" s="78"/>
      <c r="Z142" s="78"/>
    </row>
    <row r="143" spans="1:26" s="83" customFormat="1" ht="14.5" customHeight="1" x14ac:dyDescent="0.35">
      <c r="A143" s="77" t="s">
        <v>316</v>
      </c>
      <c r="B143" s="78" t="s">
        <v>317</v>
      </c>
      <c r="C143" s="78" t="s">
        <v>277</v>
      </c>
      <c r="D143" s="78"/>
      <c r="E143" s="79"/>
      <c r="F143" s="80"/>
      <c r="G143" s="80"/>
      <c r="H143" s="81"/>
      <c r="I143" s="81"/>
      <c r="J143" s="81"/>
      <c r="K143" s="81"/>
      <c r="L143" s="81">
        <v>9.3700000000000006E-2</v>
      </c>
      <c r="M143" s="81">
        <v>5.7200000000000001E-2</v>
      </c>
      <c r="N143" s="81"/>
      <c r="O143" s="81">
        <v>2.2200000000000001E-2</v>
      </c>
      <c r="P143" s="81"/>
      <c r="Q143" s="81"/>
      <c r="R143" s="82">
        <v>46173</v>
      </c>
      <c r="S143" s="77"/>
      <c r="T143" s="77" t="s">
        <v>729</v>
      </c>
      <c r="U143" s="82"/>
      <c r="V143" s="77" t="s">
        <v>1363</v>
      </c>
      <c r="W143" s="78"/>
      <c r="X143" s="78"/>
      <c r="Y143" s="78"/>
      <c r="Z143" s="78"/>
    </row>
    <row r="144" spans="1:26" s="83" customFormat="1" ht="14.5" customHeight="1" x14ac:dyDescent="0.35">
      <c r="A144" s="77" t="s">
        <v>319</v>
      </c>
      <c r="B144" s="78" t="s">
        <v>320</v>
      </c>
      <c r="C144" s="78" t="s">
        <v>277</v>
      </c>
      <c r="D144" s="78"/>
      <c r="E144" s="79">
        <v>28.62</v>
      </c>
      <c r="F144" s="80">
        <v>6.3E-3</v>
      </c>
      <c r="G144" s="80">
        <v>5.6900000000000006E-2</v>
      </c>
      <c r="H144" s="81"/>
      <c r="I144" s="81"/>
      <c r="J144" s="81"/>
      <c r="K144" s="81"/>
      <c r="L144" s="81">
        <v>5.5E-2</v>
      </c>
      <c r="M144" s="81">
        <v>6.6000000000000003E-2</v>
      </c>
      <c r="N144" s="81"/>
      <c r="O144" s="81">
        <v>2.53E-2</v>
      </c>
      <c r="P144" s="81"/>
      <c r="Q144" s="81"/>
      <c r="R144" s="82">
        <v>46203</v>
      </c>
      <c r="S144" s="77"/>
      <c r="T144" s="77" t="s">
        <v>729</v>
      </c>
      <c r="U144" s="82"/>
      <c r="V144" s="77" t="s">
        <v>1363</v>
      </c>
      <c r="W144" s="78"/>
      <c r="X144" s="78"/>
      <c r="Y144" s="78"/>
      <c r="Z144" s="78"/>
    </row>
    <row r="145" spans="1:30" s="83" customFormat="1" ht="14.5" customHeight="1" x14ac:dyDescent="0.35">
      <c r="A145" s="77" t="s">
        <v>321</v>
      </c>
      <c r="B145" s="78" t="s">
        <v>322</v>
      </c>
      <c r="C145" s="78" t="s">
        <v>277</v>
      </c>
      <c r="D145" s="78"/>
      <c r="E145" s="79"/>
      <c r="F145" s="80"/>
      <c r="G145" s="80"/>
      <c r="H145" s="81"/>
      <c r="I145" s="81"/>
      <c r="J145" s="81"/>
      <c r="K145" s="81">
        <v>4.2700000000000002E-2</v>
      </c>
      <c r="L145" s="81">
        <v>9.3299999999999994E-2</v>
      </c>
      <c r="M145" s="81">
        <v>4.4900000000000002E-2</v>
      </c>
      <c r="N145" s="81"/>
      <c r="O145" s="81">
        <v>1.8100000000000002E-2</v>
      </c>
      <c r="P145" s="81"/>
      <c r="Q145" s="81"/>
      <c r="R145" s="82">
        <v>46173</v>
      </c>
      <c r="S145" s="77"/>
      <c r="T145" s="77" t="s">
        <v>729</v>
      </c>
      <c r="U145" s="82"/>
      <c r="V145" s="77" t="s">
        <v>1363</v>
      </c>
      <c r="W145" s="78"/>
      <c r="X145" s="78"/>
      <c r="Y145" s="78"/>
      <c r="Z145" s="78"/>
    </row>
    <row r="146" spans="1:30" s="83" customFormat="1" ht="14.5" customHeight="1" x14ac:dyDescent="0.35">
      <c r="A146" s="77" t="s">
        <v>324</v>
      </c>
      <c r="B146" s="78" t="s">
        <v>325</v>
      </c>
      <c r="C146" s="78" t="s">
        <v>277</v>
      </c>
      <c r="D146" s="78"/>
      <c r="E146" s="79"/>
      <c r="F146" s="80"/>
      <c r="G146" s="80"/>
      <c r="H146" s="81"/>
      <c r="I146" s="81"/>
      <c r="J146" s="81"/>
      <c r="K146" s="81"/>
      <c r="L146" s="81">
        <v>3.3700000000000001E-2</v>
      </c>
      <c r="M146" s="81"/>
      <c r="N146" s="81"/>
      <c r="O146" s="81"/>
      <c r="P146" s="81"/>
      <c r="Q146" s="81"/>
      <c r="R146" s="82"/>
      <c r="S146" s="77"/>
      <c r="T146" s="77" t="s">
        <v>729</v>
      </c>
      <c r="U146" s="82"/>
      <c r="V146" s="77" t="s">
        <v>1366</v>
      </c>
      <c r="W146" s="78"/>
      <c r="X146" s="78"/>
      <c r="Y146" s="78"/>
      <c r="Z146" s="78"/>
    </row>
    <row r="147" spans="1:30" s="83" customFormat="1" ht="14.5" customHeight="1" x14ac:dyDescent="0.35">
      <c r="A147" s="77" t="s">
        <v>327</v>
      </c>
      <c r="B147" s="78" t="s">
        <v>328</v>
      </c>
      <c r="C147" s="78" t="s">
        <v>277</v>
      </c>
      <c r="D147" s="78"/>
      <c r="E147" s="79"/>
      <c r="F147" s="80"/>
      <c r="G147" s="80"/>
      <c r="H147" s="81"/>
      <c r="I147" s="81"/>
      <c r="J147" s="81"/>
      <c r="K147" s="81"/>
      <c r="L147" s="81"/>
      <c r="M147" s="81"/>
      <c r="N147" s="81"/>
      <c r="O147" s="81"/>
      <c r="P147" s="81"/>
      <c r="Q147" s="81"/>
      <c r="R147" s="82"/>
      <c r="S147" s="77"/>
      <c r="T147" s="77"/>
      <c r="U147" s="82"/>
      <c r="V147" s="77"/>
      <c r="W147" s="78"/>
      <c r="X147" s="78"/>
      <c r="Y147" s="78"/>
      <c r="Z147" s="78"/>
    </row>
    <row r="148" spans="1:30" s="83" customFormat="1" ht="14.5" customHeight="1" x14ac:dyDescent="0.35">
      <c r="A148" s="77" t="s">
        <v>329</v>
      </c>
      <c r="B148" s="78" t="s">
        <v>330</v>
      </c>
      <c r="C148" s="78" t="s">
        <v>277</v>
      </c>
      <c r="D148" s="78"/>
      <c r="E148" s="79"/>
      <c r="F148" s="80"/>
      <c r="G148" s="80"/>
      <c r="H148" s="81"/>
      <c r="I148" s="81"/>
      <c r="J148" s="81"/>
      <c r="K148" s="81"/>
      <c r="L148" s="81"/>
      <c r="M148" s="81"/>
      <c r="N148" s="81"/>
      <c r="O148" s="81"/>
      <c r="P148" s="81"/>
      <c r="Q148" s="81"/>
      <c r="R148" s="82"/>
      <c r="S148" s="77"/>
      <c r="T148" s="77"/>
      <c r="U148" s="82"/>
      <c r="V148" s="77"/>
      <c r="W148" s="78"/>
      <c r="X148" s="78"/>
      <c r="Y148" s="78"/>
      <c r="Z148" s="78"/>
    </row>
    <row r="149" spans="1:30" s="83" customFormat="1" ht="14.5" customHeight="1" x14ac:dyDescent="0.35">
      <c r="A149" s="77" t="s">
        <v>331</v>
      </c>
      <c r="B149" s="78" t="s">
        <v>332</v>
      </c>
      <c r="C149" s="78" t="s">
        <v>277</v>
      </c>
      <c r="D149" s="78"/>
      <c r="E149" s="79"/>
      <c r="F149" s="80"/>
      <c r="G149" s="80"/>
      <c r="H149" s="81"/>
      <c r="I149" s="81"/>
      <c r="J149" s="81"/>
      <c r="K149" s="81"/>
      <c r="L149" s="81"/>
      <c r="M149" s="81"/>
      <c r="N149" s="81"/>
      <c r="O149" s="81"/>
      <c r="P149" s="81"/>
      <c r="Q149" s="81"/>
      <c r="R149" s="82"/>
      <c r="S149" s="77"/>
      <c r="T149" s="77"/>
      <c r="U149" s="82"/>
      <c r="V149" s="77"/>
      <c r="W149" s="78"/>
      <c r="X149" s="78"/>
      <c r="Y149" s="78"/>
      <c r="Z149" s="78"/>
    </row>
    <row r="150" spans="1:30" ht="14.5" customHeight="1" x14ac:dyDescent="0.35">
      <c r="A150" s="39" t="s">
        <v>333</v>
      </c>
      <c r="B150" s="40"/>
      <c r="C150" s="40"/>
      <c r="D150" s="40"/>
      <c r="E150" s="54"/>
      <c r="F150" s="58"/>
      <c r="G150" s="58"/>
      <c r="H150" s="42"/>
      <c r="I150" s="42"/>
      <c r="J150" s="42"/>
      <c r="K150" s="42"/>
      <c r="L150" s="42"/>
      <c r="M150" s="42"/>
      <c r="N150" s="42"/>
      <c r="O150" s="42"/>
      <c r="P150" s="42"/>
      <c r="Q150" s="42"/>
      <c r="R150" s="45"/>
      <c r="S150" s="39"/>
      <c r="T150" s="39"/>
      <c r="U150" s="45"/>
      <c r="V150" s="39"/>
      <c r="W150" s="40"/>
      <c r="X150" s="40"/>
      <c r="Y150" s="61"/>
      <c r="Z150" s="61"/>
      <c r="AC150"/>
      <c r="AD150"/>
    </row>
    <row r="151" spans="1:30" s="83" customFormat="1" ht="14.5" customHeight="1" x14ac:dyDescent="0.35">
      <c r="A151" s="77" t="s">
        <v>334</v>
      </c>
      <c r="B151" s="78" t="s">
        <v>335</v>
      </c>
      <c r="C151" s="78" t="s">
        <v>333</v>
      </c>
      <c r="D151" s="78"/>
      <c r="E151" s="79"/>
      <c r="F151" s="80"/>
      <c r="G151" s="80"/>
      <c r="H151" s="81"/>
      <c r="I151" s="81"/>
      <c r="J151" s="81"/>
      <c r="K151" s="81"/>
      <c r="L151" s="81"/>
      <c r="M151" s="81">
        <v>5.2424510671781333E-2</v>
      </c>
      <c r="N151" s="81"/>
      <c r="O151" s="81">
        <v>5.9299999999999999E-2</v>
      </c>
      <c r="P151" s="81"/>
      <c r="Q151" s="81"/>
      <c r="R151" s="82">
        <v>46173</v>
      </c>
      <c r="S151" s="77"/>
      <c r="T151" s="77" t="s">
        <v>729</v>
      </c>
      <c r="U151" s="82"/>
      <c r="V151" s="77" t="s">
        <v>1363</v>
      </c>
      <c r="W151" s="78"/>
      <c r="X151" s="78"/>
      <c r="Y151" s="78"/>
      <c r="Z151" s="78"/>
    </row>
    <row r="152" spans="1:30" s="83" customFormat="1" ht="14.5" customHeight="1" x14ac:dyDescent="0.35">
      <c r="A152" s="77" t="s">
        <v>337</v>
      </c>
      <c r="B152" s="78" t="s">
        <v>338</v>
      </c>
      <c r="C152" s="78" t="s">
        <v>333</v>
      </c>
      <c r="D152" s="78"/>
      <c r="E152" s="79"/>
      <c r="F152" s="80"/>
      <c r="G152" s="80"/>
      <c r="H152" s="81"/>
      <c r="I152" s="81"/>
      <c r="J152" s="81"/>
      <c r="K152" s="81"/>
      <c r="L152" s="81">
        <v>1.2200000000000001E-2</v>
      </c>
      <c r="M152" s="81">
        <v>4.2500000000000003E-2</v>
      </c>
      <c r="N152" s="81"/>
      <c r="O152" s="81">
        <v>5.5300000000000002E-2</v>
      </c>
      <c r="P152" s="81"/>
      <c r="Q152" s="81"/>
      <c r="R152" s="82">
        <v>46173</v>
      </c>
      <c r="S152" s="77"/>
      <c r="T152" s="77" t="s">
        <v>729</v>
      </c>
      <c r="U152" s="82"/>
      <c r="V152" s="77" t="s">
        <v>1363</v>
      </c>
      <c r="W152" s="78"/>
      <c r="X152" s="78"/>
      <c r="Y152" s="78"/>
      <c r="Z152" s="78"/>
    </row>
    <row r="153" spans="1:30" s="83" customFormat="1" ht="14.5" customHeight="1" x14ac:dyDescent="0.35">
      <c r="A153" s="77" t="s">
        <v>339</v>
      </c>
      <c r="B153" s="78" t="s">
        <v>340</v>
      </c>
      <c r="C153" s="78" t="s">
        <v>333</v>
      </c>
      <c r="D153" s="78"/>
      <c r="E153" s="79"/>
      <c r="F153" s="80"/>
      <c r="G153" s="80"/>
      <c r="H153" s="81"/>
      <c r="I153" s="81"/>
      <c r="J153" s="81"/>
      <c r="K153" s="81"/>
      <c r="L153" s="81"/>
      <c r="M153" s="81">
        <v>4.3546953688160313E-2</v>
      </c>
      <c r="N153" s="81"/>
      <c r="O153" s="81">
        <v>5.57E-2</v>
      </c>
      <c r="P153" s="81"/>
      <c r="Q153" s="81"/>
      <c r="R153" s="82">
        <v>46173</v>
      </c>
      <c r="S153" s="77"/>
      <c r="T153" s="77" t="s">
        <v>729</v>
      </c>
      <c r="U153" s="82"/>
      <c r="V153" s="77" t="s">
        <v>1363</v>
      </c>
      <c r="W153" s="78"/>
      <c r="X153" s="78"/>
      <c r="Y153" s="78"/>
      <c r="Z153" s="78"/>
    </row>
    <row r="154" spans="1:30" s="83" customFormat="1" ht="14.5" customHeight="1" x14ac:dyDescent="0.35">
      <c r="A154" s="77" t="s">
        <v>341</v>
      </c>
      <c r="B154" s="78" t="s">
        <v>342</v>
      </c>
      <c r="C154" s="78" t="s">
        <v>333</v>
      </c>
      <c r="D154" s="78"/>
      <c r="E154" s="79"/>
      <c r="F154" s="80"/>
      <c r="G154" s="80"/>
      <c r="H154" s="81"/>
      <c r="I154" s="81"/>
      <c r="J154" s="81"/>
      <c r="K154" s="81"/>
      <c r="L154" s="81"/>
      <c r="M154" s="81">
        <v>4.4512435846821852E-2</v>
      </c>
      <c r="N154" s="81"/>
      <c r="O154" s="81">
        <v>5.6099999999999997E-2</v>
      </c>
      <c r="P154" s="81"/>
      <c r="Q154" s="81"/>
      <c r="R154" s="82">
        <v>46173</v>
      </c>
      <c r="S154" s="77"/>
      <c r="T154" s="77" t="s">
        <v>729</v>
      </c>
      <c r="U154" s="82"/>
      <c r="V154" s="77" t="s">
        <v>1363</v>
      </c>
      <c r="W154" s="78"/>
      <c r="X154" s="78"/>
      <c r="Y154" s="78"/>
      <c r="Z154" s="78"/>
    </row>
    <row r="155" spans="1:30" s="83" customFormat="1" ht="14.5" customHeight="1" x14ac:dyDescent="0.35">
      <c r="A155" s="77" t="s">
        <v>343</v>
      </c>
      <c r="B155" s="78" t="s">
        <v>344</v>
      </c>
      <c r="C155" s="78" t="s">
        <v>333</v>
      </c>
      <c r="D155" s="78"/>
      <c r="E155" s="79"/>
      <c r="F155" s="80"/>
      <c r="G155" s="80"/>
      <c r="H155" s="81"/>
      <c r="I155" s="81"/>
      <c r="J155" s="81"/>
      <c r="K155" s="81"/>
      <c r="L155" s="81"/>
      <c r="M155" s="81">
        <v>4.6158398264128493E-2</v>
      </c>
      <c r="N155" s="81"/>
      <c r="O155" s="81">
        <v>5.6800000000000003E-2</v>
      </c>
      <c r="P155" s="81"/>
      <c r="Q155" s="81"/>
      <c r="R155" s="82">
        <v>46173</v>
      </c>
      <c r="S155" s="77"/>
      <c r="T155" s="77" t="s">
        <v>729</v>
      </c>
      <c r="U155" s="82"/>
      <c r="V155" s="77" t="s">
        <v>1363</v>
      </c>
      <c r="W155" s="78"/>
      <c r="X155" s="78"/>
      <c r="Y155" s="78"/>
      <c r="Z155" s="78"/>
    </row>
    <row r="156" spans="1:30" s="83" customFormat="1" ht="14.5" customHeight="1" x14ac:dyDescent="0.35">
      <c r="A156" s="77" t="s">
        <v>345</v>
      </c>
      <c r="B156" s="78" t="s">
        <v>346</v>
      </c>
      <c r="C156" s="78" t="s">
        <v>333</v>
      </c>
      <c r="D156" s="78"/>
      <c r="E156" s="79"/>
      <c r="F156" s="80"/>
      <c r="G156" s="80"/>
      <c r="H156" s="81"/>
      <c r="I156" s="81"/>
      <c r="J156" s="81"/>
      <c r="K156" s="81"/>
      <c r="L156" s="81"/>
      <c r="M156" s="81">
        <v>1.9400000000000101E-2</v>
      </c>
      <c r="N156" s="81"/>
      <c r="O156" s="81">
        <v>5.7200000000000001E-2</v>
      </c>
      <c r="P156" s="81"/>
      <c r="Q156" s="81"/>
      <c r="R156" s="82">
        <v>46173</v>
      </c>
      <c r="S156" s="77"/>
      <c r="T156" s="77" t="s">
        <v>729</v>
      </c>
      <c r="U156" s="82"/>
      <c r="V156" s="77" t="s">
        <v>1363</v>
      </c>
      <c r="W156" s="78"/>
      <c r="X156" s="78"/>
      <c r="Y156" s="78"/>
      <c r="Z156" s="78"/>
    </row>
    <row r="157" spans="1:30" s="83" customFormat="1" ht="14.5" customHeight="1" x14ac:dyDescent="0.35">
      <c r="A157" s="77" t="s">
        <v>347</v>
      </c>
      <c r="B157" s="78" t="s">
        <v>348</v>
      </c>
      <c r="C157" s="78" t="s">
        <v>333</v>
      </c>
      <c r="D157" s="78"/>
      <c r="E157" s="79"/>
      <c r="F157" s="80"/>
      <c r="G157" s="80"/>
      <c r="H157" s="81"/>
      <c r="I157" s="81"/>
      <c r="J157" s="81"/>
      <c r="K157" s="81"/>
      <c r="L157" s="81">
        <v>0.315</v>
      </c>
      <c r="M157" s="81">
        <v>2.1999999999999999E-2</v>
      </c>
      <c r="N157" s="81"/>
      <c r="O157" s="81">
        <v>8.3000000000000004E-2</v>
      </c>
      <c r="P157" s="81"/>
      <c r="Q157" s="81"/>
      <c r="R157" s="82">
        <v>46203</v>
      </c>
      <c r="S157" s="77"/>
      <c r="T157" s="77" t="s">
        <v>729</v>
      </c>
      <c r="U157" s="82"/>
      <c r="V157" s="77" t="s">
        <v>1363</v>
      </c>
      <c r="W157" s="78"/>
      <c r="X157" s="78"/>
      <c r="Y157" s="78"/>
      <c r="Z157" s="78"/>
    </row>
    <row r="158" spans="1:30" s="83" customFormat="1" ht="14.5" customHeight="1" x14ac:dyDescent="0.35">
      <c r="A158" s="77" t="s">
        <v>350</v>
      </c>
      <c r="B158" s="78" t="s">
        <v>351</v>
      </c>
      <c r="C158" s="78" t="s">
        <v>333</v>
      </c>
      <c r="D158" s="78"/>
      <c r="E158" s="79"/>
      <c r="F158" s="80"/>
      <c r="G158" s="80"/>
      <c r="H158" s="81"/>
      <c r="I158" s="81"/>
      <c r="J158" s="81"/>
      <c r="K158" s="81"/>
      <c r="L158" s="81"/>
      <c r="M158" s="81">
        <v>-2.5000000000000001E-2</v>
      </c>
      <c r="N158" s="81"/>
      <c r="O158" s="81">
        <v>-4.2000000000000003E-2</v>
      </c>
      <c r="P158" s="81"/>
      <c r="Q158" s="81"/>
      <c r="R158" s="82">
        <v>46112</v>
      </c>
      <c r="S158" s="77"/>
      <c r="T158" s="77" t="s">
        <v>729</v>
      </c>
      <c r="U158" s="82"/>
      <c r="V158" s="77" t="s">
        <v>1363</v>
      </c>
      <c r="W158" s="78" t="s">
        <v>1237</v>
      </c>
      <c r="X158" s="78"/>
      <c r="Y158" s="78"/>
      <c r="Z158" s="78"/>
    </row>
    <row r="159" spans="1:30" s="83" customFormat="1" ht="14.5" customHeight="1" x14ac:dyDescent="0.35">
      <c r="A159" s="77" t="s">
        <v>353</v>
      </c>
      <c r="B159" s="78" t="s">
        <v>354</v>
      </c>
      <c r="C159" s="78" t="s">
        <v>333</v>
      </c>
      <c r="D159" s="78"/>
      <c r="E159" s="79"/>
      <c r="F159" s="80"/>
      <c r="G159" s="80"/>
      <c r="H159" s="81"/>
      <c r="I159" s="81"/>
      <c r="J159" s="81">
        <v>0.19719999999999999</v>
      </c>
      <c r="K159" s="81">
        <v>0.1147</v>
      </c>
      <c r="L159" s="81">
        <v>0.1353</v>
      </c>
      <c r="M159" s="81">
        <v>-6.3185935565288731E-2</v>
      </c>
      <c r="N159" s="81"/>
      <c r="O159" s="81">
        <v>6.8599999999999994E-2</v>
      </c>
      <c r="P159" s="81"/>
      <c r="Q159" s="81"/>
      <c r="R159" s="82" t="s">
        <v>1236</v>
      </c>
      <c r="S159" s="77"/>
      <c r="T159" s="77" t="s">
        <v>729</v>
      </c>
      <c r="U159" s="82"/>
      <c r="V159" s="77" t="s">
        <v>1363</v>
      </c>
      <c r="W159" s="78"/>
      <c r="X159" s="78"/>
      <c r="Y159" s="78"/>
      <c r="Z159" s="78"/>
    </row>
    <row r="160" spans="1:30" s="83" customFormat="1" ht="14.5" customHeight="1" x14ac:dyDescent="0.35">
      <c r="A160" s="77" t="s">
        <v>356</v>
      </c>
      <c r="B160" s="78" t="s">
        <v>357</v>
      </c>
      <c r="C160" s="78" t="s">
        <v>333</v>
      </c>
      <c r="D160" s="78"/>
      <c r="E160" s="79"/>
      <c r="F160" s="80"/>
      <c r="G160" s="80"/>
      <c r="H160" s="81"/>
      <c r="I160" s="81">
        <v>4.7100000000000003E-2</v>
      </c>
      <c r="J160" s="81">
        <v>4.7100000000000003E-2</v>
      </c>
      <c r="K160" s="81">
        <v>0.27260000000000001</v>
      </c>
      <c r="L160" s="81">
        <v>0.2082</v>
      </c>
      <c r="M160" s="81">
        <v>0.2208</v>
      </c>
      <c r="N160" s="81"/>
      <c r="O160" s="81">
        <v>0.13789999999999999</v>
      </c>
      <c r="P160" s="81"/>
      <c r="Q160" s="81"/>
      <c r="R160" s="82">
        <v>46173</v>
      </c>
      <c r="S160" s="77"/>
      <c r="T160" s="77" t="s">
        <v>729</v>
      </c>
      <c r="U160" s="82"/>
      <c r="V160" s="77" t="s">
        <v>1363</v>
      </c>
      <c r="W160" s="78"/>
      <c r="X160" s="78"/>
      <c r="Y160" s="78"/>
      <c r="Z160" s="78"/>
    </row>
    <row r="161" spans="1:26" s="83" customFormat="1" ht="14.5" customHeight="1" x14ac:dyDescent="0.35">
      <c r="A161" s="77" t="s">
        <v>359</v>
      </c>
      <c r="B161" s="78" t="s">
        <v>360</v>
      </c>
      <c r="C161" s="78" t="s">
        <v>333</v>
      </c>
      <c r="D161" s="78"/>
      <c r="E161" s="79"/>
      <c r="F161" s="80"/>
      <c r="G161" s="80"/>
      <c r="H161" s="81"/>
      <c r="I161" s="81"/>
      <c r="J161" s="81"/>
      <c r="K161" s="81"/>
      <c r="L161" s="81"/>
      <c r="M161" s="81">
        <v>0.16250000000000001</v>
      </c>
      <c r="N161" s="81"/>
      <c r="O161" s="81">
        <v>5.4899999999999997E-2</v>
      </c>
      <c r="P161" s="81"/>
      <c r="Q161" s="81"/>
      <c r="R161" s="82" t="s">
        <v>1236</v>
      </c>
      <c r="S161" s="77"/>
      <c r="T161" s="77" t="s">
        <v>729</v>
      </c>
      <c r="U161" s="82"/>
      <c r="V161" s="77" t="s">
        <v>1363</v>
      </c>
      <c r="W161" s="78"/>
      <c r="X161" s="78"/>
      <c r="Y161" s="78"/>
      <c r="Z161" s="78"/>
    </row>
    <row r="162" spans="1:26" s="83" customFormat="1" ht="14.5" customHeight="1" x14ac:dyDescent="0.35">
      <c r="A162" s="77" t="s">
        <v>362</v>
      </c>
      <c r="B162" s="78" t="s">
        <v>363</v>
      </c>
      <c r="C162" s="78" t="s">
        <v>333</v>
      </c>
      <c r="D162" s="78"/>
      <c r="E162" s="79"/>
      <c r="F162" s="80"/>
      <c r="G162" s="80"/>
      <c r="H162" s="81"/>
      <c r="I162" s="81"/>
      <c r="J162" s="81"/>
      <c r="K162" s="81"/>
      <c r="L162" s="81"/>
      <c r="M162" s="81">
        <v>0.19500000000000001</v>
      </c>
      <c r="N162" s="81"/>
      <c r="O162" s="81">
        <v>7.7299999999999994E-2</v>
      </c>
      <c r="P162" s="81"/>
      <c r="Q162" s="81"/>
      <c r="R162" s="82">
        <v>46173</v>
      </c>
      <c r="S162" s="77"/>
      <c r="T162" s="77" t="s">
        <v>729</v>
      </c>
      <c r="U162" s="82"/>
      <c r="V162" s="77" t="s">
        <v>1363</v>
      </c>
      <c r="W162" s="78"/>
      <c r="X162" s="78"/>
      <c r="Y162" s="78"/>
      <c r="Z162" s="78"/>
    </row>
    <row r="163" spans="1:26" s="83" customFormat="1" ht="14.5" customHeight="1" x14ac:dyDescent="0.35">
      <c r="A163" s="77" t="s">
        <v>365</v>
      </c>
      <c r="B163" s="78" t="s">
        <v>366</v>
      </c>
      <c r="C163" s="78" t="s">
        <v>333</v>
      </c>
      <c r="D163" s="78"/>
      <c r="E163" s="79"/>
      <c r="F163" s="80"/>
      <c r="G163" s="80"/>
      <c r="H163" s="81"/>
      <c r="I163" s="81"/>
      <c r="J163" s="81"/>
      <c r="K163" s="81"/>
      <c r="L163" s="81"/>
      <c r="M163" s="81"/>
      <c r="N163" s="81"/>
      <c r="O163" s="81"/>
      <c r="P163" s="81"/>
      <c r="Q163" s="81"/>
      <c r="R163" s="82"/>
      <c r="S163" s="77"/>
      <c r="T163" s="77"/>
      <c r="U163" s="82"/>
      <c r="V163" s="77"/>
      <c r="W163" s="78"/>
      <c r="X163" s="78"/>
      <c r="Y163" s="78"/>
      <c r="Z163" s="78"/>
    </row>
    <row r="164" spans="1:26" s="83" customFormat="1" ht="14.5" customHeight="1" x14ac:dyDescent="0.35">
      <c r="A164" s="77" t="s">
        <v>368</v>
      </c>
      <c r="B164" s="78" t="s">
        <v>369</v>
      </c>
      <c r="C164" s="78" t="s">
        <v>333</v>
      </c>
      <c r="D164" s="78"/>
      <c r="E164" s="79"/>
      <c r="F164" s="80"/>
      <c r="G164" s="80"/>
      <c r="H164" s="81"/>
      <c r="I164" s="81"/>
      <c r="J164" s="81"/>
      <c r="K164" s="81"/>
      <c r="L164" s="81">
        <v>0.127</v>
      </c>
      <c r="M164" s="81">
        <v>6.1189431481248002E-2</v>
      </c>
      <c r="N164" s="81"/>
      <c r="O164" s="81">
        <v>-9.1999999999999998E-3</v>
      </c>
      <c r="P164" s="81"/>
      <c r="Q164" s="81"/>
      <c r="R164" s="82" t="s">
        <v>1235</v>
      </c>
      <c r="S164" s="77"/>
      <c r="T164" s="77" t="s">
        <v>729</v>
      </c>
      <c r="U164" s="82"/>
      <c r="V164" s="77" t="s">
        <v>1363</v>
      </c>
      <c r="W164" s="78"/>
      <c r="X164" s="78"/>
      <c r="Y164" s="78"/>
      <c r="Z164" s="78"/>
    </row>
    <row r="165" spans="1:26" s="83" customFormat="1" ht="14.5" customHeight="1" x14ac:dyDescent="0.35">
      <c r="A165" s="77" t="s">
        <v>371</v>
      </c>
      <c r="B165" s="78" t="s">
        <v>372</v>
      </c>
      <c r="C165" s="78" t="s">
        <v>333</v>
      </c>
      <c r="D165" s="78"/>
      <c r="E165" s="79"/>
      <c r="F165" s="80"/>
      <c r="G165" s="80"/>
      <c r="H165" s="81"/>
      <c r="I165" s="81"/>
      <c r="J165" s="81"/>
      <c r="K165" s="81"/>
      <c r="L165" s="81">
        <v>-4.0000000000000001E-3</v>
      </c>
      <c r="M165" s="81">
        <v>5.2999999999999999E-2</v>
      </c>
      <c r="N165" s="81"/>
      <c r="O165" s="81">
        <v>4.4999999999999998E-2</v>
      </c>
      <c r="P165" s="81"/>
      <c r="Q165" s="81"/>
      <c r="R165" s="82">
        <v>46112</v>
      </c>
      <c r="S165" s="77"/>
      <c r="T165" s="77" t="s">
        <v>729</v>
      </c>
      <c r="U165" s="82"/>
      <c r="V165" s="77" t="s">
        <v>1363</v>
      </c>
      <c r="W165" s="78"/>
      <c r="X165" s="78"/>
      <c r="Y165" s="78"/>
      <c r="Z165" s="78"/>
    </row>
    <row r="166" spans="1:26" s="83" customFormat="1" ht="14.5" customHeight="1" x14ac:dyDescent="0.35">
      <c r="A166" s="77"/>
      <c r="B166" s="78" t="s">
        <v>374</v>
      </c>
      <c r="C166" s="78" t="s">
        <v>333</v>
      </c>
      <c r="D166" s="78"/>
      <c r="E166" s="79"/>
      <c r="F166" s="80"/>
      <c r="G166" s="80"/>
      <c r="H166" s="81"/>
      <c r="I166" s="81"/>
      <c r="J166" s="81"/>
      <c r="K166" s="81"/>
      <c r="L166" s="81"/>
      <c r="M166" s="81"/>
      <c r="N166" s="81"/>
      <c r="O166" s="81"/>
      <c r="P166" s="81"/>
      <c r="Q166" s="81"/>
      <c r="R166" s="82"/>
      <c r="S166" s="77"/>
      <c r="T166" s="77"/>
      <c r="U166" s="82"/>
      <c r="V166" s="77"/>
      <c r="W166" s="78"/>
      <c r="X166" s="78"/>
      <c r="Y166" s="78"/>
      <c r="Z166" s="78"/>
    </row>
    <row r="167" spans="1:26" s="83" customFormat="1" ht="14.5" customHeight="1" x14ac:dyDescent="0.35">
      <c r="A167" s="77" t="s">
        <v>375</v>
      </c>
      <c r="B167" s="78" t="s">
        <v>376</v>
      </c>
      <c r="C167" s="78" t="s">
        <v>333</v>
      </c>
      <c r="D167" s="78"/>
      <c r="E167" s="79"/>
      <c r="F167" s="80"/>
      <c r="G167" s="80"/>
      <c r="H167" s="81"/>
      <c r="I167" s="81"/>
      <c r="J167" s="81"/>
      <c r="K167" s="81"/>
      <c r="L167" s="81"/>
      <c r="M167" s="81"/>
      <c r="N167" s="81"/>
      <c r="O167" s="81"/>
      <c r="P167" s="81"/>
      <c r="Q167" s="81"/>
      <c r="R167" s="82"/>
      <c r="S167" s="77"/>
      <c r="T167" s="77"/>
      <c r="U167" s="82"/>
      <c r="V167" s="77"/>
      <c r="W167" s="78"/>
      <c r="X167" s="78"/>
      <c r="Y167" s="78"/>
      <c r="Z167" s="78"/>
    </row>
    <row r="168" spans="1:26" s="83" customFormat="1" ht="14.5" customHeight="1" x14ac:dyDescent="0.35">
      <c r="A168" s="77" t="s">
        <v>377</v>
      </c>
      <c r="B168" s="78" t="s">
        <v>378</v>
      </c>
      <c r="C168" s="78" t="s">
        <v>333</v>
      </c>
      <c r="D168" s="78"/>
      <c r="E168" s="79"/>
      <c r="F168" s="80"/>
      <c r="G168" s="80"/>
      <c r="H168" s="81"/>
      <c r="I168" s="81"/>
      <c r="J168" s="81"/>
      <c r="K168" s="81"/>
      <c r="L168" s="81"/>
      <c r="M168" s="81"/>
      <c r="N168" s="81"/>
      <c r="O168" s="81"/>
      <c r="P168" s="81"/>
      <c r="Q168" s="81"/>
      <c r="R168" s="82"/>
      <c r="S168" s="77"/>
      <c r="T168" s="77"/>
      <c r="U168" s="82"/>
      <c r="V168" s="77"/>
      <c r="W168" s="78"/>
      <c r="X168" s="78"/>
      <c r="Y168" s="78"/>
      <c r="Z168" s="78"/>
    </row>
    <row r="169" spans="1:26" s="83" customFormat="1" ht="14.5" customHeight="1" x14ac:dyDescent="0.35">
      <c r="A169" s="77"/>
      <c r="B169" s="78" t="s">
        <v>379</v>
      </c>
      <c r="C169" s="78" t="s">
        <v>333</v>
      </c>
      <c r="D169" s="78"/>
      <c r="E169" s="79"/>
      <c r="F169" s="80"/>
      <c r="G169" s="80"/>
      <c r="H169" s="81"/>
      <c r="I169" s="81"/>
      <c r="J169" s="81"/>
      <c r="K169" s="81"/>
      <c r="L169" s="81"/>
      <c r="M169" s="81"/>
      <c r="N169" s="81"/>
      <c r="O169" s="81"/>
      <c r="P169" s="81"/>
      <c r="Q169" s="81"/>
      <c r="R169" s="82"/>
      <c r="S169" s="77"/>
      <c r="T169" s="77"/>
      <c r="U169" s="82"/>
      <c r="V169" s="77"/>
      <c r="W169" s="78"/>
      <c r="X169" s="78"/>
      <c r="Y169" s="78"/>
      <c r="Z169" s="78"/>
    </row>
    <row r="170" spans="1:26" s="83" customFormat="1" ht="14.5" customHeight="1" x14ac:dyDescent="0.35">
      <c r="A170" s="77"/>
      <c r="B170" s="78" t="s">
        <v>380</v>
      </c>
      <c r="C170" s="78" t="s">
        <v>333</v>
      </c>
      <c r="D170" s="78"/>
      <c r="E170" s="79"/>
      <c r="F170" s="80"/>
      <c r="G170" s="80"/>
      <c r="H170" s="81"/>
      <c r="I170" s="81"/>
      <c r="J170" s="81"/>
      <c r="K170" s="81"/>
      <c r="L170" s="81"/>
      <c r="M170" s="81"/>
      <c r="N170" s="81"/>
      <c r="O170" s="81"/>
      <c r="P170" s="81"/>
      <c r="Q170" s="81"/>
      <c r="R170" s="82"/>
      <c r="S170" s="77"/>
      <c r="T170" s="77"/>
      <c r="U170" s="82"/>
      <c r="V170" s="77"/>
      <c r="W170" s="78"/>
      <c r="X170" s="78"/>
      <c r="Y170" s="78"/>
      <c r="Z170" s="78"/>
    </row>
    <row r="171" spans="1:26" s="83" customFormat="1" ht="14.5" customHeight="1" x14ac:dyDescent="0.35">
      <c r="A171" s="77"/>
      <c r="B171" s="78" t="s">
        <v>381</v>
      </c>
      <c r="C171" s="78" t="s">
        <v>333</v>
      </c>
      <c r="D171" s="78"/>
      <c r="E171" s="79"/>
      <c r="F171" s="80"/>
      <c r="G171" s="80"/>
      <c r="H171" s="81"/>
      <c r="I171" s="81"/>
      <c r="J171" s="81"/>
      <c r="K171" s="81"/>
      <c r="L171" s="81"/>
      <c r="M171" s="81"/>
      <c r="N171" s="81"/>
      <c r="O171" s="81"/>
      <c r="P171" s="81"/>
      <c r="Q171" s="81"/>
      <c r="R171" s="82"/>
      <c r="S171" s="77"/>
      <c r="T171" s="77"/>
      <c r="U171" s="82"/>
      <c r="V171" s="77"/>
      <c r="W171" s="78"/>
      <c r="X171" s="78"/>
      <c r="Y171" s="78"/>
      <c r="Z171" s="78"/>
    </row>
    <row r="172" spans="1:26" s="83" customFormat="1" ht="14.5" customHeight="1" x14ac:dyDescent="0.35">
      <c r="A172" s="77" t="s">
        <v>382</v>
      </c>
      <c r="B172" s="78" t="s">
        <v>383</v>
      </c>
      <c r="C172" s="78" t="s">
        <v>333</v>
      </c>
      <c r="D172" s="78"/>
      <c r="E172" s="79"/>
      <c r="F172" s="80"/>
      <c r="G172" s="80"/>
      <c r="H172" s="81"/>
      <c r="I172" s="81">
        <v>0.224</v>
      </c>
      <c r="J172" s="81">
        <v>6.0000000000000001E-3</v>
      </c>
      <c r="K172" s="81">
        <v>4.5999999999999999E-2</v>
      </c>
      <c r="L172" s="81">
        <v>7.3999999999999996E-2</v>
      </c>
      <c r="M172" s="81">
        <v>1E-3</v>
      </c>
      <c r="N172" s="81"/>
      <c r="O172" s="81">
        <v>-3.7999999999999999E-2</v>
      </c>
      <c r="P172" s="81"/>
      <c r="Q172" s="81"/>
      <c r="R172" s="82">
        <v>46173</v>
      </c>
      <c r="S172" s="77"/>
      <c r="T172" s="77" t="s">
        <v>729</v>
      </c>
      <c r="U172" s="82"/>
      <c r="V172" s="77"/>
      <c r="W172" s="78"/>
      <c r="X172" s="78"/>
      <c r="Y172" s="78"/>
      <c r="Z172" s="78"/>
    </row>
    <row r="173" spans="1:26" s="83" customFormat="1" ht="14.5" customHeight="1" x14ac:dyDescent="0.35">
      <c r="A173" s="77" t="s">
        <v>384</v>
      </c>
      <c r="B173" s="78" t="s">
        <v>385</v>
      </c>
      <c r="C173" s="78" t="s">
        <v>333</v>
      </c>
      <c r="D173" s="78"/>
      <c r="E173" s="79"/>
      <c r="F173" s="80"/>
      <c r="G173" s="80"/>
      <c r="H173" s="81">
        <v>0.111</v>
      </c>
      <c r="I173" s="81">
        <v>0.23300000000000001</v>
      </c>
      <c r="J173" s="81">
        <v>1.0999999999999999E-2</v>
      </c>
      <c r="K173" s="81">
        <v>5.1200000000000002E-2</v>
      </c>
      <c r="L173" s="81">
        <v>7.9799999999999996E-2</v>
      </c>
      <c r="M173" s="81">
        <v>6.7000000000000002E-3</v>
      </c>
      <c r="N173" s="81"/>
      <c r="O173" s="81">
        <v>-3.5000000000000003E-2</v>
      </c>
      <c r="P173" s="81"/>
      <c r="Q173" s="81"/>
      <c r="R173" s="82">
        <v>46173</v>
      </c>
      <c r="S173" s="77"/>
      <c r="T173" s="77" t="s">
        <v>729</v>
      </c>
      <c r="U173" s="82"/>
      <c r="V173" s="77"/>
      <c r="W173" s="78"/>
      <c r="X173" s="78"/>
      <c r="Y173" s="78"/>
      <c r="Z173" s="78"/>
    </row>
    <row r="174" spans="1:26" s="83" customFormat="1" ht="14.5" customHeight="1" x14ac:dyDescent="0.35">
      <c r="A174" s="77" t="s">
        <v>387</v>
      </c>
      <c r="B174" s="78" t="s">
        <v>388</v>
      </c>
      <c r="C174" s="78" t="s">
        <v>333</v>
      </c>
      <c r="D174" s="78"/>
      <c r="E174" s="79"/>
      <c r="F174" s="80"/>
      <c r="G174" s="80"/>
      <c r="H174" s="81"/>
      <c r="I174" s="81"/>
      <c r="J174" s="81"/>
      <c r="K174" s="81"/>
      <c r="L174" s="81"/>
      <c r="M174" s="81"/>
      <c r="N174" s="81"/>
      <c r="O174" s="81"/>
      <c r="P174" s="81"/>
      <c r="Q174" s="81"/>
      <c r="R174" s="82"/>
      <c r="S174" s="77"/>
      <c r="T174" s="77"/>
      <c r="U174" s="82"/>
      <c r="V174" s="77"/>
      <c r="W174" s="78"/>
      <c r="X174" s="78"/>
      <c r="Y174" s="78"/>
      <c r="Z174" s="78"/>
    </row>
    <row r="175" spans="1:26" s="83" customFormat="1" ht="14.5" customHeight="1" x14ac:dyDescent="0.35">
      <c r="A175" s="77" t="s">
        <v>389</v>
      </c>
      <c r="B175" s="78" t="s">
        <v>390</v>
      </c>
      <c r="C175" s="78" t="s">
        <v>333</v>
      </c>
      <c r="D175" s="78"/>
      <c r="E175" s="79"/>
      <c r="F175" s="80"/>
      <c r="G175" s="80"/>
      <c r="H175" s="81"/>
      <c r="I175" s="81"/>
      <c r="J175" s="81"/>
      <c r="K175" s="81"/>
      <c r="L175" s="81"/>
      <c r="M175" s="81"/>
      <c r="N175" s="81"/>
      <c r="O175" s="81"/>
      <c r="P175" s="81"/>
      <c r="Q175" s="81"/>
      <c r="R175" s="82"/>
      <c r="S175" s="77"/>
      <c r="T175" s="77"/>
      <c r="U175" s="82"/>
      <c r="V175" s="77"/>
      <c r="W175" s="78"/>
      <c r="X175" s="78"/>
      <c r="Y175" s="78"/>
      <c r="Z175" s="78"/>
    </row>
    <row r="176" spans="1:26" s="83" customFormat="1" ht="14.5" customHeight="1" x14ac:dyDescent="0.35">
      <c r="A176" s="77" t="s">
        <v>391</v>
      </c>
      <c r="B176" s="78" t="s">
        <v>392</v>
      </c>
      <c r="C176" s="78" t="s">
        <v>333</v>
      </c>
      <c r="D176" s="78"/>
      <c r="E176" s="79"/>
      <c r="F176" s="80"/>
      <c r="G176" s="80"/>
      <c r="H176" s="81"/>
      <c r="I176" s="81"/>
      <c r="J176" s="81"/>
      <c r="K176" s="81"/>
      <c r="L176" s="81"/>
      <c r="M176" s="81"/>
      <c r="N176" s="81"/>
      <c r="O176" s="81"/>
      <c r="P176" s="81"/>
      <c r="Q176" s="81"/>
      <c r="R176" s="82"/>
      <c r="S176" s="77"/>
      <c r="T176" s="77"/>
      <c r="U176" s="82"/>
      <c r="V176" s="77"/>
      <c r="W176" s="78"/>
      <c r="X176" s="78"/>
      <c r="Y176" s="78"/>
      <c r="Z176" s="78"/>
    </row>
    <row r="177" spans="1:26" s="83" customFormat="1" ht="14.5" customHeight="1" x14ac:dyDescent="0.35">
      <c r="A177" s="77" t="s">
        <v>393</v>
      </c>
      <c r="B177" s="78" t="s">
        <v>394</v>
      </c>
      <c r="C177" s="78" t="s">
        <v>333</v>
      </c>
      <c r="D177" s="78"/>
      <c r="E177" s="79"/>
      <c r="F177" s="80"/>
      <c r="G177" s="80"/>
      <c r="H177" s="81"/>
      <c r="I177" s="81"/>
      <c r="J177" s="81"/>
      <c r="K177" s="81"/>
      <c r="L177" s="81"/>
      <c r="M177" s="81"/>
      <c r="N177" s="81"/>
      <c r="O177" s="81"/>
      <c r="P177" s="81"/>
      <c r="Q177" s="81"/>
      <c r="R177" s="82"/>
      <c r="S177" s="77"/>
      <c r="T177" s="77"/>
      <c r="U177" s="82"/>
      <c r="V177" s="77"/>
      <c r="W177" s="78"/>
      <c r="X177" s="78"/>
      <c r="Y177" s="78"/>
      <c r="Z177" s="78"/>
    </row>
    <row r="178" spans="1:26" s="83" customFormat="1" ht="14.5" customHeight="1" x14ac:dyDescent="0.35">
      <c r="A178" s="77" t="s">
        <v>395</v>
      </c>
      <c r="B178" s="78" t="s">
        <v>396</v>
      </c>
      <c r="C178" s="78" t="s">
        <v>333</v>
      </c>
      <c r="D178" s="78"/>
      <c r="E178" s="79"/>
      <c r="F178" s="80"/>
      <c r="G178" s="80"/>
      <c r="H178" s="81"/>
      <c r="I178" s="81"/>
      <c r="J178" s="81"/>
      <c r="K178" s="81"/>
      <c r="L178" s="81"/>
      <c r="M178" s="81"/>
      <c r="N178" s="81"/>
      <c r="O178" s="81"/>
      <c r="P178" s="81"/>
      <c r="Q178" s="81"/>
      <c r="R178" s="82"/>
      <c r="S178" s="77"/>
      <c r="T178" s="77"/>
      <c r="U178" s="82"/>
      <c r="V178" s="77"/>
      <c r="W178" s="78"/>
      <c r="X178" s="78"/>
      <c r="Y178" s="78"/>
      <c r="Z178" s="78"/>
    </row>
    <row r="179" spans="1:26" s="83" customFormat="1" ht="14.5" customHeight="1" x14ac:dyDescent="0.35">
      <c r="A179" s="77" t="s">
        <v>397</v>
      </c>
      <c r="B179" s="78" t="s">
        <v>398</v>
      </c>
      <c r="C179" s="78" t="s">
        <v>333</v>
      </c>
      <c r="D179" s="78"/>
      <c r="E179" s="79"/>
      <c r="F179" s="80"/>
      <c r="G179" s="80"/>
      <c r="H179" s="81"/>
      <c r="I179" s="81"/>
      <c r="J179" s="81"/>
      <c r="K179" s="81"/>
      <c r="L179" s="81"/>
      <c r="M179" s="81"/>
      <c r="N179" s="81"/>
      <c r="O179" s="81"/>
      <c r="P179" s="81"/>
      <c r="Q179" s="81"/>
      <c r="R179" s="82"/>
      <c r="S179" s="77"/>
      <c r="T179" s="77"/>
      <c r="U179" s="82"/>
      <c r="V179" s="77"/>
      <c r="W179" s="78"/>
      <c r="X179" s="78"/>
      <c r="Y179" s="78"/>
      <c r="Z179" s="78"/>
    </row>
    <row r="180" spans="1:26" s="83" customFormat="1" ht="14.5" customHeight="1" x14ac:dyDescent="0.35">
      <c r="A180" s="77" t="s">
        <v>399</v>
      </c>
      <c r="B180" s="78" t="s">
        <v>400</v>
      </c>
      <c r="C180" s="78" t="s">
        <v>333</v>
      </c>
      <c r="D180" s="78"/>
      <c r="E180" s="79"/>
      <c r="F180" s="80"/>
      <c r="G180" s="80"/>
      <c r="H180" s="81"/>
      <c r="I180" s="81"/>
      <c r="J180" s="81"/>
      <c r="K180" s="81"/>
      <c r="L180" s="81"/>
      <c r="M180" s="81"/>
      <c r="N180" s="81"/>
      <c r="O180" s="81"/>
      <c r="P180" s="81"/>
      <c r="Q180" s="81"/>
      <c r="R180" s="82"/>
      <c r="S180" s="77"/>
      <c r="T180" s="77"/>
      <c r="U180" s="82"/>
      <c r="V180" s="77"/>
      <c r="W180" s="78"/>
      <c r="X180" s="78"/>
      <c r="Y180" s="78"/>
      <c r="Z180" s="78"/>
    </row>
    <row r="181" spans="1:26" s="83" customFormat="1" ht="14.5" customHeight="1" x14ac:dyDescent="0.35">
      <c r="A181" s="77" t="s">
        <v>401</v>
      </c>
      <c r="B181" s="78" t="s">
        <v>402</v>
      </c>
      <c r="C181" s="78" t="s">
        <v>333</v>
      </c>
      <c r="D181" s="78"/>
      <c r="E181" s="79"/>
      <c r="F181" s="80"/>
      <c r="G181" s="80"/>
      <c r="H181" s="81"/>
      <c r="I181" s="81"/>
      <c r="J181" s="81"/>
      <c r="K181" s="81"/>
      <c r="L181" s="81"/>
      <c r="M181" s="81"/>
      <c r="N181" s="81"/>
      <c r="O181" s="81"/>
      <c r="P181" s="81"/>
      <c r="Q181" s="81"/>
      <c r="R181" s="82"/>
      <c r="S181" s="77"/>
      <c r="T181" s="77"/>
      <c r="U181" s="82"/>
      <c r="V181" s="77"/>
      <c r="W181" s="78"/>
      <c r="X181" s="78"/>
      <c r="Y181" s="78"/>
      <c r="Z181" s="78"/>
    </row>
    <row r="182" spans="1:26" s="83" customFormat="1" ht="14.5" customHeight="1" x14ac:dyDescent="0.35">
      <c r="A182" s="77" t="s">
        <v>403</v>
      </c>
      <c r="B182" s="78" t="s">
        <v>404</v>
      </c>
      <c r="C182" s="78" t="s">
        <v>333</v>
      </c>
      <c r="D182" s="78"/>
      <c r="E182" s="79"/>
      <c r="F182" s="80"/>
      <c r="G182" s="80"/>
      <c r="H182" s="81">
        <v>0.25</v>
      </c>
      <c r="I182" s="81">
        <v>0.21</v>
      </c>
      <c r="J182" s="81">
        <v>0.111</v>
      </c>
      <c r="K182" s="81">
        <v>0.100380589914367</v>
      </c>
      <c r="L182" s="81">
        <v>0.109814094249892</v>
      </c>
      <c r="M182" s="81">
        <v>-3.3999999999999998E-3</v>
      </c>
      <c r="N182" s="81"/>
      <c r="O182" s="81">
        <v>1.4E-2</v>
      </c>
      <c r="P182" s="81"/>
      <c r="Q182" s="81"/>
      <c r="R182" s="82">
        <v>46173</v>
      </c>
      <c r="S182" s="77"/>
      <c r="T182" s="77" t="s">
        <v>729</v>
      </c>
      <c r="U182" s="82"/>
      <c r="V182" s="77"/>
      <c r="W182" s="78"/>
      <c r="X182" s="78"/>
      <c r="Y182" s="78"/>
      <c r="Z182" s="78"/>
    </row>
    <row r="183" spans="1:26" s="83" customFormat="1" ht="14.5" customHeight="1" x14ac:dyDescent="0.35">
      <c r="A183" s="77" t="s">
        <v>406</v>
      </c>
      <c r="B183" s="78" t="s">
        <v>407</v>
      </c>
      <c r="C183" s="78" t="s">
        <v>333</v>
      </c>
      <c r="D183" s="78"/>
      <c r="E183" s="79"/>
      <c r="F183" s="80"/>
      <c r="G183" s="80"/>
      <c r="H183" s="81">
        <v>0.2011</v>
      </c>
      <c r="I183" s="81" t="s">
        <v>1234</v>
      </c>
      <c r="J183" s="81">
        <v>4.7E-2</v>
      </c>
      <c r="K183" s="81">
        <v>7.4899999999999994E-2</v>
      </c>
      <c r="L183" s="81">
        <v>0.1007</v>
      </c>
      <c r="M183" s="81">
        <v>5.2900000000000003E-2</v>
      </c>
      <c r="N183" s="81"/>
      <c r="O183" s="81">
        <v>-2.9999999999999997E-4</v>
      </c>
      <c r="P183" s="81"/>
      <c r="Q183" s="81"/>
      <c r="R183" s="82">
        <v>46173</v>
      </c>
      <c r="S183" s="77"/>
      <c r="T183" s="77" t="s">
        <v>729</v>
      </c>
      <c r="U183" s="82"/>
      <c r="V183" s="77"/>
      <c r="W183" s="78"/>
      <c r="X183" s="78"/>
      <c r="Y183" s="78"/>
      <c r="Z183" s="78"/>
    </row>
    <row r="184" spans="1:26" s="83" customFormat="1" ht="14.5" customHeight="1" x14ac:dyDescent="0.35">
      <c r="A184" s="77" t="s">
        <v>409</v>
      </c>
      <c r="B184" s="78" t="s">
        <v>410</v>
      </c>
      <c r="C184" s="78" t="s">
        <v>333</v>
      </c>
      <c r="D184" s="78"/>
      <c r="E184" s="79"/>
      <c r="F184" s="80"/>
      <c r="G184" s="80"/>
      <c r="H184" s="81"/>
      <c r="I184" s="81"/>
      <c r="J184" s="81">
        <v>3.5099999999999999E-2</v>
      </c>
      <c r="K184" s="81">
        <v>3.5099999999999999E-2</v>
      </c>
      <c r="L184" s="81">
        <v>0.16689999999999999</v>
      </c>
      <c r="M184" s="81">
        <v>-3.3999999999999998E-3</v>
      </c>
      <c r="N184" s="81"/>
      <c r="O184" s="81">
        <v>8.2400000000000001E-2</v>
      </c>
      <c r="P184" s="81"/>
      <c r="Q184" s="81"/>
      <c r="R184" s="82">
        <v>46173</v>
      </c>
      <c r="S184" s="77"/>
      <c r="T184" s="77" t="s">
        <v>729</v>
      </c>
      <c r="U184" s="82"/>
      <c r="V184" s="77"/>
      <c r="W184" s="78"/>
      <c r="X184" s="78"/>
      <c r="Y184" s="78"/>
      <c r="Z184" s="78"/>
    </row>
    <row r="185" spans="1:26" s="83" customFormat="1" ht="14.5" customHeight="1" x14ac:dyDescent="0.35">
      <c r="A185" s="77" t="s">
        <v>412</v>
      </c>
      <c r="B185" s="78" t="s">
        <v>413</v>
      </c>
      <c r="C185" s="78" t="s">
        <v>333</v>
      </c>
      <c r="D185" s="78"/>
      <c r="E185" s="79"/>
      <c r="F185" s="80"/>
      <c r="G185" s="80"/>
      <c r="H185" s="81"/>
      <c r="I185" s="81"/>
      <c r="J185" s="81"/>
      <c r="K185" s="81"/>
      <c r="L185" s="81"/>
      <c r="M185" s="81"/>
      <c r="N185" s="81"/>
      <c r="O185" s="81"/>
      <c r="P185" s="81"/>
      <c r="Q185" s="81"/>
      <c r="R185" s="82"/>
      <c r="S185" s="77"/>
      <c r="T185" s="77"/>
      <c r="U185" s="82"/>
      <c r="V185" s="77"/>
      <c r="W185" s="78"/>
      <c r="X185" s="78"/>
      <c r="Y185" s="78"/>
      <c r="Z185" s="78"/>
    </row>
    <row r="186" spans="1:26" s="83" customFormat="1" ht="14.5" customHeight="1" x14ac:dyDescent="0.35">
      <c r="A186" s="77" t="s">
        <v>414</v>
      </c>
      <c r="B186" s="78" t="s">
        <v>415</v>
      </c>
      <c r="C186" s="78" t="s">
        <v>333</v>
      </c>
      <c r="D186" s="78"/>
      <c r="E186" s="79"/>
      <c r="F186" s="80"/>
      <c r="G186" s="80"/>
      <c r="H186" s="81">
        <v>6.3E-2</v>
      </c>
      <c r="I186" s="81">
        <v>0.192</v>
      </c>
      <c r="J186" s="81">
        <v>6.0000000000000001E-3</v>
      </c>
      <c r="K186" s="81">
        <v>1.9900000000000001E-2</v>
      </c>
      <c r="L186" s="81">
        <v>8.3592995251248414E-2</v>
      </c>
      <c r="M186" s="81">
        <v>4.3635770030074914E-3</v>
      </c>
      <c r="N186" s="81"/>
      <c r="O186" s="81">
        <v>2.4E-2</v>
      </c>
      <c r="P186" s="81"/>
      <c r="Q186" s="81"/>
      <c r="R186" s="82">
        <v>46173</v>
      </c>
      <c r="S186" s="77"/>
      <c r="T186" s="77" t="s">
        <v>729</v>
      </c>
      <c r="U186" s="82"/>
      <c r="V186" s="77"/>
      <c r="W186" s="78"/>
      <c r="X186" s="78"/>
      <c r="Y186" s="78"/>
      <c r="Z186" s="78"/>
    </row>
    <row r="187" spans="1:26" s="83" customFormat="1" ht="14.5" customHeight="1" x14ac:dyDescent="0.35">
      <c r="A187" s="77" t="s">
        <v>417</v>
      </c>
      <c r="B187" s="78" t="s">
        <v>418</v>
      </c>
      <c r="C187" s="78" t="s">
        <v>333</v>
      </c>
      <c r="D187" s="78"/>
      <c r="E187" s="79"/>
      <c r="F187" s="80"/>
      <c r="G187" s="80"/>
      <c r="H187" s="81"/>
      <c r="I187" s="81">
        <v>0.23519999999999999</v>
      </c>
      <c r="J187" s="81">
        <v>9.5299999999999996E-2</v>
      </c>
      <c r="K187" s="81" t="s">
        <v>1361</v>
      </c>
      <c r="L187" s="81">
        <v>6.5799999999999997E-2</v>
      </c>
      <c r="M187" s="81">
        <v>4.7699999999999999E-2</v>
      </c>
      <c r="N187" s="81"/>
      <c r="O187" s="81" t="s">
        <v>1360</v>
      </c>
      <c r="P187" s="81"/>
      <c r="Q187" s="81"/>
      <c r="R187" s="82">
        <v>46173</v>
      </c>
      <c r="S187" s="77"/>
      <c r="T187" s="77" t="s">
        <v>729</v>
      </c>
      <c r="U187" s="82"/>
      <c r="V187" s="77"/>
      <c r="W187" s="78"/>
      <c r="X187" s="78"/>
      <c r="Y187" s="78"/>
      <c r="Z187" s="78"/>
    </row>
    <row r="188" spans="1:26" s="83" customFormat="1" ht="14.5" customHeight="1" x14ac:dyDescent="0.35">
      <c r="A188" s="77" t="s">
        <v>420</v>
      </c>
      <c r="B188" s="78" t="s">
        <v>421</v>
      </c>
      <c r="C188" s="78" t="s">
        <v>333</v>
      </c>
      <c r="D188" s="78"/>
      <c r="E188" s="79"/>
      <c r="F188" s="80"/>
      <c r="G188" s="80"/>
      <c r="H188" s="81">
        <v>7.8200000000000006E-2</v>
      </c>
      <c r="I188" s="81">
        <v>0.15570000000000001</v>
      </c>
      <c r="J188" s="81">
        <v>2.1999999999999999E-2</v>
      </c>
      <c r="K188" s="81">
        <v>4.65E-2</v>
      </c>
      <c r="L188" s="81">
        <v>7.5245155460356594E-2</v>
      </c>
      <c r="M188" s="81">
        <v>4.4588316771588143E-2</v>
      </c>
      <c r="N188" s="81"/>
      <c r="O188" s="81"/>
      <c r="P188" s="81"/>
      <c r="Q188" s="81"/>
      <c r="R188" s="82"/>
      <c r="S188" s="77"/>
      <c r="T188" s="77"/>
      <c r="U188" s="82"/>
      <c r="V188" s="77"/>
      <c r="W188" s="78"/>
      <c r="X188" s="78"/>
      <c r="Y188" s="78"/>
      <c r="Z188" s="78"/>
    </row>
    <row r="189" spans="1:26" s="83" customFormat="1" ht="14.5" customHeight="1" x14ac:dyDescent="0.35">
      <c r="A189" s="77" t="s">
        <v>422</v>
      </c>
      <c r="B189" s="78" t="s">
        <v>423</v>
      </c>
      <c r="C189" s="78" t="s">
        <v>333</v>
      </c>
      <c r="D189" s="78"/>
      <c r="E189" s="79"/>
      <c r="F189" s="80"/>
      <c r="G189" s="80"/>
      <c r="H189" s="81"/>
      <c r="I189" s="81"/>
      <c r="J189" s="81"/>
      <c r="K189" s="81"/>
      <c r="L189" s="81"/>
      <c r="M189" s="81"/>
      <c r="N189" s="81"/>
      <c r="O189" s="81"/>
      <c r="P189" s="81"/>
      <c r="Q189" s="81"/>
      <c r="R189" s="82"/>
      <c r="S189" s="77"/>
      <c r="T189" s="77"/>
      <c r="U189" s="82"/>
      <c r="V189" s="77"/>
      <c r="W189" s="78"/>
      <c r="X189" s="78"/>
      <c r="Y189" s="78"/>
      <c r="Z189" s="78"/>
    </row>
    <row r="190" spans="1:26" s="83" customFormat="1" ht="14.5" customHeight="1" x14ac:dyDescent="0.35">
      <c r="A190" s="77" t="s">
        <v>424</v>
      </c>
      <c r="B190" s="78" t="s">
        <v>425</v>
      </c>
      <c r="C190" s="78" t="s">
        <v>333</v>
      </c>
      <c r="D190" s="78"/>
      <c r="E190" s="79"/>
      <c r="F190" s="80"/>
      <c r="G190" s="80"/>
      <c r="H190" s="81"/>
      <c r="I190" s="81"/>
      <c r="J190" s="81"/>
      <c r="K190" s="81"/>
      <c r="L190" s="81"/>
      <c r="M190" s="81"/>
      <c r="N190" s="81"/>
      <c r="O190" s="81"/>
      <c r="P190" s="81"/>
      <c r="Q190" s="81"/>
      <c r="R190" s="82"/>
      <c r="S190" s="77"/>
      <c r="T190" s="77"/>
      <c r="U190" s="82"/>
      <c r="V190" s="77"/>
      <c r="W190" s="78"/>
      <c r="X190" s="78"/>
      <c r="Y190" s="78"/>
      <c r="Z190" s="78"/>
    </row>
    <row r="191" spans="1:26" s="83" customFormat="1" ht="14.5" customHeight="1" x14ac:dyDescent="0.35">
      <c r="A191" s="77" t="s">
        <v>426</v>
      </c>
      <c r="B191" s="78" t="s">
        <v>427</v>
      </c>
      <c r="C191" s="78" t="s">
        <v>333</v>
      </c>
      <c r="D191" s="78"/>
      <c r="E191" s="79"/>
      <c r="F191" s="80"/>
      <c r="G191" s="80"/>
      <c r="H191" s="81">
        <v>5.8999999999999997E-2</v>
      </c>
      <c r="I191" s="81">
        <v>0.184</v>
      </c>
      <c r="J191" s="81">
        <v>3.0000000000000001E-3</v>
      </c>
      <c r="K191" s="81">
        <v>1.7000000000000001E-2</v>
      </c>
      <c r="L191" s="81">
        <v>7.9000000000000001E-2</v>
      </c>
      <c r="M191" s="81">
        <v>1E-3</v>
      </c>
      <c r="N191" s="81"/>
      <c r="O191" s="81">
        <v>-2.5999999999999999E-2</v>
      </c>
      <c r="P191" s="81"/>
      <c r="Q191" s="81"/>
      <c r="R191" s="82">
        <v>46173</v>
      </c>
      <c r="S191" s="77"/>
      <c r="T191" s="77" t="s">
        <v>729</v>
      </c>
      <c r="U191" s="82"/>
      <c r="V191" s="77"/>
      <c r="W191" s="78"/>
      <c r="X191" s="78"/>
      <c r="Y191" s="78"/>
      <c r="Z191" s="78"/>
    </row>
    <row r="192" spans="1:26" s="83" customFormat="1" ht="14.5" customHeight="1" x14ac:dyDescent="0.35">
      <c r="A192" s="77" t="s">
        <v>428</v>
      </c>
      <c r="B192" s="78" t="s">
        <v>429</v>
      </c>
      <c r="C192" s="78" t="s">
        <v>333</v>
      </c>
      <c r="D192" s="78"/>
      <c r="E192" s="79"/>
      <c r="F192" s="80"/>
      <c r="G192" s="80"/>
      <c r="H192" s="81"/>
      <c r="I192" s="81"/>
      <c r="J192" s="81"/>
      <c r="K192" s="81"/>
      <c r="L192" s="81"/>
      <c r="M192" s="81"/>
      <c r="N192" s="81"/>
      <c r="O192" s="81"/>
      <c r="P192" s="81"/>
      <c r="Q192" s="81"/>
      <c r="R192" s="82"/>
      <c r="S192" s="77"/>
      <c r="T192" s="77"/>
      <c r="U192" s="82"/>
      <c r="V192" s="77"/>
      <c r="W192" s="78"/>
      <c r="X192" s="78"/>
      <c r="Y192" s="78"/>
      <c r="Z192" s="78"/>
    </row>
    <row r="193" spans="1:26" s="83" customFormat="1" ht="14.5" customHeight="1" x14ac:dyDescent="0.35">
      <c r="A193" s="77" t="s">
        <v>430</v>
      </c>
      <c r="B193" s="78" t="s">
        <v>431</v>
      </c>
      <c r="C193" s="78" t="s">
        <v>333</v>
      </c>
      <c r="D193" s="78"/>
      <c r="E193" s="79"/>
      <c r="F193" s="80"/>
      <c r="G193" s="80"/>
      <c r="H193" s="81"/>
      <c r="I193" s="81"/>
      <c r="J193" s="81"/>
      <c r="K193" s="81"/>
      <c r="L193" s="81"/>
      <c r="M193" s="81"/>
      <c r="N193" s="81"/>
      <c r="O193" s="81"/>
      <c r="P193" s="81"/>
      <c r="Q193" s="81"/>
      <c r="R193" s="82"/>
      <c r="S193" s="77"/>
      <c r="T193" s="77"/>
      <c r="U193" s="82"/>
      <c r="V193" s="77"/>
      <c r="W193" s="78"/>
      <c r="X193" s="78"/>
      <c r="Y193" s="78"/>
      <c r="Z193" s="78"/>
    </row>
    <row r="194" spans="1:26" s="83" customFormat="1" ht="14.5" customHeight="1" x14ac:dyDescent="0.35">
      <c r="A194" s="77" t="s">
        <v>432</v>
      </c>
      <c r="B194" s="78" t="s">
        <v>433</v>
      </c>
      <c r="C194" s="78" t="s">
        <v>333</v>
      </c>
      <c r="D194" s="78"/>
      <c r="E194" s="79"/>
      <c r="F194" s="80"/>
      <c r="G194" s="80"/>
      <c r="H194" s="81"/>
      <c r="I194" s="81"/>
      <c r="J194" s="81"/>
      <c r="K194" s="81"/>
      <c r="L194" s="81"/>
      <c r="M194" s="81"/>
      <c r="N194" s="81"/>
      <c r="O194" s="81"/>
      <c r="P194" s="81"/>
      <c r="Q194" s="81"/>
      <c r="R194" s="82"/>
      <c r="S194" s="77"/>
      <c r="T194" s="77"/>
      <c r="U194" s="82"/>
      <c r="V194" s="77"/>
      <c r="W194" s="78"/>
      <c r="X194" s="78"/>
      <c r="Y194" s="78"/>
      <c r="Z194" s="78"/>
    </row>
    <row r="195" spans="1:26" s="83" customFormat="1" ht="14.5" customHeight="1" x14ac:dyDescent="0.35">
      <c r="A195" s="77" t="s">
        <v>434</v>
      </c>
      <c r="B195" s="78" t="s">
        <v>435</v>
      </c>
      <c r="C195" s="78" t="s">
        <v>333</v>
      </c>
      <c r="D195" s="78"/>
      <c r="E195" s="79"/>
      <c r="F195" s="80"/>
      <c r="G195" s="80"/>
      <c r="H195" s="81"/>
      <c r="I195" s="81"/>
      <c r="J195" s="81"/>
      <c r="K195" s="81"/>
      <c r="L195" s="81"/>
      <c r="M195" s="81"/>
      <c r="N195" s="81"/>
      <c r="O195" s="81"/>
      <c r="P195" s="81"/>
      <c r="Q195" s="81"/>
      <c r="R195" s="82"/>
      <c r="S195" s="77"/>
      <c r="T195" s="77"/>
      <c r="U195" s="82"/>
      <c r="V195" s="77"/>
      <c r="W195" s="78"/>
      <c r="X195" s="78"/>
      <c r="Y195" s="78"/>
      <c r="Z195" s="78"/>
    </row>
    <row r="196" spans="1:26" s="83" customFormat="1" ht="14.5" customHeight="1" x14ac:dyDescent="0.35">
      <c r="A196" s="77" t="s">
        <v>436</v>
      </c>
      <c r="B196" s="78" t="s">
        <v>437</v>
      </c>
      <c r="C196" s="78" t="s">
        <v>333</v>
      </c>
      <c r="D196" s="78"/>
      <c r="E196" s="79"/>
      <c r="F196" s="80"/>
      <c r="G196" s="80"/>
      <c r="H196" s="81"/>
      <c r="I196" s="81"/>
      <c r="J196" s="81"/>
      <c r="K196" s="81"/>
      <c r="L196" s="81"/>
      <c r="M196" s="81"/>
      <c r="N196" s="81"/>
      <c r="O196" s="81"/>
      <c r="P196" s="81"/>
      <c r="Q196" s="81"/>
      <c r="R196" s="82"/>
      <c r="S196" s="77"/>
      <c r="T196" s="77"/>
      <c r="U196" s="82"/>
      <c r="V196" s="77"/>
      <c r="W196" s="78"/>
      <c r="X196" s="78"/>
      <c r="Y196" s="78"/>
      <c r="Z196" s="78"/>
    </row>
    <row r="197" spans="1:26" s="83" customFormat="1" ht="14.5" customHeight="1" x14ac:dyDescent="0.35">
      <c r="A197" s="77" t="s">
        <v>438</v>
      </c>
      <c r="B197" s="78" t="s">
        <v>439</v>
      </c>
      <c r="C197" s="78" t="s">
        <v>333</v>
      </c>
      <c r="D197" s="78"/>
      <c r="E197" s="79"/>
      <c r="F197" s="80"/>
      <c r="G197" s="80"/>
      <c r="H197" s="81"/>
      <c r="I197" s="81"/>
      <c r="J197" s="81"/>
      <c r="K197" s="81"/>
      <c r="L197" s="81"/>
      <c r="M197" s="81"/>
      <c r="N197" s="81"/>
      <c r="O197" s="81"/>
      <c r="P197" s="81"/>
      <c r="Q197" s="81"/>
      <c r="R197" s="82"/>
      <c r="S197" s="77"/>
      <c r="T197" s="77"/>
      <c r="U197" s="82"/>
      <c r="V197" s="77"/>
      <c r="W197" s="78"/>
      <c r="X197" s="78"/>
      <c r="Y197" s="78"/>
      <c r="Z197" s="78"/>
    </row>
    <row r="198" spans="1:26" s="83" customFormat="1" ht="14.5" customHeight="1" x14ac:dyDescent="0.35">
      <c r="A198" s="77" t="s">
        <v>440</v>
      </c>
      <c r="B198" s="78" t="s">
        <v>441</v>
      </c>
      <c r="C198" s="78" t="s">
        <v>333</v>
      </c>
      <c r="D198" s="78"/>
      <c r="E198" s="79"/>
      <c r="F198" s="80"/>
      <c r="G198" s="80"/>
      <c r="H198" s="81"/>
      <c r="I198" s="81"/>
      <c r="J198" s="81"/>
      <c r="K198" s="81"/>
      <c r="L198" s="81"/>
      <c r="M198" s="81"/>
      <c r="N198" s="81"/>
      <c r="O198" s="81"/>
      <c r="P198" s="81"/>
      <c r="Q198" s="81"/>
      <c r="R198" s="82"/>
      <c r="S198" s="77"/>
      <c r="T198" s="77"/>
      <c r="U198" s="82"/>
      <c r="V198" s="77"/>
      <c r="W198" s="78"/>
      <c r="X198" s="78"/>
      <c r="Y198" s="78"/>
      <c r="Z198" s="78"/>
    </row>
    <row r="199" spans="1:26" s="83" customFormat="1" ht="14.5" customHeight="1" x14ac:dyDescent="0.35">
      <c r="A199" s="77" t="s">
        <v>442</v>
      </c>
      <c r="B199" s="78" t="s">
        <v>443</v>
      </c>
      <c r="C199" s="78" t="s">
        <v>333</v>
      </c>
      <c r="D199" s="78"/>
      <c r="E199" s="79"/>
      <c r="F199" s="80"/>
      <c r="G199" s="80"/>
      <c r="H199" s="81"/>
      <c r="I199" s="81"/>
      <c r="J199" s="81"/>
      <c r="K199" s="81"/>
      <c r="L199" s="81"/>
      <c r="M199" s="81"/>
      <c r="N199" s="81"/>
      <c r="O199" s="81"/>
      <c r="P199" s="81"/>
      <c r="Q199" s="81"/>
      <c r="R199" s="82"/>
      <c r="S199" s="77"/>
      <c r="T199" s="77"/>
      <c r="U199" s="82"/>
      <c r="V199" s="77"/>
      <c r="W199" s="78"/>
      <c r="X199" s="78"/>
      <c r="Y199" s="78"/>
      <c r="Z199" s="78"/>
    </row>
    <row r="200" spans="1:26" s="83" customFormat="1" ht="14.5" customHeight="1" x14ac:dyDescent="0.35">
      <c r="A200" s="77" t="s">
        <v>444</v>
      </c>
      <c r="B200" s="78" t="s">
        <v>445</v>
      </c>
      <c r="C200" s="78" t="s">
        <v>333</v>
      </c>
      <c r="D200" s="78"/>
      <c r="E200" s="79"/>
      <c r="F200" s="80"/>
      <c r="G200" s="80"/>
      <c r="H200" s="81"/>
      <c r="I200" s="81"/>
      <c r="J200" s="81"/>
      <c r="K200" s="81"/>
      <c r="L200" s="81"/>
      <c r="M200" s="81"/>
      <c r="N200" s="81"/>
      <c r="O200" s="81"/>
      <c r="P200" s="81"/>
      <c r="Q200" s="81"/>
      <c r="R200" s="82"/>
      <c r="S200" s="77"/>
      <c r="T200" s="77"/>
      <c r="U200" s="82"/>
      <c r="V200" s="77"/>
      <c r="W200" s="78"/>
      <c r="X200" s="78"/>
      <c r="Y200" s="78"/>
      <c r="Z200" s="78"/>
    </row>
    <row r="201" spans="1:26" s="83" customFormat="1" ht="14.5" customHeight="1" x14ac:dyDescent="0.35">
      <c r="A201" s="77" t="s">
        <v>446</v>
      </c>
      <c r="B201" s="78" t="s">
        <v>447</v>
      </c>
      <c r="C201" s="78" t="s">
        <v>333</v>
      </c>
      <c r="D201" s="78"/>
      <c r="E201" s="79"/>
      <c r="F201" s="80"/>
      <c r="G201" s="80"/>
      <c r="H201" s="81"/>
      <c r="I201" s="81"/>
      <c r="J201" s="81"/>
      <c r="K201" s="81"/>
      <c r="L201" s="81"/>
      <c r="M201" s="81"/>
      <c r="N201" s="81"/>
      <c r="O201" s="81"/>
      <c r="P201" s="81"/>
      <c r="Q201" s="81"/>
      <c r="R201" s="82"/>
      <c r="S201" s="77"/>
      <c r="T201" s="77"/>
      <c r="U201" s="82"/>
      <c r="V201" s="77"/>
      <c r="W201" s="78"/>
      <c r="X201" s="78"/>
      <c r="Y201" s="78"/>
      <c r="Z201" s="78"/>
    </row>
    <row r="202" spans="1:26" s="83" customFormat="1" ht="14.5" customHeight="1" x14ac:dyDescent="0.35">
      <c r="A202" s="77" t="s">
        <v>448</v>
      </c>
      <c r="B202" s="78" t="s">
        <v>449</v>
      </c>
      <c r="C202" s="78" t="s">
        <v>333</v>
      </c>
      <c r="D202" s="78"/>
      <c r="E202" s="79"/>
      <c r="F202" s="80"/>
      <c r="G202" s="80"/>
      <c r="H202" s="81"/>
      <c r="I202" s="81"/>
      <c r="J202" s="81"/>
      <c r="K202" s="81"/>
      <c r="L202" s="81"/>
      <c r="M202" s="81"/>
      <c r="N202" s="81"/>
      <c r="O202" s="81"/>
      <c r="P202" s="81"/>
      <c r="Q202" s="81"/>
      <c r="R202" s="82"/>
      <c r="S202" s="77"/>
      <c r="T202" s="77"/>
      <c r="U202" s="82"/>
      <c r="V202" s="77"/>
      <c r="W202" s="78"/>
      <c r="X202" s="78"/>
      <c r="Y202" s="78"/>
      <c r="Z202" s="78"/>
    </row>
    <row r="203" spans="1:26" s="83" customFormat="1" ht="14.5" customHeight="1" x14ac:dyDescent="0.35">
      <c r="A203" s="77" t="s">
        <v>450</v>
      </c>
      <c r="B203" s="78" t="s">
        <v>451</v>
      </c>
      <c r="C203" s="78" t="s">
        <v>333</v>
      </c>
      <c r="D203" s="78"/>
      <c r="E203" s="79"/>
      <c r="F203" s="80"/>
      <c r="G203" s="80"/>
      <c r="H203" s="81"/>
      <c r="I203" s="81"/>
      <c r="J203" s="81"/>
      <c r="K203" s="81"/>
      <c r="L203" s="81"/>
      <c r="M203" s="81"/>
      <c r="N203" s="81"/>
      <c r="O203" s="81"/>
      <c r="P203" s="81"/>
      <c r="Q203" s="81"/>
      <c r="R203" s="82"/>
      <c r="S203" s="77"/>
      <c r="T203" s="77"/>
      <c r="U203" s="82"/>
      <c r="V203" s="77"/>
      <c r="W203" s="78"/>
      <c r="X203" s="78"/>
      <c r="Y203" s="78"/>
      <c r="Z203" s="78"/>
    </row>
    <row r="204" spans="1:26" s="83" customFormat="1" ht="14.5" customHeight="1" x14ac:dyDescent="0.35">
      <c r="A204" s="77" t="s">
        <v>452</v>
      </c>
      <c r="B204" s="78" t="s">
        <v>453</v>
      </c>
      <c r="C204" s="78" t="s">
        <v>333</v>
      </c>
      <c r="D204" s="78"/>
      <c r="E204" s="79"/>
      <c r="F204" s="80"/>
      <c r="G204" s="80"/>
      <c r="H204" s="81"/>
      <c r="I204" s="81"/>
      <c r="J204" s="81"/>
      <c r="K204" s="81"/>
      <c r="L204" s="81"/>
      <c r="M204" s="81"/>
      <c r="N204" s="81"/>
      <c r="O204" s="81"/>
      <c r="P204" s="81"/>
      <c r="Q204" s="81"/>
      <c r="R204" s="82"/>
      <c r="S204" s="77"/>
      <c r="T204" s="77"/>
      <c r="U204" s="82"/>
      <c r="V204" s="77"/>
      <c r="W204" s="78"/>
      <c r="X204" s="78"/>
      <c r="Y204" s="78"/>
      <c r="Z204" s="78"/>
    </row>
    <row r="205" spans="1:26" s="83" customFormat="1" ht="14.5" customHeight="1" x14ac:dyDescent="0.35">
      <c r="A205" s="77" t="s">
        <v>454</v>
      </c>
      <c r="B205" s="78" t="s">
        <v>455</v>
      </c>
      <c r="C205" s="78" t="s">
        <v>333</v>
      </c>
      <c r="D205" s="78"/>
      <c r="E205" s="79"/>
      <c r="F205" s="80"/>
      <c r="G205" s="80"/>
      <c r="H205" s="81"/>
      <c r="I205" s="81"/>
      <c r="J205" s="81"/>
      <c r="K205" s="81"/>
      <c r="L205" s="81"/>
      <c r="M205" s="81"/>
      <c r="N205" s="81"/>
      <c r="O205" s="81"/>
      <c r="P205" s="81"/>
      <c r="Q205" s="81"/>
      <c r="R205" s="82"/>
      <c r="S205" s="77"/>
      <c r="T205" s="77"/>
      <c r="U205" s="82"/>
      <c r="V205" s="77"/>
      <c r="W205" s="78"/>
      <c r="X205" s="78"/>
      <c r="Y205" s="78"/>
      <c r="Z205" s="78"/>
    </row>
    <row r="206" spans="1:26" s="83" customFormat="1" ht="14.5" customHeight="1" x14ac:dyDescent="0.35">
      <c r="A206" s="77" t="s">
        <v>456</v>
      </c>
      <c r="B206" s="78" t="s">
        <v>457</v>
      </c>
      <c r="C206" s="78" t="s">
        <v>333</v>
      </c>
      <c r="D206" s="78"/>
      <c r="E206" s="79"/>
      <c r="F206" s="80"/>
      <c r="G206" s="80"/>
      <c r="H206" s="81"/>
      <c r="I206" s="81"/>
      <c r="J206" s="81"/>
      <c r="K206" s="81"/>
      <c r="L206" s="81"/>
      <c r="M206" s="81"/>
      <c r="N206" s="81"/>
      <c r="O206" s="81"/>
      <c r="P206" s="81"/>
      <c r="Q206" s="81"/>
      <c r="R206" s="82"/>
      <c r="S206" s="77"/>
      <c r="T206" s="77"/>
      <c r="U206" s="82"/>
      <c r="V206" s="77"/>
      <c r="W206" s="78"/>
      <c r="X206" s="78"/>
      <c r="Y206" s="78"/>
      <c r="Z206" s="78"/>
    </row>
    <row r="207" spans="1:26" s="83" customFormat="1" ht="14.5" customHeight="1" x14ac:dyDescent="0.35">
      <c r="A207" s="77" t="s">
        <v>458</v>
      </c>
      <c r="B207" s="78" t="s">
        <v>459</v>
      </c>
      <c r="C207" s="78" t="s">
        <v>333</v>
      </c>
      <c r="D207" s="78"/>
      <c r="E207" s="79"/>
      <c r="F207" s="80"/>
      <c r="G207" s="80"/>
      <c r="H207" s="81"/>
      <c r="I207" s="81"/>
      <c r="J207" s="81"/>
      <c r="K207" s="81"/>
      <c r="L207" s="81"/>
      <c r="M207" s="81"/>
      <c r="N207" s="81"/>
      <c r="O207" s="81"/>
      <c r="P207" s="81"/>
      <c r="Q207" s="81"/>
      <c r="R207" s="82"/>
      <c r="S207" s="77"/>
      <c r="T207" s="77"/>
      <c r="U207" s="82"/>
      <c r="V207" s="77"/>
      <c r="W207" s="78"/>
      <c r="X207" s="78"/>
      <c r="Y207" s="78"/>
      <c r="Z207" s="78"/>
    </row>
    <row r="208" spans="1:26" s="83" customFormat="1" ht="14.5" customHeight="1" x14ac:dyDescent="0.35">
      <c r="A208" s="77"/>
      <c r="B208" s="78" t="s">
        <v>460</v>
      </c>
      <c r="C208" s="78" t="s">
        <v>333</v>
      </c>
      <c r="D208" s="78"/>
      <c r="E208" s="79"/>
      <c r="F208" s="80"/>
      <c r="G208" s="80"/>
      <c r="H208" s="81"/>
      <c r="I208" s="81"/>
      <c r="J208" s="81"/>
      <c r="K208" s="81"/>
      <c r="L208" s="81"/>
      <c r="M208" s="81"/>
      <c r="N208" s="81"/>
      <c r="O208" s="81"/>
      <c r="P208" s="81"/>
      <c r="Q208" s="81"/>
      <c r="R208" s="82"/>
      <c r="S208" s="77"/>
      <c r="T208" s="77"/>
      <c r="U208" s="82"/>
      <c r="V208" s="77"/>
      <c r="W208" s="78"/>
      <c r="X208" s="78"/>
      <c r="Y208" s="78"/>
      <c r="Z208" s="78"/>
    </row>
    <row r="209" spans="1:30" s="83" customFormat="1" ht="14.5" customHeight="1" x14ac:dyDescent="0.35">
      <c r="A209" s="77"/>
      <c r="B209" s="78" t="s">
        <v>379</v>
      </c>
      <c r="C209" s="78" t="s">
        <v>333</v>
      </c>
      <c r="D209" s="78"/>
      <c r="E209" s="79"/>
      <c r="F209" s="80"/>
      <c r="G209" s="80"/>
      <c r="H209" s="81"/>
      <c r="I209" s="81"/>
      <c r="J209" s="81"/>
      <c r="K209" s="81"/>
      <c r="L209" s="81"/>
      <c r="M209" s="81"/>
      <c r="N209" s="81"/>
      <c r="O209" s="81"/>
      <c r="P209" s="81"/>
      <c r="Q209" s="81"/>
      <c r="R209" s="82"/>
      <c r="S209" s="77"/>
      <c r="T209" s="77"/>
      <c r="U209" s="82"/>
      <c r="V209" s="77"/>
      <c r="W209" s="78"/>
      <c r="X209" s="78"/>
      <c r="Y209" s="78"/>
      <c r="Z209" s="78"/>
    </row>
    <row r="210" spans="1:30" s="83" customFormat="1" ht="14.5" customHeight="1" x14ac:dyDescent="0.35">
      <c r="A210" s="77" t="s">
        <v>461</v>
      </c>
      <c r="B210" s="78" t="s">
        <v>462</v>
      </c>
      <c r="C210" s="78" t="s">
        <v>333</v>
      </c>
      <c r="D210" s="78"/>
      <c r="E210" s="79"/>
      <c r="F210" s="80"/>
      <c r="G210" s="80"/>
      <c r="H210" s="81"/>
      <c r="I210" s="81"/>
      <c r="J210" s="81"/>
      <c r="K210" s="81"/>
      <c r="L210" s="81"/>
      <c r="M210" s="81"/>
      <c r="N210" s="81"/>
      <c r="O210" s="81"/>
      <c r="P210" s="81"/>
      <c r="Q210" s="81"/>
      <c r="R210" s="82"/>
      <c r="S210" s="77"/>
      <c r="T210" s="77"/>
      <c r="U210" s="82"/>
      <c r="V210" s="77"/>
      <c r="W210" s="78"/>
      <c r="X210" s="78"/>
      <c r="Y210" s="78"/>
      <c r="Z210" s="78"/>
    </row>
    <row r="211" spans="1:30" s="83" customFormat="1" ht="14.5" customHeight="1" x14ac:dyDescent="0.35">
      <c r="A211" s="77" t="s">
        <v>463</v>
      </c>
      <c r="B211" s="78" t="s">
        <v>464</v>
      </c>
      <c r="C211" s="78" t="s">
        <v>333</v>
      </c>
      <c r="D211" s="78"/>
      <c r="E211" s="79"/>
      <c r="F211" s="80"/>
      <c r="G211" s="80"/>
      <c r="H211" s="81"/>
      <c r="I211" s="81"/>
      <c r="J211" s="81"/>
      <c r="K211" s="81"/>
      <c r="L211" s="81"/>
      <c r="M211" s="81"/>
      <c r="N211" s="81"/>
      <c r="O211" s="81"/>
      <c r="P211" s="81"/>
      <c r="Q211" s="81"/>
      <c r="R211" s="82"/>
      <c r="S211" s="77"/>
      <c r="T211" s="77"/>
      <c r="U211" s="82"/>
      <c r="V211" s="77"/>
      <c r="W211" s="78"/>
      <c r="X211" s="78"/>
      <c r="Y211" s="78"/>
      <c r="Z211" s="78"/>
    </row>
    <row r="212" spans="1:30" s="83" customFormat="1" ht="14.5" customHeight="1" x14ac:dyDescent="0.35">
      <c r="A212" s="77"/>
      <c r="B212" s="78" t="s">
        <v>465</v>
      </c>
      <c r="C212" s="78" t="s">
        <v>333</v>
      </c>
      <c r="D212" s="78"/>
      <c r="E212" s="79"/>
      <c r="F212" s="80"/>
      <c r="G212" s="80"/>
      <c r="H212" s="81"/>
      <c r="I212" s="81"/>
      <c r="J212" s="81"/>
      <c r="K212" s="81"/>
      <c r="L212" s="81"/>
      <c r="M212" s="81"/>
      <c r="N212" s="81"/>
      <c r="O212" s="81"/>
      <c r="P212" s="81"/>
      <c r="Q212" s="81"/>
      <c r="R212" s="82"/>
      <c r="S212" s="77"/>
      <c r="T212" s="77"/>
      <c r="U212" s="82"/>
      <c r="V212" s="77"/>
      <c r="W212" s="78"/>
      <c r="X212" s="78"/>
      <c r="Y212" s="78"/>
      <c r="Z212" s="78"/>
    </row>
    <row r="213" spans="1:30" ht="14.5" customHeight="1" x14ac:dyDescent="0.35">
      <c r="A213" s="39" t="s">
        <v>466</v>
      </c>
      <c r="B213" s="40"/>
      <c r="C213" s="40"/>
      <c r="D213" s="40"/>
      <c r="E213" s="54"/>
      <c r="F213" s="58"/>
      <c r="G213" s="58"/>
      <c r="H213" s="42"/>
      <c r="I213" s="42"/>
      <c r="J213" s="42"/>
      <c r="K213" s="42"/>
      <c r="L213" s="42"/>
      <c r="M213" s="42"/>
      <c r="N213" s="42"/>
      <c r="O213" s="42"/>
      <c r="P213" s="42"/>
      <c r="Q213" s="42"/>
      <c r="R213" s="45"/>
      <c r="S213" s="39"/>
      <c r="T213" s="39"/>
      <c r="U213" s="45"/>
      <c r="V213" s="39"/>
      <c r="W213" s="40"/>
      <c r="X213" s="40"/>
      <c r="Y213" s="61"/>
      <c r="Z213" s="61"/>
      <c r="AC213"/>
      <c r="AD213"/>
    </row>
    <row r="214" spans="1:30" s="83" customFormat="1" ht="14.5" customHeight="1" x14ac:dyDescent="0.35">
      <c r="A214" s="77" t="s">
        <v>467</v>
      </c>
      <c r="B214" s="78" t="s">
        <v>468</v>
      </c>
      <c r="C214" s="78" t="s">
        <v>466</v>
      </c>
      <c r="D214" s="78" t="s">
        <v>469</v>
      </c>
      <c r="E214" s="79"/>
      <c r="F214" s="80"/>
      <c r="G214" s="80"/>
      <c r="H214" s="81">
        <v>9.5999999999999731E-3</v>
      </c>
      <c r="I214" s="81">
        <v>0.2354</v>
      </c>
      <c r="J214" s="81">
        <v>-8.3700000000000024E-2</v>
      </c>
      <c r="K214" s="81">
        <v>0.16589999999999999</v>
      </c>
      <c r="L214" s="81">
        <v>7.5600000000000001E-2</v>
      </c>
      <c r="M214" s="81">
        <v>0.19139999999999999</v>
      </c>
      <c r="N214" s="81"/>
      <c r="O214" s="81">
        <v>0.14360000000000001</v>
      </c>
      <c r="P214" s="81"/>
      <c r="Q214" s="81"/>
      <c r="R214" s="82">
        <v>46246</v>
      </c>
      <c r="S214" s="77"/>
      <c r="T214" s="77" t="s">
        <v>729</v>
      </c>
      <c r="U214" s="82"/>
      <c r="V214" s="77" t="s">
        <v>1362</v>
      </c>
      <c r="W214" s="78"/>
      <c r="X214" s="78"/>
      <c r="Y214" s="78"/>
      <c r="Z214" s="78"/>
    </row>
    <row r="215" spans="1:30" s="83" customFormat="1" ht="14.5" customHeight="1" x14ac:dyDescent="0.35">
      <c r="A215" s="77" t="s">
        <v>471</v>
      </c>
      <c r="B215" s="78" t="s">
        <v>472</v>
      </c>
      <c r="C215" s="78" t="s">
        <v>466</v>
      </c>
      <c r="D215" s="78" t="s">
        <v>469</v>
      </c>
      <c r="E215" s="79"/>
      <c r="F215" s="80"/>
      <c r="G215" s="80"/>
      <c r="H215" s="81">
        <v>-2.8400000000000002E-2</v>
      </c>
      <c r="I215" s="81">
        <v>0.23860000000000001</v>
      </c>
      <c r="J215" s="81">
        <v>-9.1399999999999995E-2</v>
      </c>
      <c r="K215" s="81">
        <v>0.22750000000000001</v>
      </c>
      <c r="L215" s="81">
        <v>0.115</v>
      </c>
      <c r="M215" s="81">
        <v>0.21640000000000001</v>
      </c>
      <c r="N215" s="81"/>
      <c r="O215" s="81">
        <v>0.15240000000000001</v>
      </c>
      <c r="P215" s="81"/>
      <c r="Q215" s="81"/>
      <c r="R215" s="82">
        <v>46246</v>
      </c>
      <c r="S215" s="77"/>
      <c r="T215" s="77" t="s">
        <v>729</v>
      </c>
      <c r="U215" s="82"/>
      <c r="V215" s="77" t="s">
        <v>1362</v>
      </c>
      <c r="W215" s="78"/>
      <c r="X215" s="78"/>
      <c r="Y215" s="78"/>
      <c r="Z215" s="78"/>
    </row>
    <row r="216" spans="1:30" s="83" customFormat="1" ht="14.5" customHeight="1" x14ac:dyDescent="0.35">
      <c r="A216" s="77" t="s">
        <v>473</v>
      </c>
      <c r="B216" s="78" t="s">
        <v>474</v>
      </c>
      <c r="C216" s="78" t="s">
        <v>466</v>
      </c>
      <c r="D216" s="78" t="s">
        <v>469</v>
      </c>
      <c r="E216" s="79"/>
      <c r="F216" s="80"/>
      <c r="G216" s="80"/>
      <c r="H216" s="81">
        <v>0.109</v>
      </c>
      <c r="I216" s="81">
        <v>0.35299999999999998</v>
      </c>
      <c r="J216" s="81">
        <v>-0.21099999999999999</v>
      </c>
      <c r="K216" s="81">
        <v>0.23599999999999999</v>
      </c>
      <c r="L216" s="81">
        <v>6.6E-3</v>
      </c>
      <c r="M216" s="81">
        <v>-6.8900000000000003E-2</v>
      </c>
      <c r="N216" s="81"/>
      <c r="O216" s="81">
        <v>-2.2100000000000002E-2</v>
      </c>
      <c r="P216" s="81"/>
      <c r="Q216" s="81"/>
      <c r="R216" s="82">
        <v>46246</v>
      </c>
      <c r="S216" s="77"/>
      <c r="T216" s="77" t="s">
        <v>729</v>
      </c>
      <c r="U216" s="82"/>
      <c r="V216" s="77" t="s">
        <v>1362</v>
      </c>
      <c r="W216" s="78"/>
      <c r="X216" s="78"/>
      <c r="Y216" s="78"/>
      <c r="Z216" s="78"/>
    </row>
    <row r="217" spans="1:30" s="83" customFormat="1" ht="14.5" customHeight="1" x14ac:dyDescent="0.35">
      <c r="A217" s="77" t="s">
        <v>476</v>
      </c>
      <c r="B217" s="78" t="s">
        <v>477</v>
      </c>
      <c r="C217" s="78" t="s">
        <v>466</v>
      </c>
      <c r="D217" s="78" t="s">
        <v>469</v>
      </c>
      <c r="E217" s="79"/>
      <c r="F217" s="80"/>
      <c r="G217" s="80"/>
      <c r="H217" s="81">
        <v>2.9999999999999997E-4</v>
      </c>
      <c r="I217" s="81">
        <v>0.48130000000000001</v>
      </c>
      <c r="J217" s="81">
        <v>-9.0399999999999994E-2</v>
      </c>
      <c r="K217" s="81">
        <v>0.13880000000000001</v>
      </c>
      <c r="L217" s="81">
        <v>4.8500000000000001E-2</v>
      </c>
      <c r="M217" s="81">
        <v>0.48409999999999997</v>
      </c>
      <c r="N217" s="81"/>
      <c r="O217" s="81">
        <v>9.7100000000000006E-2</v>
      </c>
      <c r="P217" s="81"/>
      <c r="Q217" s="81"/>
      <c r="R217" s="82">
        <v>46246</v>
      </c>
      <c r="S217" s="77"/>
      <c r="T217" s="77" t="s">
        <v>729</v>
      </c>
      <c r="U217" s="82"/>
      <c r="V217" s="77" t="s">
        <v>1362</v>
      </c>
      <c r="W217" s="78"/>
      <c r="X217" s="78"/>
      <c r="Y217" s="78"/>
      <c r="Z217" s="78"/>
    </row>
    <row r="218" spans="1:30" s="83" customFormat="1" ht="14.5" customHeight="1" x14ac:dyDescent="0.35">
      <c r="A218" s="77" t="s">
        <v>479</v>
      </c>
      <c r="B218" s="78" t="s">
        <v>480</v>
      </c>
      <c r="C218" s="78" t="s">
        <v>466</v>
      </c>
      <c r="D218" s="78" t="s">
        <v>469</v>
      </c>
      <c r="E218" s="79"/>
      <c r="F218" s="80"/>
      <c r="G218" s="80"/>
      <c r="H218" s="81">
        <v>-5.4999999999999997E-3</v>
      </c>
      <c r="I218" s="81">
        <v>0.47389999999999999</v>
      </c>
      <c r="J218" s="81">
        <v>-9.5000000000000001E-2</v>
      </c>
      <c r="K218" s="81">
        <v>0.1333</v>
      </c>
      <c r="L218" s="81">
        <v>4.3499999999999997E-2</v>
      </c>
      <c r="M218" s="81" t="s">
        <v>1233</v>
      </c>
      <c r="N218" s="81"/>
      <c r="O218" s="81">
        <v>9.3399999999999997E-2</v>
      </c>
      <c r="P218" s="81"/>
      <c r="Q218" s="81"/>
      <c r="R218" s="82">
        <v>46246</v>
      </c>
      <c r="S218" s="77"/>
      <c r="T218" s="77" t="s">
        <v>729</v>
      </c>
      <c r="U218" s="82"/>
      <c r="V218" s="77" t="s">
        <v>1362</v>
      </c>
      <c r="W218" s="78"/>
      <c r="X218" s="78"/>
      <c r="Y218" s="78"/>
      <c r="Z218" s="78"/>
    </row>
    <row r="219" spans="1:30" s="83" customFormat="1" ht="14.5" customHeight="1" x14ac:dyDescent="0.35">
      <c r="A219" s="77" t="s">
        <v>481</v>
      </c>
      <c r="B219" s="78" t="s">
        <v>482</v>
      </c>
      <c r="C219" s="78" t="s">
        <v>466</v>
      </c>
      <c r="D219" s="78" t="s">
        <v>469</v>
      </c>
      <c r="E219" s="79"/>
      <c r="F219" s="80"/>
      <c r="G219" s="80"/>
      <c r="H219" s="81"/>
      <c r="I219" s="81"/>
      <c r="J219" s="81"/>
      <c r="K219" s="81"/>
      <c r="L219" s="81"/>
      <c r="M219" s="81" t="s">
        <v>1232</v>
      </c>
      <c r="N219" s="81"/>
      <c r="O219" s="81" t="s">
        <v>1231</v>
      </c>
      <c r="P219" s="81"/>
      <c r="Q219" s="81"/>
      <c r="R219" s="82">
        <v>46246</v>
      </c>
      <c r="S219" s="77"/>
      <c r="T219" s="77" t="s">
        <v>729</v>
      </c>
      <c r="U219" s="82"/>
      <c r="V219" s="77" t="s">
        <v>1362</v>
      </c>
      <c r="W219" s="78"/>
      <c r="X219" s="78"/>
      <c r="Y219" s="78"/>
      <c r="Z219" s="78"/>
    </row>
    <row r="220" spans="1:30" s="83" customFormat="1" ht="14.5" customHeight="1" x14ac:dyDescent="0.35">
      <c r="A220" s="77" t="s">
        <v>484</v>
      </c>
      <c r="B220" s="78" t="s">
        <v>485</v>
      </c>
      <c r="C220" s="78" t="s">
        <v>466</v>
      </c>
      <c r="D220" s="78" t="s">
        <v>469</v>
      </c>
      <c r="E220" s="79"/>
      <c r="F220" s="80"/>
      <c r="G220" s="80"/>
      <c r="H220" s="81">
        <v>9.3600000000000003E-2</v>
      </c>
      <c r="I220" s="81">
        <v>0.3276</v>
      </c>
      <c r="J220" s="81">
        <v>-9.5500000000000002E-2</v>
      </c>
      <c r="K220" s="81">
        <v>0.1166</v>
      </c>
      <c r="L220" s="81">
        <v>-1.2200000000000001E-2</v>
      </c>
      <c r="M220" s="81">
        <v>0.22919999999999999</v>
      </c>
      <c r="N220" s="81"/>
      <c r="O220" s="81" t="s">
        <v>1230</v>
      </c>
      <c r="P220" s="81"/>
      <c r="Q220" s="81"/>
      <c r="R220" s="82">
        <v>46246</v>
      </c>
      <c r="S220" s="77"/>
      <c r="T220" s="77" t="s">
        <v>729</v>
      </c>
      <c r="U220" s="82"/>
      <c r="V220" s="77" t="s">
        <v>1362</v>
      </c>
      <c r="W220" s="78"/>
      <c r="X220" s="78"/>
      <c r="Y220" s="78"/>
      <c r="Z220" s="78"/>
    </row>
    <row r="221" spans="1:30" s="83" customFormat="1" ht="14.5" customHeight="1" x14ac:dyDescent="0.35">
      <c r="A221" s="77" t="s">
        <v>486</v>
      </c>
      <c r="B221" s="78" t="s">
        <v>487</v>
      </c>
      <c r="C221" s="78" t="s">
        <v>466</v>
      </c>
      <c r="D221" s="78" t="s">
        <v>469</v>
      </c>
      <c r="E221" s="79"/>
      <c r="F221" s="80"/>
      <c r="G221" s="80"/>
      <c r="H221" s="81">
        <v>9.8100000000000007E-2</v>
      </c>
      <c r="I221" s="81">
        <v>0.33400000000000002</v>
      </c>
      <c r="J221" s="81">
        <v>-9.1300000000000006E-2</v>
      </c>
      <c r="K221" s="81">
        <v>0.12189999999999999</v>
      </c>
      <c r="L221" s="81">
        <v>-7.3000000000000001E-3</v>
      </c>
      <c r="M221" s="81" t="s">
        <v>1229</v>
      </c>
      <c r="N221" s="81"/>
      <c r="O221" s="81">
        <v>6.9699999999999998E-2</v>
      </c>
      <c r="P221" s="81"/>
      <c r="Q221" s="81"/>
      <c r="R221" s="82">
        <v>46246</v>
      </c>
      <c r="S221" s="77"/>
      <c r="T221" s="77" t="s">
        <v>729</v>
      </c>
      <c r="U221" s="82"/>
      <c r="V221" s="77" t="s">
        <v>1362</v>
      </c>
      <c r="W221" s="78"/>
      <c r="X221" s="78"/>
      <c r="Y221" s="78"/>
      <c r="Z221" s="78"/>
    </row>
    <row r="222" spans="1:30" s="83" customFormat="1" ht="14.5" customHeight="1" x14ac:dyDescent="0.35">
      <c r="A222" s="77" t="s">
        <v>488</v>
      </c>
      <c r="B222" s="78" t="s">
        <v>489</v>
      </c>
      <c r="C222" s="78" t="s">
        <v>466</v>
      </c>
      <c r="D222" s="78" t="s">
        <v>469</v>
      </c>
      <c r="E222" s="79"/>
      <c r="F222" s="80"/>
      <c r="G222" s="80"/>
      <c r="H222" s="81">
        <v>-9.4999999999999998E-3</v>
      </c>
      <c r="I222" s="81" t="s">
        <v>1227</v>
      </c>
      <c r="J222" s="81">
        <v>-0.21590000000000001</v>
      </c>
      <c r="K222" s="81">
        <v>9.4100000000000003E-2</v>
      </c>
      <c r="L222" s="81">
        <v>7.8100000000000003E-2</v>
      </c>
      <c r="M222" s="81" t="s">
        <v>1226</v>
      </c>
      <c r="N222" s="81"/>
      <c r="O222" s="81" t="s">
        <v>1228</v>
      </c>
      <c r="P222" s="81"/>
      <c r="Q222" s="81"/>
      <c r="R222" s="82">
        <v>46246</v>
      </c>
      <c r="S222" s="77"/>
      <c r="T222" s="77" t="s">
        <v>729</v>
      </c>
      <c r="U222" s="82"/>
      <c r="V222" s="77" t="s">
        <v>1362</v>
      </c>
      <c r="W222" s="78"/>
      <c r="X222" s="78"/>
      <c r="Y222" s="78"/>
      <c r="Z222" s="78"/>
    </row>
    <row r="223" spans="1:30" s="83" customFormat="1" ht="14.5" customHeight="1" x14ac:dyDescent="0.35">
      <c r="A223" s="77" t="s">
        <v>490</v>
      </c>
      <c r="B223" s="78" t="s">
        <v>491</v>
      </c>
      <c r="C223" s="78" t="s">
        <v>466</v>
      </c>
      <c r="D223" s="78" t="s">
        <v>469</v>
      </c>
      <c r="E223" s="79"/>
      <c r="F223" s="80"/>
      <c r="G223" s="80"/>
      <c r="H223" s="81">
        <v>0.1076</v>
      </c>
      <c r="I223" s="81">
        <v>0.35399999999999998</v>
      </c>
      <c r="J223" s="81">
        <v>-0.21099999999999999</v>
      </c>
      <c r="K223" s="81">
        <v>0.2366</v>
      </c>
      <c r="L223" s="81" t="s">
        <v>1225</v>
      </c>
      <c r="M223" s="81">
        <v>-6.8400000000000002E-2</v>
      </c>
      <c r="N223" s="81"/>
      <c r="O223" s="81">
        <v>-2.1700000000000001E-2</v>
      </c>
      <c r="P223" s="81"/>
      <c r="Q223" s="81"/>
      <c r="R223" s="82">
        <v>46246</v>
      </c>
      <c r="S223" s="77"/>
      <c r="T223" s="77" t="s">
        <v>729</v>
      </c>
      <c r="U223" s="82"/>
      <c r="V223" s="77" t="s">
        <v>1362</v>
      </c>
      <c r="W223" s="78"/>
      <c r="X223" s="78"/>
      <c r="Y223" s="78"/>
      <c r="Z223" s="78"/>
    </row>
    <row r="224" spans="1:30" s="83" customFormat="1" ht="14.5" customHeight="1" x14ac:dyDescent="0.35">
      <c r="A224" s="77" t="s">
        <v>492</v>
      </c>
      <c r="B224" s="78" t="s">
        <v>493</v>
      </c>
      <c r="C224" s="78" t="s">
        <v>466</v>
      </c>
      <c r="D224" s="78" t="s">
        <v>469</v>
      </c>
      <c r="E224" s="79"/>
      <c r="F224" s="80"/>
      <c r="G224" s="80"/>
      <c r="H224" s="81" t="s">
        <v>1223</v>
      </c>
      <c r="I224" s="81">
        <v>0.1978</v>
      </c>
      <c r="J224" s="81">
        <v>-0.37830000000000003</v>
      </c>
      <c r="K224" s="81">
        <v>9.8599999999999993E-2</v>
      </c>
      <c r="L224" s="81">
        <v>-4.24E-2</v>
      </c>
      <c r="M224" s="81" t="s">
        <v>1222</v>
      </c>
      <c r="N224" s="81"/>
      <c r="O224" s="81" t="s">
        <v>1224</v>
      </c>
      <c r="P224" s="81"/>
      <c r="Q224" s="81"/>
      <c r="R224" s="82">
        <v>46246</v>
      </c>
      <c r="S224" s="77"/>
      <c r="T224" s="77" t="s">
        <v>729</v>
      </c>
      <c r="U224" s="82"/>
      <c r="V224" s="77" t="s">
        <v>1362</v>
      </c>
      <c r="W224" s="78"/>
      <c r="X224" s="78"/>
      <c r="Y224" s="78"/>
      <c r="Z224" s="78"/>
    </row>
    <row r="225" spans="1:26" s="83" customFormat="1" ht="14.5" customHeight="1" x14ac:dyDescent="0.35">
      <c r="A225" s="77" t="s">
        <v>494</v>
      </c>
      <c r="B225" s="78" t="s">
        <v>495</v>
      </c>
      <c r="C225" s="78" t="s">
        <v>466</v>
      </c>
      <c r="D225" s="78" t="s">
        <v>469</v>
      </c>
      <c r="E225" s="79"/>
      <c r="F225" s="80"/>
      <c r="G225" s="80"/>
      <c r="H225" s="81">
        <v>0.1981</v>
      </c>
      <c r="I225" s="81">
        <v>0.19259999999999999</v>
      </c>
      <c r="J225" s="81">
        <v>-0.38090000000000002</v>
      </c>
      <c r="K225" s="81">
        <v>9.35E-2</v>
      </c>
      <c r="L225" s="81">
        <v>-4.6699999999999998E-2</v>
      </c>
      <c r="M225" s="81">
        <v>-1.1999999999999999E-3</v>
      </c>
      <c r="N225" s="81"/>
      <c r="O225" s="81" t="s">
        <v>1221</v>
      </c>
      <c r="P225" s="81"/>
      <c r="Q225" s="81"/>
      <c r="R225" s="82">
        <v>46246</v>
      </c>
      <c r="S225" s="77"/>
      <c r="T225" s="77" t="s">
        <v>729</v>
      </c>
      <c r="U225" s="82"/>
      <c r="V225" s="77" t="s">
        <v>1362</v>
      </c>
      <c r="W225" s="78"/>
      <c r="X225" s="78"/>
      <c r="Y225" s="78"/>
      <c r="Z225" s="78"/>
    </row>
    <row r="226" spans="1:26" s="83" customFormat="1" ht="14.5" customHeight="1" x14ac:dyDescent="0.35">
      <c r="A226" s="77" t="s">
        <v>496</v>
      </c>
      <c r="B226" s="78" t="s">
        <v>497</v>
      </c>
      <c r="C226" s="78" t="s">
        <v>466</v>
      </c>
      <c r="D226" s="78" t="s">
        <v>469</v>
      </c>
      <c r="E226" s="79"/>
      <c r="F226" s="80"/>
      <c r="G226" s="80"/>
      <c r="H226" s="81"/>
      <c r="I226" s="81">
        <v>0.18679999999999999</v>
      </c>
      <c r="J226" s="81">
        <v>-0.38440000000000002</v>
      </c>
      <c r="K226" s="81">
        <v>8.8800000000000004E-2</v>
      </c>
      <c r="L226" s="81">
        <v>-5.1900000000000002E-2</v>
      </c>
      <c r="M226" s="81">
        <v>-5.1999999999999998E-3</v>
      </c>
      <c r="N226" s="81"/>
      <c r="O226" s="81">
        <v>1.2999999999999999E-3</v>
      </c>
      <c r="P226" s="81"/>
      <c r="Q226" s="81"/>
      <c r="R226" s="82">
        <v>46246</v>
      </c>
      <c r="S226" s="77"/>
      <c r="T226" s="77" t="s">
        <v>729</v>
      </c>
      <c r="U226" s="82"/>
      <c r="V226" s="77" t="s">
        <v>1362</v>
      </c>
      <c r="W226" s="78"/>
      <c r="X226" s="78"/>
      <c r="Y226" s="78"/>
      <c r="Z226" s="78"/>
    </row>
    <row r="227" spans="1:26" s="83" customFormat="1" ht="14.5" customHeight="1" x14ac:dyDescent="0.35">
      <c r="A227" s="77" t="s">
        <v>498</v>
      </c>
      <c r="B227" s="78" t="s">
        <v>499</v>
      </c>
      <c r="C227" s="78" t="s">
        <v>466</v>
      </c>
      <c r="D227" s="78" t="s">
        <v>469</v>
      </c>
      <c r="E227" s="79"/>
      <c r="F227" s="80"/>
      <c r="G227" s="80"/>
      <c r="H227" s="81">
        <v>0.24709999999999999</v>
      </c>
      <c r="I227" s="81">
        <v>0.2344</v>
      </c>
      <c r="J227" s="81">
        <v>-0.32669999999999999</v>
      </c>
      <c r="K227" s="81">
        <v>0.1179</v>
      </c>
      <c r="L227" s="81">
        <v>-2.8500000000000001E-2</v>
      </c>
      <c r="M227" s="81">
        <v>-7.9399999999999998E-2</v>
      </c>
      <c r="N227" s="81"/>
      <c r="O227" s="81">
        <v>3.9800000000000002E-2</v>
      </c>
      <c r="P227" s="81"/>
      <c r="Q227" s="81"/>
      <c r="R227" s="82">
        <v>46246</v>
      </c>
      <c r="S227" s="77"/>
      <c r="T227" s="77" t="s">
        <v>729</v>
      </c>
      <c r="U227" s="82"/>
      <c r="V227" s="77" t="s">
        <v>1362</v>
      </c>
      <c r="W227" s="78"/>
      <c r="X227" s="78"/>
      <c r="Y227" s="78"/>
      <c r="Z227" s="78"/>
    </row>
    <row r="228" spans="1:26" s="83" customFormat="1" ht="14.5" customHeight="1" x14ac:dyDescent="0.35">
      <c r="A228" s="77" t="s">
        <v>500</v>
      </c>
      <c r="B228" s="78" t="s">
        <v>501</v>
      </c>
      <c r="C228" s="78" t="s">
        <v>466</v>
      </c>
      <c r="D228" s="78" t="s">
        <v>469</v>
      </c>
      <c r="E228" s="79"/>
      <c r="F228" s="80"/>
      <c r="G228" s="80"/>
      <c r="H228" s="81">
        <v>0.2591</v>
      </c>
      <c r="I228" s="81">
        <v>0.24610000000000001</v>
      </c>
      <c r="J228" s="81">
        <v>-0.32029999999999997</v>
      </c>
      <c r="K228" s="81">
        <v>0.12859999999999999</v>
      </c>
      <c r="L228" s="81">
        <v>-1.9300000000000001E-2</v>
      </c>
      <c r="M228" s="81">
        <v>-7.0900000000000005E-2</v>
      </c>
      <c r="N228" s="81"/>
      <c r="O228" s="81">
        <v>4.5900000000000003E-2</v>
      </c>
      <c r="P228" s="81"/>
      <c r="Q228" s="81"/>
      <c r="R228" s="82">
        <v>46246</v>
      </c>
      <c r="S228" s="77"/>
      <c r="T228" s="77" t="s">
        <v>729</v>
      </c>
      <c r="U228" s="82"/>
      <c r="V228" s="77" t="s">
        <v>1362</v>
      </c>
      <c r="W228" s="78"/>
      <c r="X228" s="78"/>
      <c r="Y228" s="78"/>
      <c r="Z228" s="78"/>
    </row>
    <row r="229" spans="1:26" s="83" customFormat="1" ht="14.5" customHeight="1" x14ac:dyDescent="0.35">
      <c r="A229" s="77" t="s">
        <v>502</v>
      </c>
      <c r="B229" s="78" t="s">
        <v>503</v>
      </c>
      <c r="C229" s="78" t="s">
        <v>466</v>
      </c>
      <c r="D229" s="78" t="s">
        <v>469</v>
      </c>
      <c r="E229" s="79"/>
      <c r="F229" s="80"/>
      <c r="G229" s="80"/>
      <c r="H229" s="81">
        <v>6.9099999999999995E-2</v>
      </c>
      <c r="I229" s="81">
        <v>0.12620000000000001</v>
      </c>
      <c r="J229" s="81">
        <v>-0.27179999999999999</v>
      </c>
      <c r="K229" s="81">
        <v>0.1706</v>
      </c>
      <c r="L229" s="81">
        <v>-3.1399999999999997E-2</v>
      </c>
      <c r="M229" s="81">
        <v>0.1009</v>
      </c>
      <c r="N229" s="81"/>
      <c r="O229" s="81" t="s">
        <v>1220</v>
      </c>
      <c r="P229" s="81"/>
      <c r="Q229" s="81"/>
      <c r="R229" s="82">
        <v>46246</v>
      </c>
      <c r="S229" s="77"/>
      <c r="T229" s="77" t="s">
        <v>729</v>
      </c>
      <c r="U229" s="82"/>
      <c r="V229" s="77" t="s">
        <v>1362</v>
      </c>
      <c r="W229" s="78"/>
      <c r="X229" s="78"/>
      <c r="Y229" s="78"/>
      <c r="Z229" s="78"/>
    </row>
    <row r="230" spans="1:26" s="83" customFormat="1" ht="14.5" customHeight="1" x14ac:dyDescent="0.35">
      <c r="A230" s="77" t="s">
        <v>504</v>
      </c>
      <c r="B230" s="78" t="s">
        <v>505</v>
      </c>
      <c r="C230" s="78" t="s">
        <v>466</v>
      </c>
      <c r="D230" s="78" t="s">
        <v>469</v>
      </c>
      <c r="E230" s="79"/>
      <c r="F230" s="80"/>
      <c r="G230" s="80"/>
      <c r="H230" s="81">
        <v>3.9699999999999999E-2</v>
      </c>
      <c r="I230" s="81">
        <v>0.19089999999999999</v>
      </c>
      <c r="J230" s="81">
        <v>-0.20710000000000001</v>
      </c>
      <c r="K230" s="81">
        <v>0.17499999999999999</v>
      </c>
      <c r="L230" s="81">
        <v>-7.9899999999999999E-2</v>
      </c>
      <c r="M230" s="81" t="s">
        <v>1219</v>
      </c>
      <c r="N230" s="81"/>
      <c r="O230" s="81">
        <v>5.0599999999999999E-2</v>
      </c>
      <c r="P230" s="81"/>
      <c r="Q230" s="81"/>
      <c r="R230" s="82">
        <v>46246</v>
      </c>
      <c r="S230" s="77"/>
      <c r="T230" s="77" t="s">
        <v>729</v>
      </c>
      <c r="U230" s="82"/>
      <c r="V230" s="77" t="s">
        <v>1362</v>
      </c>
      <c r="W230" s="78"/>
      <c r="X230" s="78"/>
      <c r="Y230" s="78"/>
      <c r="Z230" s="78"/>
    </row>
    <row r="231" spans="1:26" s="83" customFormat="1" ht="14.5" customHeight="1" x14ac:dyDescent="0.35">
      <c r="A231" s="77" t="s">
        <v>506</v>
      </c>
      <c r="B231" s="78" t="s">
        <v>507</v>
      </c>
      <c r="C231" s="78" t="s">
        <v>466</v>
      </c>
      <c r="D231" s="78" t="s">
        <v>469</v>
      </c>
      <c r="E231" s="79"/>
      <c r="F231" s="80"/>
      <c r="G231" s="80"/>
      <c r="H231" s="81">
        <v>8.0699999999999994E-2</v>
      </c>
      <c r="I231" s="81">
        <v>0.13719999999999999</v>
      </c>
      <c r="J231" s="81">
        <v>-0.26479999999999998</v>
      </c>
      <c r="K231" s="81" t="s">
        <v>1218</v>
      </c>
      <c r="L231" s="81">
        <v>-2.3099999999999999E-2</v>
      </c>
      <c r="M231" s="81" t="s">
        <v>1217</v>
      </c>
      <c r="N231" s="81"/>
      <c r="O231" s="81">
        <v>0.10059999999999999</v>
      </c>
      <c r="P231" s="81"/>
      <c r="Q231" s="81"/>
      <c r="R231" s="82">
        <v>46246</v>
      </c>
      <c r="S231" s="77"/>
      <c r="T231" s="77" t="s">
        <v>729</v>
      </c>
      <c r="U231" s="82"/>
      <c r="V231" s="77" t="s">
        <v>1362</v>
      </c>
      <c r="W231" s="78"/>
      <c r="X231" s="78"/>
      <c r="Y231" s="78"/>
      <c r="Z231" s="78"/>
    </row>
    <row r="232" spans="1:26" s="83" customFormat="1" ht="14.5" customHeight="1" x14ac:dyDescent="0.35">
      <c r="A232" s="77" t="s">
        <v>508</v>
      </c>
      <c r="B232" s="78" t="s">
        <v>509</v>
      </c>
      <c r="C232" s="78" t="s">
        <v>466</v>
      </c>
      <c r="D232" s="78" t="s">
        <v>469</v>
      </c>
      <c r="E232" s="79"/>
      <c r="F232" s="80"/>
      <c r="G232" s="80"/>
      <c r="H232" s="81">
        <v>0.1022</v>
      </c>
      <c r="I232" s="81">
        <v>0.34720000000000001</v>
      </c>
      <c r="J232" s="81">
        <v>-0.215</v>
      </c>
      <c r="K232" s="81">
        <v>0.23050000000000001</v>
      </c>
      <c r="L232" s="81">
        <v>2.0999999999999999E-3</v>
      </c>
      <c r="M232" s="81">
        <v>-7.2999999999999995E-2</v>
      </c>
      <c r="N232" s="81"/>
      <c r="O232" s="81">
        <v>-2.47E-2</v>
      </c>
      <c r="P232" s="81"/>
      <c r="Q232" s="81"/>
      <c r="R232" s="82">
        <v>46246</v>
      </c>
      <c r="S232" s="77"/>
      <c r="T232" s="77" t="s">
        <v>729</v>
      </c>
      <c r="U232" s="82"/>
      <c r="V232" s="77" t="s">
        <v>1362</v>
      </c>
      <c r="W232" s="78"/>
      <c r="X232" s="78"/>
      <c r="Y232" s="78"/>
      <c r="Z232" s="78"/>
    </row>
    <row r="233" spans="1:26" s="83" customFormat="1" ht="14.5" customHeight="1" x14ac:dyDescent="0.35">
      <c r="A233" s="77" t="s">
        <v>510</v>
      </c>
      <c r="B233" s="78" t="s">
        <v>511</v>
      </c>
      <c r="C233" s="78" t="s">
        <v>466</v>
      </c>
      <c r="D233" s="78" t="s">
        <v>469</v>
      </c>
      <c r="E233" s="79"/>
      <c r="F233" s="80"/>
      <c r="G233" s="80"/>
      <c r="H233" s="81">
        <v>6.5299999999999997E-2</v>
      </c>
      <c r="I233" s="81" t="s">
        <v>1215</v>
      </c>
      <c r="J233" s="81">
        <v>-8.2500000000000004E-2</v>
      </c>
      <c r="K233" s="81" t="s">
        <v>1214</v>
      </c>
      <c r="L233" s="81">
        <v>-2.5899999999999999E-2</v>
      </c>
      <c r="M233" s="81">
        <v>0.26190000000000002</v>
      </c>
      <c r="N233" s="81"/>
      <c r="O233" s="81" t="s">
        <v>1216</v>
      </c>
      <c r="P233" s="81"/>
      <c r="Q233" s="81"/>
      <c r="R233" s="82">
        <v>46246</v>
      </c>
      <c r="S233" s="77"/>
      <c r="T233" s="77" t="s">
        <v>729</v>
      </c>
      <c r="U233" s="82"/>
      <c r="V233" s="77" t="s">
        <v>1362</v>
      </c>
      <c r="W233" s="78"/>
      <c r="X233" s="78"/>
      <c r="Y233" s="78"/>
      <c r="Z233" s="78"/>
    </row>
    <row r="234" spans="1:26" s="83" customFormat="1" ht="14.5" customHeight="1" x14ac:dyDescent="0.35">
      <c r="A234" s="77" t="s">
        <v>512</v>
      </c>
      <c r="B234" s="78" t="s">
        <v>513</v>
      </c>
      <c r="C234" s="78" t="s">
        <v>466</v>
      </c>
      <c r="D234" s="78" t="s">
        <v>469</v>
      </c>
      <c r="E234" s="79"/>
      <c r="F234" s="80"/>
      <c r="G234" s="80"/>
      <c r="H234" s="81">
        <v>0.1201</v>
      </c>
      <c r="I234" s="81">
        <v>0.33650000000000002</v>
      </c>
      <c r="J234" s="81">
        <v>-0.26150000000000001</v>
      </c>
      <c r="K234" s="81">
        <v>-5.1700000000000003E-2</v>
      </c>
      <c r="L234" s="81">
        <v>-9.35E-2</v>
      </c>
      <c r="M234" s="81">
        <v>-3.3099999999999997E-2</v>
      </c>
      <c r="N234" s="81"/>
      <c r="O234" s="81">
        <v>-5.4899999999999997E-2</v>
      </c>
      <c r="P234" s="81"/>
      <c r="Q234" s="81"/>
      <c r="R234" s="82">
        <v>46246</v>
      </c>
      <c r="S234" s="77"/>
      <c r="T234" s="77" t="s">
        <v>729</v>
      </c>
      <c r="U234" s="82"/>
      <c r="V234" s="77" t="s">
        <v>1362</v>
      </c>
      <c r="W234" s="78"/>
      <c r="X234" s="78"/>
      <c r="Y234" s="78"/>
      <c r="Z234" s="78"/>
    </row>
    <row r="235" spans="1:26" s="83" customFormat="1" ht="14.5" customHeight="1" x14ac:dyDescent="0.35">
      <c r="A235" s="77" t="s">
        <v>514</v>
      </c>
      <c r="B235" s="78" t="s">
        <v>515</v>
      </c>
      <c r="C235" s="78" t="s">
        <v>466</v>
      </c>
      <c r="D235" s="78" t="s">
        <v>469</v>
      </c>
      <c r="E235" s="79"/>
      <c r="F235" s="80"/>
      <c r="G235" s="80"/>
      <c r="H235" s="81">
        <v>0.13639999999999999</v>
      </c>
      <c r="I235" s="81" t="s">
        <v>1189</v>
      </c>
      <c r="J235" s="81">
        <v>-0.29909999999999998</v>
      </c>
      <c r="K235" s="81" t="s">
        <v>1212</v>
      </c>
      <c r="L235" s="81" t="s">
        <v>1211</v>
      </c>
      <c r="M235" s="81" t="s">
        <v>1210</v>
      </c>
      <c r="N235" s="81"/>
      <c r="O235" s="81" t="s">
        <v>1213</v>
      </c>
      <c r="P235" s="81"/>
      <c r="Q235" s="81"/>
      <c r="R235" s="82">
        <v>46246</v>
      </c>
      <c r="S235" s="77"/>
      <c r="T235" s="77" t="s">
        <v>729</v>
      </c>
      <c r="U235" s="82"/>
      <c r="V235" s="77" t="s">
        <v>1362</v>
      </c>
      <c r="W235" s="78"/>
      <c r="X235" s="78"/>
      <c r="Y235" s="78"/>
      <c r="Z235" s="78"/>
    </row>
    <row r="236" spans="1:26" s="83" customFormat="1" ht="14.5" customHeight="1" x14ac:dyDescent="0.35">
      <c r="A236" s="77" t="s">
        <v>516</v>
      </c>
      <c r="B236" s="78" t="s">
        <v>517</v>
      </c>
      <c r="C236" s="78" t="s">
        <v>466</v>
      </c>
      <c r="D236" s="78" t="s">
        <v>469</v>
      </c>
      <c r="E236" s="79"/>
      <c r="F236" s="80"/>
      <c r="G236" s="80"/>
      <c r="H236" s="81">
        <v>0.1545</v>
      </c>
      <c r="I236" s="81"/>
      <c r="J236" s="81"/>
      <c r="K236" s="81"/>
      <c r="L236" s="81"/>
      <c r="M236" s="81"/>
      <c r="N236" s="81"/>
      <c r="O236" s="81"/>
      <c r="P236" s="81"/>
      <c r="Q236" s="81"/>
      <c r="R236" s="82">
        <v>46246</v>
      </c>
      <c r="S236" s="77"/>
      <c r="T236" s="77" t="s">
        <v>729</v>
      </c>
      <c r="U236" s="82"/>
      <c r="V236" s="77" t="s">
        <v>1362</v>
      </c>
      <c r="W236" s="78"/>
      <c r="X236" s="78"/>
      <c r="Y236" s="78"/>
      <c r="Z236" s="78"/>
    </row>
    <row r="237" spans="1:26" s="83" customFormat="1" ht="14.5" customHeight="1" x14ac:dyDescent="0.35">
      <c r="A237" s="77" t="s">
        <v>518</v>
      </c>
      <c r="B237" s="78" t="s">
        <v>519</v>
      </c>
      <c r="C237" s="78" t="s">
        <v>466</v>
      </c>
      <c r="D237" s="78" t="s">
        <v>469</v>
      </c>
      <c r="E237" s="79"/>
      <c r="F237" s="80"/>
      <c r="G237" s="80"/>
      <c r="H237" s="81">
        <v>0.14899999999999999</v>
      </c>
      <c r="I237" s="81">
        <v>0.16550000000000001</v>
      </c>
      <c r="J237" s="81">
        <v>-0.29170000000000001</v>
      </c>
      <c r="K237" s="81">
        <v>0.1</v>
      </c>
      <c r="L237" s="81" t="s">
        <v>1209</v>
      </c>
      <c r="M237" s="81">
        <v>4.1700000000000001E-2</v>
      </c>
      <c r="N237" s="81"/>
      <c r="O237" s="81">
        <v>0.1358</v>
      </c>
      <c r="P237" s="81"/>
      <c r="Q237" s="81"/>
      <c r="R237" s="82">
        <v>46246</v>
      </c>
      <c r="S237" s="77"/>
      <c r="T237" s="77" t="s">
        <v>729</v>
      </c>
      <c r="U237" s="82"/>
      <c r="V237" s="77" t="s">
        <v>1362</v>
      </c>
      <c r="W237" s="78"/>
      <c r="X237" s="78"/>
      <c r="Y237" s="78"/>
      <c r="Z237" s="78"/>
    </row>
    <row r="238" spans="1:26" s="83" customFormat="1" ht="14.5" customHeight="1" x14ac:dyDescent="0.35">
      <c r="A238" s="77" t="s">
        <v>520</v>
      </c>
      <c r="B238" s="78" t="s">
        <v>521</v>
      </c>
      <c r="C238" s="78" t="s">
        <v>466</v>
      </c>
      <c r="D238" s="78" t="s">
        <v>469</v>
      </c>
      <c r="E238" s="79"/>
      <c r="F238" s="80"/>
      <c r="G238" s="80"/>
      <c r="H238" s="81">
        <v>2.5399999999999999E-2</v>
      </c>
      <c r="I238" s="81">
        <v>0.26850000000000002</v>
      </c>
      <c r="J238" s="81">
        <v>-0.15620000000000001</v>
      </c>
      <c r="K238" s="81">
        <v>0.17369999999999999</v>
      </c>
      <c r="L238" s="81">
        <v>7.9500000000000001E-2</v>
      </c>
      <c r="M238" s="81">
        <v>2.6100000000000002E-2</v>
      </c>
      <c r="N238" s="81"/>
      <c r="O238" s="81" t="s">
        <v>1208</v>
      </c>
      <c r="P238" s="81"/>
      <c r="Q238" s="81"/>
      <c r="R238" s="82">
        <v>46246</v>
      </c>
      <c r="S238" s="77"/>
      <c r="T238" s="77" t="s">
        <v>729</v>
      </c>
      <c r="U238" s="82"/>
      <c r="V238" s="77" t="s">
        <v>1114</v>
      </c>
      <c r="W238" s="78"/>
      <c r="X238" s="78"/>
      <c r="Y238" s="78"/>
      <c r="Z238" s="78"/>
    </row>
    <row r="239" spans="1:26" s="83" customFormat="1" ht="14.5" customHeight="1" x14ac:dyDescent="0.35">
      <c r="A239" s="77" t="s">
        <v>522</v>
      </c>
      <c r="B239" s="78" t="s">
        <v>523</v>
      </c>
      <c r="C239" s="78" t="s">
        <v>466</v>
      </c>
      <c r="D239" s="78" t="s">
        <v>469</v>
      </c>
      <c r="E239" s="79"/>
      <c r="F239" s="80"/>
      <c r="G239" s="80"/>
      <c r="H239" s="81">
        <v>-3.3300000000000003E-2</v>
      </c>
      <c r="I239" s="81">
        <v>0.25209999999999999</v>
      </c>
      <c r="J239" s="81">
        <v>-9.4500000000000001E-2</v>
      </c>
      <c r="K239" s="81">
        <v>0.16059999999999999</v>
      </c>
      <c r="L239" s="81">
        <v>8.5900000000000004E-2</v>
      </c>
      <c r="M239" s="81">
        <v>0.19589999999999999</v>
      </c>
      <c r="N239" s="81"/>
      <c r="O239" s="81">
        <v>0.14069999999999999</v>
      </c>
      <c r="P239" s="81"/>
      <c r="Q239" s="81"/>
      <c r="R239" s="82">
        <v>46246</v>
      </c>
      <c r="S239" s="77"/>
      <c r="T239" s="77" t="s">
        <v>729</v>
      </c>
      <c r="U239" s="82"/>
      <c r="V239" s="77" t="s">
        <v>1114</v>
      </c>
      <c r="W239" s="78"/>
      <c r="X239" s="78"/>
      <c r="Y239" s="78"/>
      <c r="Z239" s="78"/>
    </row>
    <row r="240" spans="1:26" s="83" customFormat="1" ht="14.5" customHeight="1" x14ac:dyDescent="0.35">
      <c r="A240" s="77" t="s">
        <v>525</v>
      </c>
      <c r="B240" s="78" t="s">
        <v>526</v>
      </c>
      <c r="C240" s="78" t="s">
        <v>466</v>
      </c>
      <c r="D240" s="78" t="s">
        <v>469</v>
      </c>
      <c r="E240" s="79"/>
      <c r="F240" s="80"/>
      <c r="G240" s="80"/>
      <c r="H240" s="81">
        <v>-1.54E-2</v>
      </c>
      <c r="I240" s="81">
        <v>0.25409999999999999</v>
      </c>
      <c r="J240" s="81">
        <v>-6.2700000000000006E-2</v>
      </c>
      <c r="K240" s="81" t="s">
        <v>1206</v>
      </c>
      <c r="L240" s="81">
        <v>4.2599999999999999E-2</v>
      </c>
      <c r="M240" s="81" t="s">
        <v>1205</v>
      </c>
      <c r="N240" s="81"/>
      <c r="O240" s="81" t="s">
        <v>1207</v>
      </c>
      <c r="P240" s="81"/>
      <c r="Q240" s="81"/>
      <c r="R240" s="82">
        <v>46246</v>
      </c>
      <c r="S240" s="77"/>
      <c r="T240" s="77" t="s">
        <v>729</v>
      </c>
      <c r="U240" s="82"/>
      <c r="V240" s="77" t="s">
        <v>1362</v>
      </c>
      <c r="W240" s="78"/>
      <c r="X240" s="78"/>
      <c r="Y240" s="78"/>
      <c r="Z240" s="78"/>
    </row>
    <row r="241" spans="1:26" s="83" customFormat="1" ht="14.5" customHeight="1" x14ac:dyDescent="0.35">
      <c r="A241" s="77" t="s">
        <v>527</v>
      </c>
      <c r="B241" s="78" t="s">
        <v>528</v>
      </c>
      <c r="C241" s="78" t="s">
        <v>466</v>
      </c>
      <c r="D241" s="78" t="s">
        <v>469</v>
      </c>
      <c r="E241" s="79"/>
      <c r="F241" s="80"/>
      <c r="G241" s="80"/>
      <c r="H241" s="81">
        <v>-2.46E-2</v>
      </c>
      <c r="I241" s="81">
        <v>0.2366</v>
      </c>
      <c r="J241" s="81">
        <v>-9.35E-2</v>
      </c>
      <c r="K241" s="81">
        <v>0.2286</v>
      </c>
      <c r="L241" s="81">
        <v>0.10929999999999999</v>
      </c>
      <c r="M241" s="81" t="s">
        <v>1204</v>
      </c>
      <c r="N241" s="81"/>
      <c r="O241" s="81">
        <v>0.15260000000000001</v>
      </c>
      <c r="P241" s="81"/>
      <c r="Q241" s="81"/>
      <c r="R241" s="82">
        <v>46246</v>
      </c>
      <c r="S241" s="77"/>
      <c r="T241" s="77" t="s">
        <v>729</v>
      </c>
      <c r="U241" s="82"/>
      <c r="V241" s="77" t="s">
        <v>1362</v>
      </c>
      <c r="W241" s="78"/>
      <c r="X241" s="78"/>
      <c r="Y241" s="78"/>
      <c r="Z241" s="78"/>
    </row>
    <row r="242" spans="1:26" s="83" customFormat="1" ht="14.5" customHeight="1" x14ac:dyDescent="0.35">
      <c r="A242" s="77" t="s">
        <v>529</v>
      </c>
      <c r="B242" s="78" t="s">
        <v>530</v>
      </c>
      <c r="C242" s="78" t="s">
        <v>466</v>
      </c>
      <c r="D242" s="78" t="s">
        <v>469</v>
      </c>
      <c r="E242" s="79"/>
      <c r="F242" s="80"/>
      <c r="G242" s="80"/>
      <c r="H242" s="81"/>
      <c r="I242" s="81"/>
      <c r="J242" s="81"/>
      <c r="K242" s="81"/>
      <c r="L242" s="81"/>
      <c r="M242" s="81"/>
      <c r="N242" s="81"/>
      <c r="O242" s="81" t="s">
        <v>1203</v>
      </c>
      <c r="P242" s="81"/>
      <c r="Q242" s="81"/>
      <c r="R242" s="82">
        <v>46246</v>
      </c>
      <c r="S242" s="77"/>
      <c r="T242" s="77" t="s">
        <v>729</v>
      </c>
      <c r="U242" s="82"/>
      <c r="V242" s="77" t="s">
        <v>1362</v>
      </c>
      <c r="W242" s="78"/>
      <c r="X242" s="78"/>
      <c r="Y242" s="78"/>
      <c r="Z242" s="78"/>
    </row>
    <row r="243" spans="1:26" s="83" customFormat="1" ht="14.5" customHeight="1" x14ac:dyDescent="0.35">
      <c r="A243" s="77" t="s">
        <v>531</v>
      </c>
      <c r="B243" s="78" t="s">
        <v>532</v>
      </c>
      <c r="C243" s="78" t="s">
        <v>466</v>
      </c>
      <c r="D243" s="78" t="s">
        <v>469</v>
      </c>
      <c r="E243" s="79"/>
      <c r="F243" s="80"/>
      <c r="G243" s="80"/>
      <c r="H243" s="81">
        <v>-5.11E-2</v>
      </c>
      <c r="I243" s="81">
        <v>0.31580000000000003</v>
      </c>
      <c r="J243" s="81">
        <v>-6.88E-2</v>
      </c>
      <c r="K243" s="81">
        <v>0.19900000000000001</v>
      </c>
      <c r="L243" s="81">
        <v>6.7999999999999996E-3</v>
      </c>
      <c r="M243" s="81">
        <v>0.13969999999999999</v>
      </c>
      <c r="N243" s="81"/>
      <c r="O243" s="81">
        <v>9.7500000000000003E-2</v>
      </c>
      <c r="P243" s="81"/>
      <c r="Q243" s="81"/>
      <c r="R243" s="82">
        <v>46246</v>
      </c>
      <c r="S243" s="77"/>
      <c r="T243" s="77" t="s">
        <v>729</v>
      </c>
      <c r="U243" s="82"/>
      <c r="V243" s="77" t="s">
        <v>1362</v>
      </c>
      <c r="W243" s="78"/>
      <c r="X243" s="78"/>
      <c r="Y243" s="78"/>
      <c r="Z243" s="78"/>
    </row>
    <row r="244" spans="1:26" s="83" customFormat="1" ht="14.5" customHeight="1" x14ac:dyDescent="0.35">
      <c r="A244" s="77" t="s">
        <v>533</v>
      </c>
      <c r="B244" s="78" t="s">
        <v>534</v>
      </c>
      <c r="C244" s="78" t="s">
        <v>466</v>
      </c>
      <c r="D244" s="78" t="s">
        <v>469</v>
      </c>
      <c r="E244" s="79"/>
      <c r="F244" s="80"/>
      <c r="G244" s="80"/>
      <c r="H244" s="81">
        <v>0.2296</v>
      </c>
      <c r="I244" s="81">
        <v>-5.7799999999999997E-2</v>
      </c>
      <c r="J244" s="81" t="s">
        <v>1202</v>
      </c>
      <c r="K244" s="81">
        <v>-0.13600000000000001</v>
      </c>
      <c r="L244" s="81">
        <v>0.1051</v>
      </c>
      <c r="M244" s="81">
        <v>-7.3300000000000004E-2</v>
      </c>
      <c r="N244" s="81"/>
      <c r="O244" s="81" t="s">
        <v>1201</v>
      </c>
      <c r="P244" s="81"/>
      <c r="Q244" s="81"/>
      <c r="R244" s="82">
        <v>46246</v>
      </c>
      <c r="S244" s="77"/>
      <c r="T244" s="77" t="s">
        <v>729</v>
      </c>
      <c r="U244" s="82"/>
      <c r="V244" s="77" t="s">
        <v>1362</v>
      </c>
      <c r="W244" s="78"/>
      <c r="X244" s="78"/>
      <c r="Y244" s="78"/>
      <c r="Z244" s="78"/>
    </row>
    <row r="245" spans="1:26" s="83" customFormat="1" ht="14.5" customHeight="1" x14ac:dyDescent="0.35">
      <c r="A245" s="77" t="s">
        <v>535</v>
      </c>
      <c r="B245" s="78" t="s">
        <v>536</v>
      </c>
      <c r="C245" s="78" t="s">
        <v>466</v>
      </c>
      <c r="D245" s="78" t="s">
        <v>537</v>
      </c>
      <c r="E245" s="79"/>
      <c r="F245" s="80"/>
      <c r="G245" s="80"/>
      <c r="H245" s="81">
        <v>0.2999</v>
      </c>
      <c r="I245" s="81" t="s">
        <v>1200</v>
      </c>
      <c r="J245" s="81">
        <v>-0.33689999999999998</v>
      </c>
      <c r="K245" s="81">
        <v>0.3301</v>
      </c>
      <c r="L245" s="81">
        <v>0.31659999999999999</v>
      </c>
      <c r="M245" s="81">
        <v>-6.6199999999999995E-2</v>
      </c>
      <c r="N245" s="81"/>
      <c r="O245" s="81">
        <v>0.1067</v>
      </c>
      <c r="P245" s="81"/>
      <c r="Q245" s="81"/>
      <c r="R245" s="82">
        <v>46246</v>
      </c>
      <c r="S245" s="77"/>
      <c r="T245" s="77" t="s">
        <v>729</v>
      </c>
      <c r="U245" s="82"/>
      <c r="V245" s="77" t="s">
        <v>1362</v>
      </c>
      <c r="W245" s="78"/>
      <c r="X245" s="78"/>
      <c r="Y245" s="78"/>
      <c r="Z245" s="78"/>
    </row>
    <row r="246" spans="1:26" s="83" customFormat="1" ht="14.5" customHeight="1" x14ac:dyDescent="0.35">
      <c r="A246" s="77" t="s">
        <v>538</v>
      </c>
      <c r="B246" s="78" t="s">
        <v>539</v>
      </c>
      <c r="C246" s="78" t="s">
        <v>466</v>
      </c>
      <c r="D246" s="78" t="s">
        <v>537</v>
      </c>
      <c r="E246" s="79"/>
      <c r="F246" s="80"/>
      <c r="G246" s="80"/>
      <c r="H246" s="81">
        <v>0.31</v>
      </c>
      <c r="I246" s="81">
        <v>0.2515</v>
      </c>
      <c r="J246" s="81">
        <v>-0.33210000000000001</v>
      </c>
      <c r="K246" s="81">
        <v>0.33960000000000001</v>
      </c>
      <c r="L246" s="81">
        <v>0.32700000000000001</v>
      </c>
      <c r="M246" s="81">
        <v>-5.9200000000000003E-2</v>
      </c>
      <c r="N246" s="81"/>
      <c r="O246" s="81" t="s">
        <v>1199</v>
      </c>
      <c r="P246" s="81"/>
      <c r="Q246" s="81"/>
      <c r="R246" s="82">
        <v>46246</v>
      </c>
      <c r="S246" s="77"/>
      <c r="T246" s="77" t="s">
        <v>729</v>
      </c>
      <c r="U246" s="82"/>
      <c r="V246" s="77" t="s">
        <v>1362</v>
      </c>
      <c r="W246" s="78"/>
      <c r="X246" s="78"/>
      <c r="Y246" s="78"/>
      <c r="Z246" s="78"/>
    </row>
    <row r="247" spans="1:26" s="83" customFormat="1" ht="14.5" customHeight="1" x14ac:dyDescent="0.35">
      <c r="A247" s="77" t="s">
        <v>540</v>
      </c>
      <c r="B247" s="78" t="s">
        <v>541</v>
      </c>
      <c r="C247" s="78" t="s">
        <v>466</v>
      </c>
      <c r="D247" s="78" t="s">
        <v>537</v>
      </c>
      <c r="E247" s="79"/>
      <c r="F247" s="80"/>
      <c r="G247" s="80"/>
      <c r="H247" s="81" t="s">
        <v>1198</v>
      </c>
      <c r="I247" s="81">
        <v>-0.1047</v>
      </c>
      <c r="J247" s="81">
        <v>-7.0900000000000005E-2</v>
      </c>
      <c r="K247" s="81">
        <v>0.13220000000000001</v>
      </c>
      <c r="L247" s="81" t="s">
        <v>1197</v>
      </c>
      <c r="M247" s="81" t="s">
        <v>1196</v>
      </c>
      <c r="N247" s="81"/>
      <c r="O247" s="81">
        <v>0.25</v>
      </c>
      <c r="P247" s="81"/>
      <c r="Q247" s="81"/>
      <c r="R247" s="82">
        <v>46246</v>
      </c>
      <c r="S247" s="77"/>
      <c r="T247" s="77" t="s">
        <v>729</v>
      </c>
      <c r="U247" s="82"/>
      <c r="V247" s="77" t="s">
        <v>1362</v>
      </c>
      <c r="W247" s="78"/>
      <c r="X247" s="78"/>
      <c r="Y247" s="78"/>
      <c r="Z247" s="78"/>
    </row>
    <row r="248" spans="1:26" s="83" customFormat="1" ht="14.5" customHeight="1" x14ac:dyDescent="0.35">
      <c r="A248" s="77" t="s">
        <v>542</v>
      </c>
      <c r="B248" s="78" t="s">
        <v>543</v>
      </c>
      <c r="C248" s="78" t="s">
        <v>466</v>
      </c>
      <c r="D248" s="78" t="s">
        <v>537</v>
      </c>
      <c r="E248" s="79"/>
      <c r="F248" s="80"/>
      <c r="G248" s="80"/>
      <c r="H248" s="81">
        <v>-4.8300000000000003E-2</v>
      </c>
      <c r="I248" s="81">
        <v>0.34589999999999999</v>
      </c>
      <c r="J248" s="81">
        <v>3.5000000000000001E-3</v>
      </c>
      <c r="K248" s="81">
        <v>7.6200000000000004E-2</v>
      </c>
      <c r="L248" s="81">
        <v>0.15010000000000001</v>
      </c>
      <c r="M248" s="81">
        <v>-3.2599999999999997E-2</v>
      </c>
      <c r="N248" s="81"/>
      <c r="O248" s="81">
        <v>9.4899999999999998E-2</v>
      </c>
      <c r="P248" s="81"/>
      <c r="Q248" s="81"/>
      <c r="R248" s="82">
        <v>46245</v>
      </c>
      <c r="S248" s="77"/>
      <c r="T248" s="77" t="s">
        <v>729</v>
      </c>
      <c r="U248" s="82"/>
      <c r="V248" s="77" t="s">
        <v>1362</v>
      </c>
      <c r="W248" s="78"/>
      <c r="X248" s="78"/>
      <c r="Y248" s="78"/>
      <c r="Z248" s="78"/>
    </row>
    <row r="249" spans="1:26" s="83" customFormat="1" ht="14.5" customHeight="1" x14ac:dyDescent="0.35">
      <c r="A249" s="77" t="s">
        <v>544</v>
      </c>
      <c r="B249" s="78" t="s">
        <v>545</v>
      </c>
      <c r="C249" s="78" t="s">
        <v>466</v>
      </c>
      <c r="D249" s="78" t="s">
        <v>537</v>
      </c>
      <c r="E249" s="79"/>
      <c r="F249" s="80"/>
      <c r="G249" s="80"/>
      <c r="H249" s="81">
        <v>-5.3699999999999998E-2</v>
      </c>
      <c r="I249" s="81" t="s">
        <v>1195</v>
      </c>
      <c r="J249" s="81">
        <v>-3.0999999999999999E-3</v>
      </c>
      <c r="K249" s="81">
        <v>7.1199999999999999E-2</v>
      </c>
      <c r="L249" s="81">
        <v>0.14630000000000001</v>
      </c>
      <c r="M249" s="81">
        <v>-4.1700000000000001E-2</v>
      </c>
      <c r="N249" s="81"/>
      <c r="O249" s="81">
        <v>8.6099999999999996E-2</v>
      </c>
      <c r="P249" s="81"/>
      <c r="Q249" s="81"/>
      <c r="R249" s="82">
        <v>46245</v>
      </c>
      <c r="S249" s="77"/>
      <c r="T249" s="77" t="s">
        <v>729</v>
      </c>
      <c r="U249" s="82"/>
      <c r="V249" s="77" t="s">
        <v>1362</v>
      </c>
      <c r="W249" s="78"/>
      <c r="X249" s="78"/>
      <c r="Y249" s="78"/>
      <c r="Z249" s="78"/>
    </row>
    <row r="250" spans="1:26" s="83" customFormat="1" ht="14.5" customHeight="1" x14ac:dyDescent="0.35">
      <c r="A250" s="77" t="s">
        <v>546</v>
      </c>
      <c r="B250" s="78" t="s">
        <v>547</v>
      </c>
      <c r="C250" s="78" t="s">
        <v>466</v>
      </c>
      <c r="D250" s="78" t="s">
        <v>537</v>
      </c>
      <c r="E250" s="79"/>
      <c r="F250" s="80"/>
      <c r="G250" s="80"/>
      <c r="H250" s="81">
        <v>1.2800000000000001E-2</v>
      </c>
      <c r="I250" s="81">
        <v>0.23330000000000001</v>
      </c>
      <c r="J250" s="81">
        <v>-8.0100000000000005E-2</v>
      </c>
      <c r="K250" s="81" t="s">
        <v>1193</v>
      </c>
      <c r="L250" s="81" t="s">
        <v>1192</v>
      </c>
      <c r="M250" s="81" t="s">
        <v>1191</v>
      </c>
      <c r="N250" s="81"/>
      <c r="O250" s="81" t="s">
        <v>1194</v>
      </c>
      <c r="P250" s="81"/>
      <c r="Q250" s="81"/>
      <c r="R250" s="82">
        <v>46245</v>
      </c>
      <c r="S250" s="77"/>
      <c r="T250" s="77" t="s">
        <v>729</v>
      </c>
      <c r="U250" s="82"/>
      <c r="V250" s="77" t="s">
        <v>1362</v>
      </c>
      <c r="W250" s="78"/>
      <c r="X250" s="78"/>
      <c r="Y250" s="78"/>
      <c r="Z250" s="78"/>
    </row>
    <row r="251" spans="1:26" s="83" customFormat="1" ht="14.5" customHeight="1" x14ac:dyDescent="0.35">
      <c r="A251" s="77" t="s">
        <v>548</v>
      </c>
      <c r="B251" s="78" t="s">
        <v>549</v>
      </c>
      <c r="C251" s="78" t="s">
        <v>466</v>
      </c>
      <c r="D251" s="78" t="s">
        <v>537</v>
      </c>
      <c r="E251" s="79"/>
      <c r="F251" s="80"/>
      <c r="G251" s="80"/>
      <c r="H251" s="81">
        <v>0.1686</v>
      </c>
      <c r="I251" s="81">
        <v>0.27139999999999997</v>
      </c>
      <c r="J251" s="81">
        <v>-0.20799999999999999</v>
      </c>
      <c r="K251" s="81">
        <v>0.22370000000000001</v>
      </c>
      <c r="L251" s="81">
        <v>0.223</v>
      </c>
      <c r="M251" s="81">
        <v>0.15</v>
      </c>
      <c r="N251" s="81"/>
      <c r="O251" s="81">
        <v>0.12239999999999999</v>
      </c>
      <c r="P251" s="81"/>
      <c r="Q251" s="81"/>
      <c r="R251" s="82">
        <v>46245</v>
      </c>
      <c r="S251" s="77"/>
      <c r="T251" s="77" t="s">
        <v>729</v>
      </c>
      <c r="U251" s="82"/>
      <c r="V251" s="77" t="s">
        <v>1114</v>
      </c>
      <c r="W251" s="78"/>
      <c r="X251" s="78"/>
      <c r="Y251" s="78"/>
      <c r="Z251" s="78"/>
    </row>
    <row r="252" spans="1:26" s="83" customFormat="1" ht="14.5" customHeight="1" x14ac:dyDescent="0.35">
      <c r="A252" s="77" t="s">
        <v>550</v>
      </c>
      <c r="B252" s="78" t="s">
        <v>551</v>
      </c>
      <c r="C252" s="78" t="s">
        <v>466</v>
      </c>
      <c r="D252" s="78" t="s">
        <v>537</v>
      </c>
      <c r="E252" s="79"/>
      <c r="F252" s="80"/>
      <c r="G252" s="80"/>
      <c r="H252" s="81">
        <v>0.48370000000000002</v>
      </c>
      <c r="I252" s="81">
        <v>0.27229999999999999</v>
      </c>
      <c r="J252" s="81">
        <v>-0.3256</v>
      </c>
      <c r="K252" s="81">
        <v>0.54769999999999996</v>
      </c>
      <c r="L252" s="81">
        <v>0.25590000000000002</v>
      </c>
      <c r="M252" s="81">
        <v>0.20699999999999999</v>
      </c>
      <c r="N252" s="81"/>
      <c r="O252" s="81">
        <v>0.1794</v>
      </c>
      <c r="P252" s="81"/>
      <c r="Q252" s="81"/>
      <c r="R252" s="82">
        <v>46245</v>
      </c>
      <c r="S252" s="77"/>
      <c r="T252" s="77" t="s">
        <v>729</v>
      </c>
      <c r="U252" s="82"/>
      <c r="V252" s="77" t="s">
        <v>1114</v>
      </c>
      <c r="W252" s="78"/>
      <c r="X252" s="78"/>
      <c r="Y252" s="78"/>
      <c r="Z252" s="78"/>
    </row>
    <row r="253" spans="1:26" s="83" customFormat="1" ht="14.5" customHeight="1" x14ac:dyDescent="0.35">
      <c r="A253" s="77" t="s">
        <v>553</v>
      </c>
      <c r="B253" s="78" t="s">
        <v>554</v>
      </c>
      <c r="C253" s="78" t="s">
        <v>466</v>
      </c>
      <c r="D253" s="78" t="s">
        <v>537</v>
      </c>
      <c r="E253" s="79"/>
      <c r="F253" s="80"/>
      <c r="G253" s="80"/>
      <c r="H253" s="81">
        <v>8.5500000000000007E-2</v>
      </c>
      <c r="I253" s="81">
        <v>0.38229999999999997</v>
      </c>
      <c r="J253" s="81">
        <v>-0.13</v>
      </c>
      <c r="K253" s="81">
        <v>0.21679999999999999</v>
      </c>
      <c r="L253" s="81">
        <v>0.32850000000000001</v>
      </c>
      <c r="M253" s="81">
        <v>3.4500000000000003E-2</v>
      </c>
      <c r="N253" s="81"/>
      <c r="O253" s="81">
        <v>0.15679999999999999</v>
      </c>
      <c r="P253" s="81"/>
      <c r="Q253" s="81"/>
      <c r="R253" s="82">
        <v>46245</v>
      </c>
      <c r="S253" s="77"/>
      <c r="T253" s="77" t="s">
        <v>729</v>
      </c>
      <c r="U253" s="82"/>
      <c r="V253" s="77" t="s">
        <v>1114</v>
      </c>
      <c r="W253" s="78"/>
      <c r="X253" s="78"/>
      <c r="Y253" s="78"/>
      <c r="Z253" s="78"/>
    </row>
    <row r="254" spans="1:26" s="83" customFormat="1" ht="14.5" customHeight="1" x14ac:dyDescent="0.35">
      <c r="A254" s="77" t="s">
        <v>556</v>
      </c>
      <c r="B254" s="78" t="s">
        <v>557</v>
      </c>
      <c r="C254" s="78" t="s">
        <v>466</v>
      </c>
      <c r="D254" s="78" t="s">
        <v>537</v>
      </c>
      <c r="E254" s="79"/>
      <c r="F254" s="80"/>
      <c r="G254" s="80"/>
      <c r="H254" s="81">
        <v>0.74019999999999997</v>
      </c>
      <c r="I254" s="81">
        <v>0.67049999999999998</v>
      </c>
      <c r="J254" s="81">
        <v>-0.57689999999999997</v>
      </c>
      <c r="K254" s="81">
        <v>1.1024</v>
      </c>
      <c r="L254" s="81">
        <v>0.52510000000000001</v>
      </c>
      <c r="M254" s="81">
        <v>0.1497</v>
      </c>
      <c r="N254" s="81"/>
      <c r="O254" s="81">
        <v>0.3342</v>
      </c>
      <c r="P254" s="81"/>
      <c r="Q254" s="81"/>
      <c r="R254" s="82">
        <v>46245</v>
      </c>
      <c r="S254" s="77"/>
      <c r="T254" s="77" t="s">
        <v>729</v>
      </c>
      <c r="U254" s="82"/>
      <c r="V254" s="77" t="s">
        <v>1114</v>
      </c>
      <c r="W254" s="78"/>
      <c r="X254" s="78"/>
      <c r="Y254" s="78"/>
      <c r="Z254" s="78"/>
    </row>
    <row r="255" spans="1:26" s="83" customFormat="1" ht="14.5" customHeight="1" x14ac:dyDescent="0.35">
      <c r="A255" s="77" t="s">
        <v>559</v>
      </c>
      <c r="B255" s="78" t="s">
        <v>560</v>
      </c>
      <c r="C255" s="78" t="s">
        <v>466</v>
      </c>
      <c r="D255" s="78" t="s">
        <v>537</v>
      </c>
      <c r="E255" s="79"/>
      <c r="F255" s="80"/>
      <c r="G255" s="80"/>
      <c r="H255" s="81">
        <v>8.5999999999999993E-2</v>
      </c>
      <c r="I255" s="81">
        <v>0.3836</v>
      </c>
      <c r="J255" s="81">
        <v>-0.1288</v>
      </c>
      <c r="K255" s="81">
        <v>0.218</v>
      </c>
      <c r="L255" s="81">
        <v>0.33119999999999999</v>
      </c>
      <c r="M255" s="81">
        <v>3.73E-2</v>
      </c>
      <c r="N255" s="81"/>
      <c r="O255" s="81">
        <v>0.1583</v>
      </c>
      <c r="P255" s="81"/>
      <c r="Q255" s="81"/>
      <c r="R255" s="82">
        <v>46244</v>
      </c>
      <c r="S255" s="77"/>
      <c r="T255" s="77" t="s">
        <v>729</v>
      </c>
      <c r="U255" s="82"/>
      <c r="V255" s="77" t="s">
        <v>1114</v>
      </c>
      <c r="W255" s="78"/>
      <c r="X255" s="78"/>
      <c r="Y255" s="78"/>
      <c r="Z255" s="78"/>
    </row>
    <row r="256" spans="1:26" s="83" customFormat="1" ht="14.5" customHeight="1" x14ac:dyDescent="0.35">
      <c r="A256" s="77" t="s">
        <v>562</v>
      </c>
      <c r="B256" s="78" t="s">
        <v>563</v>
      </c>
      <c r="C256" s="78" t="s">
        <v>466</v>
      </c>
      <c r="D256" s="78" t="s">
        <v>537</v>
      </c>
      <c r="E256" s="79"/>
      <c r="F256" s="80"/>
      <c r="G256" s="80"/>
      <c r="H256" s="81" t="s">
        <v>1179</v>
      </c>
      <c r="I256" s="81" t="s">
        <v>1190</v>
      </c>
      <c r="J256" s="81">
        <v>-0.15720000000000001</v>
      </c>
      <c r="K256" s="81"/>
      <c r="L256" s="81"/>
      <c r="M256" s="81"/>
      <c r="N256" s="81"/>
      <c r="O256" s="81"/>
      <c r="P256" s="81"/>
      <c r="Q256" s="81"/>
      <c r="R256" s="82">
        <v>46244</v>
      </c>
      <c r="S256" s="77"/>
      <c r="T256" s="77" t="s">
        <v>729</v>
      </c>
      <c r="U256" s="82"/>
      <c r="V256" s="77" t="s">
        <v>1362</v>
      </c>
      <c r="W256" s="78"/>
      <c r="X256" s="78"/>
      <c r="Y256" s="78"/>
      <c r="Z256" s="78"/>
    </row>
    <row r="257" spans="1:26" s="83" customFormat="1" ht="14.5" customHeight="1" x14ac:dyDescent="0.35">
      <c r="A257" s="77" t="s">
        <v>564</v>
      </c>
      <c r="B257" s="78" t="s">
        <v>565</v>
      </c>
      <c r="C257" s="78" t="s">
        <v>466</v>
      </c>
      <c r="D257" s="78" t="s">
        <v>537</v>
      </c>
      <c r="E257" s="79"/>
      <c r="F257" s="80"/>
      <c r="G257" s="80"/>
      <c r="H257" s="81">
        <v>0.18329999999999999</v>
      </c>
      <c r="I257" s="81">
        <v>0.28560000000000002</v>
      </c>
      <c r="J257" s="81">
        <v>-0.18210000000000001</v>
      </c>
      <c r="K257" s="81">
        <v>0.26150000000000001</v>
      </c>
      <c r="L257" s="81">
        <v>0.24890000000000001</v>
      </c>
      <c r="M257" s="81">
        <v>0.1774</v>
      </c>
      <c r="N257" s="81"/>
      <c r="O257" s="81">
        <v>0.14019999999999999</v>
      </c>
      <c r="P257" s="81"/>
      <c r="Q257" s="81"/>
      <c r="R257" s="82">
        <v>46244</v>
      </c>
      <c r="S257" s="77"/>
      <c r="T257" s="77" t="s">
        <v>729</v>
      </c>
      <c r="U257" s="82"/>
      <c r="V257" s="77" t="s">
        <v>1114</v>
      </c>
      <c r="W257" s="78"/>
      <c r="X257" s="78"/>
      <c r="Y257" s="78"/>
      <c r="Z257" s="78"/>
    </row>
    <row r="258" spans="1:26" s="83" customFormat="1" ht="14.5" customHeight="1" x14ac:dyDescent="0.35">
      <c r="A258" s="77" t="s">
        <v>567</v>
      </c>
      <c r="B258" s="78" t="s">
        <v>568</v>
      </c>
      <c r="C258" s="78" t="s">
        <v>466</v>
      </c>
      <c r="D258" s="78" t="s">
        <v>537</v>
      </c>
      <c r="E258" s="79"/>
      <c r="F258" s="80"/>
      <c r="G258" s="80"/>
      <c r="H258" s="81">
        <v>8.5599999999999996E-2</v>
      </c>
      <c r="I258" s="81">
        <v>0.38319999999999999</v>
      </c>
      <c r="J258" s="81">
        <v>-0.1285</v>
      </c>
      <c r="K258" s="81">
        <v>0.21879999999999999</v>
      </c>
      <c r="L258" s="81">
        <v>0.33229999999999998</v>
      </c>
      <c r="M258" s="81">
        <v>3.8100000000000002E-2</v>
      </c>
      <c r="N258" s="81"/>
      <c r="O258" s="81">
        <v>0.159</v>
      </c>
      <c r="P258" s="81"/>
      <c r="Q258" s="81"/>
      <c r="R258" s="82">
        <v>46244</v>
      </c>
      <c r="S258" s="77"/>
      <c r="T258" s="77" t="s">
        <v>729</v>
      </c>
      <c r="U258" s="82"/>
      <c r="V258" s="77" t="s">
        <v>1114</v>
      </c>
      <c r="W258" s="78"/>
      <c r="X258" s="78"/>
      <c r="Y258" s="78"/>
      <c r="Z258" s="78"/>
    </row>
    <row r="259" spans="1:26" s="83" customFormat="1" ht="14.5" customHeight="1" x14ac:dyDescent="0.35">
      <c r="A259" s="77" t="s">
        <v>569</v>
      </c>
      <c r="B259" s="78" t="s">
        <v>570</v>
      </c>
      <c r="C259" s="78" t="s">
        <v>466</v>
      </c>
      <c r="D259" s="78" t="s">
        <v>537</v>
      </c>
      <c r="E259" s="79"/>
      <c r="F259" s="80"/>
      <c r="G259" s="80"/>
      <c r="H259" s="81"/>
      <c r="I259" s="81">
        <v>0.30940000000000001</v>
      </c>
      <c r="J259" s="81">
        <v>-0.21970000000000001</v>
      </c>
      <c r="K259" s="81">
        <v>0.2949</v>
      </c>
      <c r="L259" s="81">
        <v>0.2626</v>
      </c>
      <c r="M259" s="81" t="s">
        <v>1189</v>
      </c>
      <c r="N259" s="81"/>
      <c r="O259" s="81">
        <v>0.1159</v>
      </c>
      <c r="P259" s="81"/>
      <c r="Q259" s="81"/>
      <c r="R259" s="82">
        <v>46244</v>
      </c>
      <c r="S259" s="77"/>
      <c r="T259" s="77" t="s">
        <v>729</v>
      </c>
      <c r="U259" s="82"/>
      <c r="V259" s="77" t="s">
        <v>1114</v>
      </c>
      <c r="W259" s="78"/>
      <c r="X259" s="78"/>
      <c r="Y259" s="78"/>
      <c r="Z259" s="78"/>
    </row>
    <row r="260" spans="1:26" s="83" customFormat="1" ht="14.5" customHeight="1" x14ac:dyDescent="0.35">
      <c r="A260" s="77" t="s">
        <v>571</v>
      </c>
      <c r="B260" s="78" t="s">
        <v>572</v>
      </c>
      <c r="C260" s="78" t="s">
        <v>466</v>
      </c>
      <c r="D260" s="78" t="s">
        <v>537</v>
      </c>
      <c r="E260" s="79"/>
      <c r="F260" s="80"/>
      <c r="G260" s="80"/>
      <c r="H260" s="81">
        <v>0.16839999999999999</v>
      </c>
      <c r="I260" s="81">
        <v>0.27300000000000002</v>
      </c>
      <c r="J260" s="81">
        <v>-0.20580000000000001</v>
      </c>
      <c r="K260" s="81">
        <v>0.2266</v>
      </c>
      <c r="L260" s="81">
        <v>0.2258</v>
      </c>
      <c r="M260" s="81">
        <v>0.1517</v>
      </c>
      <c r="N260" s="81"/>
      <c r="O260" s="81">
        <v>0.1235</v>
      </c>
      <c r="P260" s="81"/>
      <c r="Q260" s="81"/>
      <c r="R260" s="82">
        <v>46244</v>
      </c>
      <c r="S260" s="77"/>
      <c r="T260" s="77" t="s">
        <v>729</v>
      </c>
      <c r="U260" s="82"/>
      <c r="V260" s="77" t="s">
        <v>1114</v>
      </c>
      <c r="W260" s="78"/>
      <c r="X260" s="78"/>
      <c r="Y260" s="78"/>
      <c r="Z260" s="78"/>
    </row>
    <row r="261" spans="1:26" s="83" customFormat="1" ht="14.5" customHeight="1" x14ac:dyDescent="0.35">
      <c r="A261" s="77" t="s">
        <v>573</v>
      </c>
      <c r="B261" s="78" t="s">
        <v>574</v>
      </c>
      <c r="C261" s="78" t="s">
        <v>466</v>
      </c>
      <c r="D261" s="78" t="s">
        <v>537</v>
      </c>
      <c r="E261" s="79"/>
      <c r="F261" s="80"/>
      <c r="G261" s="80"/>
      <c r="H261" s="81">
        <v>0.29099999999999998</v>
      </c>
      <c r="I261" s="81">
        <v>0.125</v>
      </c>
      <c r="J261" s="81">
        <v>-0.17799999999999999</v>
      </c>
      <c r="K261" s="81">
        <v>0.09</v>
      </c>
      <c r="L261" s="81">
        <v>0.31900000000000001</v>
      </c>
      <c r="M261" s="81">
        <v>0.17299999999999999</v>
      </c>
      <c r="N261" s="81"/>
      <c r="O261" s="81">
        <v>0.21290000000000001</v>
      </c>
      <c r="P261" s="81"/>
      <c r="Q261" s="81"/>
      <c r="R261" s="82">
        <v>46244</v>
      </c>
      <c r="S261" s="77"/>
      <c r="T261" s="77" t="s">
        <v>729</v>
      </c>
      <c r="U261" s="82"/>
      <c r="V261" s="77" t="s">
        <v>1182</v>
      </c>
      <c r="W261" s="78"/>
      <c r="X261" s="78"/>
      <c r="Y261" s="78"/>
      <c r="Z261" s="78"/>
    </row>
    <row r="262" spans="1:26" s="83" customFormat="1" ht="14.5" customHeight="1" x14ac:dyDescent="0.35">
      <c r="A262" s="77" t="s">
        <v>575</v>
      </c>
      <c r="B262" s="78" t="s">
        <v>576</v>
      </c>
      <c r="C262" s="78" t="s">
        <v>466</v>
      </c>
      <c r="D262" s="78" t="s">
        <v>537</v>
      </c>
      <c r="E262" s="79"/>
      <c r="F262" s="80"/>
      <c r="G262" s="80"/>
      <c r="H262" s="81"/>
      <c r="I262" s="81"/>
      <c r="J262" s="81"/>
      <c r="K262" s="81"/>
      <c r="L262" s="81"/>
      <c r="M262" s="81"/>
      <c r="N262" s="81"/>
      <c r="O262" s="81"/>
      <c r="P262" s="81"/>
      <c r="Q262" s="81"/>
      <c r="R262" s="82"/>
      <c r="S262" s="77"/>
      <c r="T262" s="77"/>
      <c r="U262" s="82"/>
      <c r="V262" s="77"/>
      <c r="W262" s="78"/>
      <c r="X262" s="78"/>
      <c r="Y262" s="78"/>
      <c r="Z262" s="78"/>
    </row>
    <row r="263" spans="1:26" s="83" customFormat="1" ht="14.5" customHeight="1" x14ac:dyDescent="0.35">
      <c r="A263" s="77" t="s">
        <v>577</v>
      </c>
      <c r="B263" s="78" t="s">
        <v>578</v>
      </c>
      <c r="C263" s="78" t="s">
        <v>466</v>
      </c>
      <c r="D263" s="78" t="s">
        <v>537</v>
      </c>
      <c r="E263" s="79"/>
      <c r="F263" s="80"/>
      <c r="G263" s="80"/>
      <c r="H263" s="81" t="s">
        <v>1188</v>
      </c>
      <c r="I263" s="81">
        <v>0.41299999999999998</v>
      </c>
      <c r="J263" s="81">
        <v>-0.13700000000000001</v>
      </c>
      <c r="K263" s="81" t="s">
        <v>1187</v>
      </c>
      <c r="L263" s="81">
        <v>0.2072</v>
      </c>
      <c r="M263" s="81">
        <v>-1.83E-2</v>
      </c>
      <c r="N263" s="81"/>
      <c r="O263" s="81">
        <v>0.19889999999999999</v>
      </c>
      <c r="P263" s="81"/>
      <c r="Q263" s="81"/>
      <c r="R263" s="82">
        <v>46244</v>
      </c>
      <c r="S263" s="77"/>
      <c r="T263" s="77" t="s">
        <v>729</v>
      </c>
      <c r="U263" s="82"/>
      <c r="V263" s="77" t="s">
        <v>1362</v>
      </c>
      <c r="W263" s="78"/>
      <c r="X263" s="78"/>
      <c r="Y263" s="78"/>
      <c r="Z263" s="78"/>
    </row>
    <row r="264" spans="1:26" s="83" customFormat="1" ht="14.5" customHeight="1" x14ac:dyDescent="0.35">
      <c r="A264" s="77" t="s">
        <v>580</v>
      </c>
      <c r="B264" s="78" t="s">
        <v>581</v>
      </c>
      <c r="C264" s="78" t="s">
        <v>466</v>
      </c>
      <c r="D264" s="78" t="s">
        <v>537</v>
      </c>
      <c r="E264" s="79"/>
      <c r="F264" s="80"/>
      <c r="G264" s="80"/>
      <c r="H264" s="81" t="s">
        <v>1186</v>
      </c>
      <c r="I264" s="81">
        <v>0.2702</v>
      </c>
      <c r="J264" s="81">
        <v>-0.2112</v>
      </c>
      <c r="K264" s="81">
        <v>0.22650000000000001</v>
      </c>
      <c r="L264" s="81">
        <v>0.22520000000000001</v>
      </c>
      <c r="M264" s="81">
        <v>0.1517</v>
      </c>
      <c r="N264" s="81"/>
      <c r="O264" s="81">
        <v>0.1229</v>
      </c>
      <c r="P264" s="81"/>
      <c r="Q264" s="81"/>
      <c r="R264" s="82">
        <v>46244</v>
      </c>
      <c r="S264" s="77"/>
      <c r="T264" s="77" t="s">
        <v>729</v>
      </c>
      <c r="U264" s="82"/>
      <c r="V264" s="77" t="s">
        <v>1362</v>
      </c>
      <c r="W264" s="78"/>
      <c r="X264" s="78"/>
      <c r="Y264" s="78"/>
      <c r="Z264" s="78"/>
    </row>
    <row r="265" spans="1:26" s="83" customFormat="1" ht="14.5" customHeight="1" x14ac:dyDescent="0.35">
      <c r="A265" s="77" t="s">
        <v>583</v>
      </c>
      <c r="B265" s="78" t="s">
        <v>584</v>
      </c>
      <c r="C265" s="78" t="s">
        <v>466</v>
      </c>
      <c r="D265" s="78" t="s">
        <v>537</v>
      </c>
      <c r="E265" s="79"/>
      <c r="F265" s="80"/>
      <c r="G265" s="80"/>
      <c r="H265" s="81"/>
      <c r="I265" s="81"/>
      <c r="J265" s="81"/>
      <c r="K265" s="81"/>
      <c r="L265" s="81"/>
      <c r="M265" s="81"/>
      <c r="N265" s="81"/>
      <c r="O265" s="81">
        <v>0.1444</v>
      </c>
      <c r="P265" s="81"/>
      <c r="Q265" s="81"/>
      <c r="R265" s="82">
        <v>46244</v>
      </c>
      <c r="S265" s="77"/>
      <c r="T265" s="77" t="s">
        <v>729</v>
      </c>
      <c r="U265" s="82"/>
      <c r="V265" s="77" t="s">
        <v>1362</v>
      </c>
      <c r="W265" s="78"/>
      <c r="X265" s="78"/>
      <c r="Y265" s="78"/>
      <c r="Z265" s="78"/>
    </row>
    <row r="266" spans="1:26" s="83" customFormat="1" ht="14.5" customHeight="1" x14ac:dyDescent="0.35">
      <c r="A266" s="77" t="s">
        <v>586</v>
      </c>
      <c r="B266" s="78" t="s">
        <v>587</v>
      </c>
      <c r="C266" s="78" t="s">
        <v>466</v>
      </c>
      <c r="D266" s="78" t="s">
        <v>537</v>
      </c>
      <c r="E266" s="79"/>
      <c r="F266" s="80"/>
      <c r="G266" s="80"/>
      <c r="H266" s="81">
        <v>8.0399999999999999E-2</v>
      </c>
      <c r="I266" s="81" t="s">
        <v>1185</v>
      </c>
      <c r="J266" s="81">
        <v>-0.1346</v>
      </c>
      <c r="K266" s="81" t="s">
        <v>1184</v>
      </c>
      <c r="L266" s="81">
        <v>0.32619999999999999</v>
      </c>
      <c r="M266" s="81">
        <v>3.9600000000000003E-2</v>
      </c>
      <c r="N266" s="81"/>
      <c r="O266" s="81" t="s">
        <v>1183</v>
      </c>
      <c r="P266" s="81"/>
      <c r="Q266" s="81"/>
      <c r="R266" s="82">
        <v>46244</v>
      </c>
      <c r="S266" s="77"/>
      <c r="T266" s="77" t="s">
        <v>729</v>
      </c>
      <c r="U266" s="82"/>
      <c r="V266" s="77" t="s">
        <v>1362</v>
      </c>
      <c r="W266" s="78"/>
      <c r="X266" s="78"/>
      <c r="Y266" s="78"/>
      <c r="Z266" s="78"/>
    </row>
    <row r="267" spans="1:26" s="83" customFormat="1" ht="14.5" customHeight="1" x14ac:dyDescent="0.35">
      <c r="A267" s="77" t="s">
        <v>588</v>
      </c>
      <c r="B267" s="78" t="s">
        <v>589</v>
      </c>
      <c r="C267" s="78" t="s">
        <v>466</v>
      </c>
      <c r="D267" s="78" t="s">
        <v>537</v>
      </c>
      <c r="E267" s="79"/>
      <c r="F267" s="80"/>
      <c r="G267" s="80"/>
      <c r="H267" s="81">
        <v>8.5999999999999993E-2</v>
      </c>
      <c r="I267" s="81">
        <v>0.378</v>
      </c>
      <c r="J267" s="81">
        <v>-0.13</v>
      </c>
      <c r="K267" s="81">
        <v>0.217</v>
      </c>
      <c r="L267" s="81">
        <v>0.32100000000000001</v>
      </c>
      <c r="M267" s="81">
        <v>3.1E-2</v>
      </c>
      <c r="N267" s="81"/>
      <c r="O267" s="81">
        <v>0.1197</v>
      </c>
      <c r="P267" s="81"/>
      <c r="Q267" s="81"/>
      <c r="R267" s="82">
        <v>46244</v>
      </c>
      <c r="S267" s="77"/>
      <c r="T267" s="77" t="s">
        <v>729</v>
      </c>
      <c r="U267" s="82"/>
      <c r="V267" s="77" t="s">
        <v>1182</v>
      </c>
      <c r="W267" s="78"/>
      <c r="X267" s="78"/>
      <c r="Y267" s="78"/>
      <c r="Z267" s="78"/>
    </row>
    <row r="268" spans="1:26" s="83" customFormat="1" ht="14.5" customHeight="1" x14ac:dyDescent="0.35">
      <c r="A268" s="77" t="s">
        <v>590</v>
      </c>
      <c r="B268" s="78" t="s">
        <v>591</v>
      </c>
      <c r="C268" s="78" t="s">
        <v>466</v>
      </c>
      <c r="D268" s="78" t="s">
        <v>537</v>
      </c>
      <c r="E268" s="79"/>
      <c r="F268" s="80"/>
      <c r="G268" s="80"/>
      <c r="H268" s="81">
        <v>0.71020000000000005</v>
      </c>
      <c r="I268" s="81" t="s">
        <v>1181</v>
      </c>
      <c r="J268" s="81">
        <v>-0.41489999999999999</v>
      </c>
      <c r="K268" s="81" t="s">
        <v>1180</v>
      </c>
      <c r="L268" s="81">
        <v>0.35770000000000002</v>
      </c>
      <c r="M268" s="81">
        <v>3.7499999999999999E-2</v>
      </c>
      <c r="N268" s="81"/>
      <c r="O268" s="81" t="s">
        <v>1179</v>
      </c>
      <c r="P268" s="81"/>
      <c r="Q268" s="81"/>
      <c r="R268" s="82">
        <v>46244</v>
      </c>
      <c r="S268" s="77"/>
      <c r="T268" s="77" t="s">
        <v>729</v>
      </c>
      <c r="U268" s="82"/>
      <c r="V268" s="77" t="s">
        <v>1362</v>
      </c>
      <c r="W268" s="78"/>
      <c r="X268" s="78"/>
      <c r="Y268" s="78"/>
      <c r="Z268" s="78"/>
    </row>
    <row r="269" spans="1:26" s="83" customFormat="1" ht="14.5" customHeight="1" x14ac:dyDescent="0.35">
      <c r="A269" s="77" t="s">
        <v>592</v>
      </c>
      <c r="B269" s="78" t="s">
        <v>593</v>
      </c>
      <c r="C269" s="78" t="s">
        <v>466</v>
      </c>
      <c r="D269" s="78" t="s">
        <v>537</v>
      </c>
      <c r="E269" s="79"/>
      <c r="F269" s="80"/>
      <c r="G269" s="80"/>
      <c r="H269" s="81">
        <v>0.97099999999999997</v>
      </c>
      <c r="I269" s="81" t="s">
        <v>1178</v>
      </c>
      <c r="J269" s="81">
        <v>-0.58169999999999999</v>
      </c>
      <c r="K269" s="81">
        <v>0.43080000000000002</v>
      </c>
      <c r="L269" s="81" t="s">
        <v>1177</v>
      </c>
      <c r="M269" s="81" t="s">
        <v>1176</v>
      </c>
      <c r="N269" s="81"/>
      <c r="O269" s="81"/>
      <c r="P269" s="81"/>
      <c r="Q269" s="81"/>
      <c r="R269" s="82">
        <v>46244</v>
      </c>
      <c r="S269" s="77"/>
      <c r="T269" s="77" t="s">
        <v>729</v>
      </c>
      <c r="U269" s="82"/>
      <c r="V269" s="77" t="s">
        <v>1362</v>
      </c>
      <c r="W269" s="78"/>
      <c r="X269" s="78"/>
      <c r="Y269" s="78"/>
      <c r="Z269" s="78"/>
    </row>
    <row r="270" spans="1:26" s="83" customFormat="1" ht="14.5" customHeight="1" x14ac:dyDescent="0.35">
      <c r="A270" s="77" t="s">
        <v>594</v>
      </c>
      <c r="B270" s="78" t="s">
        <v>595</v>
      </c>
      <c r="C270" s="78" t="s">
        <v>466</v>
      </c>
      <c r="D270" s="78" t="s">
        <v>537</v>
      </c>
      <c r="E270" s="79"/>
      <c r="F270" s="80"/>
      <c r="G270" s="80"/>
      <c r="H270" s="81"/>
      <c r="I270" s="81"/>
      <c r="J270" s="81"/>
      <c r="K270" s="81"/>
      <c r="L270" s="81"/>
      <c r="M270" s="81" t="s">
        <v>1175</v>
      </c>
      <c r="N270" s="81"/>
      <c r="O270" s="81" t="s">
        <v>1174</v>
      </c>
      <c r="P270" s="81"/>
      <c r="Q270" s="81"/>
      <c r="R270" s="82">
        <v>46244</v>
      </c>
      <c r="S270" s="77"/>
      <c r="T270" s="77" t="s">
        <v>729</v>
      </c>
      <c r="U270" s="82"/>
      <c r="V270" s="77" t="s">
        <v>1362</v>
      </c>
      <c r="W270" s="78"/>
      <c r="X270" s="78"/>
      <c r="Y270" s="78"/>
      <c r="Z270" s="78"/>
    </row>
    <row r="271" spans="1:26" s="83" customFormat="1" ht="14.5" customHeight="1" x14ac:dyDescent="0.35">
      <c r="A271" s="77" t="s">
        <v>597</v>
      </c>
      <c r="B271" s="78" t="s">
        <v>598</v>
      </c>
      <c r="C271" s="78" t="s">
        <v>466</v>
      </c>
      <c r="D271" s="78" t="s">
        <v>599</v>
      </c>
      <c r="E271" s="79"/>
      <c r="F271" s="80"/>
      <c r="G271" s="80"/>
      <c r="H271" s="81">
        <v>6.9800000000000001E-2</v>
      </c>
      <c r="I271" s="81" t="s">
        <v>1172</v>
      </c>
      <c r="J271" s="81">
        <v>-0.1241</v>
      </c>
      <c r="K271" s="81" t="s">
        <v>1171</v>
      </c>
      <c r="L271" s="81">
        <v>0.25850000000000001</v>
      </c>
      <c r="M271" s="81" t="s">
        <v>1170</v>
      </c>
      <c r="N271" s="81"/>
      <c r="O271" s="81" t="s">
        <v>1173</v>
      </c>
      <c r="P271" s="81"/>
      <c r="Q271" s="81"/>
      <c r="R271" s="82">
        <v>46244</v>
      </c>
      <c r="S271" s="77"/>
      <c r="T271" s="77" t="s">
        <v>729</v>
      </c>
      <c r="U271" s="82"/>
      <c r="V271" s="77" t="s">
        <v>1362</v>
      </c>
      <c r="W271" s="78"/>
      <c r="X271" s="78"/>
      <c r="Y271" s="78"/>
      <c r="Z271" s="78"/>
    </row>
    <row r="272" spans="1:26" s="83" customFormat="1" ht="14.5" customHeight="1" x14ac:dyDescent="0.35">
      <c r="A272" s="77" t="s">
        <v>601</v>
      </c>
      <c r="B272" s="78" t="s">
        <v>602</v>
      </c>
      <c r="C272" s="78" t="s">
        <v>466</v>
      </c>
      <c r="D272" s="78" t="s">
        <v>599</v>
      </c>
      <c r="E272" s="79"/>
      <c r="F272" s="80"/>
      <c r="G272" s="80"/>
      <c r="H272" s="81" t="s">
        <v>1169</v>
      </c>
      <c r="I272" s="81">
        <v>0.17069999999999999</v>
      </c>
      <c r="J272" s="81">
        <v>-0.19339999999999999</v>
      </c>
      <c r="K272" s="81">
        <v>0.22950000000000001</v>
      </c>
      <c r="L272" s="81">
        <v>0.16500000000000001</v>
      </c>
      <c r="M272" s="81" t="s">
        <v>1168</v>
      </c>
      <c r="N272" s="81"/>
      <c r="O272" s="81">
        <v>4.0899999999999999E-2</v>
      </c>
      <c r="P272" s="81"/>
      <c r="Q272" s="81"/>
      <c r="R272" s="82">
        <v>46244</v>
      </c>
      <c r="S272" s="77"/>
      <c r="T272" s="77" t="s">
        <v>729</v>
      </c>
      <c r="U272" s="82"/>
      <c r="V272" s="77" t="s">
        <v>1362</v>
      </c>
      <c r="W272" s="78"/>
      <c r="X272" s="78"/>
      <c r="Y272" s="78"/>
      <c r="Z272" s="78"/>
    </row>
    <row r="273" spans="1:26" s="83" customFormat="1" ht="14.5" customHeight="1" x14ac:dyDescent="0.35">
      <c r="A273" s="77" t="s">
        <v>603</v>
      </c>
      <c r="B273" s="78" t="s">
        <v>604</v>
      </c>
      <c r="C273" s="78" t="s">
        <v>466</v>
      </c>
      <c r="D273" s="78" t="s">
        <v>599</v>
      </c>
      <c r="E273" s="79"/>
      <c r="F273" s="80"/>
      <c r="G273" s="80"/>
      <c r="H273" s="81">
        <v>0.33650000000000002</v>
      </c>
      <c r="I273" s="81">
        <v>3.9699999999999999E-2</v>
      </c>
      <c r="J273" s="81">
        <v>-0.18329999999999999</v>
      </c>
      <c r="K273" s="81">
        <v>0.18920000000000001</v>
      </c>
      <c r="L273" s="81">
        <v>0.25030000000000002</v>
      </c>
      <c r="M273" s="81">
        <v>0.17449999999999999</v>
      </c>
      <c r="N273" s="81"/>
      <c r="O273" s="81">
        <v>0.1729</v>
      </c>
      <c r="P273" s="81"/>
      <c r="Q273" s="81"/>
      <c r="R273" s="82">
        <v>46244</v>
      </c>
      <c r="S273" s="77"/>
      <c r="T273" s="77" t="s">
        <v>729</v>
      </c>
      <c r="U273" s="82"/>
      <c r="V273" s="77" t="s">
        <v>1362</v>
      </c>
      <c r="W273" s="78"/>
      <c r="X273" s="78"/>
      <c r="Y273" s="78"/>
      <c r="Z273" s="78"/>
    </row>
    <row r="274" spans="1:26" s="83" customFormat="1" ht="14.5" customHeight="1" x14ac:dyDescent="0.35">
      <c r="A274" s="77" t="s">
        <v>605</v>
      </c>
      <c r="B274" s="78" t="s">
        <v>606</v>
      </c>
      <c r="C274" s="78" t="s">
        <v>466</v>
      </c>
      <c r="D274" s="78" t="s">
        <v>599</v>
      </c>
      <c r="E274" s="79"/>
      <c r="F274" s="80"/>
      <c r="G274" s="80"/>
      <c r="H274" s="81" t="s">
        <v>1167</v>
      </c>
      <c r="I274" s="81">
        <v>0.30940000000000001</v>
      </c>
      <c r="J274" s="81">
        <v>-0.12870000000000001</v>
      </c>
      <c r="K274" s="81">
        <v>0.1946</v>
      </c>
      <c r="L274" s="81">
        <v>0.26329999999999998</v>
      </c>
      <c r="M274" s="81">
        <v>6.3899999999999998E-2</v>
      </c>
      <c r="N274" s="81"/>
      <c r="O274" s="81">
        <v>0.14990000000000001</v>
      </c>
      <c r="P274" s="81"/>
      <c r="Q274" s="81"/>
      <c r="R274" s="82">
        <v>46244</v>
      </c>
      <c r="S274" s="77"/>
      <c r="T274" s="77" t="s">
        <v>729</v>
      </c>
      <c r="U274" s="82"/>
      <c r="V274" s="77" t="s">
        <v>1114</v>
      </c>
      <c r="W274" s="78"/>
      <c r="X274" s="78"/>
      <c r="Y274" s="78"/>
      <c r="Z274" s="78"/>
    </row>
    <row r="275" spans="1:26" s="83" customFormat="1" ht="14.5" customHeight="1" x14ac:dyDescent="0.35">
      <c r="A275" s="77" t="s">
        <v>608</v>
      </c>
      <c r="B275" s="78" t="s">
        <v>609</v>
      </c>
      <c r="C275" s="78" t="s">
        <v>466</v>
      </c>
      <c r="D275" s="78" t="s">
        <v>599</v>
      </c>
      <c r="E275" s="79"/>
      <c r="F275" s="80"/>
      <c r="G275" s="80"/>
      <c r="H275" s="81" t="s">
        <v>1166</v>
      </c>
      <c r="I275" s="81">
        <v>0.34570000000000001</v>
      </c>
      <c r="J275" s="81">
        <v>-0.1656</v>
      </c>
      <c r="K275" s="81" t="s">
        <v>1165</v>
      </c>
      <c r="L275" s="81">
        <v>0.1825</v>
      </c>
      <c r="M275" s="81">
        <v>1.55E-2</v>
      </c>
      <c r="N275" s="81"/>
      <c r="O275" s="81" t="s">
        <v>1164</v>
      </c>
      <c r="P275" s="81"/>
      <c r="Q275" s="81"/>
      <c r="R275" s="82">
        <v>46244</v>
      </c>
      <c r="S275" s="77"/>
      <c r="T275" s="77" t="s">
        <v>729</v>
      </c>
      <c r="U275" s="82"/>
      <c r="V275" s="77" t="s">
        <v>1362</v>
      </c>
      <c r="W275" s="78"/>
      <c r="X275" s="78"/>
      <c r="Y275" s="78"/>
      <c r="Z275" s="78"/>
    </row>
    <row r="276" spans="1:26" s="83" customFormat="1" ht="14.5" customHeight="1" x14ac:dyDescent="0.35">
      <c r="A276" s="77" t="s">
        <v>611</v>
      </c>
      <c r="B276" s="78" t="s">
        <v>612</v>
      </c>
      <c r="C276" s="78" t="s">
        <v>466</v>
      </c>
      <c r="D276" s="78" t="s">
        <v>599</v>
      </c>
      <c r="E276" s="79"/>
      <c r="F276" s="80"/>
      <c r="G276" s="80"/>
      <c r="H276" s="81">
        <v>0.09</v>
      </c>
      <c r="I276" s="81">
        <v>0.34420000000000001</v>
      </c>
      <c r="J276" s="81">
        <v>-0.17</v>
      </c>
      <c r="K276" s="81" t="s">
        <v>1163</v>
      </c>
      <c r="L276" s="81">
        <v>0.1603</v>
      </c>
      <c r="M276" s="81">
        <v>9.9000000000000008E-3</v>
      </c>
      <c r="N276" s="81"/>
      <c r="O276" s="81">
        <v>0.17599999999999999</v>
      </c>
      <c r="P276" s="81"/>
      <c r="Q276" s="81"/>
      <c r="R276" s="82">
        <v>46244</v>
      </c>
      <c r="S276" s="77"/>
      <c r="T276" s="77" t="s">
        <v>729</v>
      </c>
      <c r="U276" s="82"/>
      <c r="V276" s="77" t="s">
        <v>1114</v>
      </c>
      <c r="W276" s="78"/>
      <c r="X276" s="78"/>
      <c r="Y276" s="78"/>
      <c r="Z276" s="78"/>
    </row>
    <row r="277" spans="1:26" s="83" customFormat="1" ht="14.5" customHeight="1" x14ac:dyDescent="0.35">
      <c r="A277" s="77" t="s">
        <v>613</v>
      </c>
      <c r="B277" s="78" t="s">
        <v>614</v>
      </c>
      <c r="C277" s="78" t="s">
        <v>466</v>
      </c>
      <c r="D277" s="78" t="s">
        <v>599</v>
      </c>
      <c r="E277" s="79"/>
      <c r="F277" s="80"/>
      <c r="G277" s="80"/>
      <c r="H277" s="81">
        <v>6.4199999999999993E-2</v>
      </c>
      <c r="I277" s="81">
        <v>0.31159999999999999</v>
      </c>
      <c r="J277" s="81">
        <v>-0.127</v>
      </c>
      <c r="K277" s="81" t="s">
        <v>1162</v>
      </c>
      <c r="L277" s="81">
        <v>0.2666</v>
      </c>
      <c r="M277" s="81">
        <v>6.7900000000000002E-2</v>
      </c>
      <c r="N277" s="81"/>
      <c r="O277" s="81">
        <v>0.1522</v>
      </c>
      <c r="P277" s="81"/>
      <c r="Q277" s="81"/>
      <c r="R277" s="82">
        <v>46244</v>
      </c>
      <c r="S277" s="77"/>
      <c r="T277" s="77" t="s">
        <v>729</v>
      </c>
      <c r="U277" s="82"/>
      <c r="V277" s="77" t="s">
        <v>1114</v>
      </c>
      <c r="W277" s="78"/>
      <c r="X277" s="78"/>
      <c r="Y277" s="78"/>
      <c r="Z277" s="78"/>
    </row>
    <row r="278" spans="1:26" s="83" customFormat="1" ht="14.5" customHeight="1" x14ac:dyDescent="0.35">
      <c r="A278" s="77" t="s">
        <v>615</v>
      </c>
      <c r="B278" s="78" t="s">
        <v>616</v>
      </c>
      <c r="C278" s="78" t="s">
        <v>466</v>
      </c>
      <c r="D278" s="78" t="s">
        <v>599</v>
      </c>
      <c r="E278" s="79"/>
      <c r="F278" s="80"/>
      <c r="G278" s="80"/>
      <c r="H278" s="81"/>
      <c r="I278" s="81"/>
      <c r="J278" s="81"/>
      <c r="K278" s="81"/>
      <c r="L278" s="81">
        <v>0.1799</v>
      </c>
      <c r="M278" s="81">
        <v>0.18240000000000001</v>
      </c>
      <c r="N278" s="81"/>
      <c r="O278" s="81">
        <v>9.5899999999999999E-2</v>
      </c>
      <c r="P278" s="81"/>
      <c r="Q278" s="81"/>
      <c r="R278" s="82">
        <v>46244</v>
      </c>
      <c r="S278" s="77"/>
      <c r="T278" s="77" t="s">
        <v>729</v>
      </c>
      <c r="U278" s="82"/>
      <c r="V278" s="77" t="s">
        <v>1114</v>
      </c>
      <c r="W278" s="78"/>
      <c r="X278" s="78"/>
      <c r="Y278" s="78"/>
      <c r="Z278" s="78"/>
    </row>
    <row r="279" spans="1:26" s="83" customFormat="1" ht="14.5" customHeight="1" x14ac:dyDescent="0.35">
      <c r="A279" s="77" t="s">
        <v>617</v>
      </c>
      <c r="B279" s="78" t="s">
        <v>618</v>
      </c>
      <c r="C279" s="78" t="s">
        <v>466</v>
      </c>
      <c r="D279" s="78" t="s">
        <v>599</v>
      </c>
      <c r="E279" s="79"/>
      <c r="F279" s="80"/>
      <c r="G279" s="80"/>
      <c r="H279" s="81">
        <v>0.1157</v>
      </c>
      <c r="I279" s="81" t="s">
        <v>1154</v>
      </c>
      <c r="J279" s="81">
        <v>-0.2009</v>
      </c>
      <c r="K279" s="81" t="s">
        <v>1161</v>
      </c>
      <c r="L279" s="81" t="s">
        <v>1160</v>
      </c>
      <c r="M279" s="81">
        <v>-4.1999999999999997E-3</v>
      </c>
      <c r="N279" s="81"/>
      <c r="O279" s="81" t="s">
        <v>1159</v>
      </c>
      <c r="P279" s="81"/>
      <c r="Q279" s="81"/>
      <c r="R279" s="82">
        <v>46244</v>
      </c>
      <c r="S279" s="77"/>
      <c r="T279" s="77" t="s">
        <v>729</v>
      </c>
      <c r="U279" s="82"/>
      <c r="V279" s="77" t="s">
        <v>1362</v>
      </c>
      <c r="W279" s="78"/>
      <c r="X279" s="78"/>
      <c r="Y279" s="78"/>
      <c r="Z279" s="78"/>
    </row>
    <row r="280" spans="1:26" s="83" customFormat="1" ht="14.5" customHeight="1" x14ac:dyDescent="0.35">
      <c r="A280" s="77" t="s">
        <v>619</v>
      </c>
      <c r="B280" s="78" t="s">
        <v>620</v>
      </c>
      <c r="C280" s="78" t="s">
        <v>466</v>
      </c>
      <c r="D280" s="78" t="s">
        <v>599</v>
      </c>
      <c r="E280" s="79"/>
      <c r="F280" s="80"/>
      <c r="G280" s="80"/>
      <c r="H280" s="81">
        <v>7.8E-2</v>
      </c>
      <c r="I280" s="81" t="s">
        <v>1157</v>
      </c>
      <c r="J280" s="81">
        <v>-0.14710000000000001</v>
      </c>
      <c r="K280" s="81">
        <v>0.21990000000000001</v>
      </c>
      <c r="L280" s="81" t="s">
        <v>1156</v>
      </c>
      <c r="M280" s="81">
        <v>6.9000000000000006E-2</v>
      </c>
      <c r="N280" s="81"/>
      <c r="O280" s="81" t="s">
        <v>1158</v>
      </c>
      <c r="P280" s="81"/>
      <c r="Q280" s="81"/>
      <c r="R280" s="82">
        <v>46244</v>
      </c>
      <c r="S280" s="77"/>
      <c r="T280" s="77" t="s">
        <v>729</v>
      </c>
      <c r="U280" s="82"/>
      <c r="V280" s="77" t="s">
        <v>1362</v>
      </c>
      <c r="W280" s="78"/>
      <c r="X280" s="78"/>
      <c r="Y280" s="78"/>
      <c r="Z280" s="78"/>
    </row>
    <row r="281" spans="1:26" s="83" customFormat="1" ht="14.5" customHeight="1" x14ac:dyDescent="0.35">
      <c r="A281" s="77" t="s">
        <v>621</v>
      </c>
      <c r="B281" s="78" t="s">
        <v>622</v>
      </c>
      <c r="C281" s="78" t="s">
        <v>466</v>
      </c>
      <c r="D281" s="78" t="s">
        <v>599</v>
      </c>
      <c r="E281" s="79"/>
      <c r="F281" s="80"/>
      <c r="G281" s="80"/>
      <c r="H281" s="81">
        <v>0.09</v>
      </c>
      <c r="I281" s="81">
        <v>0.34420000000000001</v>
      </c>
      <c r="J281" s="81">
        <v>-0.17</v>
      </c>
      <c r="K281" s="81">
        <v>0.20449999999999999</v>
      </c>
      <c r="L281" s="81"/>
      <c r="M281" s="81"/>
      <c r="N281" s="81"/>
      <c r="O281" s="81"/>
      <c r="P281" s="81"/>
      <c r="Q281" s="81"/>
      <c r="R281" s="82">
        <v>46244</v>
      </c>
      <c r="S281" s="77"/>
      <c r="T281" s="77" t="s">
        <v>729</v>
      </c>
      <c r="U281" s="82"/>
      <c r="V281" s="77" t="s">
        <v>1362</v>
      </c>
      <c r="W281" s="78"/>
      <c r="X281" s="78"/>
      <c r="Y281" s="78"/>
      <c r="Z281" s="78"/>
    </row>
    <row r="282" spans="1:26" s="83" customFormat="1" ht="14.5" customHeight="1" x14ac:dyDescent="0.35">
      <c r="A282" s="77" t="s">
        <v>623</v>
      </c>
      <c r="B282" s="78" t="s">
        <v>624</v>
      </c>
      <c r="C282" s="78" t="s">
        <v>466</v>
      </c>
      <c r="D282" s="78" t="s">
        <v>599</v>
      </c>
      <c r="E282" s="79"/>
      <c r="F282" s="80"/>
      <c r="G282" s="80"/>
      <c r="H282" s="81"/>
      <c r="I282" s="81">
        <v>0.2702</v>
      </c>
      <c r="J282" s="81">
        <v>-0.2117</v>
      </c>
      <c r="K282" s="81">
        <v>0.2185</v>
      </c>
      <c r="L282" s="81" t="s">
        <v>1149</v>
      </c>
      <c r="M282" s="81">
        <v>0.10349999999999999</v>
      </c>
      <c r="N282" s="81"/>
      <c r="O282" s="81">
        <v>0.151</v>
      </c>
      <c r="P282" s="81"/>
      <c r="Q282" s="81"/>
      <c r="R282" s="82">
        <v>46244</v>
      </c>
      <c r="S282" s="77"/>
      <c r="T282" s="77" t="s">
        <v>729</v>
      </c>
      <c r="U282" s="82"/>
      <c r="V282" s="77" t="s">
        <v>1114</v>
      </c>
      <c r="W282" s="78"/>
      <c r="X282" s="78"/>
      <c r="Y282" s="78"/>
      <c r="Z282" s="78"/>
    </row>
    <row r="283" spans="1:26" s="83" customFormat="1" x14ac:dyDescent="0.35">
      <c r="A283" s="77" t="s">
        <v>625</v>
      </c>
      <c r="B283" s="78" t="s">
        <v>626</v>
      </c>
      <c r="C283" s="78" t="s">
        <v>466</v>
      </c>
      <c r="D283" s="78" t="s">
        <v>599</v>
      </c>
      <c r="E283" s="79"/>
      <c r="F283" s="80"/>
      <c r="G283" s="80"/>
      <c r="H283" s="81" t="s">
        <v>1155</v>
      </c>
      <c r="I283" s="81">
        <v>0.27110000000000001</v>
      </c>
      <c r="J283" s="81">
        <v>-0.20030000000000001</v>
      </c>
      <c r="K283" s="81" t="s">
        <v>1154</v>
      </c>
      <c r="L283" s="81" t="s">
        <v>1153</v>
      </c>
      <c r="M283" s="81">
        <v>-5.8200000000000002E-2</v>
      </c>
      <c r="N283" s="81"/>
      <c r="O283" s="81"/>
      <c r="P283" s="81"/>
      <c r="Q283" s="81"/>
      <c r="R283" s="82">
        <v>46244</v>
      </c>
      <c r="S283" s="77"/>
      <c r="T283" s="77" t="s">
        <v>729</v>
      </c>
      <c r="U283" s="82"/>
      <c r="V283" s="77" t="s">
        <v>1362</v>
      </c>
      <c r="W283" s="78"/>
      <c r="X283" s="78"/>
      <c r="Y283" s="78"/>
      <c r="Z283" s="78"/>
    </row>
    <row r="284" spans="1:26" s="83" customFormat="1" ht="14.5" customHeight="1" x14ac:dyDescent="0.35">
      <c r="A284" s="77" t="s">
        <v>627</v>
      </c>
      <c r="B284" s="78" t="s">
        <v>628</v>
      </c>
      <c r="C284" s="78" t="s">
        <v>466</v>
      </c>
      <c r="D284" s="78" t="s">
        <v>599</v>
      </c>
      <c r="E284" s="79"/>
      <c r="F284" s="80"/>
      <c r="G284" s="80"/>
      <c r="H284" s="81">
        <v>0.1512</v>
      </c>
      <c r="I284" s="81">
        <v>0.20269999999999999</v>
      </c>
      <c r="J284" s="81">
        <v>-0.21129999999999999</v>
      </c>
      <c r="K284" s="81">
        <v>0.1739</v>
      </c>
      <c r="L284" s="81">
        <v>0.15160000000000001</v>
      </c>
      <c r="M284" s="81">
        <v>-1.7500000000000002E-2</v>
      </c>
      <c r="N284" s="81"/>
      <c r="O284" s="81">
        <v>0.1353</v>
      </c>
      <c r="P284" s="81"/>
      <c r="Q284" s="81"/>
      <c r="R284" s="82">
        <v>46244</v>
      </c>
      <c r="S284" s="77"/>
      <c r="T284" s="77" t="s">
        <v>729</v>
      </c>
      <c r="U284" s="82"/>
      <c r="V284" s="77" t="s">
        <v>1362</v>
      </c>
      <c r="W284" s="78"/>
      <c r="X284" s="78"/>
      <c r="Y284" s="78"/>
      <c r="Z284" s="78"/>
    </row>
    <row r="285" spans="1:26" s="83" customFormat="1" ht="14.5" customHeight="1" x14ac:dyDescent="0.35">
      <c r="A285" s="77" t="s">
        <v>629</v>
      </c>
      <c r="B285" s="78" t="s">
        <v>630</v>
      </c>
      <c r="C285" s="78" t="s">
        <v>466</v>
      </c>
      <c r="D285" s="78" t="s">
        <v>599</v>
      </c>
      <c r="E285" s="79"/>
      <c r="F285" s="80"/>
      <c r="G285" s="80"/>
      <c r="H285" s="81">
        <v>0.14080000000000001</v>
      </c>
      <c r="I285" s="81">
        <v>0.192</v>
      </c>
      <c r="J285" s="81">
        <v>-0.21829999999999999</v>
      </c>
      <c r="K285" s="81">
        <v>0.16350000000000001</v>
      </c>
      <c r="L285" s="81">
        <v>0.1414</v>
      </c>
      <c r="M285" s="81">
        <v>-2.63E-2</v>
      </c>
      <c r="N285" s="81"/>
      <c r="O285" s="81" t="s">
        <v>1152</v>
      </c>
      <c r="P285" s="81"/>
      <c r="Q285" s="81"/>
      <c r="R285" s="82">
        <v>46244</v>
      </c>
      <c r="S285" s="77"/>
      <c r="T285" s="77" t="s">
        <v>729</v>
      </c>
      <c r="U285" s="82"/>
      <c r="V285" s="77" t="s">
        <v>1362</v>
      </c>
      <c r="W285" s="78"/>
      <c r="X285" s="78"/>
      <c r="Y285" s="78"/>
      <c r="Z285" s="78"/>
    </row>
    <row r="286" spans="1:26" s="83" customFormat="1" ht="14.5" customHeight="1" x14ac:dyDescent="0.35">
      <c r="A286" s="77" t="s">
        <v>631</v>
      </c>
      <c r="B286" s="78" t="s">
        <v>632</v>
      </c>
      <c r="C286" s="78" t="s">
        <v>466</v>
      </c>
      <c r="D286" s="78" t="s">
        <v>599</v>
      </c>
      <c r="E286" s="79"/>
      <c r="F286" s="80"/>
      <c r="G286" s="80"/>
      <c r="H286" s="81"/>
      <c r="I286" s="81"/>
      <c r="J286" s="81">
        <v>-0.16980000000000001</v>
      </c>
      <c r="K286" s="81">
        <v>0.19139999999999999</v>
      </c>
      <c r="L286" s="81">
        <v>0.125</v>
      </c>
      <c r="M286" s="81" t="s">
        <v>1151</v>
      </c>
      <c r="N286" s="81"/>
      <c r="O286" s="81">
        <v>9.2600000000000002E-2</v>
      </c>
      <c r="P286" s="81"/>
      <c r="Q286" s="81"/>
      <c r="R286" s="82">
        <v>46244</v>
      </c>
      <c r="S286" s="77"/>
      <c r="T286" s="77" t="s">
        <v>729</v>
      </c>
      <c r="U286" s="82"/>
      <c r="V286" s="77" t="s">
        <v>1114</v>
      </c>
      <c r="W286" s="78"/>
      <c r="X286" s="78"/>
      <c r="Y286" s="78"/>
      <c r="Z286" s="78"/>
    </row>
    <row r="287" spans="1:26" s="83" customFormat="1" ht="14.5" customHeight="1" x14ac:dyDescent="0.35">
      <c r="A287" s="77" t="s">
        <v>633</v>
      </c>
      <c r="B287" s="78" t="s">
        <v>634</v>
      </c>
      <c r="C287" s="78" t="s">
        <v>466</v>
      </c>
      <c r="D287" s="78" t="s">
        <v>599</v>
      </c>
      <c r="E287" s="79"/>
      <c r="F287" s="80"/>
      <c r="G287" s="80"/>
      <c r="H287" s="81">
        <v>0.1636</v>
      </c>
      <c r="I287" s="81" t="s">
        <v>1149</v>
      </c>
      <c r="J287" s="81">
        <v>-0.16209999999999999</v>
      </c>
      <c r="K287" s="81">
        <v>0.18029999999999999</v>
      </c>
      <c r="L287" s="81" t="s">
        <v>1148</v>
      </c>
      <c r="M287" s="81" t="s">
        <v>1118</v>
      </c>
      <c r="N287" s="81"/>
      <c r="O287" s="81" t="s">
        <v>1150</v>
      </c>
      <c r="P287" s="81"/>
      <c r="Q287" s="81"/>
      <c r="R287" s="82">
        <v>46244</v>
      </c>
      <c r="S287" s="77"/>
      <c r="T287" s="77" t="s">
        <v>729</v>
      </c>
      <c r="U287" s="82"/>
      <c r="V287" s="77" t="s">
        <v>1362</v>
      </c>
      <c r="W287" s="78"/>
      <c r="X287" s="78"/>
      <c r="Y287" s="78"/>
      <c r="Z287" s="78"/>
    </row>
    <row r="288" spans="1:26" s="83" customFormat="1" ht="14.5" customHeight="1" x14ac:dyDescent="0.35">
      <c r="A288" s="77" t="s">
        <v>635</v>
      </c>
      <c r="B288" s="78" t="s">
        <v>636</v>
      </c>
      <c r="C288" s="78" t="s">
        <v>466</v>
      </c>
      <c r="D288" s="78" t="s">
        <v>599</v>
      </c>
      <c r="E288" s="79"/>
      <c r="F288" s="80"/>
      <c r="G288" s="80"/>
      <c r="H288" s="81" t="s">
        <v>1147</v>
      </c>
      <c r="I288" s="81" t="s">
        <v>1146</v>
      </c>
      <c r="J288" s="81">
        <v>-0.18099999999999999</v>
      </c>
      <c r="K288" s="81" t="s">
        <v>1145</v>
      </c>
      <c r="L288" s="81">
        <v>9.7100000000000006E-2</v>
      </c>
      <c r="M288" s="81">
        <v>-4.1500000000000002E-2</v>
      </c>
      <c r="N288" s="81"/>
      <c r="O288" s="81" t="s">
        <v>1144</v>
      </c>
      <c r="P288" s="81"/>
      <c r="Q288" s="81"/>
      <c r="R288" s="82">
        <v>46244</v>
      </c>
      <c r="S288" s="77"/>
      <c r="T288" s="77" t="s">
        <v>729</v>
      </c>
      <c r="U288" s="82"/>
      <c r="V288" s="77" t="s">
        <v>1362</v>
      </c>
      <c r="W288" s="78"/>
      <c r="X288" s="78"/>
      <c r="Y288" s="78"/>
      <c r="Z288" s="78"/>
    </row>
    <row r="289" spans="1:26" s="83" customFormat="1" ht="14.5" customHeight="1" x14ac:dyDescent="0.35">
      <c r="A289" s="77" t="s">
        <v>637</v>
      </c>
      <c r="B289" s="78" t="s">
        <v>638</v>
      </c>
      <c r="C289" s="78" t="s">
        <v>466</v>
      </c>
      <c r="D289" s="78" t="s">
        <v>599</v>
      </c>
      <c r="E289" s="79"/>
      <c r="F289" s="80"/>
      <c r="G289" s="80"/>
      <c r="H289" s="81" t="s">
        <v>1143</v>
      </c>
      <c r="I289" s="81" t="s">
        <v>1142</v>
      </c>
      <c r="J289" s="81">
        <v>-0.5423</v>
      </c>
      <c r="K289" s="81" t="s">
        <v>1141</v>
      </c>
      <c r="L289" s="81" t="s">
        <v>1140</v>
      </c>
      <c r="M289" s="81" t="s">
        <v>1139</v>
      </c>
      <c r="N289" s="81"/>
      <c r="O289" s="81">
        <v>0.2283</v>
      </c>
      <c r="P289" s="81"/>
      <c r="Q289" s="81"/>
      <c r="R289" s="82">
        <v>46244</v>
      </c>
      <c r="S289" s="77"/>
      <c r="T289" s="77" t="s">
        <v>729</v>
      </c>
      <c r="U289" s="82"/>
      <c r="V289" s="77" t="s">
        <v>1362</v>
      </c>
      <c r="W289" s="78"/>
      <c r="X289" s="78"/>
      <c r="Y289" s="78"/>
      <c r="Z289" s="78"/>
    </row>
    <row r="290" spans="1:26" s="83" customFormat="1" ht="14.5" customHeight="1" x14ac:dyDescent="0.35">
      <c r="A290" s="77" t="s">
        <v>639</v>
      </c>
      <c r="B290" s="78" t="s">
        <v>640</v>
      </c>
      <c r="C290" s="78" t="s">
        <v>466</v>
      </c>
      <c r="D290" s="78" t="s">
        <v>599</v>
      </c>
      <c r="E290" s="79"/>
      <c r="F290" s="80"/>
      <c r="G290" s="80"/>
      <c r="H290" s="81">
        <v>0.25919999999999999</v>
      </c>
      <c r="I290" s="81">
        <v>0.34389999999999998</v>
      </c>
      <c r="J290" s="81">
        <v>-0.30709999999999998</v>
      </c>
      <c r="K290" s="81" t="s">
        <v>1138</v>
      </c>
      <c r="L290" s="81">
        <v>0.34799999999999998</v>
      </c>
      <c r="M290" s="81" t="s">
        <v>1137</v>
      </c>
      <c r="N290" s="81"/>
      <c r="O290" s="81" t="s">
        <v>1136</v>
      </c>
      <c r="P290" s="81"/>
      <c r="Q290" s="81"/>
      <c r="R290" s="82">
        <v>46244</v>
      </c>
      <c r="S290" s="77"/>
      <c r="T290" s="77" t="s">
        <v>729</v>
      </c>
      <c r="U290" s="82"/>
      <c r="V290" s="77" t="s">
        <v>1362</v>
      </c>
      <c r="W290" s="78"/>
      <c r="X290" s="78"/>
      <c r="Y290" s="78"/>
      <c r="Z290" s="78"/>
    </row>
    <row r="291" spans="1:26" s="83" customFormat="1" ht="14.5" customHeight="1" x14ac:dyDescent="0.35">
      <c r="A291" s="77" t="s">
        <v>641</v>
      </c>
      <c r="B291" s="78" t="s">
        <v>642</v>
      </c>
      <c r="C291" s="78" t="s">
        <v>466</v>
      </c>
      <c r="D291" s="78" t="s">
        <v>599</v>
      </c>
      <c r="E291" s="79"/>
      <c r="F291" s="80"/>
      <c r="G291" s="80"/>
      <c r="H291" s="81">
        <v>0.26900000000000002</v>
      </c>
      <c r="I291" s="81">
        <v>0.31240000000000001</v>
      </c>
      <c r="J291" s="81">
        <v>-0.30170000000000002</v>
      </c>
      <c r="K291" s="81" t="s">
        <v>1111</v>
      </c>
      <c r="L291" s="81" t="s">
        <v>1135</v>
      </c>
      <c r="M291" s="81">
        <v>3.7999999999999999E-2</v>
      </c>
      <c r="N291" s="81"/>
      <c r="O291" s="81">
        <v>0.36259999999999998</v>
      </c>
      <c r="P291" s="81"/>
      <c r="Q291" s="81"/>
      <c r="R291" s="82">
        <v>46244</v>
      </c>
      <c r="S291" s="77"/>
      <c r="T291" s="77" t="s">
        <v>729</v>
      </c>
      <c r="U291" s="82"/>
      <c r="V291" s="77" t="s">
        <v>1362</v>
      </c>
      <c r="W291" s="78"/>
      <c r="X291" s="78"/>
      <c r="Y291" s="78"/>
      <c r="Z291" s="78"/>
    </row>
    <row r="292" spans="1:26" s="83" customFormat="1" ht="14.5" customHeight="1" x14ac:dyDescent="0.35">
      <c r="A292" s="77" t="s">
        <v>643</v>
      </c>
      <c r="B292" s="78" t="s">
        <v>644</v>
      </c>
      <c r="C292" s="78" t="s">
        <v>466</v>
      </c>
      <c r="D292" s="78" t="s">
        <v>599</v>
      </c>
      <c r="E292" s="79"/>
      <c r="F292" s="80"/>
      <c r="G292" s="80"/>
      <c r="H292" s="81"/>
      <c r="I292" s="81">
        <v>3.2000000000000001E-2</v>
      </c>
      <c r="J292" s="81">
        <v>-0.3831</v>
      </c>
      <c r="K292" s="81">
        <v>0.3553</v>
      </c>
      <c r="L292" s="81">
        <v>0.25019999999999998</v>
      </c>
      <c r="M292" s="81">
        <v>0.1845</v>
      </c>
      <c r="N292" s="81"/>
      <c r="O292" s="81">
        <v>0.20330000000000001</v>
      </c>
      <c r="P292" s="81"/>
      <c r="Q292" s="81"/>
      <c r="R292" s="82">
        <v>46244</v>
      </c>
      <c r="S292" s="77"/>
      <c r="T292" s="77" t="s">
        <v>729</v>
      </c>
      <c r="U292" s="82"/>
      <c r="V292" s="77" t="s">
        <v>1114</v>
      </c>
      <c r="W292" s="78"/>
      <c r="X292" s="78"/>
      <c r="Y292" s="78"/>
      <c r="Z292" s="78"/>
    </row>
    <row r="293" spans="1:26" s="83" customFormat="1" ht="14.5" customHeight="1" x14ac:dyDescent="0.35">
      <c r="A293" s="77" t="s">
        <v>645</v>
      </c>
      <c r="B293" s="78" t="s">
        <v>646</v>
      </c>
      <c r="C293" s="78" t="s">
        <v>466</v>
      </c>
      <c r="D293" s="78" t="s">
        <v>599</v>
      </c>
      <c r="E293" s="79"/>
      <c r="F293" s="80"/>
      <c r="G293" s="80"/>
      <c r="H293" s="81" t="s">
        <v>1134</v>
      </c>
      <c r="I293" s="81" t="s">
        <v>1133</v>
      </c>
      <c r="J293" s="81">
        <v>-0.10730000000000001</v>
      </c>
      <c r="K293" s="81">
        <v>0.21249999999999999</v>
      </c>
      <c r="L293" s="81" t="s">
        <v>1132</v>
      </c>
      <c r="M293" s="81" t="s">
        <v>1131</v>
      </c>
      <c r="N293" s="81"/>
      <c r="O293" s="81">
        <v>0.17169999999999999</v>
      </c>
      <c r="P293" s="81"/>
      <c r="Q293" s="81"/>
      <c r="R293" s="82">
        <v>46244</v>
      </c>
      <c r="S293" s="77"/>
      <c r="T293" s="77" t="s">
        <v>729</v>
      </c>
      <c r="U293" s="82"/>
      <c r="V293" s="77" t="s">
        <v>1362</v>
      </c>
      <c r="W293" s="78"/>
      <c r="X293" s="78"/>
      <c r="Y293" s="78"/>
      <c r="Z293" s="78"/>
    </row>
    <row r="294" spans="1:26" s="83" customFormat="1" ht="14.5" customHeight="1" x14ac:dyDescent="0.35">
      <c r="A294" s="77" t="s">
        <v>647</v>
      </c>
      <c r="B294" s="78" t="s">
        <v>648</v>
      </c>
      <c r="C294" s="78" t="s">
        <v>466</v>
      </c>
      <c r="D294" s="78" t="s">
        <v>599</v>
      </c>
      <c r="E294" s="79"/>
      <c r="F294" s="80"/>
      <c r="G294" s="80"/>
      <c r="H294" s="81">
        <v>7.6499999999999999E-2</v>
      </c>
      <c r="I294" s="81">
        <v>0.3775</v>
      </c>
      <c r="J294" s="81">
        <v>-0.18190000000000001</v>
      </c>
      <c r="K294" s="81" t="s">
        <v>1130</v>
      </c>
      <c r="L294" s="81">
        <v>5.1400000000000001E-2</v>
      </c>
      <c r="M294" s="81">
        <v>-8.6999999999999994E-3</v>
      </c>
      <c r="N294" s="81"/>
      <c r="O294" s="81" t="s">
        <v>1129</v>
      </c>
      <c r="P294" s="81"/>
      <c r="Q294" s="81"/>
      <c r="R294" s="82">
        <v>46244</v>
      </c>
      <c r="S294" s="77"/>
      <c r="T294" s="77" t="s">
        <v>729</v>
      </c>
      <c r="U294" s="82"/>
      <c r="V294" s="77" t="s">
        <v>1362</v>
      </c>
      <c r="W294" s="78"/>
      <c r="X294" s="78"/>
      <c r="Y294" s="78"/>
      <c r="Z294" s="78"/>
    </row>
    <row r="295" spans="1:26" s="83" customFormat="1" ht="14.5" customHeight="1" x14ac:dyDescent="0.35">
      <c r="A295" s="77" t="s">
        <v>649</v>
      </c>
      <c r="B295" s="78" t="s">
        <v>650</v>
      </c>
      <c r="C295" s="78" t="s">
        <v>466</v>
      </c>
      <c r="D295" s="78" t="s">
        <v>599</v>
      </c>
      <c r="E295" s="79"/>
      <c r="F295" s="80"/>
      <c r="G295" s="80"/>
      <c r="H295" s="81" t="s">
        <v>1128</v>
      </c>
      <c r="I295" s="81" t="s">
        <v>1127</v>
      </c>
      <c r="J295" s="81">
        <v>-0.187</v>
      </c>
      <c r="K295" s="81" t="s">
        <v>1126</v>
      </c>
      <c r="L295" s="81" t="s">
        <v>1125</v>
      </c>
      <c r="M295" s="81" t="s">
        <v>1124</v>
      </c>
      <c r="N295" s="81"/>
      <c r="O295" s="81" t="s">
        <v>1123</v>
      </c>
      <c r="P295" s="81"/>
      <c r="Q295" s="81"/>
      <c r="R295" s="82">
        <v>46244</v>
      </c>
      <c r="S295" s="77"/>
      <c r="T295" s="77" t="s">
        <v>729</v>
      </c>
      <c r="U295" s="82"/>
      <c r="V295" s="77" t="s">
        <v>1362</v>
      </c>
      <c r="W295" s="78"/>
      <c r="X295" s="78"/>
      <c r="Y295" s="78"/>
      <c r="Z295" s="78"/>
    </row>
    <row r="296" spans="1:26" s="83" customFormat="1" ht="14.5" customHeight="1" x14ac:dyDescent="0.35">
      <c r="A296" s="77" t="s">
        <v>651</v>
      </c>
      <c r="B296" s="78" t="s">
        <v>652</v>
      </c>
      <c r="C296" s="78" t="s">
        <v>466</v>
      </c>
      <c r="D296" s="78" t="s">
        <v>599</v>
      </c>
      <c r="E296" s="79"/>
      <c r="F296" s="80"/>
      <c r="G296" s="80"/>
      <c r="H296" s="81">
        <v>0.32250000000000001</v>
      </c>
      <c r="I296" s="81" t="s">
        <v>1121</v>
      </c>
      <c r="J296" s="81">
        <v>-0.187</v>
      </c>
      <c r="K296" s="81">
        <v>0.39290000000000003</v>
      </c>
      <c r="L296" s="81" t="s">
        <v>1120</v>
      </c>
      <c r="M296" s="81" t="s">
        <v>1119</v>
      </c>
      <c r="N296" s="81"/>
      <c r="O296" s="81" t="s">
        <v>1122</v>
      </c>
      <c r="P296" s="81"/>
      <c r="Q296" s="81"/>
      <c r="R296" s="82">
        <v>46244</v>
      </c>
      <c r="S296" s="77"/>
      <c r="T296" s="77" t="s">
        <v>729</v>
      </c>
      <c r="U296" s="82"/>
      <c r="V296" s="77" t="s">
        <v>1362</v>
      </c>
      <c r="W296" s="78"/>
      <c r="X296" s="78"/>
      <c r="Y296" s="78"/>
      <c r="Z296" s="78"/>
    </row>
    <row r="297" spans="1:26" s="83" customFormat="1" ht="14.5" customHeight="1" x14ac:dyDescent="0.35">
      <c r="A297" s="77" t="s">
        <v>653</v>
      </c>
      <c r="B297" s="78" t="s">
        <v>654</v>
      </c>
      <c r="C297" s="78" t="s">
        <v>466</v>
      </c>
      <c r="D297" s="78" t="s">
        <v>655</v>
      </c>
      <c r="E297" s="79"/>
      <c r="F297" s="80"/>
      <c r="G297" s="80"/>
      <c r="H297" s="81">
        <v>0.3226</v>
      </c>
      <c r="I297" s="81">
        <v>-5.5500000000000001E-2</v>
      </c>
      <c r="J297" s="81">
        <v>-0.2316</v>
      </c>
      <c r="K297" s="81" t="s">
        <v>1118</v>
      </c>
      <c r="L297" s="81" t="s">
        <v>1117</v>
      </c>
      <c r="M297" s="81" t="s">
        <v>1116</v>
      </c>
      <c r="N297" s="81"/>
      <c r="O297" s="81">
        <v>0.26790000000000003</v>
      </c>
      <c r="P297" s="81"/>
      <c r="Q297" s="81"/>
      <c r="R297" s="82">
        <v>46244</v>
      </c>
      <c r="S297" s="77"/>
      <c r="T297" s="77" t="s">
        <v>729</v>
      </c>
      <c r="U297" s="82"/>
      <c r="V297" s="77" t="s">
        <v>1362</v>
      </c>
      <c r="W297" s="78"/>
      <c r="X297" s="78"/>
      <c r="Y297" s="78"/>
      <c r="Z297" s="78"/>
    </row>
    <row r="298" spans="1:26" s="83" customFormat="1" ht="14.5" customHeight="1" x14ac:dyDescent="0.35">
      <c r="A298" s="77" t="s">
        <v>656</v>
      </c>
      <c r="B298" s="78" t="s">
        <v>657</v>
      </c>
      <c r="C298" s="78" t="s">
        <v>466</v>
      </c>
      <c r="D298" s="78" t="s">
        <v>655</v>
      </c>
      <c r="E298" s="79"/>
      <c r="F298" s="80"/>
      <c r="G298" s="80"/>
      <c r="H298" s="81">
        <v>0.31309999999999999</v>
      </c>
      <c r="I298" s="81">
        <v>-6.3200000000000006E-2</v>
      </c>
      <c r="J298" s="81">
        <v>-0.23860000000000001</v>
      </c>
      <c r="K298" s="81" t="s">
        <v>1115</v>
      </c>
      <c r="L298" s="81">
        <v>9.01E-2</v>
      </c>
      <c r="M298" s="81">
        <v>5.8799999999999998E-2</v>
      </c>
      <c r="N298" s="81"/>
      <c r="O298" s="81">
        <v>0.26790000000000003</v>
      </c>
      <c r="P298" s="81"/>
      <c r="Q298" s="81"/>
      <c r="R298" s="82">
        <v>46244</v>
      </c>
      <c r="S298" s="77"/>
      <c r="T298" s="77" t="s">
        <v>729</v>
      </c>
      <c r="U298" s="82"/>
      <c r="V298" s="77" t="s">
        <v>1362</v>
      </c>
      <c r="W298" s="78"/>
      <c r="X298" s="78"/>
      <c r="Y298" s="78"/>
      <c r="Z298" s="78"/>
    </row>
    <row r="299" spans="1:26" s="83" customFormat="1" ht="14.5" customHeight="1" x14ac:dyDescent="0.35">
      <c r="A299" s="77" t="s">
        <v>658</v>
      </c>
      <c r="B299" s="78" t="s">
        <v>659</v>
      </c>
      <c r="C299" s="78"/>
      <c r="D299" s="78" t="s">
        <v>655</v>
      </c>
      <c r="E299" s="79"/>
      <c r="F299" s="80"/>
      <c r="G299" s="80"/>
      <c r="H299" s="81">
        <v>7.1099999999999997E-2</v>
      </c>
      <c r="I299" s="81">
        <v>0.11840000000000001</v>
      </c>
      <c r="J299" s="81">
        <v>-5.4100000000000002E-2</v>
      </c>
      <c r="K299" s="81">
        <v>0.3256</v>
      </c>
      <c r="L299" s="81">
        <v>0.221</v>
      </c>
      <c r="M299" s="81">
        <v>0.27550000000000002</v>
      </c>
      <c r="N299" s="81"/>
      <c r="O299" s="81" t="s">
        <v>742</v>
      </c>
      <c r="P299" s="81"/>
      <c r="Q299" s="81"/>
      <c r="R299" s="82">
        <v>46244</v>
      </c>
      <c r="S299" s="77"/>
      <c r="T299" s="77" t="s">
        <v>729</v>
      </c>
      <c r="U299" s="82"/>
      <c r="V299" s="77" t="s">
        <v>1362</v>
      </c>
      <c r="W299" s="78"/>
      <c r="X299" s="78"/>
      <c r="Y299" s="78"/>
      <c r="Z299" s="78"/>
    </row>
    <row r="300" spans="1:26" s="83" customFormat="1" ht="14.5" customHeight="1" x14ac:dyDescent="0.35">
      <c r="A300" s="77" t="s">
        <v>661</v>
      </c>
      <c r="B300" s="78" t="s">
        <v>662</v>
      </c>
      <c r="C300" s="78" t="s">
        <v>466</v>
      </c>
      <c r="D300" s="78" t="s">
        <v>655</v>
      </c>
      <c r="E300" s="79"/>
      <c r="F300" s="80"/>
      <c r="G300" s="80"/>
      <c r="H300" s="81">
        <v>5.4100000000000002E-2</v>
      </c>
      <c r="I300" s="81">
        <v>0.1062</v>
      </c>
      <c r="J300" s="81">
        <v>-3.85E-2</v>
      </c>
      <c r="K300" s="81">
        <v>0.31380000000000002</v>
      </c>
      <c r="L300" s="81">
        <v>0.22789999999999999</v>
      </c>
      <c r="M300" s="81" t="s">
        <v>1113</v>
      </c>
      <c r="N300" s="81"/>
      <c r="O300" s="81">
        <v>0.2046</v>
      </c>
      <c r="P300" s="81"/>
      <c r="Q300" s="81"/>
      <c r="R300" s="82">
        <v>46244</v>
      </c>
      <c r="S300" s="77"/>
      <c r="T300" s="77" t="s">
        <v>729</v>
      </c>
      <c r="U300" s="82"/>
      <c r="V300" s="77" t="s">
        <v>1114</v>
      </c>
      <c r="W300" s="78"/>
      <c r="X300" s="78"/>
      <c r="Y300" s="78"/>
      <c r="Z300" s="78"/>
    </row>
    <row r="301" spans="1:26" s="83" customFormat="1" ht="14.5" customHeight="1" x14ac:dyDescent="0.35">
      <c r="A301" s="77" t="s">
        <v>663</v>
      </c>
      <c r="B301" s="78" t="s">
        <v>664</v>
      </c>
      <c r="C301" s="78" t="s">
        <v>466</v>
      </c>
      <c r="D301" s="78" t="s">
        <v>665</v>
      </c>
      <c r="E301" s="79"/>
      <c r="F301" s="80"/>
      <c r="G301" s="80"/>
      <c r="H301" s="81">
        <v>0.17480000000000001</v>
      </c>
      <c r="I301" s="81">
        <v>-1.6400000000000001E-2</v>
      </c>
      <c r="J301" s="81">
        <v>-0.18410000000000001</v>
      </c>
      <c r="K301" s="81">
        <v>1.8700000000000001E-2</v>
      </c>
      <c r="L301" s="81">
        <v>4.2200000000000001E-2</v>
      </c>
      <c r="M301" s="81">
        <v>0.27829999999999999</v>
      </c>
      <c r="N301" s="81"/>
      <c r="O301" s="81">
        <v>0.13519999999999999</v>
      </c>
      <c r="P301" s="81"/>
      <c r="Q301" s="81"/>
      <c r="R301" s="82">
        <v>46244</v>
      </c>
      <c r="S301" s="77"/>
      <c r="T301" s="77" t="s">
        <v>729</v>
      </c>
      <c r="U301" s="82"/>
      <c r="V301" s="77" t="s">
        <v>1114</v>
      </c>
      <c r="W301" s="78"/>
      <c r="X301" s="78"/>
      <c r="Y301" s="78"/>
      <c r="Z301" s="78"/>
    </row>
    <row r="302" spans="1:26" s="83" customFormat="1" ht="14.5" customHeight="1" x14ac:dyDescent="0.35">
      <c r="A302" s="77" t="s">
        <v>666</v>
      </c>
      <c r="B302" s="78" t="s">
        <v>667</v>
      </c>
      <c r="C302" s="78" t="s">
        <v>466</v>
      </c>
      <c r="D302" s="78" t="s">
        <v>665</v>
      </c>
      <c r="E302" s="79"/>
      <c r="F302" s="80"/>
      <c r="G302" s="80"/>
      <c r="H302" s="81">
        <v>0.1201</v>
      </c>
      <c r="I302" s="81">
        <v>9.4799999999999995E-2</v>
      </c>
      <c r="J302" s="81">
        <v>-0.1946</v>
      </c>
      <c r="K302" s="81">
        <v>0.19550000000000001</v>
      </c>
      <c r="L302" s="81">
        <v>3.3700000000000001E-2</v>
      </c>
      <c r="M302" s="81">
        <v>0.34449999999999997</v>
      </c>
      <c r="N302" s="81"/>
      <c r="O302" s="81" t="s">
        <v>1112</v>
      </c>
      <c r="P302" s="81"/>
      <c r="Q302" s="81"/>
      <c r="R302" s="82">
        <v>46244</v>
      </c>
      <c r="S302" s="77"/>
      <c r="T302" s="77" t="s">
        <v>729</v>
      </c>
      <c r="U302" s="82"/>
      <c r="V302" s="77" t="s">
        <v>1114</v>
      </c>
      <c r="W302" s="78"/>
      <c r="X302" s="78"/>
      <c r="Y302" s="78"/>
      <c r="Z302" s="78"/>
    </row>
    <row r="303" spans="1:26" s="83" customFormat="1" ht="14.5" customHeight="1" x14ac:dyDescent="0.35">
      <c r="A303" s="77" t="s">
        <v>669</v>
      </c>
      <c r="B303" s="78" t="s">
        <v>670</v>
      </c>
      <c r="C303" s="78" t="s">
        <v>466</v>
      </c>
      <c r="D303" s="78" t="s">
        <v>665</v>
      </c>
      <c r="E303" s="79"/>
      <c r="F303" s="80"/>
      <c r="G303" s="80"/>
      <c r="H303" s="81">
        <v>0.2923</v>
      </c>
      <c r="I303" s="81">
        <v>-0.21729999999999999</v>
      </c>
      <c r="J303" s="81">
        <v>-0.2185</v>
      </c>
      <c r="K303" s="81">
        <v>-0.1123</v>
      </c>
      <c r="L303" s="81">
        <v>0.19539999999999999</v>
      </c>
      <c r="M303" s="81">
        <v>0.31119999999999998</v>
      </c>
      <c r="N303" s="81"/>
      <c r="O303" s="81">
        <v>-6.7599999999999993E-2</v>
      </c>
      <c r="P303" s="81"/>
      <c r="Q303" s="81"/>
      <c r="R303" s="82">
        <v>46244</v>
      </c>
      <c r="S303" s="77"/>
      <c r="T303" s="77" t="s">
        <v>729</v>
      </c>
      <c r="U303" s="82"/>
      <c r="V303" s="77" t="s">
        <v>1114</v>
      </c>
      <c r="W303" s="78"/>
      <c r="X303" s="78"/>
      <c r="Y303" s="78"/>
      <c r="Z303" s="78"/>
    </row>
    <row r="304" spans="1:26" s="83" customFormat="1" ht="14.5" customHeight="1" x14ac:dyDescent="0.35">
      <c r="A304" s="77" t="s">
        <v>671</v>
      </c>
      <c r="B304" s="78" t="s">
        <v>672</v>
      </c>
      <c r="C304" s="78" t="s">
        <v>466</v>
      </c>
      <c r="D304" s="78" t="s">
        <v>665</v>
      </c>
      <c r="E304" s="79"/>
      <c r="F304" s="80"/>
      <c r="G304" s="80"/>
      <c r="H304" s="81">
        <v>5.4100000000000002E-2</v>
      </c>
      <c r="I304" s="81" t="s">
        <v>1111</v>
      </c>
      <c r="J304" s="81">
        <v>-1.84E-2</v>
      </c>
      <c r="K304" s="81" t="s">
        <v>1110</v>
      </c>
      <c r="L304" s="81">
        <v>0.17960000000000001</v>
      </c>
      <c r="M304" s="81">
        <v>-9.0899999999999995E-2</v>
      </c>
      <c r="N304" s="81"/>
      <c r="O304" s="81">
        <v>-6.2300000000000001E-2</v>
      </c>
      <c r="P304" s="81"/>
      <c r="Q304" s="81"/>
      <c r="R304" s="82">
        <v>46244</v>
      </c>
      <c r="S304" s="77"/>
      <c r="T304" s="77" t="s">
        <v>729</v>
      </c>
      <c r="U304" s="82"/>
      <c r="V304" s="77" t="s">
        <v>1362</v>
      </c>
      <c r="W304" s="78"/>
      <c r="X304" s="78"/>
      <c r="Y304" s="78"/>
      <c r="Z304" s="78"/>
    </row>
    <row r="305" spans="1:30" s="83" customFormat="1" ht="14.5" customHeight="1" x14ac:dyDescent="0.35">
      <c r="A305" s="77" t="s">
        <v>674</v>
      </c>
      <c r="B305" s="78" t="s">
        <v>675</v>
      </c>
      <c r="C305" s="78" t="s">
        <v>466</v>
      </c>
      <c r="D305" s="78" t="s">
        <v>665</v>
      </c>
      <c r="E305" s="79"/>
      <c r="F305" s="80"/>
      <c r="G305" s="80"/>
      <c r="H305" s="81">
        <v>0.24440000000000001</v>
      </c>
      <c r="I305" s="81">
        <v>5.0799999999999998E-2</v>
      </c>
      <c r="J305" s="81">
        <v>-0.2712</v>
      </c>
      <c r="K305" s="81">
        <v>-1.35E-2</v>
      </c>
      <c r="L305" s="81">
        <v>0.1371</v>
      </c>
      <c r="M305" s="81">
        <v>0.14610000000000001</v>
      </c>
      <c r="N305" s="81"/>
      <c r="O305" s="81">
        <v>0.24929999999999999</v>
      </c>
      <c r="P305" s="81"/>
      <c r="Q305" s="81"/>
      <c r="R305" s="82">
        <v>46244</v>
      </c>
      <c r="S305" s="77"/>
      <c r="T305" s="77" t="s">
        <v>729</v>
      </c>
      <c r="U305" s="82"/>
      <c r="V305" s="77" t="s">
        <v>1362</v>
      </c>
      <c r="W305" s="78"/>
      <c r="X305" s="78"/>
      <c r="Y305" s="78"/>
      <c r="Z305" s="78"/>
    </row>
    <row r="306" spans="1:30" s="83" customFormat="1" ht="14.5" customHeight="1" x14ac:dyDescent="0.35">
      <c r="A306" s="77" t="s">
        <v>676</v>
      </c>
      <c r="B306" s="78" t="s">
        <v>677</v>
      </c>
      <c r="C306" s="78" t="s">
        <v>466</v>
      </c>
      <c r="D306" s="78" t="s">
        <v>665</v>
      </c>
      <c r="E306" s="79"/>
      <c r="F306" s="80"/>
      <c r="G306" s="80"/>
      <c r="H306" s="81">
        <v>8.2799999999999999E-2</v>
      </c>
      <c r="I306" s="81">
        <v>4.4299999999999999E-2</v>
      </c>
      <c r="J306" s="81">
        <v>-0.15</v>
      </c>
      <c r="K306" s="81">
        <v>6.5699999999999995E-2</v>
      </c>
      <c r="L306" s="81">
        <v>0.14799999999999999</v>
      </c>
      <c r="M306" s="81" t="s">
        <v>1109</v>
      </c>
      <c r="N306" s="81"/>
      <c r="O306" s="81">
        <v>0.21440000000000001</v>
      </c>
      <c r="P306" s="81"/>
      <c r="Q306" s="81"/>
      <c r="R306" s="82">
        <v>46244</v>
      </c>
      <c r="S306" s="77"/>
      <c r="T306" s="77" t="s">
        <v>729</v>
      </c>
      <c r="U306" s="82"/>
      <c r="V306" s="77" t="s">
        <v>1362</v>
      </c>
      <c r="W306" s="78"/>
      <c r="X306" s="78"/>
      <c r="Y306" s="78"/>
      <c r="Z306" s="78"/>
    </row>
    <row r="307" spans="1:30" s="83" customFormat="1" ht="14.5" customHeight="1" x14ac:dyDescent="0.35">
      <c r="A307" s="77" t="s">
        <v>679</v>
      </c>
      <c r="B307" s="78" t="s">
        <v>1105</v>
      </c>
      <c r="C307" s="78" t="s">
        <v>466</v>
      </c>
      <c r="D307" s="78" t="s">
        <v>665</v>
      </c>
      <c r="E307" s="79"/>
      <c r="F307" s="80"/>
      <c r="G307" s="80"/>
      <c r="H307" s="81">
        <v>7.0099999999999996E-2</v>
      </c>
      <c r="I307" s="81">
        <v>7.4399999999999994E-2</v>
      </c>
      <c r="J307" s="81">
        <v>-0.12920000000000001</v>
      </c>
      <c r="K307" s="81">
        <v>-1.4999999999999999E-2</v>
      </c>
      <c r="L307" s="81" t="s">
        <v>1108</v>
      </c>
      <c r="M307" s="81" t="s">
        <v>1107</v>
      </c>
      <c r="N307" s="81"/>
      <c r="O307" s="81" t="s">
        <v>1106</v>
      </c>
      <c r="P307" s="81"/>
      <c r="Q307" s="81"/>
      <c r="R307" s="82">
        <v>46244</v>
      </c>
      <c r="S307" s="77"/>
      <c r="T307" s="77" t="s">
        <v>729</v>
      </c>
      <c r="U307" s="82"/>
      <c r="V307" s="77" t="s">
        <v>1362</v>
      </c>
      <c r="W307" s="78"/>
      <c r="X307" s="78"/>
      <c r="Y307" s="78"/>
      <c r="Z307" s="78"/>
    </row>
    <row r="308" spans="1:30" s="83" customFormat="1" ht="14.5" customHeight="1" x14ac:dyDescent="0.35">
      <c r="A308" s="77" t="s">
        <v>681</v>
      </c>
      <c r="B308" s="78" t="s">
        <v>682</v>
      </c>
      <c r="C308" s="78" t="s">
        <v>466</v>
      </c>
      <c r="D308" s="78" t="s">
        <v>665</v>
      </c>
      <c r="E308" s="79"/>
      <c r="F308" s="80"/>
      <c r="G308" s="80"/>
      <c r="H308" s="81" t="s">
        <v>1104</v>
      </c>
      <c r="I308" s="81">
        <v>2.06E-2</v>
      </c>
      <c r="J308" s="81">
        <v>-0.25559999999999999</v>
      </c>
      <c r="K308" s="81">
        <v>2.1499999999999998E-2</v>
      </c>
      <c r="L308" s="81">
        <v>9.3200000000000005E-2</v>
      </c>
      <c r="M308" s="81">
        <v>0.2215</v>
      </c>
      <c r="N308" s="81"/>
      <c r="O308" s="81">
        <v>0.22059999999999999</v>
      </c>
      <c r="P308" s="81"/>
      <c r="Q308" s="81"/>
      <c r="R308" s="82">
        <v>46244</v>
      </c>
      <c r="S308" s="77"/>
      <c r="T308" s="77" t="s">
        <v>729</v>
      </c>
      <c r="U308" s="82"/>
      <c r="V308" s="77" t="s">
        <v>1362</v>
      </c>
      <c r="W308" s="78"/>
      <c r="X308" s="78"/>
      <c r="Y308" s="78"/>
      <c r="Z308" s="78"/>
    </row>
    <row r="309" spans="1:30" s="83" customFormat="1" ht="14.5" customHeight="1" x14ac:dyDescent="0.35">
      <c r="A309" s="77" t="s">
        <v>684</v>
      </c>
      <c r="B309" s="78" t="s">
        <v>685</v>
      </c>
      <c r="C309" s="78" t="s">
        <v>466</v>
      </c>
      <c r="D309" s="78" t="s">
        <v>665</v>
      </c>
      <c r="E309" s="79"/>
      <c r="F309" s="80"/>
      <c r="G309" s="80"/>
      <c r="H309" s="81">
        <v>0.22209999999999999</v>
      </c>
      <c r="I309" s="81">
        <v>9.7999999999999997E-3</v>
      </c>
      <c r="J309" s="81">
        <v>-0.26340000000000002</v>
      </c>
      <c r="K309" s="81" t="s">
        <v>1103</v>
      </c>
      <c r="L309" s="81">
        <v>8.1699999999999995E-2</v>
      </c>
      <c r="M309" s="81" t="s">
        <v>1102</v>
      </c>
      <c r="N309" s="81"/>
      <c r="O309" s="81" t="s">
        <v>1101</v>
      </c>
      <c r="P309" s="81"/>
      <c r="Q309" s="81"/>
      <c r="R309" s="82">
        <v>46244</v>
      </c>
      <c r="S309" s="77"/>
      <c r="T309" s="77" t="s">
        <v>729</v>
      </c>
      <c r="U309" s="82"/>
      <c r="V309" s="77" t="s">
        <v>1362</v>
      </c>
      <c r="W309" s="78"/>
      <c r="X309" s="78"/>
      <c r="Y309" s="78"/>
      <c r="Z309" s="78"/>
    </row>
    <row r="310" spans="1:30" s="83" customFormat="1" ht="14.5" customHeight="1" x14ac:dyDescent="0.35">
      <c r="A310" s="77" t="s">
        <v>686</v>
      </c>
      <c r="B310" s="78" t="s">
        <v>687</v>
      </c>
      <c r="C310" s="78" t="s">
        <v>466</v>
      </c>
      <c r="D310" s="78" t="s">
        <v>665</v>
      </c>
      <c r="E310" s="79"/>
      <c r="F310" s="80"/>
      <c r="G310" s="80"/>
      <c r="H310" s="81" t="s">
        <v>1099</v>
      </c>
      <c r="I310" s="81">
        <v>4.48E-2</v>
      </c>
      <c r="J310" s="81">
        <v>-0.20860000000000001</v>
      </c>
      <c r="K310" s="81">
        <v>-1.46E-2</v>
      </c>
      <c r="L310" s="81">
        <v>0.12820000000000001</v>
      </c>
      <c r="M310" s="81" t="s">
        <v>1098</v>
      </c>
      <c r="N310" s="81"/>
      <c r="O310" s="81" t="s">
        <v>1100</v>
      </c>
      <c r="P310" s="81"/>
      <c r="Q310" s="81"/>
      <c r="R310" s="82">
        <v>46244</v>
      </c>
      <c r="S310" s="77"/>
      <c r="T310" s="77" t="s">
        <v>729</v>
      </c>
      <c r="U310" s="82"/>
      <c r="V310" s="77" t="s">
        <v>1362</v>
      </c>
      <c r="W310" s="78"/>
      <c r="X310" s="78"/>
      <c r="Y310" s="78"/>
      <c r="Z310" s="78"/>
    </row>
    <row r="311" spans="1:30" s="83" customFormat="1" ht="14.5" customHeight="1" x14ac:dyDescent="0.35">
      <c r="A311" s="77" t="s">
        <v>689</v>
      </c>
      <c r="B311" s="78" t="s">
        <v>690</v>
      </c>
      <c r="C311" s="78" t="s">
        <v>466</v>
      </c>
      <c r="D311" s="78" t="s">
        <v>665</v>
      </c>
      <c r="E311" s="79"/>
      <c r="F311" s="80"/>
      <c r="G311" s="80"/>
      <c r="H311" s="81" t="s">
        <v>1097</v>
      </c>
      <c r="I311" s="81">
        <v>3.5299999999999998E-2</v>
      </c>
      <c r="J311" s="81">
        <v>-0.21679999999999999</v>
      </c>
      <c r="K311" s="81">
        <v>-2.4799999999999999E-2</v>
      </c>
      <c r="L311" s="81" t="s">
        <v>1096</v>
      </c>
      <c r="M311" s="81">
        <v>0.18010000000000001</v>
      </c>
      <c r="N311" s="81"/>
      <c r="O311" s="81" t="s">
        <v>1095</v>
      </c>
      <c r="P311" s="81"/>
      <c r="Q311" s="81"/>
      <c r="R311" s="82">
        <v>46244</v>
      </c>
      <c r="S311" s="77"/>
      <c r="T311" s="77" t="s">
        <v>729</v>
      </c>
      <c r="U311" s="82"/>
      <c r="V311" s="77" t="s">
        <v>1362</v>
      </c>
      <c r="W311" s="78"/>
      <c r="X311" s="78"/>
      <c r="Y311" s="78"/>
      <c r="Z311" s="78"/>
    </row>
    <row r="312" spans="1:30" s="83" customFormat="1" ht="14.5" customHeight="1" x14ac:dyDescent="0.35">
      <c r="A312" s="77" t="s">
        <v>691</v>
      </c>
      <c r="B312" s="78" t="s">
        <v>692</v>
      </c>
      <c r="C312" s="78" t="s">
        <v>466</v>
      </c>
      <c r="D312" s="78" t="s">
        <v>665</v>
      </c>
      <c r="E312" s="79"/>
      <c r="F312" s="80"/>
      <c r="G312" s="80"/>
      <c r="H312" s="81"/>
      <c r="I312" s="81"/>
      <c r="J312" s="81">
        <v>-0.2094</v>
      </c>
      <c r="K312" s="81">
        <v>-1.5599999999999999E-2</v>
      </c>
      <c r="L312" s="81">
        <v>0.127</v>
      </c>
      <c r="M312" s="81" t="s">
        <v>1094</v>
      </c>
      <c r="N312" s="81"/>
      <c r="O312" s="81">
        <v>0.24479999999999999</v>
      </c>
      <c r="P312" s="81"/>
      <c r="Q312" s="81"/>
      <c r="R312" s="82">
        <v>46244</v>
      </c>
      <c r="S312" s="77"/>
      <c r="T312" s="77" t="s">
        <v>729</v>
      </c>
      <c r="U312" s="82"/>
      <c r="V312" s="77" t="s">
        <v>1362</v>
      </c>
      <c r="W312" s="78"/>
      <c r="X312" s="78"/>
      <c r="Y312" s="78"/>
      <c r="Z312" s="78"/>
    </row>
    <row r="313" spans="1:30" s="83" customFormat="1" ht="14.5" customHeight="1" x14ac:dyDescent="0.35">
      <c r="A313" s="77" t="s">
        <v>693</v>
      </c>
      <c r="B313" s="78" t="s">
        <v>694</v>
      </c>
      <c r="C313" s="78" t="s">
        <v>466</v>
      </c>
      <c r="D313" s="78" t="s">
        <v>665</v>
      </c>
      <c r="E313" s="79"/>
      <c r="F313" s="80"/>
      <c r="G313" s="80"/>
      <c r="H313" s="81">
        <v>0.39550000000000002</v>
      </c>
      <c r="I313" s="81">
        <v>-2.9000000000000001E-2</v>
      </c>
      <c r="J313" s="81">
        <v>-0.21199999999999999</v>
      </c>
      <c r="K313" s="81">
        <v>-0.20449999999999999</v>
      </c>
      <c r="L313" s="81">
        <v>0.1598</v>
      </c>
      <c r="M313" s="81">
        <v>8.3900000000000002E-2</v>
      </c>
      <c r="N313" s="81"/>
      <c r="O313" s="81">
        <v>-7.4000000000000003E-3</v>
      </c>
      <c r="P313" s="81"/>
      <c r="Q313" s="81"/>
      <c r="R313" s="82">
        <v>46244</v>
      </c>
      <c r="S313" s="77"/>
      <c r="T313" s="77" t="s">
        <v>729</v>
      </c>
      <c r="U313" s="82"/>
      <c r="V313" s="77" t="s">
        <v>1362</v>
      </c>
      <c r="W313" s="78"/>
      <c r="X313" s="78"/>
      <c r="Y313" s="78"/>
      <c r="Z313" s="78"/>
    </row>
    <row r="314" spans="1:30" s="83" customFormat="1" ht="14.5" customHeight="1" x14ac:dyDescent="0.35">
      <c r="A314" s="77" t="s">
        <v>695</v>
      </c>
      <c r="B314" s="78" t="s">
        <v>696</v>
      </c>
      <c r="C314" s="78" t="s">
        <v>466</v>
      </c>
      <c r="D314" s="78" t="s">
        <v>665</v>
      </c>
      <c r="E314" s="79"/>
      <c r="F314" s="80"/>
      <c r="G314" s="80"/>
      <c r="H314" s="81"/>
      <c r="I314" s="81"/>
      <c r="J314" s="81">
        <v>-0.21290000000000001</v>
      </c>
      <c r="K314" s="81">
        <v>-0.20530000000000001</v>
      </c>
      <c r="L314" s="81">
        <v>0.15870000000000001</v>
      </c>
      <c r="M314" s="81">
        <v>8.2799999999999999E-2</v>
      </c>
      <c r="N314" s="81"/>
      <c r="O314" s="81">
        <v>-8.0000000000000002E-3</v>
      </c>
      <c r="P314" s="81"/>
      <c r="Q314" s="81"/>
      <c r="R314" s="82">
        <v>46244</v>
      </c>
      <c r="S314" s="77"/>
      <c r="T314" s="77" t="s">
        <v>729</v>
      </c>
      <c r="U314" s="82"/>
      <c r="V314" s="77" t="s">
        <v>1362</v>
      </c>
      <c r="W314" s="78"/>
      <c r="X314" s="78"/>
      <c r="Y314" s="78"/>
      <c r="Z314" s="78"/>
    </row>
    <row r="315" spans="1:30" s="83" customFormat="1" ht="14.5" customHeight="1" x14ac:dyDescent="0.35">
      <c r="A315" s="77" t="s">
        <v>697</v>
      </c>
      <c r="B315" s="78" t="s">
        <v>698</v>
      </c>
      <c r="C315" s="78" t="s">
        <v>466</v>
      </c>
      <c r="D315" s="78" t="s">
        <v>665</v>
      </c>
      <c r="E315" s="79"/>
      <c r="F315" s="80"/>
      <c r="G315" s="80"/>
      <c r="H315" s="81" t="s">
        <v>1092</v>
      </c>
      <c r="I315" s="81">
        <v>-0.104</v>
      </c>
      <c r="J315" s="81">
        <v>-0.11119999999999999</v>
      </c>
      <c r="K315" s="81">
        <v>-5.33E-2</v>
      </c>
      <c r="L315" s="81">
        <v>8.8499999999999995E-2</v>
      </c>
      <c r="M315" s="81">
        <v>8.7900000000000006E-2</v>
      </c>
      <c r="N315" s="81"/>
      <c r="O315" s="81" t="s">
        <v>1093</v>
      </c>
      <c r="P315" s="81"/>
      <c r="Q315" s="81"/>
      <c r="R315" s="82">
        <v>46244</v>
      </c>
      <c r="S315" s="77"/>
      <c r="T315" s="77" t="s">
        <v>729</v>
      </c>
      <c r="U315" s="82"/>
      <c r="V315" s="77" t="s">
        <v>1362</v>
      </c>
      <c r="W315" s="78"/>
      <c r="X315" s="78"/>
      <c r="Y315" s="78"/>
      <c r="Z315" s="78"/>
    </row>
    <row r="316" spans="1:30" s="83" customFormat="1" ht="14.5" customHeight="1" x14ac:dyDescent="0.35">
      <c r="A316" s="77" t="s">
        <v>699</v>
      </c>
      <c r="B316" s="78" t="s">
        <v>700</v>
      </c>
      <c r="C316" s="78" t="s">
        <v>466</v>
      </c>
      <c r="D316" s="78" t="s">
        <v>665</v>
      </c>
      <c r="E316" s="79"/>
      <c r="F316" s="80"/>
      <c r="G316" s="80"/>
      <c r="H316" s="81">
        <v>0.25790000000000002</v>
      </c>
      <c r="I316" s="81">
        <v>6.25E-2</v>
      </c>
      <c r="J316" s="81">
        <v>-0.26300000000000001</v>
      </c>
      <c r="K316" s="81">
        <v>-3.3999999999999998E-3</v>
      </c>
      <c r="L316" s="81">
        <v>0.1489</v>
      </c>
      <c r="M316" s="81">
        <v>0.15690000000000001</v>
      </c>
      <c r="N316" s="81"/>
      <c r="O316" s="81">
        <v>0.25619999999999998</v>
      </c>
      <c r="P316" s="81"/>
      <c r="Q316" s="81"/>
      <c r="R316" s="82">
        <v>46244</v>
      </c>
      <c r="S316" s="77"/>
      <c r="T316" s="77" t="s">
        <v>729</v>
      </c>
      <c r="U316" s="82"/>
      <c r="V316" s="77" t="s">
        <v>1362</v>
      </c>
      <c r="W316" s="78"/>
      <c r="X316" s="78"/>
      <c r="Y316" s="78"/>
      <c r="Z316" s="78"/>
    </row>
    <row r="317" spans="1:30" s="83" customFormat="1" ht="14.5" customHeight="1" x14ac:dyDescent="0.35">
      <c r="A317" s="77" t="s">
        <v>701</v>
      </c>
      <c r="B317" s="78" t="s">
        <v>702</v>
      </c>
      <c r="C317" s="78" t="s">
        <v>466</v>
      </c>
      <c r="D317" s="78" t="s">
        <v>665</v>
      </c>
      <c r="E317" s="79"/>
      <c r="F317" s="80"/>
      <c r="G317" s="80"/>
      <c r="H317" s="81" t="s">
        <v>1091</v>
      </c>
      <c r="I317" s="81">
        <v>-0.15279999999999999</v>
      </c>
      <c r="J317" s="81">
        <v>-0.1678</v>
      </c>
      <c r="K317" s="81">
        <v>3.1699999999999999E-2</v>
      </c>
      <c r="L317" s="81">
        <v>4.53E-2</v>
      </c>
      <c r="M317" s="81" t="s">
        <v>1090</v>
      </c>
      <c r="N317" s="81"/>
      <c r="O317" s="81" t="s">
        <v>1089</v>
      </c>
      <c r="P317" s="81"/>
      <c r="Q317" s="81"/>
      <c r="R317" s="82">
        <v>46244</v>
      </c>
      <c r="S317" s="77"/>
      <c r="T317" s="77" t="s">
        <v>729</v>
      </c>
      <c r="U317" s="82"/>
      <c r="V317" s="77" t="s">
        <v>1362</v>
      </c>
      <c r="W317" s="78"/>
      <c r="X317" s="78"/>
      <c r="Y317" s="78"/>
      <c r="Z317" s="78"/>
    </row>
    <row r="318" spans="1:30" ht="14.5" customHeight="1" x14ac:dyDescent="0.35">
      <c r="A318" s="39" t="s">
        <v>703</v>
      </c>
      <c r="B318" s="40"/>
      <c r="C318" s="40"/>
      <c r="D318" s="40"/>
      <c r="E318" s="54"/>
      <c r="F318" s="58"/>
      <c r="G318" s="58"/>
      <c r="H318" s="42"/>
      <c r="I318" s="42"/>
      <c r="J318" s="42"/>
      <c r="K318" s="42"/>
      <c r="L318" s="42"/>
      <c r="M318" s="42"/>
      <c r="N318" s="42"/>
      <c r="O318" s="42"/>
      <c r="P318" s="42"/>
      <c r="Q318" s="42"/>
      <c r="R318" s="45"/>
      <c r="S318" s="39"/>
      <c r="T318" s="39"/>
      <c r="U318" s="45"/>
      <c r="V318" s="39"/>
      <c r="W318" s="40"/>
      <c r="X318" s="40"/>
      <c r="Y318" s="61"/>
      <c r="Z318" s="61"/>
      <c r="AC318"/>
      <c r="AD318"/>
    </row>
    <row r="319" spans="1:30" ht="14.5" customHeight="1" x14ac:dyDescent="0.35">
      <c r="A319" s="2" t="s">
        <v>704</v>
      </c>
      <c r="B319" s="3" t="s">
        <v>705</v>
      </c>
      <c r="C319" s="3" t="s">
        <v>703</v>
      </c>
      <c r="D319" s="3"/>
      <c r="E319" s="53"/>
      <c r="F319" s="57"/>
      <c r="G319" s="57"/>
      <c r="H319" s="5">
        <v>-3.8899999999999997E-2</v>
      </c>
      <c r="I319" s="5">
        <v>-5.4000000000000003E-3</v>
      </c>
      <c r="J319" s="5">
        <v>0.1366</v>
      </c>
      <c r="K319" s="5">
        <v>0.26440000000000002</v>
      </c>
      <c r="L319" s="5">
        <v>0.64800000000000002</v>
      </c>
      <c r="M319" s="5"/>
      <c r="N319" s="5"/>
      <c r="O319" s="5"/>
      <c r="P319" s="5"/>
      <c r="R319" s="7"/>
      <c r="S319" s="2"/>
      <c r="T319" s="2"/>
      <c r="U319" s="7"/>
      <c r="V319" s="2"/>
      <c r="W319" s="3"/>
      <c r="X319" s="3"/>
      <c r="Y319" s="3"/>
      <c r="Z319" s="3"/>
      <c r="AC319"/>
      <c r="AD319"/>
    </row>
    <row r="320" spans="1:30" ht="14.5" customHeight="1" x14ac:dyDescent="0.35">
      <c r="A320" s="2" t="s">
        <v>706</v>
      </c>
      <c r="B320" s="3" t="s">
        <v>707</v>
      </c>
      <c r="C320" s="3" t="s">
        <v>703</v>
      </c>
      <c r="D320" s="3"/>
      <c r="E320" s="53"/>
      <c r="F320" s="57"/>
      <c r="G320" s="57"/>
      <c r="H320" s="5"/>
      <c r="I320" s="5"/>
      <c r="J320" s="5"/>
      <c r="K320" s="5"/>
      <c r="L320" s="5">
        <v>-7.0800000000000002E-2</v>
      </c>
      <c r="M320" s="5"/>
      <c r="N320" s="5"/>
      <c r="O320" s="5"/>
      <c r="P320" s="5"/>
      <c r="R320" s="7"/>
      <c r="S320" s="2"/>
      <c r="T320" s="2"/>
      <c r="U320" s="7"/>
      <c r="V320" s="2"/>
      <c r="W320" s="3"/>
      <c r="X320" s="3"/>
      <c r="Y320" s="3"/>
      <c r="Z320" s="3"/>
      <c r="AC320"/>
      <c r="AD320"/>
    </row>
    <row r="321" spans="1:30" ht="14.5" customHeight="1" x14ac:dyDescent="0.35">
      <c r="A321" s="2"/>
      <c r="B321" s="3"/>
      <c r="C321" s="3"/>
      <c r="D321" s="33"/>
      <c r="E321" s="53"/>
      <c r="F321" s="57"/>
      <c r="G321" s="57"/>
      <c r="H321" s="5"/>
      <c r="I321" s="5"/>
      <c r="J321" s="5"/>
      <c r="K321" s="5"/>
      <c r="L321" s="5"/>
      <c r="M321" s="5"/>
      <c r="N321" s="5"/>
      <c r="O321" s="5"/>
      <c r="P321" s="5"/>
      <c r="R321" s="7"/>
      <c r="S321" s="2"/>
      <c r="T321" s="2"/>
      <c r="U321" s="7"/>
      <c r="V321" s="2"/>
      <c r="W321" s="3"/>
      <c r="X321" s="3"/>
      <c r="Y321" s="3"/>
      <c r="Z321" s="3"/>
      <c r="AC321"/>
      <c r="AD321"/>
    </row>
    <row r="322" spans="1:30" ht="14.5" customHeight="1" x14ac:dyDescent="0.35">
      <c r="A322" s="2"/>
      <c r="B322" s="3"/>
      <c r="C322" s="3"/>
      <c r="D322" s="3"/>
      <c r="E322" s="53"/>
      <c r="F322" s="57"/>
      <c r="G322" s="57"/>
      <c r="H322" s="5"/>
      <c r="I322" s="5"/>
      <c r="J322" s="5"/>
      <c r="K322" s="5"/>
      <c r="L322" s="5"/>
      <c r="M322" s="5"/>
      <c r="N322" s="5"/>
      <c r="O322" s="5"/>
      <c r="P322" s="5"/>
      <c r="R322" s="7"/>
      <c r="S322" s="2"/>
      <c r="T322" s="2"/>
      <c r="U322" s="7"/>
      <c r="V322" s="2"/>
      <c r="W322" s="3"/>
      <c r="X322" s="3"/>
      <c r="Y322" s="3"/>
      <c r="Z322" s="3"/>
      <c r="AC322"/>
      <c r="AD322"/>
    </row>
    <row r="323" spans="1:30" ht="14.5" customHeight="1" x14ac:dyDescent="0.35">
      <c r="A323" s="2"/>
      <c r="B323" s="3"/>
      <c r="C323" s="3"/>
      <c r="D323" s="3"/>
      <c r="E323" s="53"/>
      <c r="F323" s="57"/>
      <c r="G323" s="57"/>
      <c r="H323" s="5"/>
      <c r="I323" s="5"/>
      <c r="J323" s="5"/>
      <c r="K323" s="5"/>
      <c r="L323" s="5"/>
      <c r="M323" s="5"/>
      <c r="N323" s="5"/>
      <c r="O323" s="5"/>
      <c r="P323" s="5"/>
      <c r="R323" s="7"/>
      <c r="S323" s="2"/>
      <c r="T323" s="2"/>
      <c r="U323" s="7"/>
      <c r="V323" s="2"/>
      <c r="W323" s="3"/>
      <c r="X323" s="3"/>
      <c r="Y323" s="3"/>
      <c r="Z323" s="3"/>
      <c r="AC323"/>
      <c r="AD323"/>
    </row>
    <row r="324" spans="1:30" ht="14.5" customHeight="1" x14ac:dyDescent="0.35">
      <c r="A324" s="2"/>
      <c r="B324" s="3"/>
      <c r="C324" s="3"/>
      <c r="D324" s="3"/>
      <c r="E324" s="53"/>
      <c r="F324" s="57"/>
      <c r="G324" s="57"/>
      <c r="H324" s="5"/>
      <c r="I324" s="5"/>
      <c r="J324" s="5"/>
      <c r="K324" s="5"/>
      <c r="L324" s="5"/>
      <c r="M324" s="5"/>
      <c r="N324" s="5"/>
      <c r="O324" s="5"/>
      <c r="P324" s="5"/>
      <c r="R324" s="7"/>
      <c r="S324" s="2"/>
      <c r="T324" s="2"/>
      <c r="U324" s="7"/>
      <c r="V324" s="2"/>
      <c r="W324" s="3"/>
      <c r="X324" s="3"/>
      <c r="Y324" s="3"/>
      <c r="Z324" s="3"/>
      <c r="AC324"/>
      <c r="AD324"/>
    </row>
    <row r="325" spans="1:30" ht="14.5" customHeight="1" x14ac:dyDescent="0.35">
      <c r="A325" s="2"/>
      <c r="B325" s="3"/>
      <c r="C325" s="3"/>
      <c r="D325" s="3"/>
      <c r="E325" s="53"/>
      <c r="F325" s="57"/>
      <c r="G325" s="57"/>
      <c r="H325" s="5"/>
      <c r="I325" s="5"/>
      <c r="J325" s="5"/>
      <c r="K325" s="5"/>
      <c r="L325" s="5"/>
      <c r="M325" s="5"/>
      <c r="N325" s="5"/>
      <c r="O325" s="5"/>
      <c r="P325" s="5"/>
      <c r="R325" s="7"/>
      <c r="S325" s="2"/>
      <c r="T325" s="2"/>
      <c r="U325" s="7"/>
      <c r="V325" s="2"/>
      <c r="W325" s="3"/>
      <c r="X325" s="3"/>
      <c r="Y325" s="3"/>
      <c r="Z325" s="3"/>
      <c r="AC325"/>
      <c r="AD325"/>
    </row>
    <row r="326" spans="1:30" ht="14.5" customHeight="1" x14ac:dyDescent="0.35">
      <c r="A326" s="2"/>
      <c r="B326" s="3"/>
      <c r="C326" s="3"/>
      <c r="D326" s="3"/>
      <c r="E326" s="53"/>
      <c r="F326" s="57"/>
      <c r="G326" s="57"/>
      <c r="H326" s="5"/>
      <c r="I326" s="5"/>
      <c r="J326" s="5"/>
      <c r="K326" s="5"/>
      <c r="L326" s="5"/>
      <c r="M326" s="5"/>
      <c r="N326" s="5"/>
      <c r="O326" s="5"/>
      <c r="P326" s="5"/>
      <c r="R326" s="7"/>
      <c r="S326" s="2"/>
      <c r="T326" s="2"/>
      <c r="U326" s="7"/>
      <c r="V326" s="2"/>
      <c r="W326" s="3"/>
      <c r="X326" s="3"/>
      <c r="Y326" s="3"/>
      <c r="Z326" s="3"/>
      <c r="AC326"/>
      <c r="AD326"/>
    </row>
    <row r="327" spans="1:30" ht="14.5" customHeight="1" x14ac:dyDescent="0.35">
      <c r="A327" s="2"/>
      <c r="B327" s="3"/>
      <c r="C327" s="3"/>
      <c r="D327" s="3"/>
      <c r="E327" s="53"/>
      <c r="F327" s="57"/>
      <c r="G327" s="57"/>
      <c r="H327" s="5"/>
      <c r="I327" s="5"/>
      <c r="J327" s="5"/>
      <c r="K327" s="5"/>
      <c r="L327" s="5"/>
      <c r="M327" s="5"/>
      <c r="N327" s="5"/>
      <c r="O327" s="5"/>
      <c r="P327" s="5"/>
      <c r="R327" s="7"/>
      <c r="S327" s="2"/>
      <c r="T327" s="2"/>
      <c r="U327" s="7"/>
      <c r="V327" s="2"/>
      <c r="W327" s="3"/>
      <c r="X327" s="3"/>
      <c r="Y327" s="3"/>
      <c r="Z327" s="3"/>
      <c r="AC327"/>
      <c r="AD327"/>
    </row>
    <row r="328" spans="1:30" ht="14.5" customHeight="1" x14ac:dyDescent="0.35">
      <c r="A328" s="2"/>
      <c r="B328" s="3"/>
      <c r="C328" s="3"/>
      <c r="D328" s="3"/>
      <c r="E328" s="53"/>
      <c r="F328" s="57"/>
      <c r="G328" s="57"/>
      <c r="H328" s="5"/>
      <c r="I328" s="5"/>
      <c r="J328" s="5"/>
      <c r="K328" s="5"/>
      <c r="L328" s="5"/>
      <c r="M328" s="5"/>
      <c r="N328" s="5"/>
      <c r="O328" s="5"/>
      <c r="P328" s="5"/>
      <c r="R328" s="7"/>
      <c r="S328" s="2"/>
      <c r="T328" s="2"/>
      <c r="U328" s="7"/>
      <c r="V328" s="2"/>
      <c r="W328" s="3"/>
      <c r="X328" s="3"/>
      <c r="Y328" s="3"/>
      <c r="Z328" s="3"/>
      <c r="AC328"/>
      <c r="AD328"/>
    </row>
    <row r="329" spans="1:30" ht="14.5" customHeight="1" x14ac:dyDescent="0.35">
      <c r="A329" s="2"/>
      <c r="B329" s="3"/>
      <c r="C329" s="3"/>
      <c r="D329" s="3"/>
      <c r="E329" s="53"/>
      <c r="F329" s="57"/>
      <c r="G329" s="57"/>
      <c r="H329" s="5"/>
      <c r="I329" s="5"/>
      <c r="J329" s="5"/>
      <c r="K329" s="5"/>
      <c r="L329" s="5"/>
      <c r="M329" s="5"/>
      <c r="N329" s="5"/>
      <c r="O329" s="5"/>
      <c r="P329" s="5"/>
      <c r="R329" s="7"/>
      <c r="S329" s="2"/>
      <c r="T329" s="2"/>
      <c r="U329" s="7"/>
      <c r="V329" s="2"/>
      <c r="W329" s="3"/>
      <c r="X329" s="3"/>
      <c r="Y329" s="3"/>
      <c r="Z329" s="3"/>
      <c r="AC329"/>
      <c r="AD329"/>
    </row>
    <row r="330" spans="1:30" ht="14.5" customHeight="1" x14ac:dyDescent="0.35">
      <c r="A330" s="2"/>
      <c r="B330" s="3"/>
      <c r="C330" s="3"/>
      <c r="D330" s="3"/>
      <c r="E330" s="53"/>
      <c r="F330" s="57"/>
      <c r="G330" s="57"/>
      <c r="H330" s="5"/>
      <c r="I330" s="5"/>
      <c r="J330" s="5"/>
      <c r="K330" s="5"/>
      <c r="L330" s="5"/>
      <c r="M330" s="5"/>
      <c r="N330" s="5"/>
      <c r="O330" s="5"/>
      <c r="P330" s="5"/>
      <c r="R330" s="7"/>
      <c r="S330" s="2"/>
      <c r="T330" s="2"/>
      <c r="U330" s="7"/>
      <c r="V330" s="2"/>
      <c r="W330" s="3"/>
      <c r="X330" s="3"/>
      <c r="Y330" s="3"/>
      <c r="Z330" s="3"/>
      <c r="AC330"/>
      <c r="AD330"/>
    </row>
    <row r="331" spans="1:30" ht="14.5" customHeight="1" x14ac:dyDescent="0.35">
      <c r="A331" s="2"/>
      <c r="B331" s="3"/>
      <c r="C331" s="3"/>
      <c r="D331" s="3"/>
      <c r="E331" s="53"/>
      <c r="F331" s="57"/>
      <c r="G331" s="57"/>
      <c r="H331" s="5"/>
      <c r="I331" s="5"/>
      <c r="J331" s="5"/>
      <c r="K331" s="5"/>
      <c r="L331" s="5"/>
      <c r="M331" s="5"/>
      <c r="N331" s="5"/>
      <c r="O331" s="5"/>
      <c r="P331" s="5"/>
      <c r="R331" s="7"/>
      <c r="S331" s="2"/>
      <c r="T331" s="2"/>
      <c r="U331" s="7"/>
      <c r="V331" s="2"/>
      <c r="W331" s="3"/>
      <c r="X331" s="3"/>
      <c r="Y331" s="3"/>
      <c r="Z331" s="3"/>
      <c r="AC331"/>
      <c r="AD331"/>
    </row>
    <row r="332" spans="1:30" ht="14.5" customHeight="1" x14ac:dyDescent="0.35">
      <c r="A332" s="2"/>
      <c r="B332" s="3"/>
      <c r="C332" s="3"/>
      <c r="D332" s="3"/>
      <c r="E332" s="53"/>
      <c r="F332" s="57"/>
      <c r="G332" s="57"/>
      <c r="H332" s="5"/>
      <c r="I332" s="5"/>
      <c r="J332" s="5"/>
      <c r="K332" s="5"/>
      <c r="L332" s="5"/>
      <c r="M332" s="5"/>
      <c r="N332" s="5"/>
      <c r="O332" s="5"/>
      <c r="P332" s="5"/>
      <c r="R332" s="7"/>
      <c r="S332" s="2"/>
      <c r="T332" s="2"/>
      <c r="U332" s="7"/>
      <c r="V332" s="2"/>
      <c r="W332" s="3"/>
      <c r="X332" s="3"/>
      <c r="Y332" s="3"/>
      <c r="Z332" s="3"/>
      <c r="AC332"/>
      <c r="AD332"/>
    </row>
    <row r="333" spans="1:30" ht="14.5" customHeight="1" x14ac:dyDescent="0.35">
      <c r="A333" s="2"/>
      <c r="B333" s="3"/>
      <c r="C333" s="3"/>
      <c r="D333" s="3"/>
      <c r="E333" s="53"/>
      <c r="F333" s="57"/>
      <c r="G333" s="57"/>
      <c r="H333" s="5"/>
      <c r="I333" s="5"/>
      <c r="J333" s="5"/>
      <c r="K333" s="5"/>
      <c r="L333" s="5"/>
      <c r="M333" s="5"/>
      <c r="N333" s="5"/>
      <c r="O333" s="5"/>
      <c r="P333" s="5"/>
      <c r="R333" s="7"/>
      <c r="S333" s="2"/>
      <c r="T333" s="2"/>
      <c r="U333" s="7"/>
      <c r="V333" s="2"/>
      <c r="W333" s="3"/>
      <c r="X333" s="3"/>
      <c r="Y333" s="3"/>
      <c r="Z333" s="3"/>
      <c r="AC333"/>
      <c r="AD333"/>
    </row>
    <row r="334" spans="1:30" ht="14.5" customHeight="1" x14ac:dyDescent="0.35">
      <c r="A334" s="2"/>
      <c r="B334" s="3"/>
      <c r="C334" s="3"/>
      <c r="D334" s="3"/>
      <c r="E334" s="53"/>
      <c r="F334" s="57"/>
      <c r="G334" s="57"/>
      <c r="H334" s="5"/>
      <c r="I334" s="5"/>
      <c r="J334" s="5"/>
      <c r="K334" s="5"/>
      <c r="L334" s="5"/>
      <c r="M334" s="5"/>
      <c r="N334" s="5"/>
      <c r="O334" s="5"/>
      <c r="P334" s="5"/>
      <c r="R334" s="7"/>
      <c r="S334" s="2"/>
      <c r="T334" s="2"/>
      <c r="U334" s="7"/>
      <c r="V334" s="2"/>
      <c r="W334" s="3"/>
      <c r="X334" s="3"/>
      <c r="Y334" s="3"/>
      <c r="Z334" s="3"/>
      <c r="AC334"/>
      <c r="AD334"/>
    </row>
    <row r="335" spans="1:30" ht="14.5" customHeight="1" x14ac:dyDescent="0.35">
      <c r="A335" s="2"/>
      <c r="B335" s="3"/>
      <c r="C335" s="3"/>
      <c r="D335" s="3"/>
      <c r="E335" s="53"/>
      <c r="F335" s="57"/>
      <c r="G335" s="57"/>
      <c r="H335" s="5"/>
      <c r="I335" s="5"/>
      <c r="J335" s="5"/>
      <c r="K335" s="5"/>
      <c r="L335" s="5"/>
      <c r="M335" s="5"/>
      <c r="N335" s="5"/>
      <c r="O335" s="5"/>
      <c r="P335" s="5"/>
      <c r="R335" s="7"/>
      <c r="S335" s="2"/>
      <c r="T335" s="2"/>
      <c r="U335" s="7"/>
      <c r="V335" s="2"/>
      <c r="W335" s="3"/>
      <c r="X335" s="3"/>
      <c r="Y335" s="3"/>
      <c r="Z335" s="3"/>
      <c r="AC335"/>
      <c r="AD335"/>
    </row>
    <row r="336" spans="1:30" ht="14.5" customHeight="1" x14ac:dyDescent="0.35">
      <c r="A336" s="2"/>
      <c r="B336" s="3"/>
      <c r="C336" s="3"/>
      <c r="D336" s="3"/>
      <c r="E336" s="53"/>
      <c r="F336" s="57"/>
      <c r="G336" s="57"/>
      <c r="H336" s="5"/>
      <c r="I336" s="5"/>
      <c r="J336" s="5"/>
      <c r="K336" s="5"/>
      <c r="L336" s="5"/>
      <c r="M336" s="5"/>
      <c r="N336" s="5"/>
      <c r="O336" s="5"/>
      <c r="P336" s="5"/>
      <c r="R336" s="7"/>
      <c r="S336" s="2"/>
      <c r="T336" s="2"/>
      <c r="U336" s="7"/>
      <c r="V336" s="2"/>
      <c r="W336" s="3"/>
      <c r="X336" s="3"/>
      <c r="Y336" s="3"/>
      <c r="Z336" s="3"/>
      <c r="AC336"/>
      <c r="AD336"/>
    </row>
    <row r="337" spans="1:30" ht="14.5" customHeight="1" x14ac:dyDescent="0.35">
      <c r="A337" s="2"/>
      <c r="B337" s="3"/>
      <c r="C337" s="3"/>
      <c r="D337" s="3"/>
      <c r="E337" s="53"/>
      <c r="F337" s="57"/>
      <c r="G337" s="57"/>
      <c r="H337" s="5"/>
      <c r="I337" s="5"/>
      <c r="J337" s="5"/>
      <c r="K337" s="5"/>
      <c r="L337" s="5"/>
      <c r="M337" s="5"/>
      <c r="N337" s="5"/>
      <c r="O337" s="5"/>
      <c r="P337" s="5"/>
      <c r="R337" s="7"/>
      <c r="S337" s="2"/>
      <c r="T337" s="2"/>
      <c r="U337" s="7"/>
      <c r="V337" s="2"/>
      <c r="W337" s="3"/>
      <c r="X337" s="3"/>
      <c r="Y337" s="3"/>
      <c r="Z337" s="3"/>
      <c r="AC337"/>
      <c r="AD337"/>
    </row>
    <row r="338" spans="1:30" ht="14.5" customHeight="1" x14ac:dyDescent="0.35">
      <c r="A338" s="2"/>
      <c r="B338" s="3"/>
      <c r="C338" s="3"/>
      <c r="D338" s="3"/>
      <c r="E338" s="53"/>
      <c r="F338" s="57"/>
      <c r="G338" s="57"/>
      <c r="H338" s="5"/>
      <c r="I338" s="5"/>
      <c r="J338" s="5"/>
      <c r="K338" s="5"/>
      <c r="L338" s="5"/>
      <c r="M338" s="5"/>
      <c r="N338" s="5"/>
      <c r="O338" s="5"/>
      <c r="P338" s="5"/>
      <c r="R338" s="7"/>
      <c r="S338" s="2"/>
      <c r="T338" s="2"/>
      <c r="U338" s="7"/>
      <c r="V338" s="2"/>
      <c r="W338" s="3"/>
      <c r="X338" s="3"/>
      <c r="Y338" s="3"/>
      <c r="Z338" s="3"/>
      <c r="AC338"/>
      <c r="AD338"/>
    </row>
    <row r="339" spans="1:30" ht="14.5" customHeight="1" x14ac:dyDescent="0.35">
      <c r="A339" s="2"/>
      <c r="B339" s="3"/>
      <c r="C339" s="3"/>
      <c r="D339" s="3"/>
      <c r="E339" s="53"/>
      <c r="F339" s="57"/>
      <c r="G339" s="57"/>
      <c r="H339" s="5"/>
      <c r="I339" s="5"/>
      <c r="J339" s="5"/>
      <c r="K339" s="5"/>
      <c r="L339" s="5"/>
      <c r="M339" s="5"/>
      <c r="N339" s="5"/>
      <c r="O339" s="5"/>
      <c r="P339" s="5"/>
      <c r="R339" s="7"/>
      <c r="S339" s="2"/>
      <c r="T339" s="2"/>
      <c r="U339" s="7"/>
      <c r="V339" s="2"/>
      <c r="W339" s="3"/>
      <c r="X339" s="3"/>
      <c r="Y339" s="3"/>
      <c r="Z339" s="3"/>
      <c r="AC339"/>
      <c r="AD339"/>
    </row>
    <row r="340" spans="1:30" ht="14.5" customHeight="1" x14ac:dyDescent="0.35">
      <c r="A340" s="2"/>
      <c r="B340" s="3"/>
      <c r="C340" s="3"/>
      <c r="D340" s="3"/>
      <c r="E340" s="53"/>
      <c r="F340" s="57"/>
      <c r="G340" s="57"/>
      <c r="H340" s="5"/>
      <c r="I340" s="5"/>
      <c r="J340" s="5"/>
      <c r="K340" s="5"/>
      <c r="L340" s="5"/>
      <c r="M340" s="5"/>
      <c r="N340" s="5"/>
      <c r="O340" s="5"/>
      <c r="P340" s="5"/>
      <c r="R340" s="7"/>
      <c r="S340" s="2"/>
      <c r="T340" s="2"/>
      <c r="U340" s="7"/>
      <c r="V340" s="2"/>
      <c r="W340" s="3"/>
      <c r="X340" s="3"/>
      <c r="Y340" s="3"/>
      <c r="Z340" s="3"/>
      <c r="AC340"/>
      <c r="AD340"/>
    </row>
    <row r="341" spans="1:30" ht="14.5" customHeight="1" x14ac:dyDescent="0.35">
      <c r="A341" s="2"/>
      <c r="B341" s="3"/>
      <c r="C341" s="3"/>
      <c r="D341" s="3"/>
      <c r="E341" s="53"/>
      <c r="F341" s="57"/>
      <c r="G341" s="57"/>
      <c r="H341" s="5"/>
      <c r="I341" s="5"/>
      <c r="J341" s="5"/>
      <c r="K341" s="5"/>
      <c r="L341" s="5"/>
      <c r="M341" s="5"/>
      <c r="N341" s="5"/>
      <c r="O341" s="5"/>
      <c r="P341" s="5"/>
      <c r="R341" s="7"/>
      <c r="S341" s="2"/>
      <c r="T341" s="2"/>
      <c r="U341" s="7"/>
      <c r="V341" s="2"/>
      <c r="W341" s="3"/>
      <c r="X341" s="3"/>
      <c r="Y341" s="3"/>
      <c r="Z341" s="3"/>
      <c r="AC341"/>
      <c r="AD341"/>
    </row>
    <row r="342" spans="1:30" ht="14.5" customHeight="1" x14ac:dyDescent="0.35">
      <c r="A342" s="2"/>
      <c r="B342" s="3"/>
      <c r="C342" s="3"/>
      <c r="D342" s="3"/>
      <c r="E342" s="53"/>
      <c r="F342" s="57"/>
      <c r="G342" s="57"/>
      <c r="H342" s="5"/>
      <c r="I342" s="5"/>
      <c r="J342" s="5"/>
      <c r="K342" s="5"/>
      <c r="L342" s="5"/>
      <c r="M342" s="5"/>
      <c r="N342" s="5"/>
      <c r="O342" s="5"/>
      <c r="P342" s="5"/>
      <c r="R342" s="7"/>
      <c r="S342" s="2"/>
      <c r="T342" s="2"/>
      <c r="U342" s="7"/>
      <c r="V342" s="2"/>
      <c r="W342" s="3"/>
      <c r="X342" s="3"/>
      <c r="Y342" s="3"/>
      <c r="Z342" s="3"/>
      <c r="AC342"/>
      <c r="AD342"/>
    </row>
    <row r="343" spans="1:30" ht="14.5" customHeight="1" x14ac:dyDescent="0.35">
      <c r="A343" s="2"/>
      <c r="B343" s="3"/>
      <c r="C343" s="3"/>
      <c r="D343" s="3"/>
      <c r="E343" s="53"/>
      <c r="F343" s="57"/>
      <c r="G343" s="57"/>
      <c r="H343" s="5"/>
      <c r="I343" s="5"/>
      <c r="J343" s="5"/>
      <c r="K343" s="5"/>
      <c r="L343" s="5"/>
      <c r="M343" s="5"/>
      <c r="N343" s="5"/>
      <c r="O343" s="5"/>
      <c r="P343" s="5"/>
      <c r="R343" s="7"/>
      <c r="S343" s="2"/>
      <c r="T343" s="2"/>
      <c r="U343" s="7"/>
      <c r="V343" s="2"/>
      <c r="W343" s="3"/>
      <c r="X343" s="3"/>
      <c r="Y343" s="3"/>
      <c r="Z343" s="3"/>
      <c r="AC343"/>
      <c r="AD343"/>
    </row>
    <row r="344" spans="1:30" ht="14.5" customHeight="1" x14ac:dyDescent="0.35">
      <c r="A344" s="2"/>
      <c r="B344" s="3"/>
      <c r="C344" s="3"/>
      <c r="D344" s="3"/>
      <c r="E344" s="53"/>
      <c r="F344" s="57"/>
      <c r="G344" s="57"/>
      <c r="H344" s="5"/>
      <c r="I344" s="5"/>
      <c r="J344" s="5"/>
      <c r="K344" s="5"/>
      <c r="L344" s="5"/>
      <c r="M344" s="5"/>
      <c r="N344" s="5"/>
      <c r="O344" s="5"/>
      <c r="P344" s="5"/>
      <c r="R344" s="7"/>
      <c r="S344" s="2"/>
      <c r="T344" s="2"/>
      <c r="U344" s="7"/>
      <c r="V344" s="2"/>
      <c r="W344" s="3"/>
      <c r="X344" s="3"/>
      <c r="Y344" s="3"/>
      <c r="Z344" s="3"/>
      <c r="AC344"/>
      <c r="AD344"/>
    </row>
    <row r="345" spans="1:30" ht="14.5" customHeight="1" x14ac:dyDescent="0.35">
      <c r="A345" s="2"/>
      <c r="B345" s="3"/>
      <c r="C345" s="3"/>
      <c r="D345" s="3"/>
      <c r="E345" s="53"/>
      <c r="F345" s="57"/>
      <c r="G345" s="57"/>
      <c r="H345" s="5"/>
      <c r="I345" s="5"/>
      <c r="J345" s="5"/>
      <c r="K345" s="5"/>
      <c r="L345" s="5"/>
      <c r="M345" s="5"/>
      <c r="N345" s="5"/>
      <c r="O345" s="5"/>
      <c r="P345" s="5"/>
      <c r="R345" s="7"/>
      <c r="S345" s="2"/>
      <c r="T345" s="2"/>
      <c r="U345" s="7"/>
      <c r="V345" s="2"/>
      <c r="W345" s="3"/>
      <c r="X345" s="3"/>
      <c r="Y345" s="3"/>
      <c r="Z345" s="3"/>
      <c r="AC345"/>
      <c r="AD345"/>
    </row>
    <row r="346" spans="1:30" ht="14.5" customHeight="1" x14ac:dyDescent="0.35">
      <c r="A346" s="2"/>
      <c r="B346" s="3"/>
      <c r="C346" s="3"/>
      <c r="D346" s="3"/>
      <c r="E346" s="53"/>
      <c r="F346" s="57"/>
      <c r="G346" s="57"/>
      <c r="H346" s="5"/>
      <c r="I346" s="5"/>
      <c r="J346" s="5"/>
      <c r="K346" s="5"/>
      <c r="L346" s="5"/>
      <c r="M346" s="5"/>
      <c r="N346" s="5"/>
      <c r="O346" s="5"/>
      <c r="P346" s="5"/>
      <c r="R346" s="7"/>
      <c r="S346" s="2"/>
      <c r="T346" s="2"/>
      <c r="U346" s="7"/>
      <c r="V346" s="2"/>
      <c r="W346" s="3"/>
      <c r="X346" s="3"/>
      <c r="Y346" s="3"/>
      <c r="Z346" s="3"/>
      <c r="AC346"/>
      <c r="AD346"/>
    </row>
    <row r="347" spans="1:30" ht="14.5" customHeight="1" x14ac:dyDescent="0.35">
      <c r="A347" s="2"/>
      <c r="B347" s="3"/>
      <c r="C347" s="3"/>
      <c r="D347" s="3"/>
      <c r="E347" s="53"/>
      <c r="F347" s="57"/>
      <c r="G347" s="57"/>
      <c r="H347" s="5"/>
      <c r="I347" s="5"/>
      <c r="J347" s="5"/>
      <c r="K347" s="5"/>
      <c r="L347" s="5"/>
      <c r="M347" s="5"/>
      <c r="N347" s="5"/>
      <c r="O347" s="5"/>
      <c r="P347" s="5"/>
      <c r="R347" s="7"/>
      <c r="S347" s="2"/>
      <c r="T347" s="2"/>
      <c r="U347" s="7"/>
      <c r="V347" s="2"/>
      <c r="W347" s="3"/>
      <c r="X347" s="3"/>
      <c r="Y347" s="3"/>
      <c r="Z347" s="3"/>
      <c r="AC347"/>
      <c r="AD347"/>
    </row>
    <row r="348" spans="1:30" ht="14.5" customHeight="1" x14ac:dyDescent="0.35">
      <c r="A348" s="2"/>
      <c r="B348" s="3"/>
      <c r="C348" s="3"/>
      <c r="D348" s="3"/>
      <c r="E348" s="53"/>
      <c r="F348" s="57"/>
      <c r="G348" s="57"/>
      <c r="H348" s="5"/>
      <c r="I348" s="5"/>
      <c r="J348" s="5"/>
      <c r="K348" s="5"/>
      <c r="L348" s="5"/>
      <c r="M348" s="5"/>
      <c r="N348" s="5"/>
      <c r="O348" s="5"/>
      <c r="P348" s="5"/>
      <c r="R348" s="7"/>
      <c r="S348" s="2"/>
      <c r="T348" s="2"/>
      <c r="U348" s="7"/>
      <c r="V348" s="2"/>
      <c r="W348" s="3"/>
      <c r="X348" s="3"/>
      <c r="Y348" s="3"/>
      <c r="Z348" s="3"/>
      <c r="AC348"/>
      <c r="AD348"/>
    </row>
    <row r="349" spans="1:30" ht="14.5" customHeight="1" x14ac:dyDescent="0.35">
      <c r="A349" s="2"/>
      <c r="B349" s="3"/>
      <c r="C349" s="3"/>
      <c r="D349" s="3"/>
      <c r="E349" s="53"/>
      <c r="F349" s="57"/>
      <c r="G349" s="57"/>
      <c r="H349" s="5"/>
      <c r="I349" s="5"/>
      <c r="J349" s="5"/>
      <c r="K349" s="5"/>
      <c r="L349" s="5"/>
      <c r="M349" s="5"/>
      <c r="N349" s="5"/>
      <c r="O349" s="5"/>
      <c r="P349" s="5"/>
      <c r="R349" s="7"/>
      <c r="S349" s="2"/>
      <c r="T349" s="2"/>
      <c r="U349" s="7"/>
      <c r="V349" s="2"/>
      <c r="W349" s="3"/>
      <c r="X349" s="3"/>
      <c r="Y349" s="3"/>
      <c r="Z349" s="3"/>
      <c r="AC349"/>
      <c r="AD349"/>
    </row>
    <row r="350" spans="1:30" ht="14.5" customHeight="1" x14ac:dyDescent="0.35">
      <c r="A350" s="2"/>
      <c r="B350" s="3"/>
      <c r="C350" s="3"/>
      <c r="D350" s="3"/>
      <c r="E350" s="53"/>
      <c r="F350" s="57"/>
      <c r="G350" s="57"/>
      <c r="H350" s="5"/>
      <c r="I350" s="5"/>
      <c r="J350" s="5"/>
      <c r="K350" s="5"/>
      <c r="L350" s="5"/>
      <c r="M350" s="5"/>
      <c r="N350" s="5"/>
      <c r="O350" s="5"/>
      <c r="P350" s="5"/>
      <c r="R350" s="7"/>
      <c r="S350" s="2"/>
      <c r="T350" s="2"/>
      <c r="U350" s="7"/>
      <c r="V350" s="2"/>
      <c r="W350" s="3"/>
      <c r="X350" s="3"/>
      <c r="Y350" s="3"/>
      <c r="Z350" s="3"/>
      <c r="AC350"/>
      <c r="AD350"/>
    </row>
    <row r="351" spans="1:30" ht="14.5" customHeight="1" x14ac:dyDescent="0.35">
      <c r="A351" s="2"/>
      <c r="B351" s="3"/>
      <c r="C351" s="3"/>
      <c r="D351" s="3"/>
      <c r="E351" s="53"/>
      <c r="F351" s="57"/>
      <c r="G351" s="57"/>
      <c r="H351" s="5"/>
      <c r="I351" s="5"/>
      <c r="J351" s="5"/>
      <c r="K351" s="5"/>
      <c r="L351" s="5"/>
      <c r="M351" s="5"/>
      <c r="N351" s="5"/>
      <c r="O351" s="5"/>
      <c r="P351" s="5"/>
      <c r="R351" s="7"/>
      <c r="S351" s="2"/>
      <c r="T351" s="2"/>
      <c r="U351" s="7"/>
      <c r="V351" s="2"/>
      <c r="W351" s="3"/>
      <c r="X351" s="3"/>
      <c r="Y351" s="3"/>
      <c r="Z351" s="3"/>
      <c r="AC351"/>
      <c r="AD351"/>
    </row>
    <row r="352" spans="1:30" ht="14.5" customHeight="1" x14ac:dyDescent="0.35">
      <c r="A352" s="2"/>
      <c r="B352" s="3"/>
      <c r="C352" s="3"/>
      <c r="D352" s="3"/>
      <c r="E352" s="53"/>
      <c r="F352" s="57"/>
      <c r="G352" s="57"/>
      <c r="H352" s="5"/>
      <c r="I352" s="5"/>
      <c r="J352" s="5"/>
      <c r="K352" s="5"/>
      <c r="L352" s="5"/>
      <c r="M352" s="5"/>
      <c r="N352" s="5"/>
      <c r="O352" s="5"/>
      <c r="P352" s="5"/>
      <c r="R352" s="7"/>
      <c r="S352" s="2"/>
      <c r="T352" s="2"/>
      <c r="U352" s="7"/>
      <c r="V352" s="2"/>
      <c r="W352" s="3"/>
      <c r="X352" s="3"/>
      <c r="Y352" s="3"/>
      <c r="Z352" s="3"/>
      <c r="AC352"/>
      <c r="AD352"/>
    </row>
    <row r="353" spans="1:30" ht="14.5" customHeight="1" x14ac:dyDescent="0.35">
      <c r="A353" s="2"/>
      <c r="B353" s="3"/>
      <c r="C353" s="3"/>
      <c r="D353" s="3"/>
      <c r="E353" s="53"/>
      <c r="F353" s="57"/>
      <c r="G353" s="57"/>
      <c r="H353" s="5"/>
      <c r="I353" s="5"/>
      <c r="J353" s="5"/>
      <c r="K353" s="5"/>
      <c r="L353" s="5"/>
      <c r="M353" s="5"/>
      <c r="N353" s="5"/>
      <c r="O353" s="5"/>
      <c r="P353" s="5"/>
      <c r="R353" s="7"/>
      <c r="S353" s="2"/>
      <c r="T353" s="2"/>
      <c r="U353" s="7"/>
      <c r="V353" s="2"/>
      <c r="W353" s="3"/>
      <c r="X353" s="3"/>
      <c r="Y353" s="3"/>
      <c r="Z353" s="3"/>
      <c r="AC353"/>
      <c r="AD353"/>
    </row>
    <row r="354" spans="1:30" ht="14.5" customHeight="1" x14ac:dyDescent="0.35">
      <c r="A354" s="2"/>
      <c r="B354" s="3"/>
      <c r="C354" s="3"/>
      <c r="D354" s="3"/>
      <c r="E354" s="53"/>
      <c r="F354" s="57"/>
      <c r="G354" s="57"/>
      <c r="H354" s="5"/>
      <c r="I354" s="5"/>
      <c r="J354" s="5"/>
      <c r="K354" s="5"/>
      <c r="L354" s="5"/>
      <c r="M354" s="5"/>
      <c r="N354" s="5"/>
      <c r="O354" s="5"/>
      <c r="P354" s="5"/>
      <c r="R354" s="7"/>
      <c r="S354" s="2"/>
      <c r="T354" s="2"/>
      <c r="U354" s="7"/>
      <c r="V354" s="2"/>
      <c r="W354" s="3"/>
      <c r="X354" s="3"/>
      <c r="Y354" s="3"/>
      <c r="Z354" s="3"/>
      <c r="AC354"/>
      <c r="AD354"/>
    </row>
    <row r="355" spans="1:30" ht="14.5" customHeight="1" x14ac:dyDescent="0.35">
      <c r="A355" s="2"/>
      <c r="B355" s="3"/>
      <c r="C355" s="3"/>
      <c r="D355" s="3"/>
      <c r="E355" s="53"/>
      <c r="F355" s="57"/>
      <c r="G355" s="57"/>
      <c r="H355" s="5"/>
      <c r="I355" s="5"/>
      <c r="J355" s="5"/>
      <c r="K355" s="5"/>
      <c r="L355" s="5"/>
      <c r="M355" s="5"/>
      <c r="N355" s="5"/>
      <c r="O355" s="5"/>
      <c r="P355" s="5"/>
      <c r="R355" s="7"/>
      <c r="S355" s="2"/>
      <c r="T355" s="2"/>
      <c r="U355" s="7"/>
      <c r="V355" s="2"/>
      <c r="W355" s="3"/>
      <c r="X355" s="3"/>
      <c r="Y355" s="3"/>
      <c r="Z355" s="3"/>
      <c r="AC355"/>
      <c r="AD355"/>
    </row>
    <row r="356" spans="1:30" ht="14.5" customHeight="1" x14ac:dyDescent="0.35">
      <c r="A356" s="2"/>
      <c r="B356" s="3"/>
      <c r="C356" s="3"/>
      <c r="D356" s="3"/>
      <c r="E356" s="53"/>
      <c r="F356" s="57"/>
      <c r="G356" s="57"/>
      <c r="H356" s="5"/>
      <c r="I356" s="5"/>
      <c r="J356" s="5"/>
      <c r="K356" s="5"/>
      <c r="L356" s="5"/>
      <c r="M356" s="5"/>
      <c r="N356" s="5"/>
      <c r="O356" s="5"/>
      <c r="P356" s="5"/>
      <c r="R356" s="7"/>
      <c r="S356" s="2"/>
      <c r="T356" s="2"/>
      <c r="U356" s="7"/>
      <c r="V356" s="2"/>
      <c r="W356" s="3"/>
      <c r="X356" s="3"/>
      <c r="Y356" s="3"/>
      <c r="Z356" s="3"/>
      <c r="AC356"/>
      <c r="AD356"/>
    </row>
    <row r="357" spans="1:30" ht="14.5" customHeight="1" x14ac:dyDescent="0.35">
      <c r="A357" s="2"/>
      <c r="B357" s="3"/>
      <c r="C357" s="3"/>
      <c r="D357" s="3"/>
      <c r="E357" s="53"/>
      <c r="F357" s="57"/>
      <c r="G357" s="57"/>
      <c r="H357" s="5"/>
      <c r="I357" s="5"/>
      <c r="J357" s="5"/>
      <c r="K357" s="5"/>
      <c r="L357" s="5"/>
      <c r="M357" s="5"/>
      <c r="N357" s="5"/>
      <c r="O357" s="5"/>
      <c r="P357" s="5"/>
      <c r="R357" s="7"/>
      <c r="S357" s="2"/>
      <c r="T357" s="2"/>
      <c r="U357" s="7"/>
      <c r="V357" s="2"/>
      <c r="W357" s="3"/>
      <c r="X357" s="3"/>
      <c r="Y357" s="3"/>
      <c r="Z357" s="3"/>
      <c r="AC357"/>
      <c r="AD357"/>
    </row>
    <row r="358" spans="1:30" ht="14.5" customHeight="1" x14ac:dyDescent="0.35">
      <c r="A358" s="2"/>
      <c r="B358" s="3"/>
      <c r="C358" s="3"/>
      <c r="D358" s="3"/>
      <c r="E358" s="53"/>
      <c r="F358" s="57"/>
      <c r="G358" s="57"/>
      <c r="H358" s="5"/>
      <c r="I358" s="5"/>
      <c r="J358" s="5"/>
      <c r="K358" s="5"/>
      <c r="L358" s="5"/>
      <c r="M358" s="5"/>
      <c r="N358" s="5"/>
      <c r="O358" s="5"/>
      <c r="P358" s="5"/>
      <c r="R358" s="7"/>
      <c r="S358" s="2"/>
      <c r="T358" s="2"/>
      <c r="U358" s="7"/>
      <c r="V358" s="2"/>
      <c r="W358" s="3"/>
      <c r="X358" s="3"/>
      <c r="Y358" s="3"/>
      <c r="Z358" s="3"/>
      <c r="AC358"/>
      <c r="AD358"/>
    </row>
    <row r="359" spans="1:30" ht="14.5" customHeight="1" x14ac:dyDescent="0.35">
      <c r="A359" s="2"/>
      <c r="B359" s="3"/>
      <c r="C359" s="3"/>
      <c r="D359" s="3"/>
      <c r="E359" s="53"/>
      <c r="F359" s="57"/>
      <c r="G359" s="57"/>
      <c r="H359" s="5"/>
      <c r="I359" s="5"/>
      <c r="J359" s="5"/>
      <c r="K359" s="5"/>
      <c r="L359" s="5"/>
      <c r="M359" s="5"/>
      <c r="N359" s="5"/>
      <c r="O359" s="5"/>
      <c r="P359" s="5"/>
      <c r="R359" s="7"/>
      <c r="S359" s="2"/>
      <c r="T359" s="2"/>
      <c r="U359" s="7"/>
      <c r="V359" s="2"/>
      <c r="W359" s="3"/>
      <c r="X359" s="3"/>
      <c r="Y359" s="3"/>
      <c r="Z359" s="3"/>
      <c r="AC359"/>
      <c r="AD359"/>
    </row>
    <row r="360" spans="1:30" ht="14.5" customHeight="1" x14ac:dyDescent="0.35">
      <c r="A360" s="2"/>
      <c r="B360" s="3"/>
      <c r="C360" s="3"/>
      <c r="D360" s="3"/>
      <c r="E360" s="53"/>
      <c r="F360" s="57"/>
      <c r="G360" s="57"/>
      <c r="H360" s="5"/>
      <c r="I360" s="5"/>
      <c r="J360" s="5"/>
      <c r="K360" s="5"/>
      <c r="L360" s="5"/>
      <c r="M360" s="5"/>
      <c r="N360" s="5"/>
      <c r="O360" s="5"/>
      <c r="P360" s="5"/>
      <c r="R360" s="7"/>
      <c r="S360" s="2"/>
      <c r="T360" s="2"/>
      <c r="U360" s="7"/>
      <c r="V360" s="2"/>
      <c r="W360" s="3"/>
      <c r="X360" s="3"/>
      <c r="Y360" s="3"/>
      <c r="Z360" s="3"/>
      <c r="AC360"/>
      <c r="AD360"/>
    </row>
    <row r="361" spans="1:30" ht="14.5" customHeight="1" x14ac:dyDescent="0.35">
      <c r="A361" s="2"/>
      <c r="B361" s="3"/>
      <c r="C361" s="3"/>
      <c r="D361" s="3"/>
      <c r="E361" s="53"/>
      <c r="F361" s="57"/>
      <c r="G361" s="57"/>
      <c r="H361" s="5"/>
      <c r="I361" s="5"/>
      <c r="J361" s="5"/>
      <c r="K361" s="5"/>
      <c r="L361" s="5"/>
      <c r="M361" s="5"/>
      <c r="N361" s="5"/>
      <c r="O361" s="5"/>
      <c r="P361" s="5"/>
      <c r="R361" s="7"/>
      <c r="S361" s="2"/>
      <c r="T361" s="2"/>
      <c r="U361" s="7"/>
      <c r="V361" s="2"/>
      <c r="W361" s="3"/>
      <c r="X361" s="3"/>
      <c r="Y361" s="3"/>
      <c r="Z361" s="3"/>
      <c r="AC361"/>
      <c r="AD361"/>
    </row>
    <row r="362" spans="1:30" ht="14.5" customHeight="1" x14ac:dyDescent="0.35">
      <c r="A362" s="2"/>
      <c r="B362" s="3"/>
      <c r="C362" s="3"/>
      <c r="D362" s="3"/>
      <c r="E362" s="53"/>
      <c r="F362" s="57"/>
      <c r="G362" s="57"/>
      <c r="H362" s="5"/>
      <c r="I362" s="5"/>
      <c r="J362" s="5"/>
      <c r="K362" s="5"/>
      <c r="L362" s="5"/>
      <c r="M362" s="5"/>
      <c r="N362" s="5"/>
      <c r="O362" s="5"/>
      <c r="P362" s="5"/>
      <c r="R362" s="7"/>
      <c r="S362" s="2"/>
      <c r="T362" s="2"/>
      <c r="U362" s="7"/>
      <c r="V362" s="2"/>
      <c r="W362" s="3"/>
      <c r="X362" s="3"/>
      <c r="Y362" s="3"/>
      <c r="Z362" s="3"/>
      <c r="AC362"/>
      <c r="AD362"/>
    </row>
    <row r="363" spans="1:30" ht="14.5" customHeight="1" x14ac:dyDescent="0.35">
      <c r="A363" s="2"/>
      <c r="B363" s="3"/>
      <c r="C363" s="3"/>
      <c r="D363" s="3"/>
      <c r="E363" s="53"/>
      <c r="F363" s="57"/>
      <c r="G363" s="57"/>
      <c r="H363" s="5"/>
      <c r="I363" s="5"/>
      <c r="J363" s="5"/>
      <c r="K363" s="5"/>
      <c r="L363" s="5"/>
      <c r="M363" s="5"/>
      <c r="N363" s="5"/>
      <c r="O363" s="5"/>
      <c r="P363" s="5"/>
      <c r="R363" s="7"/>
      <c r="S363" s="2"/>
      <c r="T363" s="2"/>
      <c r="U363" s="7"/>
      <c r="V363" s="2"/>
      <c r="W363" s="3"/>
      <c r="X363" s="3"/>
      <c r="Y363" s="3"/>
      <c r="Z363" s="3"/>
      <c r="AC363"/>
      <c r="AD363"/>
    </row>
    <row r="364" spans="1:30" ht="14.5" customHeight="1" x14ac:dyDescent="0.35">
      <c r="A364" s="2"/>
      <c r="B364" s="3"/>
      <c r="C364" s="3"/>
      <c r="D364" s="3"/>
      <c r="E364" s="53"/>
      <c r="F364" s="57"/>
      <c r="G364" s="57"/>
      <c r="H364" s="5"/>
      <c r="I364" s="5"/>
      <c r="J364" s="5"/>
      <c r="K364" s="5"/>
      <c r="L364" s="5"/>
      <c r="M364" s="5"/>
      <c r="N364" s="5"/>
      <c r="O364" s="5"/>
      <c r="P364" s="5"/>
      <c r="R364" s="7"/>
      <c r="S364" s="2"/>
      <c r="T364" s="2"/>
      <c r="U364" s="7"/>
      <c r="V364" s="2"/>
      <c r="W364" s="3"/>
      <c r="X364" s="3"/>
      <c r="Y364" s="3"/>
      <c r="Z364" s="3"/>
      <c r="AC364"/>
      <c r="AD364"/>
    </row>
    <row r="365" spans="1:30" ht="14.5" customHeight="1" x14ac:dyDescent="0.35">
      <c r="A365" s="2"/>
      <c r="B365" s="3"/>
      <c r="C365" s="3"/>
      <c r="D365" s="3"/>
      <c r="E365" s="53"/>
      <c r="F365" s="57"/>
      <c r="G365" s="57"/>
      <c r="H365" s="5"/>
      <c r="I365" s="5"/>
      <c r="J365" s="5"/>
      <c r="K365" s="5"/>
      <c r="L365" s="5"/>
      <c r="M365" s="5"/>
      <c r="N365" s="5"/>
      <c r="O365" s="5"/>
      <c r="P365" s="5"/>
      <c r="R365" s="7"/>
      <c r="S365" s="2"/>
      <c r="T365" s="2"/>
      <c r="U365" s="7"/>
      <c r="V365" s="2"/>
      <c r="W365" s="3"/>
      <c r="X365" s="3"/>
      <c r="Y365" s="3"/>
      <c r="Z365" s="3"/>
      <c r="AC365"/>
      <c r="AD365"/>
    </row>
    <row r="366" spans="1:30" ht="14.5" customHeight="1" x14ac:dyDescent="0.35">
      <c r="A366" s="2"/>
      <c r="B366" s="3"/>
      <c r="C366" s="3"/>
      <c r="D366" s="3"/>
      <c r="E366" s="53"/>
      <c r="F366" s="57"/>
      <c r="G366" s="57"/>
      <c r="H366" s="5"/>
      <c r="I366" s="5"/>
      <c r="J366" s="5"/>
      <c r="K366" s="5"/>
      <c r="L366" s="5"/>
      <c r="M366" s="5"/>
      <c r="N366" s="5"/>
      <c r="O366" s="5"/>
      <c r="P366" s="5"/>
      <c r="R366" s="7"/>
      <c r="S366" s="2"/>
      <c r="T366" s="2"/>
      <c r="U366" s="7"/>
      <c r="V366" s="2"/>
      <c r="W366" s="3"/>
      <c r="X366" s="3"/>
      <c r="Y366" s="3"/>
      <c r="Z366" s="3"/>
      <c r="AC366"/>
      <c r="AD366"/>
    </row>
    <row r="367" spans="1:30" ht="14.5" customHeight="1" x14ac:dyDescent="0.35">
      <c r="A367" s="2"/>
      <c r="B367" s="3"/>
      <c r="C367" s="3"/>
      <c r="D367" s="3"/>
      <c r="E367" s="53"/>
      <c r="F367" s="57"/>
      <c r="G367" s="57"/>
      <c r="H367" s="5"/>
      <c r="I367" s="5"/>
      <c r="J367" s="5"/>
      <c r="K367" s="5"/>
      <c r="L367" s="5"/>
      <c r="M367" s="5"/>
      <c r="N367" s="5"/>
      <c r="O367" s="5"/>
      <c r="P367" s="5"/>
      <c r="R367" s="7"/>
      <c r="S367" s="2"/>
      <c r="T367" s="2"/>
      <c r="U367" s="7"/>
      <c r="V367" s="2"/>
      <c r="W367" s="3"/>
      <c r="X367" s="3"/>
      <c r="Y367" s="3"/>
      <c r="Z367" s="3"/>
      <c r="AC367"/>
      <c r="AD367"/>
    </row>
    <row r="368" spans="1:30" ht="14.5" customHeight="1" x14ac:dyDescent="0.35">
      <c r="A368" s="2"/>
      <c r="B368" s="3"/>
      <c r="C368" s="3"/>
      <c r="D368" s="3"/>
      <c r="E368" s="53"/>
      <c r="F368" s="57"/>
      <c r="G368" s="57"/>
      <c r="H368" s="5"/>
      <c r="I368" s="5"/>
      <c r="J368" s="5"/>
      <c r="K368" s="5"/>
      <c r="L368" s="5"/>
      <c r="M368" s="5"/>
      <c r="N368" s="5"/>
      <c r="O368" s="5"/>
      <c r="P368" s="5"/>
      <c r="R368" s="7"/>
      <c r="S368" s="2"/>
      <c r="T368" s="2"/>
      <c r="U368" s="7"/>
      <c r="V368" s="2"/>
      <c r="W368" s="3"/>
      <c r="X368" s="3"/>
      <c r="Y368" s="3"/>
      <c r="Z368" s="3"/>
      <c r="AC368"/>
      <c r="AD368"/>
    </row>
    <row r="369" spans="1:30" ht="14.5" customHeight="1" x14ac:dyDescent="0.35">
      <c r="A369" s="2"/>
      <c r="B369" s="3"/>
      <c r="C369" s="3"/>
      <c r="D369" s="3"/>
      <c r="E369" s="53"/>
      <c r="F369" s="57"/>
      <c r="G369" s="57"/>
      <c r="H369" s="5"/>
      <c r="I369" s="5"/>
      <c r="J369" s="5"/>
      <c r="K369" s="5"/>
      <c r="L369" s="5"/>
      <c r="M369" s="5"/>
      <c r="N369" s="5"/>
      <c r="O369" s="5"/>
      <c r="P369" s="5"/>
      <c r="R369" s="7"/>
      <c r="S369" s="2"/>
      <c r="T369" s="2"/>
      <c r="U369" s="7"/>
      <c r="V369" s="2"/>
      <c r="W369" s="3"/>
      <c r="X369" s="3"/>
      <c r="Y369" s="3"/>
      <c r="Z369" s="3"/>
      <c r="AC369"/>
      <c r="AD369"/>
    </row>
    <row r="370" spans="1:30" ht="14.5" customHeight="1" x14ac:dyDescent="0.35">
      <c r="A370" s="2"/>
      <c r="B370" s="3"/>
      <c r="C370" s="3"/>
      <c r="D370" s="3"/>
      <c r="E370" s="53"/>
      <c r="F370" s="57"/>
      <c r="G370" s="57"/>
      <c r="H370" s="5"/>
      <c r="I370" s="5"/>
      <c r="J370" s="5"/>
      <c r="K370" s="5"/>
      <c r="L370" s="5"/>
      <c r="M370" s="5"/>
      <c r="N370" s="5"/>
      <c r="O370" s="5"/>
      <c r="P370" s="5"/>
      <c r="R370" s="7"/>
      <c r="S370" s="2"/>
      <c r="T370" s="2"/>
      <c r="U370" s="7"/>
      <c r="V370" s="2"/>
      <c r="W370" s="3"/>
      <c r="X370" s="3"/>
      <c r="Y370" s="3"/>
      <c r="Z370" s="3"/>
      <c r="AC370"/>
      <c r="AD370"/>
    </row>
    <row r="371" spans="1:30" ht="14.5" customHeight="1" x14ac:dyDescent="0.35">
      <c r="A371" s="2"/>
      <c r="B371" s="3"/>
      <c r="C371" s="3"/>
      <c r="D371" s="3"/>
      <c r="E371" s="53"/>
      <c r="F371" s="57"/>
      <c r="G371" s="57"/>
      <c r="H371" s="5"/>
      <c r="I371" s="5"/>
      <c r="J371" s="5"/>
      <c r="K371" s="5"/>
      <c r="L371" s="5"/>
      <c r="M371" s="5"/>
      <c r="N371" s="5"/>
      <c r="O371" s="5"/>
      <c r="P371" s="5"/>
      <c r="R371" s="7"/>
      <c r="S371" s="2"/>
      <c r="T371" s="2"/>
      <c r="U371" s="7"/>
      <c r="V371" s="2"/>
      <c r="W371" s="3"/>
      <c r="X371" s="3"/>
      <c r="Y371" s="3"/>
      <c r="Z371" s="3"/>
      <c r="AC371"/>
      <c r="AD371"/>
    </row>
    <row r="372" spans="1:30" ht="14.5" customHeight="1" x14ac:dyDescent="0.35">
      <c r="A372" s="2"/>
      <c r="B372" s="3"/>
      <c r="C372" s="3"/>
      <c r="D372" s="3"/>
      <c r="E372" s="53"/>
      <c r="F372" s="57"/>
      <c r="G372" s="57"/>
      <c r="H372" s="5"/>
      <c r="I372" s="5"/>
      <c r="J372" s="5"/>
      <c r="K372" s="5"/>
      <c r="L372" s="5"/>
      <c r="M372" s="5"/>
      <c r="N372" s="5"/>
      <c r="O372" s="5"/>
      <c r="P372" s="5"/>
      <c r="R372" s="7"/>
      <c r="S372" s="2"/>
      <c r="T372" s="2"/>
      <c r="U372" s="7"/>
      <c r="V372" s="2"/>
      <c r="W372" s="3"/>
      <c r="X372" s="3"/>
      <c r="Y372" s="3"/>
      <c r="Z372" s="3"/>
      <c r="AC372"/>
      <c r="AD372"/>
    </row>
    <row r="373" spans="1:30" ht="14.5" customHeight="1" x14ac:dyDescent="0.35">
      <c r="A373" s="2"/>
      <c r="B373" s="3"/>
      <c r="C373" s="3"/>
      <c r="D373" s="3"/>
      <c r="E373" s="53"/>
      <c r="F373" s="57"/>
      <c r="G373" s="57"/>
      <c r="H373" s="5"/>
      <c r="I373" s="5"/>
      <c r="J373" s="5"/>
      <c r="K373" s="5"/>
      <c r="L373" s="5"/>
      <c r="M373" s="5"/>
      <c r="N373" s="5"/>
      <c r="O373" s="5"/>
      <c r="P373" s="5"/>
      <c r="R373" s="7"/>
      <c r="S373" s="2"/>
      <c r="T373" s="2"/>
      <c r="U373" s="7"/>
      <c r="V373" s="2"/>
      <c r="W373" s="3"/>
      <c r="X373" s="3"/>
      <c r="Y373" s="3"/>
      <c r="Z373" s="3"/>
      <c r="AC373"/>
      <c r="AD373"/>
    </row>
    <row r="374" spans="1:30" ht="14.5" customHeight="1" x14ac:dyDescent="0.35">
      <c r="A374" s="2"/>
      <c r="B374" s="3"/>
      <c r="C374" s="3"/>
      <c r="D374" s="3"/>
      <c r="E374" s="53"/>
      <c r="F374" s="57"/>
      <c r="G374" s="57"/>
      <c r="H374" s="5"/>
      <c r="I374" s="5"/>
      <c r="J374" s="5"/>
      <c r="K374" s="5"/>
      <c r="L374" s="5"/>
      <c r="M374" s="5"/>
      <c r="N374" s="5"/>
      <c r="O374" s="5"/>
      <c r="P374" s="5"/>
      <c r="R374" s="7"/>
      <c r="S374" s="2"/>
      <c r="T374" s="2"/>
      <c r="U374" s="7"/>
      <c r="V374" s="2"/>
      <c r="W374" s="3"/>
      <c r="X374" s="3"/>
      <c r="Y374" s="3"/>
      <c r="Z374" s="3"/>
      <c r="AC374"/>
      <c r="AD374"/>
    </row>
    <row r="375" spans="1:30" ht="14.5" customHeight="1" x14ac:dyDescent="0.35">
      <c r="A375" s="2"/>
      <c r="B375" s="3"/>
      <c r="C375" s="3"/>
      <c r="D375" s="3"/>
      <c r="E375" s="53"/>
      <c r="F375" s="57"/>
      <c r="G375" s="57"/>
      <c r="H375" s="5"/>
      <c r="I375" s="5"/>
      <c r="J375" s="5"/>
      <c r="K375" s="5"/>
      <c r="L375" s="5"/>
      <c r="M375" s="5"/>
      <c r="N375" s="5"/>
      <c r="O375" s="5"/>
      <c r="P375" s="5"/>
      <c r="R375" s="7"/>
      <c r="S375" s="2"/>
      <c r="T375" s="2"/>
      <c r="U375" s="7"/>
      <c r="V375" s="2"/>
      <c r="W375" s="3"/>
      <c r="X375" s="3"/>
      <c r="Y375" s="3"/>
      <c r="Z375" s="3"/>
      <c r="AC375"/>
      <c r="AD375"/>
    </row>
    <row r="376" spans="1:30" ht="14.5" customHeight="1" x14ac:dyDescent="0.35">
      <c r="A376" s="2"/>
      <c r="B376" s="3"/>
      <c r="C376" s="3"/>
      <c r="D376" s="3"/>
      <c r="E376" s="53"/>
      <c r="F376" s="57"/>
      <c r="G376" s="57"/>
      <c r="H376" s="5"/>
      <c r="I376" s="5"/>
      <c r="J376" s="5"/>
      <c r="K376" s="5"/>
      <c r="L376" s="5"/>
      <c r="M376" s="5"/>
      <c r="N376" s="5"/>
      <c r="O376" s="5"/>
      <c r="P376" s="5"/>
      <c r="R376" s="7"/>
      <c r="S376" s="2"/>
      <c r="T376" s="2"/>
      <c r="U376" s="7"/>
      <c r="V376" s="2"/>
      <c r="W376" s="3"/>
      <c r="X376" s="3"/>
      <c r="Y376" s="3"/>
      <c r="Z376" s="3"/>
      <c r="AC376"/>
      <c r="AD376"/>
    </row>
    <row r="377" spans="1:30" ht="14.5" customHeight="1" x14ac:dyDescent="0.35">
      <c r="A377" s="2"/>
      <c r="B377" s="3"/>
      <c r="C377" s="3"/>
      <c r="D377" s="3"/>
      <c r="E377" s="53"/>
      <c r="F377" s="57"/>
      <c r="G377" s="57"/>
      <c r="H377" s="5"/>
      <c r="I377" s="5"/>
      <c r="J377" s="5"/>
      <c r="K377" s="5"/>
      <c r="L377" s="5"/>
      <c r="M377" s="5"/>
      <c r="N377" s="5"/>
      <c r="O377" s="5"/>
      <c r="P377" s="5"/>
      <c r="R377" s="7"/>
      <c r="S377" s="2"/>
      <c r="T377" s="2"/>
      <c r="U377" s="7"/>
      <c r="V377" s="2"/>
      <c r="W377" s="3"/>
      <c r="X377" s="3"/>
      <c r="Y377" s="3"/>
      <c r="Z377" s="3"/>
      <c r="AC377"/>
      <c r="AD377"/>
    </row>
    <row r="378" spans="1:30" ht="14.5" customHeight="1" x14ac:dyDescent="0.35">
      <c r="A378" s="2"/>
      <c r="B378" s="3"/>
      <c r="C378" s="3"/>
      <c r="D378" s="3"/>
      <c r="E378" s="53"/>
      <c r="F378" s="57"/>
      <c r="G378" s="57"/>
      <c r="H378" s="5"/>
      <c r="I378" s="5"/>
      <c r="J378" s="5"/>
      <c r="K378" s="5"/>
      <c r="L378" s="5"/>
      <c r="M378" s="5"/>
      <c r="N378" s="5"/>
      <c r="O378" s="5"/>
      <c r="P378" s="5"/>
      <c r="R378" s="7"/>
      <c r="S378" s="2"/>
      <c r="T378" s="2"/>
      <c r="U378" s="7"/>
      <c r="V378" s="2"/>
      <c r="W378" s="3"/>
      <c r="X378" s="3"/>
      <c r="Y378" s="3"/>
      <c r="Z378" s="3"/>
      <c r="AC378"/>
      <c r="AD378"/>
    </row>
    <row r="379" spans="1:30" ht="14.5" customHeight="1" x14ac:dyDescent="0.35">
      <c r="A379" s="2"/>
      <c r="B379" s="3"/>
      <c r="C379" s="3"/>
      <c r="D379" s="3"/>
      <c r="E379" s="53"/>
      <c r="F379" s="57"/>
      <c r="G379" s="57"/>
      <c r="H379" s="5"/>
      <c r="I379" s="5"/>
      <c r="J379" s="5"/>
      <c r="K379" s="5"/>
      <c r="L379" s="5"/>
      <c r="M379" s="5"/>
      <c r="N379" s="5"/>
      <c r="O379" s="5"/>
      <c r="P379" s="5"/>
      <c r="R379" s="7"/>
      <c r="S379" s="2"/>
      <c r="T379" s="2"/>
      <c r="U379" s="7"/>
      <c r="V379" s="2"/>
      <c r="W379" s="3"/>
      <c r="X379" s="3"/>
      <c r="Y379" s="3"/>
      <c r="Z379" s="3"/>
      <c r="AC379"/>
      <c r="AD379"/>
    </row>
    <row r="380" spans="1:30" ht="14.5" customHeight="1" x14ac:dyDescent="0.35">
      <c r="A380" s="2"/>
      <c r="B380" s="3"/>
      <c r="C380" s="3"/>
      <c r="D380" s="3"/>
      <c r="E380" s="53"/>
      <c r="F380" s="57"/>
      <c r="G380" s="57"/>
      <c r="H380" s="5"/>
      <c r="I380" s="5"/>
      <c r="J380" s="5"/>
      <c r="K380" s="5"/>
      <c r="L380" s="5"/>
      <c r="M380" s="5"/>
      <c r="N380" s="5"/>
      <c r="O380" s="5"/>
      <c r="P380" s="5"/>
      <c r="R380" s="7"/>
      <c r="S380" s="2"/>
      <c r="T380" s="2"/>
      <c r="U380" s="7"/>
      <c r="V380" s="2"/>
      <c r="W380" s="3"/>
      <c r="X380" s="3"/>
      <c r="Y380" s="3"/>
      <c r="Z380" s="3"/>
      <c r="AC380"/>
      <c r="AD380"/>
    </row>
    <row r="381" spans="1:30" ht="14.5" customHeight="1" x14ac:dyDescent="0.35">
      <c r="A381" s="2"/>
      <c r="B381" s="3"/>
      <c r="C381" s="3"/>
      <c r="D381" s="3"/>
      <c r="E381" s="53"/>
      <c r="F381" s="57"/>
      <c r="G381" s="57"/>
      <c r="H381" s="5"/>
      <c r="I381" s="5"/>
      <c r="J381" s="5"/>
      <c r="K381" s="5"/>
      <c r="L381" s="5"/>
      <c r="M381" s="5"/>
      <c r="N381" s="5"/>
      <c r="O381" s="5"/>
      <c r="P381" s="5"/>
      <c r="R381" s="7"/>
      <c r="S381" s="2"/>
      <c r="T381" s="2"/>
      <c r="U381" s="7"/>
      <c r="V381" s="2"/>
      <c r="W381" s="3"/>
      <c r="X381" s="3"/>
      <c r="Y381" s="3"/>
      <c r="Z381" s="3"/>
      <c r="AC381"/>
      <c r="AD381"/>
    </row>
    <row r="382" spans="1:30" ht="14.5" customHeight="1" x14ac:dyDescent="0.35">
      <c r="A382" s="2"/>
      <c r="B382" s="3"/>
      <c r="C382" s="3"/>
      <c r="D382" s="3"/>
      <c r="E382" s="53"/>
      <c r="F382" s="57"/>
      <c r="G382" s="57"/>
      <c r="H382" s="5"/>
      <c r="I382" s="5"/>
      <c r="J382" s="5"/>
      <c r="K382" s="5"/>
      <c r="L382" s="5"/>
      <c r="M382" s="5"/>
      <c r="N382" s="5"/>
      <c r="O382" s="5"/>
      <c r="P382" s="5"/>
      <c r="R382" s="7"/>
      <c r="S382" s="2"/>
      <c r="T382" s="2"/>
      <c r="U382" s="7"/>
      <c r="V382" s="2"/>
      <c r="W382" s="3"/>
      <c r="X382" s="3"/>
      <c r="Y382" s="3"/>
      <c r="Z382" s="3"/>
      <c r="AC382"/>
      <c r="AD382"/>
    </row>
    <row r="383" spans="1:30" ht="14.5" customHeight="1" x14ac:dyDescent="0.35">
      <c r="A383" s="2"/>
      <c r="B383" s="3"/>
      <c r="C383" s="3"/>
      <c r="D383" s="3"/>
      <c r="E383" s="53"/>
      <c r="F383" s="57"/>
      <c r="G383" s="57"/>
      <c r="H383" s="5"/>
      <c r="I383" s="5"/>
      <c r="J383" s="5"/>
      <c r="K383" s="5"/>
      <c r="L383" s="5"/>
      <c r="M383" s="5"/>
      <c r="N383" s="5"/>
      <c r="O383" s="5"/>
      <c r="P383" s="5"/>
      <c r="R383" s="7"/>
      <c r="S383" s="2"/>
      <c r="T383" s="2"/>
      <c r="U383" s="7"/>
      <c r="V383" s="2"/>
      <c r="W383" s="3"/>
      <c r="X383" s="3"/>
      <c r="Y383" s="3"/>
      <c r="Z383" s="3"/>
      <c r="AC383"/>
      <c r="AD383"/>
    </row>
    <row r="384" spans="1:30" ht="14.5" customHeight="1" x14ac:dyDescent="0.35">
      <c r="A384" s="2"/>
      <c r="B384" s="3"/>
      <c r="C384" s="3"/>
      <c r="D384" s="3"/>
      <c r="E384" s="53"/>
      <c r="F384" s="57"/>
      <c r="G384" s="57"/>
      <c r="H384" s="5"/>
      <c r="I384" s="5"/>
      <c r="J384" s="5"/>
      <c r="K384" s="5"/>
      <c r="L384" s="5"/>
      <c r="M384" s="5"/>
      <c r="N384" s="5"/>
      <c r="O384" s="5"/>
      <c r="P384" s="5"/>
      <c r="R384" s="7"/>
      <c r="S384" s="2"/>
      <c r="T384" s="2"/>
      <c r="U384" s="7"/>
      <c r="V384" s="2"/>
      <c r="W384" s="3"/>
      <c r="X384" s="3"/>
      <c r="Y384" s="3"/>
      <c r="Z384" s="3"/>
      <c r="AC384"/>
      <c r="AD384"/>
    </row>
    <row r="385" spans="1:30" ht="14.5" customHeight="1" x14ac:dyDescent="0.35">
      <c r="A385" s="2"/>
      <c r="B385" s="3"/>
      <c r="C385" s="3"/>
      <c r="D385" s="3"/>
      <c r="E385" s="53"/>
      <c r="F385" s="57"/>
      <c r="G385" s="57"/>
      <c r="H385" s="5"/>
      <c r="I385" s="5"/>
      <c r="J385" s="5"/>
      <c r="K385" s="5"/>
      <c r="L385" s="5"/>
      <c r="M385" s="5"/>
      <c r="N385" s="5"/>
      <c r="O385" s="5"/>
      <c r="P385" s="5"/>
      <c r="R385" s="7"/>
      <c r="S385" s="2"/>
      <c r="T385" s="2"/>
      <c r="U385" s="7"/>
      <c r="V385" s="2"/>
      <c r="W385" s="3"/>
      <c r="X385" s="3"/>
      <c r="Y385" s="3"/>
      <c r="Z385" s="3"/>
      <c r="AC385"/>
      <c r="AD385"/>
    </row>
    <row r="386" spans="1:30" ht="14.5" customHeight="1" x14ac:dyDescent="0.35">
      <c r="A386" s="2"/>
      <c r="B386" s="3"/>
      <c r="C386" s="3"/>
      <c r="D386" s="3"/>
      <c r="E386" s="53"/>
      <c r="F386" s="57"/>
      <c r="G386" s="57"/>
      <c r="H386" s="5"/>
      <c r="I386" s="5"/>
      <c r="J386" s="5"/>
      <c r="K386" s="5"/>
      <c r="L386" s="5"/>
      <c r="M386" s="5"/>
      <c r="N386" s="5"/>
      <c r="O386" s="5"/>
      <c r="P386" s="5"/>
      <c r="R386" s="7"/>
      <c r="S386" s="2"/>
      <c r="T386" s="2"/>
      <c r="U386" s="7"/>
      <c r="V386" s="2"/>
      <c r="W386" s="3"/>
      <c r="X386" s="3"/>
      <c r="Y386" s="3"/>
      <c r="Z386" s="3"/>
      <c r="AC386"/>
      <c r="AD386"/>
    </row>
    <row r="387" spans="1:30" ht="14.5" customHeight="1" x14ac:dyDescent="0.35">
      <c r="A387" s="2"/>
      <c r="B387" s="3"/>
      <c r="C387" s="3"/>
      <c r="D387" s="3"/>
      <c r="E387" s="53"/>
      <c r="F387" s="57"/>
      <c r="G387" s="57"/>
      <c r="H387" s="5"/>
      <c r="I387" s="5"/>
      <c r="J387" s="5"/>
      <c r="K387" s="5"/>
      <c r="L387" s="5"/>
      <c r="M387" s="5"/>
      <c r="N387" s="5"/>
      <c r="O387" s="5"/>
      <c r="P387" s="5"/>
      <c r="R387" s="7"/>
      <c r="S387" s="2"/>
      <c r="T387" s="2"/>
      <c r="U387" s="7"/>
      <c r="V387" s="2"/>
      <c r="W387" s="3"/>
      <c r="X387" s="3"/>
      <c r="Y387" s="3"/>
      <c r="Z387" s="3"/>
      <c r="AC387"/>
      <c r="AD387"/>
    </row>
    <row r="388" spans="1:30" ht="14.5" customHeight="1" x14ac:dyDescent="0.35">
      <c r="A388" s="2"/>
      <c r="B388" s="3"/>
      <c r="C388" s="3"/>
      <c r="D388" s="3"/>
      <c r="E388" s="53"/>
      <c r="F388" s="57"/>
      <c r="G388" s="57"/>
      <c r="H388" s="5"/>
      <c r="I388" s="5"/>
      <c r="J388" s="5"/>
      <c r="K388" s="5"/>
      <c r="L388" s="5"/>
      <c r="M388" s="5"/>
      <c r="N388" s="5"/>
      <c r="O388" s="5"/>
      <c r="P388" s="5"/>
      <c r="R388" s="7"/>
      <c r="S388" s="2"/>
      <c r="T388" s="2"/>
      <c r="U388" s="7"/>
      <c r="V388" s="2"/>
      <c r="W388" s="3"/>
      <c r="X388" s="3"/>
      <c r="Y388" s="3"/>
      <c r="Z388" s="3"/>
      <c r="AC388"/>
      <c r="AD388"/>
    </row>
    <row r="389" spans="1:30" ht="14.5" customHeight="1" x14ac:dyDescent="0.35">
      <c r="A389" s="2"/>
      <c r="B389" s="3"/>
      <c r="C389" s="3"/>
      <c r="D389" s="3"/>
      <c r="E389" s="53"/>
      <c r="F389" s="57"/>
      <c r="G389" s="57"/>
      <c r="H389" s="5"/>
      <c r="I389" s="5"/>
      <c r="J389" s="5"/>
      <c r="K389" s="5"/>
      <c r="L389" s="5"/>
      <c r="M389" s="5"/>
      <c r="N389" s="5"/>
      <c r="O389" s="5"/>
      <c r="P389" s="5"/>
      <c r="R389" s="7"/>
      <c r="S389" s="2"/>
      <c r="T389" s="2"/>
      <c r="U389" s="7"/>
      <c r="V389" s="2"/>
      <c r="W389" s="3"/>
      <c r="X389" s="3"/>
      <c r="Y389" s="3"/>
      <c r="Z389" s="3"/>
      <c r="AC389"/>
      <c r="AD389"/>
    </row>
    <row r="390" spans="1:30" ht="14.5" customHeight="1" x14ac:dyDescent="0.35">
      <c r="A390" s="2"/>
      <c r="B390" s="3"/>
      <c r="C390" s="3"/>
      <c r="D390" s="3"/>
      <c r="E390" s="53"/>
      <c r="F390" s="57"/>
      <c r="G390" s="57"/>
      <c r="H390" s="5"/>
      <c r="I390" s="5"/>
      <c r="J390" s="5"/>
      <c r="K390" s="5"/>
      <c r="L390" s="5"/>
      <c r="M390" s="5"/>
      <c r="N390" s="5"/>
      <c r="O390" s="5"/>
      <c r="P390" s="5"/>
      <c r="R390" s="7"/>
      <c r="S390" s="2"/>
      <c r="T390" s="2"/>
      <c r="U390" s="7"/>
      <c r="V390" s="2"/>
      <c r="W390" s="3"/>
      <c r="X390" s="3"/>
      <c r="Y390" s="3"/>
      <c r="Z390" s="3"/>
      <c r="AC390"/>
      <c r="AD390"/>
    </row>
    <row r="391" spans="1:30" ht="14.5" customHeight="1" x14ac:dyDescent="0.35">
      <c r="A391" s="2"/>
      <c r="B391" s="3"/>
      <c r="C391" s="3"/>
      <c r="D391" s="3"/>
      <c r="E391" s="53"/>
      <c r="F391" s="57"/>
      <c r="G391" s="57"/>
      <c r="H391" s="5"/>
      <c r="I391" s="5"/>
      <c r="J391" s="5"/>
      <c r="K391" s="5"/>
      <c r="L391" s="5"/>
      <c r="M391" s="5"/>
      <c r="N391" s="5"/>
      <c r="O391" s="5"/>
      <c r="P391" s="5"/>
      <c r="R391" s="7"/>
      <c r="S391" s="2"/>
      <c r="T391" s="2"/>
      <c r="U391" s="7"/>
      <c r="V391" s="2"/>
      <c r="W391" s="3"/>
      <c r="X391" s="3"/>
      <c r="Y391" s="3"/>
      <c r="Z391" s="3"/>
      <c r="AC391"/>
      <c r="AD391"/>
    </row>
    <row r="392" spans="1:30" ht="14.5" customHeight="1" x14ac:dyDescent="0.35">
      <c r="A392" s="2"/>
      <c r="B392" s="3"/>
      <c r="C392" s="3"/>
      <c r="D392" s="3"/>
      <c r="E392" s="53"/>
      <c r="F392" s="57"/>
      <c r="G392" s="57"/>
      <c r="H392" s="5"/>
      <c r="I392" s="5"/>
      <c r="J392" s="5"/>
      <c r="K392" s="5"/>
      <c r="L392" s="5"/>
      <c r="M392" s="5"/>
      <c r="N392" s="5"/>
      <c r="O392" s="5"/>
      <c r="P392" s="5"/>
      <c r="R392" s="7"/>
      <c r="S392" s="2"/>
      <c r="T392" s="2"/>
      <c r="U392" s="7"/>
      <c r="V392" s="2"/>
      <c r="W392" s="3"/>
      <c r="X392" s="3"/>
      <c r="Y392" s="3"/>
      <c r="Z392" s="3"/>
      <c r="AC392"/>
      <c r="AD392"/>
    </row>
    <row r="393" spans="1:30" ht="14.5" customHeight="1" x14ac:dyDescent="0.35">
      <c r="A393" s="2"/>
      <c r="B393" s="3"/>
      <c r="C393" s="3"/>
      <c r="D393" s="3"/>
      <c r="E393" s="53"/>
      <c r="F393" s="57"/>
      <c r="G393" s="57"/>
      <c r="H393" s="5"/>
      <c r="I393" s="5"/>
      <c r="J393" s="5"/>
      <c r="K393" s="5"/>
      <c r="L393" s="5"/>
      <c r="M393" s="5"/>
      <c r="N393" s="5"/>
      <c r="O393" s="5"/>
      <c r="P393" s="5"/>
      <c r="R393" s="7"/>
      <c r="S393" s="2"/>
      <c r="T393" s="2"/>
      <c r="U393" s="7"/>
      <c r="V393" s="2"/>
      <c r="W393" s="3"/>
      <c r="X393" s="3"/>
      <c r="Y393" s="3"/>
      <c r="Z393" s="3"/>
      <c r="AC393"/>
      <c r="AD393"/>
    </row>
    <row r="394" spans="1:30" ht="14.5" customHeight="1" x14ac:dyDescent="0.35">
      <c r="A394" s="2"/>
      <c r="B394" s="3"/>
      <c r="C394" s="3"/>
      <c r="D394" s="3"/>
      <c r="E394" s="53"/>
      <c r="F394" s="57"/>
      <c r="G394" s="57"/>
      <c r="H394" s="5"/>
      <c r="I394" s="5"/>
      <c r="J394" s="5"/>
      <c r="K394" s="5"/>
      <c r="L394" s="5"/>
      <c r="M394" s="5"/>
      <c r="N394" s="5"/>
      <c r="O394" s="5"/>
      <c r="P394" s="5"/>
      <c r="R394" s="7"/>
      <c r="S394" s="2"/>
      <c r="T394" s="2"/>
      <c r="U394" s="7"/>
      <c r="V394" s="2"/>
      <c r="W394" s="3"/>
      <c r="X394" s="3"/>
      <c r="Y394" s="3"/>
      <c r="Z394" s="3"/>
      <c r="AC394"/>
      <c r="AD394"/>
    </row>
    <row r="395" spans="1:30" ht="14.5" customHeight="1" x14ac:dyDescent="0.35">
      <c r="A395" s="2"/>
      <c r="B395" s="3"/>
      <c r="C395" s="3"/>
      <c r="D395" s="3"/>
      <c r="E395" s="53"/>
      <c r="F395" s="57"/>
      <c r="G395" s="57"/>
      <c r="H395" s="5"/>
      <c r="I395" s="5"/>
      <c r="J395" s="5"/>
      <c r="K395" s="5"/>
      <c r="L395" s="5"/>
      <c r="M395" s="5"/>
      <c r="N395" s="5"/>
      <c r="O395" s="5"/>
      <c r="P395" s="5"/>
      <c r="R395" s="7"/>
      <c r="S395" s="2"/>
      <c r="T395" s="2"/>
      <c r="U395" s="7"/>
      <c r="V395" s="2"/>
      <c r="W395" s="3"/>
      <c r="X395" s="3"/>
      <c r="Y395" s="3"/>
      <c r="Z395" s="3"/>
      <c r="AC395"/>
      <c r="AD395"/>
    </row>
    <row r="396" spans="1:30" ht="14.5" customHeight="1" x14ac:dyDescent="0.35">
      <c r="A396" s="2"/>
      <c r="B396" s="3"/>
      <c r="C396" s="3"/>
      <c r="D396" s="3"/>
      <c r="E396" s="53"/>
      <c r="F396" s="57"/>
      <c r="G396" s="57"/>
      <c r="H396" s="5"/>
      <c r="I396" s="5"/>
      <c r="J396" s="5"/>
      <c r="K396" s="5"/>
      <c r="L396" s="5"/>
      <c r="M396" s="5"/>
      <c r="N396" s="5"/>
      <c r="O396" s="5"/>
      <c r="P396" s="5"/>
      <c r="R396" s="7"/>
      <c r="S396" s="2"/>
      <c r="T396" s="2"/>
      <c r="U396" s="7"/>
      <c r="V396" s="2"/>
      <c r="W396" s="3"/>
      <c r="X396" s="3"/>
      <c r="Y396" s="3"/>
      <c r="Z396" s="3"/>
      <c r="AC396"/>
      <c r="AD396"/>
    </row>
    <row r="397" spans="1:30" ht="14.5" customHeight="1" x14ac:dyDescent="0.35">
      <c r="A397" s="2"/>
      <c r="B397" s="3"/>
      <c r="C397" s="3"/>
      <c r="D397" s="3"/>
      <c r="E397" s="53"/>
      <c r="F397" s="57"/>
      <c r="G397" s="57"/>
      <c r="H397" s="5"/>
      <c r="I397" s="5"/>
      <c r="J397" s="5"/>
      <c r="K397" s="5"/>
      <c r="L397" s="5"/>
      <c r="M397" s="5"/>
      <c r="N397" s="5"/>
      <c r="O397" s="5"/>
      <c r="P397" s="5"/>
      <c r="R397" s="7"/>
      <c r="S397" s="2"/>
      <c r="T397" s="2"/>
      <c r="U397" s="7"/>
      <c r="V397" s="2"/>
      <c r="W397" s="3"/>
      <c r="X397" s="3"/>
      <c r="Y397" s="3"/>
      <c r="Z397" s="3"/>
      <c r="AC397"/>
      <c r="AD397"/>
    </row>
    <row r="398" spans="1:30" ht="14.5" customHeight="1" x14ac:dyDescent="0.35">
      <c r="A398" s="2"/>
      <c r="B398" s="3"/>
      <c r="C398" s="3"/>
      <c r="D398" s="3"/>
      <c r="E398" s="53"/>
      <c r="F398" s="57"/>
      <c r="G398" s="57"/>
      <c r="H398" s="5"/>
      <c r="I398" s="5"/>
      <c r="J398" s="5"/>
      <c r="K398" s="5"/>
      <c r="L398" s="5"/>
      <c r="M398" s="5"/>
      <c r="N398" s="5"/>
      <c r="O398" s="5"/>
      <c r="P398" s="5"/>
      <c r="R398" s="7"/>
      <c r="S398" s="2"/>
      <c r="T398" s="2"/>
      <c r="U398" s="7"/>
      <c r="V398" s="2"/>
      <c r="W398" s="3"/>
      <c r="X398" s="3"/>
      <c r="Y398" s="3"/>
      <c r="Z398" s="3"/>
      <c r="AC398"/>
      <c r="AD398"/>
    </row>
    <row r="399" spans="1:30" ht="14.5" customHeight="1" x14ac:dyDescent="0.35">
      <c r="A399" s="2"/>
      <c r="B399" s="3"/>
      <c r="C399" s="3"/>
      <c r="D399" s="3"/>
      <c r="E399" s="53"/>
      <c r="F399" s="57"/>
      <c r="G399" s="57"/>
      <c r="H399" s="5"/>
      <c r="I399" s="5"/>
      <c r="J399" s="5"/>
      <c r="K399" s="5"/>
      <c r="L399" s="5"/>
      <c r="M399" s="5"/>
      <c r="N399" s="5"/>
      <c r="O399" s="5"/>
      <c r="P399" s="5"/>
      <c r="R399" s="7"/>
      <c r="S399" s="2"/>
      <c r="T399" s="2"/>
      <c r="U399" s="7"/>
      <c r="V399" s="2"/>
      <c r="W399" s="3"/>
      <c r="X399" s="3"/>
      <c r="Y399" s="3"/>
      <c r="Z399" s="3"/>
      <c r="AC399"/>
      <c r="AD399"/>
    </row>
    <row r="400" spans="1:30" ht="14.5" customHeight="1" x14ac:dyDescent="0.35">
      <c r="A400" s="2"/>
      <c r="B400" s="3"/>
      <c r="C400" s="3"/>
      <c r="D400" s="3"/>
      <c r="E400" s="53"/>
      <c r="F400" s="57"/>
      <c r="G400" s="57"/>
      <c r="H400" s="5"/>
      <c r="I400" s="5"/>
      <c r="J400" s="5"/>
      <c r="K400" s="5"/>
      <c r="L400" s="5"/>
      <c r="M400" s="5"/>
      <c r="N400" s="5"/>
      <c r="O400" s="5"/>
      <c r="P400" s="5"/>
      <c r="R400" s="7"/>
      <c r="S400" s="2"/>
      <c r="T400" s="2"/>
      <c r="U400" s="7"/>
      <c r="V400" s="2"/>
      <c r="W400" s="3"/>
      <c r="X400" s="3"/>
      <c r="Y400" s="3"/>
      <c r="Z400" s="3"/>
      <c r="AC400"/>
      <c r="AD400"/>
    </row>
    <row r="401" spans="1:30" ht="14.5" customHeight="1" x14ac:dyDescent="0.35">
      <c r="A401" s="2"/>
      <c r="B401" s="3"/>
      <c r="C401" s="3"/>
      <c r="D401" s="3"/>
      <c r="E401" s="53"/>
      <c r="F401" s="57"/>
      <c r="G401" s="57"/>
      <c r="H401" s="5"/>
      <c r="I401" s="5"/>
      <c r="J401" s="5"/>
      <c r="K401" s="5"/>
      <c r="L401" s="5"/>
      <c r="M401" s="5"/>
      <c r="N401" s="5"/>
      <c r="O401" s="5"/>
      <c r="P401" s="5"/>
      <c r="R401" s="7"/>
      <c r="S401" s="2"/>
      <c r="T401" s="2"/>
      <c r="U401" s="7"/>
      <c r="V401" s="2"/>
      <c r="W401" s="3"/>
      <c r="X401" s="3"/>
      <c r="Y401" s="3"/>
      <c r="Z401" s="3"/>
      <c r="AC401"/>
      <c r="AD401"/>
    </row>
    <row r="402" spans="1:30" ht="14.5" customHeight="1" x14ac:dyDescent="0.35">
      <c r="A402" s="2"/>
      <c r="B402" s="3"/>
      <c r="C402" s="3"/>
      <c r="D402" s="3"/>
      <c r="E402" s="53"/>
      <c r="F402" s="57"/>
      <c r="G402" s="57"/>
      <c r="H402" s="5"/>
      <c r="I402" s="5"/>
      <c r="J402" s="5"/>
      <c r="K402" s="5"/>
      <c r="L402" s="5"/>
      <c r="M402" s="5"/>
      <c r="N402" s="5"/>
      <c r="O402" s="5"/>
      <c r="P402" s="5"/>
      <c r="R402" s="7"/>
      <c r="S402" s="2"/>
      <c r="T402" s="2"/>
      <c r="U402" s="7"/>
      <c r="V402" s="2"/>
      <c r="W402" s="3"/>
      <c r="X402" s="3"/>
      <c r="Y402" s="3"/>
      <c r="Z402" s="3"/>
      <c r="AC402"/>
      <c r="AD402"/>
    </row>
    <row r="403" spans="1:30" ht="14.5" customHeight="1" x14ac:dyDescent="0.35">
      <c r="A403" s="2"/>
      <c r="B403" s="3"/>
      <c r="C403" s="3"/>
      <c r="D403" s="3"/>
      <c r="E403" s="53"/>
      <c r="F403" s="57"/>
      <c r="G403" s="57"/>
      <c r="H403" s="5"/>
      <c r="I403" s="5"/>
      <c r="J403" s="5"/>
      <c r="K403" s="5"/>
      <c r="L403" s="5"/>
      <c r="M403" s="5"/>
      <c r="N403" s="5"/>
      <c r="O403" s="5"/>
      <c r="P403" s="5"/>
      <c r="R403" s="7"/>
      <c r="S403" s="2"/>
      <c r="T403" s="2"/>
      <c r="U403" s="7"/>
      <c r="V403" s="2"/>
      <c r="W403" s="3"/>
      <c r="X403" s="3"/>
      <c r="Y403" s="3"/>
      <c r="Z403" s="3"/>
      <c r="AC403"/>
      <c r="AD403"/>
    </row>
    <row r="404" spans="1:30" ht="14.5" customHeight="1" x14ac:dyDescent="0.35">
      <c r="A404" s="2"/>
      <c r="B404" s="3"/>
      <c r="C404" s="3"/>
      <c r="D404" s="3"/>
      <c r="E404" s="53"/>
      <c r="F404" s="57"/>
      <c r="G404" s="57"/>
      <c r="H404" s="5"/>
      <c r="I404" s="5"/>
      <c r="J404" s="5"/>
      <c r="K404" s="5"/>
      <c r="L404" s="5"/>
      <c r="M404" s="5"/>
      <c r="N404" s="5"/>
      <c r="O404" s="5"/>
      <c r="P404" s="5"/>
      <c r="R404" s="7"/>
      <c r="S404" s="2"/>
      <c r="T404" s="2"/>
      <c r="U404" s="7"/>
      <c r="V404" s="2"/>
      <c r="W404" s="3"/>
      <c r="X404" s="3"/>
      <c r="Y404" s="3"/>
      <c r="Z404" s="3"/>
      <c r="AC404"/>
      <c r="AD404"/>
    </row>
    <row r="405" spans="1:30" ht="14.5" customHeight="1" x14ac:dyDescent="0.35">
      <c r="A405" s="2"/>
      <c r="B405" s="3"/>
      <c r="C405" s="3"/>
      <c r="D405" s="3"/>
      <c r="E405" s="53"/>
      <c r="F405" s="57"/>
      <c r="G405" s="57"/>
      <c r="H405" s="5"/>
      <c r="I405" s="5"/>
      <c r="J405" s="5"/>
      <c r="K405" s="5"/>
      <c r="L405" s="5"/>
      <c r="M405" s="5"/>
      <c r="N405" s="5"/>
      <c r="O405" s="5"/>
      <c r="P405" s="5"/>
      <c r="R405" s="7"/>
      <c r="S405" s="2"/>
      <c r="T405" s="2"/>
      <c r="U405" s="7"/>
      <c r="V405" s="2"/>
      <c r="W405" s="3"/>
      <c r="X405" s="3"/>
      <c r="Y405" s="3"/>
      <c r="Z405" s="3"/>
      <c r="AC405"/>
      <c r="AD405"/>
    </row>
    <row r="406" spans="1:30" ht="14.5" customHeight="1" x14ac:dyDescent="0.35">
      <c r="A406" s="2"/>
      <c r="B406" s="3"/>
      <c r="C406" s="3"/>
      <c r="D406" s="3"/>
      <c r="E406" s="53"/>
      <c r="F406" s="57"/>
      <c r="G406" s="57"/>
      <c r="H406" s="5"/>
      <c r="I406" s="5"/>
      <c r="J406" s="5"/>
      <c r="K406" s="5"/>
      <c r="L406" s="5"/>
      <c r="M406" s="5"/>
      <c r="N406" s="5"/>
      <c r="O406" s="5"/>
      <c r="P406" s="5"/>
      <c r="R406" s="7"/>
      <c r="S406" s="2"/>
      <c r="T406" s="2"/>
      <c r="U406" s="7"/>
      <c r="V406" s="2"/>
      <c r="W406" s="3"/>
      <c r="X406" s="3"/>
      <c r="Y406" s="3"/>
      <c r="Z406" s="3"/>
      <c r="AC406"/>
      <c r="AD406"/>
    </row>
    <row r="407" spans="1:30" ht="14.5" customHeight="1" x14ac:dyDescent="0.35">
      <c r="A407" s="2"/>
      <c r="B407" s="3"/>
      <c r="C407" s="3"/>
      <c r="D407" s="3"/>
      <c r="E407" s="53"/>
      <c r="F407" s="57"/>
      <c r="G407" s="57"/>
      <c r="H407" s="5"/>
      <c r="I407" s="5"/>
      <c r="J407" s="5"/>
      <c r="K407" s="5"/>
      <c r="L407" s="5"/>
      <c r="M407" s="5"/>
      <c r="N407" s="5"/>
      <c r="O407" s="5"/>
      <c r="P407" s="5"/>
      <c r="R407" s="7"/>
      <c r="S407" s="2"/>
      <c r="T407" s="2"/>
      <c r="U407" s="7"/>
      <c r="V407" s="2"/>
      <c r="W407" s="3"/>
      <c r="X407" s="3"/>
      <c r="Y407" s="3"/>
      <c r="Z407" s="3"/>
      <c r="AC407"/>
      <c r="AD407"/>
    </row>
    <row r="408" spans="1:30" ht="14.5" customHeight="1" x14ac:dyDescent="0.35">
      <c r="A408" s="2"/>
      <c r="B408" s="3"/>
      <c r="C408" s="3"/>
      <c r="D408" s="3"/>
      <c r="E408" s="53"/>
      <c r="F408" s="57"/>
      <c r="G408" s="57"/>
      <c r="H408" s="5"/>
      <c r="I408" s="5"/>
      <c r="J408" s="5"/>
      <c r="K408" s="5"/>
      <c r="L408" s="5"/>
      <c r="M408" s="5"/>
      <c r="N408" s="5"/>
      <c r="O408" s="5"/>
      <c r="P408" s="5"/>
      <c r="R408" s="7"/>
      <c r="S408" s="2"/>
      <c r="T408" s="2"/>
      <c r="U408" s="7"/>
      <c r="V408" s="2"/>
      <c r="W408" s="3"/>
      <c r="X408" s="3"/>
      <c r="Y408" s="3"/>
      <c r="Z408" s="3"/>
      <c r="AC408"/>
      <c r="AD408"/>
    </row>
    <row r="409" spans="1:30" ht="14.5" customHeight="1" x14ac:dyDescent="0.35">
      <c r="A409" s="2"/>
      <c r="B409" s="3"/>
      <c r="C409" s="3"/>
      <c r="D409" s="3"/>
      <c r="E409" s="53"/>
      <c r="F409" s="57"/>
      <c r="G409" s="57"/>
      <c r="H409" s="5"/>
      <c r="I409" s="5"/>
      <c r="J409" s="5"/>
      <c r="K409" s="5"/>
      <c r="L409" s="5"/>
      <c r="M409" s="5"/>
      <c r="N409" s="5"/>
      <c r="O409" s="5"/>
      <c r="P409" s="5"/>
      <c r="R409" s="7"/>
      <c r="S409" s="2"/>
      <c r="T409" s="2"/>
      <c r="U409" s="7"/>
      <c r="V409" s="2"/>
      <c r="W409" s="3"/>
      <c r="X409" s="3"/>
      <c r="Y409" s="3"/>
      <c r="Z409" s="3"/>
      <c r="AC409"/>
      <c r="AD409"/>
    </row>
    <row r="410" spans="1:30" ht="14.5" customHeight="1" x14ac:dyDescent="0.35">
      <c r="A410" s="2"/>
      <c r="B410" s="3"/>
      <c r="C410" s="3"/>
      <c r="D410" s="3"/>
      <c r="E410" s="53"/>
      <c r="F410" s="57"/>
      <c r="G410" s="57"/>
      <c r="H410" s="5"/>
      <c r="I410" s="5"/>
      <c r="J410" s="5"/>
      <c r="K410" s="5"/>
      <c r="L410" s="5"/>
      <c r="M410" s="5"/>
      <c r="N410" s="5"/>
      <c r="O410" s="5"/>
      <c r="P410" s="5"/>
      <c r="R410" s="7"/>
      <c r="S410" s="2"/>
      <c r="T410" s="2"/>
      <c r="U410" s="7"/>
      <c r="V410" s="2"/>
      <c r="W410" s="3"/>
      <c r="X410" s="3"/>
      <c r="Y410" s="3"/>
      <c r="Z410" s="3"/>
      <c r="AC410"/>
      <c r="AD410"/>
    </row>
    <row r="411" spans="1:30" ht="14.5" customHeight="1" x14ac:dyDescent="0.35">
      <c r="A411" s="2"/>
      <c r="B411" s="3"/>
      <c r="C411" s="3"/>
      <c r="D411" s="3"/>
      <c r="E411" s="53"/>
      <c r="F411" s="57"/>
      <c r="G411" s="57"/>
      <c r="H411" s="5"/>
      <c r="I411" s="5"/>
      <c r="J411" s="5"/>
      <c r="K411" s="5"/>
      <c r="L411" s="5"/>
      <c r="M411" s="5"/>
      <c r="N411" s="5"/>
      <c r="O411" s="5"/>
      <c r="P411" s="5"/>
      <c r="R411" s="7"/>
      <c r="S411" s="2"/>
      <c r="T411" s="2"/>
      <c r="U411" s="7"/>
      <c r="V411" s="2"/>
      <c r="W411" s="3"/>
      <c r="X411" s="3"/>
      <c r="Y411" s="3"/>
      <c r="Z411" s="3"/>
      <c r="AC411"/>
      <c r="AD411"/>
    </row>
    <row r="412" spans="1:30" ht="14.5" customHeight="1" x14ac:dyDescent="0.35">
      <c r="A412" s="2"/>
      <c r="B412" s="3"/>
      <c r="C412" s="3"/>
      <c r="D412" s="3"/>
      <c r="E412" s="53"/>
      <c r="F412" s="57"/>
      <c r="G412" s="57"/>
      <c r="H412" s="5"/>
      <c r="I412" s="5"/>
      <c r="J412" s="5"/>
      <c r="K412" s="5"/>
      <c r="L412" s="5"/>
      <c r="M412" s="5"/>
      <c r="N412" s="5"/>
      <c r="O412" s="5"/>
      <c r="P412" s="5"/>
      <c r="R412" s="7"/>
      <c r="S412" s="2"/>
      <c r="T412" s="2"/>
      <c r="U412" s="7"/>
      <c r="V412" s="2"/>
      <c r="W412" s="3"/>
      <c r="X412" s="3"/>
      <c r="Y412" s="3"/>
      <c r="Z412" s="3"/>
      <c r="AC412"/>
      <c r="AD412"/>
    </row>
    <row r="413" spans="1:30" ht="14.5" customHeight="1" x14ac:dyDescent="0.35">
      <c r="A413" s="2"/>
      <c r="B413" s="3"/>
      <c r="C413" s="3"/>
      <c r="D413" s="3"/>
      <c r="E413" s="53"/>
      <c r="F413" s="57"/>
      <c r="G413" s="57"/>
      <c r="H413" s="5"/>
      <c r="I413" s="5"/>
      <c r="J413" s="5"/>
      <c r="K413" s="5"/>
      <c r="L413" s="5"/>
      <c r="M413" s="5"/>
      <c r="N413" s="5"/>
      <c r="O413" s="5"/>
      <c r="P413" s="5"/>
      <c r="R413" s="7"/>
      <c r="S413" s="2"/>
      <c r="T413" s="2"/>
      <c r="U413" s="7"/>
      <c r="V413" s="2"/>
      <c r="W413" s="3"/>
      <c r="X413" s="3"/>
      <c r="Y413" s="3"/>
      <c r="Z413" s="3"/>
      <c r="AC413"/>
      <c r="AD413"/>
    </row>
    <row r="414" spans="1:30" ht="14.5" customHeight="1" x14ac:dyDescent="0.35">
      <c r="A414" s="2"/>
      <c r="B414" s="3"/>
      <c r="C414" s="3"/>
      <c r="D414" s="3"/>
      <c r="E414" s="53"/>
      <c r="F414" s="57"/>
      <c r="G414" s="57"/>
      <c r="H414" s="5"/>
      <c r="I414" s="5"/>
      <c r="J414" s="5"/>
      <c r="K414" s="5"/>
      <c r="L414" s="5"/>
      <c r="M414" s="5"/>
      <c r="N414" s="5"/>
      <c r="O414" s="5"/>
      <c r="P414" s="5"/>
      <c r="R414" s="7"/>
      <c r="S414" s="2"/>
      <c r="T414" s="2"/>
      <c r="U414" s="7"/>
      <c r="V414" s="2"/>
      <c r="W414" s="3"/>
      <c r="X414" s="3"/>
      <c r="Y414" s="3"/>
      <c r="Z414" s="3"/>
      <c r="AC414"/>
      <c r="AD414"/>
    </row>
    <row r="415" spans="1:30" ht="14.5" customHeight="1" x14ac:dyDescent="0.35">
      <c r="A415" s="2"/>
      <c r="B415" s="3"/>
      <c r="C415" s="3"/>
      <c r="D415" s="3"/>
      <c r="E415" s="53"/>
      <c r="F415" s="57"/>
      <c r="G415" s="57"/>
      <c r="H415" s="5"/>
      <c r="I415" s="5"/>
      <c r="J415" s="5"/>
      <c r="K415" s="5"/>
      <c r="L415" s="5"/>
      <c r="M415" s="5"/>
      <c r="N415" s="5"/>
      <c r="O415" s="5"/>
      <c r="P415" s="5"/>
      <c r="R415" s="7"/>
      <c r="S415" s="2"/>
      <c r="T415" s="2"/>
      <c r="U415" s="7"/>
      <c r="V415" s="2"/>
      <c r="W415" s="3"/>
      <c r="X415" s="3"/>
      <c r="Y415" s="3"/>
      <c r="Z415" s="3"/>
      <c r="AC415"/>
      <c r="AD415"/>
    </row>
    <row r="416" spans="1:30" ht="14.5" customHeight="1" x14ac:dyDescent="0.35">
      <c r="A416" s="2"/>
      <c r="B416" s="3"/>
      <c r="C416" s="3"/>
      <c r="D416" s="3"/>
      <c r="E416" s="53"/>
      <c r="F416" s="57"/>
      <c r="G416" s="57"/>
      <c r="H416" s="5"/>
      <c r="I416" s="5"/>
      <c r="J416" s="5"/>
      <c r="K416" s="5"/>
      <c r="L416" s="5"/>
      <c r="M416" s="5"/>
      <c r="N416" s="5"/>
      <c r="O416" s="5"/>
      <c r="P416" s="5"/>
      <c r="R416" s="7"/>
      <c r="S416" s="2"/>
      <c r="T416" s="2"/>
      <c r="U416" s="7"/>
      <c r="V416" s="2"/>
      <c r="W416" s="3"/>
      <c r="X416" s="3"/>
      <c r="Y416" s="3"/>
      <c r="Z416" s="3"/>
      <c r="AC416"/>
      <c r="AD416"/>
    </row>
    <row r="417" spans="1:30" ht="14.5" customHeight="1" x14ac:dyDescent="0.35">
      <c r="A417" s="2"/>
      <c r="B417" s="3"/>
      <c r="C417" s="3"/>
      <c r="D417" s="3"/>
      <c r="E417" s="53"/>
      <c r="F417" s="57"/>
      <c r="G417" s="57"/>
      <c r="H417" s="5"/>
      <c r="I417" s="5"/>
      <c r="J417" s="5"/>
      <c r="K417" s="5"/>
      <c r="L417" s="5"/>
      <c r="M417" s="5"/>
      <c r="N417" s="5"/>
      <c r="O417" s="5"/>
      <c r="P417" s="5"/>
      <c r="R417" s="7"/>
      <c r="S417" s="2"/>
      <c r="T417" s="2"/>
      <c r="U417" s="7"/>
      <c r="V417" s="2"/>
      <c r="W417" s="3"/>
      <c r="X417" s="3"/>
      <c r="Y417" s="3"/>
      <c r="Z417" s="3"/>
      <c r="AC417"/>
      <c r="AD417"/>
    </row>
    <row r="418" spans="1:30" ht="14.5" customHeight="1" x14ac:dyDescent="0.35">
      <c r="A418" s="2"/>
      <c r="B418" s="3"/>
      <c r="C418" s="3"/>
      <c r="D418" s="3"/>
      <c r="E418" s="53"/>
      <c r="F418" s="57"/>
      <c r="G418" s="57"/>
      <c r="H418" s="5"/>
      <c r="I418" s="5"/>
      <c r="J418" s="5"/>
      <c r="K418" s="5"/>
      <c r="L418" s="5"/>
      <c r="M418" s="5"/>
      <c r="N418" s="5"/>
      <c r="O418" s="5"/>
      <c r="P418" s="5"/>
      <c r="R418" s="7"/>
      <c r="S418" s="2"/>
      <c r="T418" s="2"/>
      <c r="U418" s="7"/>
      <c r="V418" s="2"/>
      <c r="W418" s="3"/>
      <c r="X418" s="3"/>
      <c r="Y418" s="3"/>
      <c r="Z418" s="3"/>
      <c r="AC418"/>
      <c r="AD418"/>
    </row>
  </sheetData>
  <sheetProtection formatCells="0" formatColumns="0" formatRows="0" insertRows="0" insertHyperlinks="0" deleteRows="0" autoFilter="0"/>
  <conditionalFormatting sqref="E2:E418">
    <cfRule type="expression" dxfId="52" priority="24">
      <formula>AND($T2="À vérifier",ISNUMBER(FIND("|VL|",$Y2)))</formula>
    </cfRule>
  </conditionalFormatting>
  <conditionalFormatting sqref="F2:F418">
    <cfRule type="expression" dxfId="51" priority="25">
      <formula>AND($T2="À vérifier",ISNUMBER(FIND("|MOIS|",$Y2)))</formula>
    </cfRule>
  </conditionalFormatting>
  <conditionalFormatting sqref="G2:G418">
    <cfRule type="expression" dxfId="50" priority="26">
      <formula>AND($T2="À vérifier",ISNUMBER(FIND("|1AN|",$Y2)))</formula>
    </cfRule>
  </conditionalFormatting>
  <conditionalFormatting sqref="H2:H16 H17:J17 H18 H20:H62 H63:I63 H64:H88 H89:I90 I91 H92:H418">
    <cfRule type="expression" dxfId="49" priority="27">
      <formula>AND($T2="À vérifier",ISNUMBER(FIND("|2020|",$Y2)))</formula>
    </cfRule>
  </conditionalFormatting>
  <conditionalFormatting sqref="H19">
    <cfRule type="expression" dxfId="48" priority="38">
      <formula>AND($T22="À vérifier",ISNUMBER(FIND("|2020|",$Y22)))</formula>
    </cfRule>
  </conditionalFormatting>
  <conditionalFormatting sqref="I2:I16 K17 I18 I21:I62 J63 I64:I88 J89:J91 I92:I186 I188:I418">
    <cfRule type="expression" dxfId="47" priority="28">
      <formula>AND($T2="À vérifier",ISNUMBER(FIND("|2021|",$Y2)))</formula>
    </cfRule>
  </conditionalFormatting>
  <conditionalFormatting sqref="I14">
    <cfRule type="expression" dxfId="46" priority="18">
      <formula>AND($T14="À vérifier",ISNUMBER(FIND("|2020|",$Y14)))</formula>
    </cfRule>
  </conditionalFormatting>
  <conditionalFormatting sqref="I19">
    <cfRule type="expression" dxfId="45" priority="40">
      <formula>AND($T22="À vérifier",ISNUMBER(FIND("|2021|",$Y22)))</formula>
    </cfRule>
  </conditionalFormatting>
  <conditionalFormatting sqref="I20">
    <cfRule type="expression" dxfId="44" priority="15">
      <formula>AND($T20="À vérifier",ISNUMBER(FIND("|2020|",$Y20)))</formula>
    </cfRule>
  </conditionalFormatting>
  <conditionalFormatting sqref="I187">
    <cfRule type="expression" dxfId="43" priority="1">
      <formula>AND($T187="À vérifier",ISNUMBER(FIND("|2020|",$Y187)))</formula>
    </cfRule>
  </conditionalFormatting>
  <conditionalFormatting sqref="J2:J16 L17 J18 J21:J62 K63 J64:J88 K86:K87 K89:K91 J92:J186 J188:J418">
    <cfRule type="expression" dxfId="42" priority="29">
      <formula>AND($T2="À vérifier",ISNUMBER(FIND("|2022|",$Y2)))</formula>
    </cfRule>
  </conditionalFormatting>
  <conditionalFormatting sqref="J14">
    <cfRule type="expression" dxfId="41" priority="19">
      <formula>AND($T14="À vérifier",ISNUMBER(FIND("|2021|",$Y14)))</formula>
    </cfRule>
  </conditionalFormatting>
  <conditionalFormatting sqref="J19">
    <cfRule type="expression" dxfId="40" priority="42">
      <formula>AND($T22="À vérifier",ISNUMBER(FIND("|2022|",$Y22)))</formula>
    </cfRule>
  </conditionalFormatting>
  <conditionalFormatting sqref="J20">
    <cfRule type="expression" dxfId="39" priority="14">
      <formula>AND($T20="À vérifier",ISNUMBER(FIND("|2020|",$Y20)))</formula>
    </cfRule>
  </conditionalFormatting>
  <conditionalFormatting sqref="J187">
    <cfRule type="expression" dxfId="38" priority="2">
      <formula>AND($T187="À vérifier",ISNUMBER(FIND("|2021|",$Y187)))</formula>
    </cfRule>
  </conditionalFormatting>
  <conditionalFormatting sqref="K2:K16 M17 K18 K21:K62 L63:L64 K64:K85 L86:L87 K88 L89:L91 K92:K122 K124:K186 K188:K418">
    <cfRule type="expression" dxfId="37" priority="30">
      <formula>AND($T2="À vérifier",ISNUMBER(FIND("|2023|",$Y2)))</formula>
    </cfRule>
  </conditionalFormatting>
  <conditionalFormatting sqref="K14">
    <cfRule type="expression" dxfId="36" priority="20">
      <formula>AND($T14="À vérifier",ISNUMBER(FIND("|2022|",$Y14)))</formula>
    </cfRule>
  </conditionalFormatting>
  <conditionalFormatting sqref="K19">
    <cfRule type="expression" dxfId="35" priority="44">
      <formula>AND($T22="À vérifier",ISNUMBER(FIND("|2023|",$Y22)))</formula>
    </cfRule>
  </conditionalFormatting>
  <conditionalFormatting sqref="K20">
    <cfRule type="expression" dxfId="34" priority="13">
      <formula>AND($T20="À vérifier",ISNUMBER(FIND("|2020|",$Y20)))</formula>
    </cfRule>
  </conditionalFormatting>
  <conditionalFormatting sqref="K123">
    <cfRule type="expression" dxfId="33" priority="23">
      <formula>AND($T123="À vérifier",ISNUMBER(FIND("|2024|",$Y123)))</formula>
    </cfRule>
  </conditionalFormatting>
  <conditionalFormatting sqref="K187">
    <cfRule type="expression" dxfId="32" priority="3">
      <formula>AND($T187="À vérifier",ISNUMBER(FIND("|2022|",$Y187)))</formula>
    </cfRule>
  </conditionalFormatting>
  <conditionalFormatting sqref="L2:L16 N17 L18 L21:L85 N64 M86:M87 L88 M89:M91 L92:L122 L124:L134 L136:L139 L141:L186 L188:L418">
    <cfRule type="expression" dxfId="31" priority="31">
      <formula>AND($T2="À vérifier",ISNUMBER(FIND("|2024|",$Y2)))</formula>
    </cfRule>
  </conditionalFormatting>
  <conditionalFormatting sqref="L14">
    <cfRule type="expression" dxfId="30" priority="21">
      <formula>AND($T14="À vérifier",ISNUMBER(FIND("|2023|",$Y14)))</formula>
    </cfRule>
  </conditionalFormatting>
  <conditionalFormatting sqref="L19">
    <cfRule type="expression" dxfId="29" priority="46">
      <formula>AND($T22="À vérifier",ISNUMBER(FIND("|2024|",$Y22)))</formula>
    </cfRule>
  </conditionalFormatting>
  <conditionalFormatting sqref="L20">
    <cfRule type="expression" dxfId="28" priority="12">
      <formula>AND($T20="À vérifier",ISNUMBER(FIND("|2020|",$Y20)))</formula>
    </cfRule>
  </conditionalFormatting>
  <conditionalFormatting sqref="L123">
    <cfRule type="expression" dxfId="27" priority="22">
      <formula>AND($T123="À vérifier",ISNUMBER(FIND("|2025|",$Y123)))</formula>
    </cfRule>
  </conditionalFormatting>
  <conditionalFormatting sqref="L135">
    <cfRule type="expression" dxfId="26" priority="8">
      <formula>AND($T135="À vérifier",ISNUMBER(FIND("|2023|",$Y135)))</formula>
    </cfRule>
  </conditionalFormatting>
  <conditionalFormatting sqref="L140">
    <cfRule type="expression" dxfId="25" priority="7">
      <formula>AND($T140="À vérifier",ISNUMBER(FIND("|2023|",$Y140)))</formula>
    </cfRule>
  </conditionalFormatting>
  <conditionalFormatting sqref="L187">
    <cfRule type="expression" dxfId="24" priority="4">
      <formula>AND($T187="À vérifier",ISNUMBER(FIND("|2023|",$Y187)))</formula>
    </cfRule>
  </conditionalFormatting>
  <conditionalFormatting sqref="M2:M9 M11:M18 M21:M131 O64:O65 M133:M186 M188:M418">
    <cfRule type="expression" dxfId="23" priority="32">
      <formula>AND($T2="À vérifier",ISNUMBER(FIND("|2025|",$Y2)))</formula>
    </cfRule>
  </conditionalFormatting>
  <conditionalFormatting sqref="M10">
    <cfRule type="expression" dxfId="22" priority="17">
      <formula>AND($T10="À vérifier",ISNUMBER(FIND("|2024|",$Y10)))</formula>
    </cfRule>
  </conditionalFormatting>
  <conditionalFormatting sqref="M19">
    <cfRule type="expression" dxfId="21" priority="48">
      <formula>AND($T22="À vérifier",ISNUMBER(FIND("|2025|",$Y22)))</formula>
    </cfRule>
  </conditionalFormatting>
  <conditionalFormatting sqref="M20">
    <cfRule type="expression" dxfId="20" priority="11">
      <formula>AND($T20="À vérifier",ISNUMBER(FIND("|2020|",$Y20)))</formula>
    </cfRule>
  </conditionalFormatting>
  <conditionalFormatting sqref="M132">
    <cfRule type="expression" dxfId="19" priority="9">
      <formula>AND($T132="À vérifier",ISNUMBER(FIND("|2024|",$Y132)))</formula>
    </cfRule>
  </conditionalFormatting>
  <conditionalFormatting sqref="M187">
    <cfRule type="expression" dxfId="18" priority="5">
      <formula>AND($T187="À vérifier",ISNUMBER(FIND("|2024|",$Y187)))</formula>
    </cfRule>
  </conditionalFormatting>
  <conditionalFormatting sqref="N2:N18 N20:N418">
    <cfRule type="expression" dxfId="17" priority="33">
      <formula>AND($T2="À vérifier",ISNUMBER(FIND("|2026|",$Y2)))</formula>
    </cfRule>
  </conditionalFormatting>
  <conditionalFormatting sqref="N19">
    <cfRule type="expression" dxfId="16" priority="50">
      <formula>AND($T22="À vérifier",ISNUMBER(FIND("|2026|",$Y22)))</formula>
    </cfRule>
  </conditionalFormatting>
  <conditionalFormatting sqref="O2:O9 O11:O18 O21:O139 O141:O418">
    <cfRule type="expression" dxfId="15" priority="34">
      <formula>AND($T2="À vérifier",ISNUMBER(FIND("|YTD|",$Y2)))</formula>
    </cfRule>
  </conditionalFormatting>
  <conditionalFormatting sqref="O10">
    <cfRule type="expression" dxfId="14" priority="16">
      <formula>AND($T10="À vérifier",ISNUMBER(FIND("|2024|",$Y10)))</formula>
    </cfRule>
  </conditionalFormatting>
  <conditionalFormatting sqref="O19">
    <cfRule type="expression" dxfId="13" priority="52">
      <formula>AND($T22="À vérifier",ISNUMBER(FIND("|YTD|",$Y22)))</formula>
    </cfRule>
  </conditionalFormatting>
  <conditionalFormatting sqref="O20">
    <cfRule type="expression" dxfId="12" priority="10">
      <formula>AND($T20="À vérifier",ISNUMBER(FIND("|2020|",$Y20)))</formula>
    </cfRule>
  </conditionalFormatting>
  <conditionalFormatting sqref="O140">
    <cfRule type="expression" dxfId="11" priority="6">
      <formula>AND($T140="À vérifier",ISNUMBER(FIND("|2025|",$Y140)))</formula>
    </cfRule>
  </conditionalFormatting>
  <conditionalFormatting sqref="P2:P18 P20:P21 P23:P418">
    <cfRule type="expression" dxfId="10" priority="35">
      <formula>AND($T2="À vérifier",ISNUMBER(FIND("|LANC|",$Y2)))</formula>
    </cfRule>
  </conditionalFormatting>
  <conditionalFormatting sqref="P19">
    <cfRule type="expression" dxfId="9" priority="54">
      <formula>AND($T22="À vérifier",ISNUMBER(FIND("|LANC|",$Y22)))</formula>
    </cfRule>
  </conditionalFormatting>
  <conditionalFormatting sqref="Q2:Q18 Q20:Q21 Q23:Q418">
    <cfRule type="expression" dxfId="8" priority="36">
      <formula>AND($T2="À vérifier",ISNUMBER(FIND("|REND|",$Y2)))</formula>
    </cfRule>
  </conditionalFormatting>
  <conditionalFormatting sqref="Q19">
    <cfRule type="expression" dxfId="7" priority="56">
      <formula>AND($T22="À vérifier",ISNUMBER(FIND("|REND|",$Y22)))</formula>
    </cfRule>
  </conditionalFormatting>
  <dataValidations count="1">
    <dataValidation type="list" allowBlank="1" showInputMessage="1" showErrorMessage="1" sqref="T2:T418" xr:uid="{577A6F6C-EF3F-489A-A6DF-EC3F7DE77681}">
      <formula1>StatutsVerif</formula1>
    </dataValidation>
  </dataValidations>
  <hyperlinks>
    <hyperlink ref="B14" r:id="rId1" xr:uid="{0DFD58E2-E855-4148-91E7-FE0B619CB461}"/>
    <hyperlink ref="B17" r:id="rId2" xr:uid="{F5C34C67-67DA-4C53-97C5-0D54F16A3982}"/>
    <hyperlink ref="B23" r:id="rId3" xr:uid="{6B723874-6FD1-4D51-878E-9B499D0EDFFC}"/>
    <hyperlink ref="B25" r:id="rId4" xr:uid="{A1F31D1C-44BE-4121-851E-A26B302944D0}"/>
    <hyperlink ref="B30" r:id="rId5" xr:uid="{8E8EC5A6-5B8B-4055-ACD3-53149C995796}"/>
    <hyperlink ref="B41" r:id="rId6" xr:uid="{EC7565D7-2521-46FE-AA19-2768463E66F5}"/>
    <hyperlink ref="B63" r:id="rId7" xr:uid="{80F56D2F-460D-43B2-B16C-3657875011D3}"/>
    <hyperlink ref="B64" r:id="rId8" xr:uid="{5505AA29-0E9C-4DD7-BC24-CF9DA6C1C9A5}"/>
    <hyperlink ref="B86" r:id="rId9" xr:uid="{1DF8DA17-0232-4946-B788-5C153FDFF9FD}"/>
    <hyperlink ref="B89" r:id="rId10" xr:uid="{1B59CA04-9B7B-468C-A3C8-B722C0277693}"/>
    <hyperlink ref="B91" r:id="rId11" xr:uid="{83951680-E97C-47CA-B0AC-46AE5031B73E}"/>
    <hyperlink ref="B101" r:id="rId12" xr:uid="{74A94570-6E3F-4A35-8B6C-57BA68B6CE42}"/>
    <hyperlink ref="B132" r:id="rId13" xr:uid="{7402CC2B-5D42-4C50-B178-2430684495D6}"/>
    <hyperlink ref="B138" r:id="rId14" xr:uid="{888FE53A-AB24-40A7-867F-D57AEDF8E212}"/>
    <hyperlink ref="B143" r:id="rId15" xr:uid="{B1C52E7B-31C9-4543-AEBD-E00F573FEE0F}"/>
    <hyperlink ref="B145" r:id="rId16" xr:uid="{DF4A193F-50F3-445B-94C3-BF564624CAFA}"/>
    <hyperlink ref="B146" r:id="rId17" xr:uid="{47E9CBCB-C070-473E-B739-7D77E20F2766}"/>
    <hyperlink ref="B163" r:id="rId18" xr:uid="{DB331459-9A35-4C21-9C1A-30B940B3860F}"/>
    <hyperlink ref="B164" r:id="rId19" xr:uid="{755236F8-63D4-455B-ABAA-FB94954E5FE3}"/>
    <hyperlink ref="B186" r:id="rId20" xr:uid="{CAE7BE98-97F3-4770-9AD9-74ED941A1457}"/>
    <hyperlink ref="B214" r:id="rId21" xr:uid="{1B6ACCE5-A07C-4EC9-8F67-AE75CA7C0BB0}"/>
    <hyperlink ref="B216" r:id="rId22" xr:uid="{4E285DDA-D05B-4647-94BC-07F49DD625CD}"/>
    <hyperlink ref="B217" r:id="rId23" xr:uid="{27CB3BFA-3DF3-4CFA-993E-36D665A6248F}"/>
    <hyperlink ref="B218" r:id="rId24" xr:uid="{AC369ABC-CCF9-45DE-8B51-9A94E7492A5C}"/>
    <hyperlink ref="B219" r:id="rId25" xr:uid="{59658754-8428-4676-9B6B-34E82E079B12}"/>
    <hyperlink ref="B252" r:id="rId26" xr:uid="{A432C9B7-E009-4626-99AF-1DD811C0652E}"/>
    <hyperlink ref="B253" r:id="rId27" xr:uid="{41296A24-1347-45EF-B26C-A1FFA38761A0}"/>
    <hyperlink ref="B254" r:id="rId28" xr:uid="{16CBE2A7-C519-4CD3-9C1A-0662268BA6CF}"/>
    <hyperlink ref="B255" r:id="rId29" xr:uid="{094B808A-D363-40E6-8A27-55DB6FA32B7F}"/>
    <hyperlink ref="B265" r:id="rId30" xr:uid="{BFC1CEDF-13EA-4F21-A1D9-2EE3CF388211}"/>
    <hyperlink ref="B270" r:id="rId31" xr:uid="{91687ED1-565E-4D28-AAEB-C36F9BED450C}"/>
    <hyperlink ref="B271" r:id="rId32" xr:uid="{80862BA2-12B6-497B-B620-1B46157281B0}"/>
    <hyperlink ref="B274" r:id="rId33" xr:uid="{E81E0C7B-F80E-4CBC-BECE-786CC69B9DD3}"/>
    <hyperlink ref="B302" r:id="rId34" xr:uid="{32375F25-8F9B-41BA-A82A-E686B20CD6BF}"/>
    <hyperlink ref="B306" r:id="rId35" xr:uid="{406DA34D-E0A8-441F-AC12-CCE4BC4F3B19}"/>
    <hyperlink ref="B308" r:id="rId36" xr:uid="{92CC3F4A-9F1F-4856-8238-C6F799B8FB8E}"/>
  </hyperlinks>
  <pageMargins left="0.75" right="0.75" top="1" bottom="1" header="0.5" footer="0.5"/>
  <pageSetup orientation="portrait" r:id="rId37"/>
  <tableParts count="1">
    <tablePart r:id="rId3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E4E61"/>
  </sheetPr>
  <dimension ref="A1:G39"/>
  <sheetViews>
    <sheetView showGridLines="0" workbookViewId="0">
      <pane xSplit="2" ySplit="4" topLeftCell="C5" activePane="bottomRight" state="frozen"/>
      <selection pane="topRight"/>
      <selection pane="bottomLeft"/>
      <selection pane="bottomRight"/>
    </sheetView>
  </sheetViews>
  <sheetFormatPr baseColWidth="10" defaultColWidth="8.7265625" defaultRowHeight="14.5" x14ac:dyDescent="0.35"/>
  <cols>
    <col min="1" max="1" width="16" customWidth="1"/>
    <col min="2" max="2" width="46" customWidth="1"/>
    <col min="3" max="6" width="20" customWidth="1"/>
    <col min="7" max="7" width="30" customWidth="1"/>
  </cols>
  <sheetData>
    <row r="1" spans="1:7" ht="21.65" customHeight="1" x14ac:dyDescent="0.6">
      <c r="B1" s="8" t="s">
        <v>743</v>
      </c>
    </row>
    <row r="2" spans="1:7" ht="15" customHeight="1" x14ac:dyDescent="0.4">
      <c r="B2" s="9" t="s">
        <v>744</v>
      </c>
    </row>
    <row r="3" spans="1:7" ht="15" customHeight="1" x14ac:dyDescent="0.4">
      <c r="B3" s="10" t="s">
        <v>745</v>
      </c>
      <c r="C3" s="11">
        <v>46142</v>
      </c>
    </row>
    <row r="4" spans="1:7" ht="40" customHeight="1" x14ac:dyDescent="0.35">
      <c r="A4" s="1" t="s">
        <v>746</v>
      </c>
      <c r="B4" s="1" t="s">
        <v>747</v>
      </c>
      <c r="C4" s="1" t="s">
        <v>748</v>
      </c>
      <c r="D4" s="1" t="s">
        <v>749</v>
      </c>
      <c r="E4" s="1" t="s">
        <v>750</v>
      </c>
      <c r="F4" s="1" t="s">
        <v>751</v>
      </c>
      <c r="G4" s="1" t="s">
        <v>19</v>
      </c>
    </row>
    <row r="5" spans="1:7" x14ac:dyDescent="0.35">
      <c r="A5" s="2"/>
      <c r="B5" s="3" t="s">
        <v>33</v>
      </c>
      <c r="C5" s="6">
        <v>0.04</v>
      </c>
      <c r="D5" s="6">
        <v>5.9400000000000001E-2</v>
      </c>
      <c r="E5" s="6">
        <v>7.8E-2</v>
      </c>
      <c r="F5" s="6"/>
      <c r="G5" s="3"/>
    </row>
    <row r="6" spans="1:7" x14ac:dyDescent="0.35">
      <c r="A6" s="2" t="s">
        <v>252</v>
      </c>
      <c r="B6" s="3" t="s">
        <v>253</v>
      </c>
      <c r="C6" s="6"/>
      <c r="D6" s="6"/>
      <c r="E6" s="6"/>
      <c r="F6" s="6">
        <v>0.36699999999999999</v>
      </c>
      <c r="G6" s="3"/>
    </row>
    <row r="7" spans="1:7" x14ac:dyDescent="0.35">
      <c r="A7" s="2" t="s">
        <v>255</v>
      </c>
      <c r="B7" s="3" t="s">
        <v>256</v>
      </c>
      <c r="C7" s="6"/>
      <c r="D7" s="6"/>
      <c r="E7" s="6"/>
      <c r="F7" s="6">
        <v>0.32</v>
      </c>
      <c r="G7" s="3"/>
    </row>
    <row r="8" spans="1:7" x14ac:dyDescent="0.35">
      <c r="A8" s="2" t="s">
        <v>258</v>
      </c>
      <c r="B8" s="3" t="s">
        <v>259</v>
      </c>
      <c r="C8" s="6"/>
      <c r="D8" s="6"/>
      <c r="E8" s="6"/>
      <c r="F8" s="6">
        <v>0.313</v>
      </c>
      <c r="G8" s="3"/>
    </row>
    <row r="9" spans="1:7" x14ac:dyDescent="0.35">
      <c r="A9" s="2" t="s">
        <v>287</v>
      </c>
      <c r="B9" s="3" t="s">
        <v>288</v>
      </c>
      <c r="C9" s="6"/>
      <c r="D9" s="6">
        <v>0.2442</v>
      </c>
      <c r="E9" s="6">
        <v>0.38</v>
      </c>
      <c r="F9" s="6"/>
      <c r="G9" s="3"/>
    </row>
    <row r="10" spans="1:7" x14ac:dyDescent="0.35">
      <c r="A10" s="2" t="s">
        <v>290</v>
      </c>
      <c r="B10" s="3" t="s">
        <v>291</v>
      </c>
      <c r="C10" s="6"/>
      <c r="D10" s="6">
        <v>0.22950000000000001</v>
      </c>
      <c r="E10" s="6">
        <v>0.126</v>
      </c>
      <c r="F10" s="6"/>
      <c r="G10" s="3"/>
    </row>
    <row r="11" spans="1:7" x14ac:dyDescent="0.35">
      <c r="A11" s="2" t="s">
        <v>292</v>
      </c>
      <c r="B11" s="3" t="s">
        <v>293</v>
      </c>
      <c r="C11" s="6"/>
      <c r="D11" s="6">
        <v>0.1762</v>
      </c>
      <c r="E11" s="6">
        <v>0.20100000000000001</v>
      </c>
      <c r="F11" s="6"/>
      <c r="G11" s="3"/>
    </row>
    <row r="12" spans="1:7" x14ac:dyDescent="0.35">
      <c r="A12" s="2" t="s">
        <v>294</v>
      </c>
      <c r="B12" s="3" t="s">
        <v>295</v>
      </c>
      <c r="C12" s="6"/>
      <c r="D12" s="6">
        <v>0.2218</v>
      </c>
      <c r="E12" s="6">
        <v>0.215</v>
      </c>
      <c r="F12" s="6"/>
      <c r="G12" s="3"/>
    </row>
    <row r="13" spans="1:7" x14ac:dyDescent="0.35">
      <c r="A13" s="2" t="s">
        <v>298</v>
      </c>
      <c r="B13" s="3" t="s">
        <v>299</v>
      </c>
      <c r="C13" s="6"/>
      <c r="D13" s="6">
        <v>6.8900000000000003E-2</v>
      </c>
      <c r="E13" s="6"/>
      <c r="F13" s="6"/>
      <c r="G13" s="3"/>
    </row>
    <row r="14" spans="1:7" x14ac:dyDescent="0.35">
      <c r="A14" s="2" t="s">
        <v>347</v>
      </c>
      <c r="B14" s="3" t="s">
        <v>348</v>
      </c>
      <c r="C14" s="6">
        <v>0.19500000000000001</v>
      </c>
      <c r="D14" s="6"/>
      <c r="E14" s="6"/>
      <c r="F14" s="6"/>
      <c r="G14" s="3"/>
    </row>
    <row r="15" spans="1:7" x14ac:dyDescent="0.35">
      <c r="A15" s="2" t="s">
        <v>350</v>
      </c>
      <c r="B15" s="3" t="s">
        <v>351</v>
      </c>
      <c r="C15" s="6">
        <v>0.12</v>
      </c>
      <c r="D15" s="6"/>
      <c r="E15" s="6"/>
      <c r="F15" s="6"/>
      <c r="G15" s="3"/>
    </row>
    <row r="16" spans="1:7" x14ac:dyDescent="0.35">
      <c r="A16" s="2" t="s">
        <v>353</v>
      </c>
      <c r="B16" s="3" t="s">
        <v>354</v>
      </c>
      <c r="C16" s="6">
        <v>9.2999999999999999E-2</v>
      </c>
      <c r="D16" s="6"/>
      <c r="E16" s="6"/>
      <c r="F16" s="6"/>
      <c r="G16" s="3"/>
    </row>
    <row r="17" spans="1:7" x14ac:dyDescent="0.35">
      <c r="A17" s="2" t="s">
        <v>356</v>
      </c>
      <c r="B17" s="3" t="s">
        <v>357</v>
      </c>
      <c r="C17" s="6">
        <v>2.4E-2</v>
      </c>
      <c r="D17" s="6"/>
      <c r="E17" s="6"/>
      <c r="F17" s="6"/>
      <c r="G17" s="3"/>
    </row>
    <row r="18" spans="1:7" x14ac:dyDescent="0.35">
      <c r="A18" s="2" t="s">
        <v>359</v>
      </c>
      <c r="B18" s="3" t="s">
        <v>360</v>
      </c>
      <c r="C18" s="6">
        <v>8.8999999999999996E-2</v>
      </c>
      <c r="D18" s="6"/>
      <c r="E18" s="6"/>
      <c r="F18" s="6"/>
      <c r="G18" s="3"/>
    </row>
    <row r="19" spans="1:7" x14ac:dyDescent="0.35">
      <c r="A19" s="2" t="s">
        <v>362</v>
      </c>
      <c r="B19" s="3" t="s">
        <v>363</v>
      </c>
      <c r="C19" s="6">
        <v>8.1000000000000003E-2</v>
      </c>
      <c r="D19" s="6"/>
      <c r="E19" s="6"/>
      <c r="F19" s="6"/>
      <c r="G19" s="3"/>
    </row>
    <row r="20" spans="1:7" x14ac:dyDescent="0.35">
      <c r="A20" s="2" t="s">
        <v>365</v>
      </c>
      <c r="B20" s="3" t="s">
        <v>366</v>
      </c>
      <c r="C20" s="6">
        <v>9.4E-2</v>
      </c>
      <c r="D20" s="6"/>
      <c r="E20" s="6"/>
      <c r="F20" s="6"/>
      <c r="G20" s="3"/>
    </row>
    <row r="21" spans="1:7" x14ac:dyDescent="0.35">
      <c r="A21" s="2" t="s">
        <v>368</v>
      </c>
      <c r="B21" s="3" t="s">
        <v>369</v>
      </c>
      <c r="C21" s="6">
        <v>0.06</v>
      </c>
      <c r="D21" s="6"/>
      <c r="E21" s="6"/>
      <c r="F21" s="6"/>
      <c r="G21" s="3"/>
    </row>
    <row r="22" spans="1:7" x14ac:dyDescent="0.35">
      <c r="A22" s="2" t="s">
        <v>371</v>
      </c>
      <c r="B22" s="3" t="s">
        <v>372</v>
      </c>
      <c r="C22" s="6">
        <v>4.8000000000000001E-2</v>
      </c>
      <c r="D22" s="6"/>
      <c r="E22" s="6"/>
      <c r="F22" s="6"/>
      <c r="G22" s="3"/>
    </row>
    <row r="23" spans="1:7" x14ac:dyDescent="0.35">
      <c r="A23" s="2"/>
      <c r="B23" s="3" t="s">
        <v>374</v>
      </c>
      <c r="C23" s="6">
        <v>5.0000000000000001E-3</v>
      </c>
      <c r="D23" s="6"/>
      <c r="E23" s="6"/>
      <c r="F23" s="6"/>
      <c r="G23" s="3"/>
    </row>
    <row r="24" spans="1:7" x14ac:dyDescent="0.35">
      <c r="A24" s="2" t="s">
        <v>375</v>
      </c>
      <c r="B24" s="3" t="s">
        <v>376</v>
      </c>
      <c r="C24" s="6">
        <v>7.4999999999999997E-2</v>
      </c>
      <c r="D24" s="6"/>
      <c r="E24" s="6"/>
      <c r="F24" s="6"/>
      <c r="G24" s="3"/>
    </row>
    <row r="25" spans="1:7" x14ac:dyDescent="0.35">
      <c r="A25" s="2" t="s">
        <v>377</v>
      </c>
      <c r="B25" s="3" t="s">
        <v>378</v>
      </c>
      <c r="C25" s="6">
        <v>1.9E-2</v>
      </c>
      <c r="D25" s="6"/>
      <c r="E25" s="6"/>
      <c r="F25" s="6"/>
      <c r="G25" s="3"/>
    </row>
    <row r="26" spans="1:7" x14ac:dyDescent="0.35">
      <c r="A26" s="2"/>
      <c r="B26" s="3" t="s">
        <v>379</v>
      </c>
      <c r="C26" s="6">
        <v>8.9999999999999993E-3</v>
      </c>
      <c r="D26" s="6"/>
      <c r="E26" s="6"/>
      <c r="F26" s="6"/>
      <c r="G26" s="3"/>
    </row>
    <row r="27" spans="1:7" x14ac:dyDescent="0.35">
      <c r="A27" s="2"/>
      <c r="B27" s="3" t="s">
        <v>380</v>
      </c>
      <c r="C27" s="6">
        <v>3.6999999999999998E-2</v>
      </c>
      <c r="D27" s="6"/>
      <c r="E27" s="6"/>
      <c r="F27" s="6"/>
      <c r="G27" s="3"/>
    </row>
    <row r="28" spans="1:7" x14ac:dyDescent="0.35">
      <c r="A28" s="2"/>
      <c r="B28" s="3" t="s">
        <v>381</v>
      </c>
      <c r="C28" s="6">
        <v>1.0999999999999999E-2</v>
      </c>
      <c r="D28" s="6"/>
      <c r="E28" s="6"/>
      <c r="F28" s="6"/>
      <c r="G28" s="3"/>
    </row>
    <row r="29" spans="1:7" x14ac:dyDescent="0.35">
      <c r="A29" s="2"/>
      <c r="B29" s="3"/>
      <c r="C29" s="6"/>
      <c r="D29" s="6"/>
      <c r="E29" s="6"/>
      <c r="F29" s="6"/>
      <c r="G29" s="3"/>
    </row>
    <row r="30" spans="1:7" x14ac:dyDescent="0.35">
      <c r="A30" s="2"/>
      <c r="B30" s="3"/>
      <c r="C30" s="6"/>
      <c r="D30" s="6"/>
      <c r="E30" s="6"/>
      <c r="F30" s="6"/>
      <c r="G30" s="3"/>
    </row>
    <row r="31" spans="1:7" x14ac:dyDescent="0.35">
      <c r="A31" s="2"/>
      <c r="B31" s="3"/>
      <c r="C31" s="6"/>
      <c r="D31" s="6"/>
      <c r="E31" s="6"/>
      <c r="F31" s="6"/>
      <c r="G31" s="3"/>
    </row>
    <row r="32" spans="1:7" x14ac:dyDescent="0.35">
      <c r="A32" s="2"/>
      <c r="B32" s="3"/>
      <c r="C32" s="6"/>
      <c r="D32" s="6"/>
      <c r="E32" s="6"/>
      <c r="F32" s="6"/>
      <c r="G32" s="3"/>
    </row>
    <row r="33" spans="1:7" x14ac:dyDescent="0.35">
      <c r="A33" s="2"/>
      <c r="B33" s="3"/>
      <c r="C33" s="6"/>
      <c r="D33" s="6"/>
      <c r="E33" s="6"/>
      <c r="F33" s="6"/>
      <c r="G33" s="3"/>
    </row>
    <row r="34" spans="1:7" x14ac:dyDescent="0.35">
      <c r="A34" s="2"/>
      <c r="B34" s="3"/>
      <c r="C34" s="6"/>
      <c r="D34" s="6"/>
      <c r="E34" s="6"/>
      <c r="F34" s="6"/>
      <c r="G34" s="3"/>
    </row>
    <row r="35" spans="1:7" x14ac:dyDescent="0.35">
      <c r="A35" s="2"/>
      <c r="B35" s="3"/>
      <c r="C35" s="6"/>
      <c r="D35" s="6"/>
      <c r="E35" s="6"/>
      <c r="F35" s="6"/>
      <c r="G35" s="3"/>
    </row>
    <row r="36" spans="1:7" x14ac:dyDescent="0.35">
      <c r="A36" s="2"/>
      <c r="B36" s="3"/>
      <c r="C36" s="6"/>
      <c r="D36" s="6"/>
      <c r="E36" s="6"/>
      <c r="F36" s="6"/>
      <c r="G36" s="3"/>
    </row>
    <row r="37" spans="1:7" x14ac:dyDescent="0.35">
      <c r="A37" s="2"/>
      <c r="B37" s="3"/>
      <c r="C37" s="6"/>
      <c r="D37" s="6"/>
      <c r="E37" s="6"/>
      <c r="F37" s="6"/>
      <c r="G37" s="3"/>
    </row>
    <row r="38" spans="1:7" x14ac:dyDescent="0.35">
      <c r="A38" s="2"/>
      <c r="B38" s="3"/>
      <c r="C38" s="6"/>
      <c r="D38" s="6"/>
      <c r="E38" s="6"/>
      <c r="F38" s="6"/>
      <c r="G38" s="3"/>
    </row>
    <row r="39" spans="1:7" ht="15" customHeight="1" x14ac:dyDescent="0.4">
      <c r="B39" s="12" t="s">
        <v>752</v>
      </c>
      <c r="C39" s="13">
        <f>SUM(C5:C38)</f>
        <v>0.99999999999999989</v>
      </c>
      <c r="D39" s="13">
        <f>SUM(D5:D38)</f>
        <v>1</v>
      </c>
      <c r="E39" s="13">
        <f>SUM(E5:E38)</f>
        <v>1.0000000000000002</v>
      </c>
      <c r="F39" s="13">
        <f>SUM(F5:F38)</f>
        <v>1</v>
      </c>
    </row>
  </sheetData>
  <sheetProtection algorithmName="SHA-512" hashValue="lVLuUxcYz16w8ggS0xr0ySU/9M4aY2MNZeLvKagCLlHJL4N1ZCVIgYzo04TXar8oSHS1CJ29VxhtOd3mAhnAUQ==" saltValue="3kW7ejCAJam5SH5Q6KzHxA==" spinCount="100000" sheet="1" formatCells="0" formatColumns="0" formatRows="0" sort="0" autoFilter="0"/>
  <conditionalFormatting sqref="C39:F39">
    <cfRule type="expression" dxfId="6" priority="1">
      <formula>ABS(C39-1)&gt;0.001</formula>
    </cfRule>
  </conditionalFormatting>
  <dataValidations count="3">
    <dataValidation type="decimal" allowBlank="1" showErrorMessage="1" errorTitle="Poids invalide" error="Poids de composition entre 0 et 100 % (taper 20 pour 20 %)." sqref="C5:F38" xr:uid="{00000000-0002-0000-0100-000000000000}">
      <formula1>0</formula1>
      <formula2>1</formula2>
    </dataValidation>
    <dataValidation type="list" errorStyle="warning" allowBlank="1" showErrorMessage="1" errorTitle="Sous-jacent hors base" error="Choisissez un fonds existant de l'onglet « Fonds ». S'il n'y est pas encore, ajoutez-le d'abord là — il apparaîtra ensuite dans cette liste." sqref="B5:B38" xr:uid="{00000000-0002-0000-0100-000001000000}">
      <formula1>ListeFonds</formula1>
    </dataValidation>
    <dataValidation type="list" errorStyle="warning" allowBlank="1" showErrorMessage="1" errorTitle="ISIN hors base" error="Choisissez l'ISIN d'un fonds de l'onglet « Fonds » (ou laissez vide pour un support sans ISIN)." sqref="A5:A38" xr:uid="{00000000-0002-0000-0100-000002000000}">
      <formula1>ListeISIN</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O17"/>
  <sheetViews>
    <sheetView workbookViewId="0"/>
  </sheetViews>
  <sheetFormatPr baseColWidth="10" defaultColWidth="8.7265625" defaultRowHeight="14.5" x14ac:dyDescent="0.35"/>
  <cols>
    <col min="1" max="1" width="30" customWidth="1"/>
    <col min="2" max="2" width="34" customWidth="1"/>
    <col min="4" max="4" width="30" customWidth="1"/>
    <col min="5" max="5" width="34" customWidth="1"/>
    <col min="7" max="7" width="12" customWidth="1"/>
    <col min="8" max="8" width="8" customWidth="1"/>
    <col min="9" max="9" width="16" customWidth="1"/>
    <col min="10" max="10" width="8" customWidth="1"/>
    <col min="11" max="11" width="22" customWidth="1"/>
  </cols>
  <sheetData>
    <row r="1" spans="1:15" ht="15" customHeight="1" x14ac:dyDescent="0.4">
      <c r="A1" s="14" t="s">
        <v>753</v>
      </c>
      <c r="B1" s="14" t="s">
        <v>754</v>
      </c>
      <c r="D1" s="14" t="s">
        <v>755</v>
      </c>
      <c r="E1" s="14" t="s">
        <v>756</v>
      </c>
      <c r="G1" s="14" t="s">
        <v>757</v>
      </c>
      <c r="I1" s="14" t="s">
        <v>758</v>
      </c>
      <c r="K1" s="14" t="s">
        <v>16</v>
      </c>
      <c r="M1" s="14" t="s">
        <v>20</v>
      </c>
      <c r="O1" s="14" t="s">
        <v>21</v>
      </c>
    </row>
    <row r="2" spans="1:15" ht="15" customHeight="1" x14ac:dyDescent="0.4">
      <c r="A2" s="15" t="s">
        <v>22</v>
      </c>
      <c r="B2" s="15" t="s">
        <v>24</v>
      </c>
      <c r="D2" s="15" t="s">
        <v>22</v>
      </c>
      <c r="E2" s="15" t="s">
        <v>24</v>
      </c>
      <c r="G2" s="15" t="s">
        <v>759</v>
      </c>
      <c r="I2" s="15" t="s">
        <v>25</v>
      </c>
      <c r="K2" s="15" t="s">
        <v>760</v>
      </c>
      <c r="M2" t="s">
        <v>761</v>
      </c>
      <c r="O2" t="s">
        <v>762</v>
      </c>
    </row>
    <row r="3" spans="1:15" ht="15" customHeight="1" x14ac:dyDescent="0.4">
      <c r="A3" s="15" t="s">
        <v>144</v>
      </c>
      <c r="B3" s="15" t="s">
        <v>34</v>
      </c>
      <c r="D3" s="15" t="s">
        <v>22</v>
      </c>
      <c r="E3" s="15" t="s">
        <v>34</v>
      </c>
      <c r="G3" s="15" t="s">
        <v>763</v>
      </c>
      <c r="I3" s="15" t="s">
        <v>729</v>
      </c>
      <c r="K3" s="15" t="s">
        <v>764</v>
      </c>
      <c r="M3" t="s">
        <v>765</v>
      </c>
      <c r="O3" t="s">
        <v>766</v>
      </c>
    </row>
    <row r="4" spans="1:15" ht="15" customHeight="1" x14ac:dyDescent="0.4">
      <c r="A4" s="15" t="s">
        <v>191</v>
      </c>
      <c r="B4" s="15" t="s">
        <v>61</v>
      </c>
      <c r="D4" s="15" t="s">
        <v>22</v>
      </c>
      <c r="E4" s="15" t="s">
        <v>61</v>
      </c>
      <c r="G4" s="15" t="s">
        <v>767</v>
      </c>
      <c r="I4" s="15" t="s">
        <v>768</v>
      </c>
      <c r="K4" s="15" t="s">
        <v>740</v>
      </c>
      <c r="M4" t="s">
        <v>769</v>
      </c>
      <c r="O4" t="s">
        <v>770</v>
      </c>
    </row>
    <row r="5" spans="1:15" ht="15" customHeight="1" x14ac:dyDescent="0.4">
      <c r="A5" s="15" t="s">
        <v>244</v>
      </c>
      <c r="B5" s="15" t="s">
        <v>537</v>
      </c>
      <c r="D5" s="15" t="s">
        <v>144</v>
      </c>
      <c r="E5" s="15"/>
      <c r="G5" s="15" t="s">
        <v>771</v>
      </c>
      <c r="K5" s="15" t="s">
        <v>772</v>
      </c>
      <c r="M5" t="s">
        <v>773</v>
      </c>
    </row>
    <row r="6" spans="1:15" ht="15" customHeight="1" x14ac:dyDescent="0.4">
      <c r="A6" s="15" t="s">
        <v>277</v>
      </c>
      <c r="B6" s="15" t="s">
        <v>469</v>
      </c>
      <c r="D6" s="15" t="s">
        <v>191</v>
      </c>
      <c r="E6" s="15"/>
      <c r="G6" s="15" t="s">
        <v>774</v>
      </c>
      <c r="K6" s="15" t="s">
        <v>775</v>
      </c>
    </row>
    <row r="7" spans="1:15" ht="15" customHeight="1" x14ac:dyDescent="0.4">
      <c r="A7" s="15" t="s">
        <v>333</v>
      </c>
      <c r="B7" s="15" t="s">
        <v>599</v>
      </c>
      <c r="D7" s="15" t="s">
        <v>244</v>
      </c>
      <c r="E7" s="15"/>
      <c r="G7" s="15" t="s">
        <v>776</v>
      </c>
    </row>
    <row r="8" spans="1:15" ht="15" customHeight="1" x14ac:dyDescent="0.4">
      <c r="A8" s="15" t="s">
        <v>466</v>
      </c>
      <c r="B8" s="15" t="s">
        <v>655</v>
      </c>
      <c r="D8" s="15" t="s">
        <v>277</v>
      </c>
      <c r="E8" s="15"/>
    </row>
    <row r="9" spans="1:15" ht="15" customHeight="1" x14ac:dyDescent="0.4">
      <c r="A9" s="15" t="s">
        <v>703</v>
      </c>
      <c r="B9" s="15" t="s">
        <v>665</v>
      </c>
      <c r="D9" s="15" t="s">
        <v>333</v>
      </c>
      <c r="E9" s="15"/>
    </row>
    <row r="10" spans="1:15" ht="15" customHeight="1" x14ac:dyDescent="0.4">
      <c r="D10" s="15" t="s">
        <v>466</v>
      </c>
      <c r="E10" s="15" t="s">
        <v>469</v>
      </c>
    </row>
    <row r="11" spans="1:15" ht="15" customHeight="1" x14ac:dyDescent="0.4">
      <c r="D11" s="15" t="s">
        <v>466</v>
      </c>
      <c r="E11" s="15" t="s">
        <v>537</v>
      </c>
    </row>
    <row r="12" spans="1:15" ht="15" customHeight="1" x14ac:dyDescent="0.4">
      <c r="D12" s="15" t="s">
        <v>466</v>
      </c>
      <c r="E12" s="15" t="s">
        <v>599</v>
      </c>
    </row>
    <row r="13" spans="1:15" ht="15" customHeight="1" x14ac:dyDescent="0.4">
      <c r="D13" s="15" t="s">
        <v>466</v>
      </c>
      <c r="E13" s="15" t="s">
        <v>655</v>
      </c>
    </row>
    <row r="14" spans="1:15" ht="15" customHeight="1" x14ac:dyDescent="0.4">
      <c r="D14" s="15" t="s">
        <v>466</v>
      </c>
      <c r="E14" s="15" t="s">
        <v>665</v>
      </c>
    </row>
    <row r="15" spans="1:15" ht="15" customHeight="1" x14ac:dyDescent="0.4">
      <c r="D15" s="15" t="s">
        <v>703</v>
      </c>
      <c r="E15" s="15"/>
    </row>
    <row r="17" spans="4:4" x14ac:dyDescent="0.35">
      <c r="D17" s="16" t="s">
        <v>777</v>
      </c>
    </row>
  </sheetData>
  <sheetProtection algorithmName="SHA-512" hashValue="rU48ahumvITUjmnQ1kYiEzdmZMgUPCJUhlpds/LOGNPMzlbWxKZM9mw6U+SsTD8XsTWP7+2DaiUKm3hYHJajUA==" saltValue="iqrZaEOpGRWb4ACo/olXOA==" spinCount="100000" sheet="1" formatCells="0" formatColumns="0" formatRows="0" sort="0" autoFilter="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F7E65"/>
  </sheetPr>
  <dimension ref="B2:D48"/>
  <sheetViews>
    <sheetView showGridLines="0" workbookViewId="0"/>
  </sheetViews>
  <sheetFormatPr baseColWidth="10" defaultColWidth="8.7265625" defaultRowHeight="14.5" x14ac:dyDescent="0.35"/>
  <cols>
    <col min="1" max="1" width="2" customWidth="1"/>
    <col min="2" max="2" width="54" customWidth="1"/>
    <col min="3" max="3" width="13" customWidth="1"/>
    <col min="4" max="4" width="80" customWidth="1"/>
  </cols>
  <sheetData>
    <row r="2" spans="2:4" ht="26.15" customHeight="1" x14ac:dyDescent="0.6">
      <c r="B2" s="17" t="s">
        <v>778</v>
      </c>
      <c r="C2" s="18"/>
      <c r="D2" s="18"/>
    </row>
    <row r="3" spans="2:4" ht="15" customHeight="1" x14ac:dyDescent="0.4">
      <c r="B3" s="19" t="s">
        <v>779</v>
      </c>
      <c r="C3" s="18"/>
      <c r="D3" s="18"/>
    </row>
    <row r="6" spans="2:4" ht="16.5" customHeight="1" x14ac:dyDescent="0.45">
      <c r="B6" s="20" t="s">
        <v>780</v>
      </c>
      <c r="C6" s="21"/>
      <c r="D6" s="21"/>
    </row>
    <row r="7" spans="2:4" ht="15" customHeight="1" x14ac:dyDescent="0.4">
      <c r="B7" s="15" t="s">
        <v>781</v>
      </c>
      <c r="C7" s="22">
        <f>COUNTA(TableFonds[Nom du fonds])</f>
        <v>311</v>
      </c>
      <c r="D7" s="23"/>
    </row>
    <row r="8" spans="2:4" ht="15" customHeight="1" x14ac:dyDescent="0.4">
      <c r="B8" s="15" t="s">
        <v>782</v>
      </c>
      <c r="C8" s="22">
        <f>COUNTIF(TableFonds[Statut],"À compléter")</f>
        <v>309</v>
      </c>
      <c r="D8" s="23" t="s">
        <v>783</v>
      </c>
    </row>
    <row r="9" spans="2:4" ht="15" customHeight="1" x14ac:dyDescent="0.4">
      <c r="B9" s="15" t="s">
        <v>784</v>
      </c>
      <c r="C9" s="22">
        <f>COUNTIF(TableFonds[Statut],"Validé")</f>
        <v>0</v>
      </c>
      <c r="D9" s="23"/>
    </row>
    <row r="10" spans="2:4" ht="15" customHeight="1" x14ac:dyDescent="0.4">
      <c r="B10" s="15" t="s">
        <v>785</v>
      </c>
      <c r="C10" s="22">
        <f>COUNTIF(TableFonds[Statut],"Fermé")</f>
        <v>0</v>
      </c>
      <c r="D10" s="23"/>
    </row>
    <row r="11" spans="2:4" ht="15" customHeight="1" x14ac:dyDescent="0.4">
      <c r="B11" s="15" t="s">
        <v>786</v>
      </c>
      <c r="C11" s="22">
        <f>ROWS(TableFonds[Nom du fonds])-COUNTA(TableFonds[Nom du fonds])</f>
        <v>106</v>
      </c>
      <c r="D11" s="23" t="s">
        <v>787</v>
      </c>
    </row>
    <row r="13" spans="2:4" ht="16.5" customHeight="1" x14ac:dyDescent="0.45">
      <c r="B13" s="20" t="s">
        <v>788</v>
      </c>
      <c r="C13" s="21"/>
      <c r="D13" s="21"/>
    </row>
    <row r="14" spans="2:4" ht="15" customHeight="1" x14ac:dyDescent="0.4">
      <c r="B14" s="15" t="s">
        <v>789</v>
      </c>
      <c r="C14" s="22">
        <f>SUMPRODUCT((TableFonds[ISIN]&lt;&gt;"")*(COUNTIF(TableFonds[ISIN],TableFonds[ISIN])&gt;1))</f>
        <v>0</v>
      </c>
      <c r="D14" s="23" t="s">
        <v>790</v>
      </c>
    </row>
    <row r="15" spans="2:4" ht="15" customHeight="1" x14ac:dyDescent="0.4">
      <c r="B15" s="15" t="s">
        <v>791</v>
      </c>
      <c r="C15" s="22">
        <f>SUMPRODUCT((TableFonds[ISIN]&lt;&gt;"")*(LEN(TableFonds[ISIN])&lt;&gt;12))</f>
        <v>6</v>
      </c>
      <c r="D15" s="23"/>
    </row>
    <row r="16" spans="2:4" ht="15" customHeight="1" x14ac:dyDescent="0.4">
      <c r="B16" s="15" t="s">
        <v>792</v>
      </c>
      <c r="C16" s="22">
        <f>SUMPRODUCT((TableFonds[Nom du fonds]&lt;&gt;"")*(TableFonds[Catégorie]=""))</f>
        <v>1</v>
      </c>
      <c r="D16" s="23"/>
    </row>
    <row r="17" spans="2:4" ht="15" customHeight="1" x14ac:dyDescent="0.4">
      <c r="B17" s="15" t="s">
        <v>793</v>
      </c>
      <c r="C17" s="22">
        <f>SUMPRODUCT((TableFonds[Catégorie]&lt;&gt;"")*(COUNTIF(Categories,TableFonds[Catégorie])=0))</f>
        <v>0</v>
      </c>
      <c r="D17" s="23" t="s">
        <v>794</v>
      </c>
    </row>
    <row r="18" spans="2:4" ht="15" customHeight="1" x14ac:dyDescent="0.4">
      <c r="B18" s="15" t="s">
        <v>795</v>
      </c>
      <c r="C18" s="22">
        <f>SUMPRODUCT((TableFonds[Sous-catégorie]&lt;&gt;"")*(COUNTIFS(PaireCategorie,TableFonds[Catégorie],PaireSousCategorie,TableFonds[Sous-catégorie])=0))</f>
        <v>1</v>
      </c>
      <c r="D18" s="23" t="s">
        <v>796</v>
      </c>
    </row>
    <row r="19" spans="2:4" ht="15" customHeight="1" x14ac:dyDescent="0.4">
      <c r="B19" s="15" t="s">
        <v>797</v>
      </c>
      <c r="C19" s="22">
        <f>COUNTIF(TableFonds[SRI],"&gt;7")+COUNTIF(TableFonds[SRI],"&lt;1")</f>
        <v>0</v>
      </c>
      <c r="D19" s="23"/>
    </row>
    <row r="20" spans="2:4" ht="15" customHeight="1" x14ac:dyDescent="0.4">
      <c r="B20" s="15" t="s">
        <v>798</v>
      </c>
      <c r="C20" s="22">
        <f>(COUNTA(TableFonds[SRI])-COUNT(TableFonds[SRI]))+(COUNTA(TableFonds[Frais courants (%)])-COUNT(TableFonds[Frais courants (%)]))+(COUNTA(TableFonds[Commission de surperformance (%)])-COUNT(TableFonds[Commission de surperformance (%)]))+(COUNTA(TableFonds[Expo EUR (%)])-COUNT(TableFonds[Expo EUR (%)]))+(COUNTA(TableFonds[Expo USD (%)])-COUNT(TableFonds[Expo USD (%)]))+(COUNTA(TableFonds[Expo autres devises (%)])-COUNT(TableFonds[Expo autres devises (%)]))+(COUNTA(TableFonds[Expo Europe (%)])-COUNT(TableFonds[Expo Europe (%)]))+(COUNTA(TableFonds[Expo Amérique du Nord (%)])-COUNT(TableFonds[Expo Amérique du Nord (%)]))+(COUNTA(TableFonds[Expo Marchés émergents (%)])-COUNT(TableFonds[Expo Marchés émergents (%)]))+(COUNTA(TableFonds[Expo autres zones (%)])-COUNT(TableFonds[Expo autres zones (%)]))+(COUNTA(#REF!)-COUNT(#REF!))+(COUNTA(#REF!)-COUNT(#REF!))+(COUNTA(#REF!)-COUNT(#REF!))+(COUNTA(#REF!)-COUNT(#REF!))+(COUNTA(#REF!)-COUNT(#REF!))+(COUNTA(#REF!)-COUNT(#REF!))</f>
        <v>6</v>
      </c>
      <c r="D20" s="23" t="s">
        <v>799</v>
      </c>
    </row>
    <row r="21" spans="2:4" ht="15" customHeight="1" x14ac:dyDescent="0.4">
      <c r="B21" s="15" t="s">
        <v>800</v>
      </c>
      <c r="C21" s="22">
        <f>IFERROR(SUMPRODUCT((TableFonds[Expo EUR (%)]&lt;&gt;"")*(TableFonds[Expo USD (%)]&lt;&gt;"")*(TableFonds[Expo autres devises (%)]&lt;&gt;"")*(ABS(TableFonds[Expo EUR (%)]+TableFonds[Expo USD (%)]+TableFonds[Expo autres devises (%)]-1)&gt;0.011)),"→ textes ?")</f>
        <v>0</v>
      </c>
      <c r="D21" s="23" t="s">
        <v>801</v>
      </c>
    </row>
    <row r="22" spans="2:4" ht="15" customHeight="1" x14ac:dyDescent="0.4">
      <c r="B22" s="15" t="s">
        <v>802</v>
      </c>
      <c r="C22" s="22">
        <f>SUMPRODUCT(--(((TableFonds[Expo EUR (%)]&lt;&gt;"")+(TableFonds[Expo USD (%)]&lt;&gt;"")+(TableFonds[Expo autres devises (%)]&lt;&gt;""))&gt;0),--(((TableFonds[Expo EUR (%)]&lt;&gt;"")+(TableFonds[Expo USD (%)]&lt;&gt;"")+(TableFonds[Expo autres devises (%)]&lt;&gt;""))&lt;3))</f>
        <v>0</v>
      </c>
      <c r="D22" s="23"/>
    </row>
    <row r="23" spans="2:4" ht="15" customHeight="1" x14ac:dyDescent="0.4">
      <c r="B23" s="15" t="s">
        <v>803</v>
      </c>
      <c r="C23" s="22">
        <f>IFERROR(SUMPRODUCT((TableFonds[Expo Europe (%)]&lt;&gt;"")*(TableFonds[Expo Amérique du Nord (%)]&lt;&gt;"")*(TableFonds[Expo Marchés émergents (%)]&lt;&gt;"")*(TableFonds[Expo autres zones (%)]&lt;&gt;"")*(ABS(TableFonds[Expo Europe (%)]+TableFonds[Expo Amérique du Nord (%)]+TableFonds[Expo Marchés émergents (%)]+TableFonds[Expo autres zones (%)]-1)&gt;0.011)),"→ textes ?")</f>
        <v>0</v>
      </c>
      <c r="D23" s="23" t="s">
        <v>804</v>
      </c>
    </row>
    <row r="24" spans="2:4" ht="15" customHeight="1" x14ac:dyDescent="0.4">
      <c r="B24" s="15" t="s">
        <v>805</v>
      </c>
      <c r="C24" s="22">
        <f>SUMPRODUCT(--(((TableFonds[Expo Europe (%)]&lt;&gt;"")+(TableFonds[Expo Amérique du Nord (%)]&lt;&gt;"")+(TableFonds[Expo Marchés émergents (%)]&lt;&gt;"")+(TableFonds[Expo autres zones (%)]&lt;&gt;""))&gt;0),--(((TableFonds[Expo Europe (%)]&lt;&gt;"")+(TableFonds[Expo Amérique du Nord (%)]&lt;&gt;"")+(TableFonds[Expo Marchés émergents (%)]&lt;&gt;"")+(TableFonds[Expo autres zones (%)]&lt;&gt;""))&lt;4))</f>
        <v>0</v>
      </c>
      <c r="D24" s="23"/>
    </row>
    <row r="25" spans="2:4" ht="15" customHeight="1" x14ac:dyDescent="0.4">
      <c r="B25" s="15" t="s">
        <v>806</v>
      </c>
      <c r="C25" s="22">
        <f>SUMPRODUCT((TableFonds[Lien DICI]&lt;&gt;"")*(LEFT(TableFonds[Lien DICI],4)&lt;&gt;"http"))</f>
        <v>2</v>
      </c>
      <c r="D25" s="23"/>
    </row>
    <row r="27" spans="2:4" ht="16.5" customHeight="1" x14ac:dyDescent="0.45">
      <c r="B27" s="20" t="s">
        <v>807</v>
      </c>
      <c r="C27" s="21"/>
      <c r="D27" s="21"/>
    </row>
    <row r="28" spans="2:4" ht="15" customHeight="1" x14ac:dyDescent="0.4">
      <c r="B28" s="15" t="s">
        <v>808</v>
      </c>
      <c r="C28" s="24">
        <f>IFERROR(SUM(TableTransparisation[Althos Private Equity]),0)</f>
        <v>0.99999999999999989</v>
      </c>
      <c r="D28" s="23" t="s">
        <v>809</v>
      </c>
    </row>
    <row r="29" spans="2:4" ht="15" customHeight="1" x14ac:dyDescent="0.4">
      <c r="B29" s="15" t="s">
        <v>810</v>
      </c>
      <c r="C29" s="24">
        <f>IFERROR(SUM(TableTransparisation[Althos Private Credit — Capitalisant]),0)</f>
        <v>1</v>
      </c>
      <c r="D29" s="23" t="s">
        <v>809</v>
      </c>
    </row>
    <row r="30" spans="2:4" ht="15" customHeight="1" x14ac:dyDescent="0.4">
      <c r="B30" s="15" t="s">
        <v>811</v>
      </c>
      <c r="C30" s="24">
        <f>IFERROR(SUM(TableTransparisation[Althos Private Credit — Distribuant]),0)</f>
        <v>1.0000000000000002</v>
      </c>
      <c r="D30" s="23" t="s">
        <v>809</v>
      </c>
    </row>
    <row r="31" spans="2:4" ht="15" customHeight="1" x14ac:dyDescent="0.4">
      <c r="B31" s="15" t="s">
        <v>812</v>
      </c>
      <c r="C31" s="24">
        <f>IFERROR(SUM(TableTransparisation[Althos Private Infrastructure]),0)</f>
        <v>1</v>
      </c>
      <c r="D31" s="23" t="s">
        <v>809</v>
      </c>
    </row>
    <row r="32" spans="2:4" ht="15" customHeight="1" x14ac:dyDescent="0.4">
      <c r="B32" s="15" t="s">
        <v>813</v>
      </c>
      <c r="C32" s="22">
        <f>SUMPRODUCT((TableTransparisation[ISIN sous-jacent]&lt;&gt;"")*(COUNTIF(TableFonds[ISIN],TableTransparisation[ISIN sous-jacent])=0))</f>
        <v>0</v>
      </c>
      <c r="D32" s="23" t="s">
        <v>814</v>
      </c>
    </row>
    <row r="33" spans="2:4" ht="15" customHeight="1" x14ac:dyDescent="0.4">
      <c r="B33" s="15" t="s">
        <v>815</v>
      </c>
      <c r="C33" s="22">
        <f>SUMPRODUCT((TableTransparisation[Sous-jacent]&lt;&gt;"")*(COUNTIF(TableFonds[Nom du fonds],TableTransparisation[Sous-jacent])=0))</f>
        <v>0</v>
      </c>
      <c r="D33" s="23" t="s">
        <v>816</v>
      </c>
    </row>
    <row r="35" spans="2:4" ht="16.5" customHeight="1" x14ac:dyDescent="0.45">
      <c r="B35" s="20" t="s">
        <v>817</v>
      </c>
      <c r="C35" s="21"/>
      <c r="D35" s="21"/>
    </row>
    <row r="36" spans="2:4" ht="15" customHeight="1" x14ac:dyDescent="0.4">
      <c r="B36" s="15" t="s">
        <v>4</v>
      </c>
      <c r="C36" s="24">
        <f>IFERROR(SUMPRODUCT((TableFonds[Nom du fonds]&lt;&gt;"")*(TableFonds[Devise du fonds]&lt;&gt;""))/COUNTA(TableFonds[Nom du fonds]),0)</f>
        <v>0</v>
      </c>
      <c r="D36" s="23"/>
    </row>
    <row r="37" spans="2:4" ht="15" customHeight="1" x14ac:dyDescent="0.4">
      <c r="B37" s="15" t="s">
        <v>5</v>
      </c>
      <c r="C37" s="24">
        <f>IFERROR(SUMPRODUCT((TableFonds[Nom du fonds]&lt;&gt;"")*(TableFonds[SRI]&lt;&gt;""))/COUNTA(TableFonds[Nom du fonds]),0)</f>
        <v>0.97427652733118975</v>
      </c>
      <c r="D37" s="23"/>
    </row>
    <row r="38" spans="2:4" ht="15" customHeight="1" x14ac:dyDescent="0.4">
      <c r="B38" s="15" t="s">
        <v>818</v>
      </c>
      <c r="C38" s="24">
        <f>IFERROR(SUMPRODUCT((TableFonds[Nom du fonds]&lt;&gt;"")*(TableFonds[Frais courants (%)]&lt;&gt;""))/COUNTA(TableFonds[Nom du fonds]),0)</f>
        <v>0</v>
      </c>
      <c r="D38" s="23"/>
    </row>
    <row r="39" spans="2:4" ht="15" customHeight="1" x14ac:dyDescent="0.4">
      <c r="B39" s="15" t="s">
        <v>819</v>
      </c>
      <c r="C39" s="24">
        <f>IFERROR(SUMPRODUCT((TableFonds[Nom du fonds]&lt;&gt;"")*(TableFonds[Commission de surperformance (%)]&lt;&gt;""))/COUNTA(TableFonds[Nom du fonds]),0)</f>
        <v>0</v>
      </c>
      <c r="D39" s="23"/>
    </row>
    <row r="40" spans="2:4" ht="15" customHeight="1" x14ac:dyDescent="0.4">
      <c r="B40" s="15" t="s">
        <v>8</v>
      </c>
      <c r="C40" s="24">
        <f>IFERROR(SUMPRODUCT((TableFonds[Nom du fonds]&lt;&gt;"")*(TableFonds[Lien DICI]&lt;&gt;""))/COUNTA(TableFonds[Nom du fonds]),0)</f>
        <v>0.23794212218649519</v>
      </c>
      <c r="D40" s="23"/>
    </row>
    <row r="41" spans="2:4" ht="15" customHeight="1" x14ac:dyDescent="0.4">
      <c r="B41" s="15" t="s">
        <v>820</v>
      </c>
      <c r="C41" s="24">
        <f>IFERROR(SUMPRODUCT((TableFonds[Expo EUR (%)]&lt;&gt;"")*(TableFonds[Expo USD (%)]&lt;&gt;"")*(TableFonds[Expo autres devises (%)]&lt;&gt;"")*(TableFonds[Nom du fonds]&lt;&gt;""))/COUNTA(TableFonds[Nom du fonds]),0)</f>
        <v>0</v>
      </c>
      <c r="D41" s="23"/>
    </row>
    <row r="42" spans="2:4" ht="15" customHeight="1" x14ac:dyDescent="0.4">
      <c r="B42" s="15" t="s">
        <v>821</v>
      </c>
      <c r="C42" s="24">
        <f>IFERROR(SUMPRODUCT((TableFonds[Expo Europe (%)]&lt;&gt;"")*(TableFonds[Expo Amérique du Nord (%)]&lt;&gt;"")*(TableFonds[Expo Marchés émergents (%)]&lt;&gt;"")*(TableFonds[Expo autres zones (%)]&lt;&gt;"")*(TableFonds[Nom du fonds]&lt;&gt;""))/COUNTA(TableFonds[Nom du fonds]),0)</f>
        <v>0</v>
      </c>
      <c r="D42" s="23"/>
    </row>
    <row r="43" spans="2:4" ht="15" customHeight="1" x14ac:dyDescent="0.4">
      <c r="B43" s="15" t="s">
        <v>822</v>
      </c>
      <c r="C43" s="24">
        <f>IFERROR(SUMPRODUCT((TableFonds[Nom du fonds]&lt;&gt;"")*(#REF!&lt;&gt;""))/COUNTA(TableFonds[Nom du fonds]),0)</f>
        <v>0</v>
      </c>
      <c r="D43" s="23"/>
    </row>
    <row r="44" spans="2:4" ht="15" customHeight="1" x14ac:dyDescent="0.4">
      <c r="B44" s="15" t="s">
        <v>823</v>
      </c>
      <c r="C44" s="24">
        <f>IFERROR(SUMPRODUCT((TableFonds[Nom du fonds]&lt;&gt;"")*(#REF!&lt;&gt;""))/COUNTA(TableFonds[Nom du fonds]),0)</f>
        <v>0</v>
      </c>
      <c r="D44" s="23"/>
    </row>
    <row r="45" spans="2:4" ht="15" customHeight="1" x14ac:dyDescent="0.4">
      <c r="B45" s="15" t="s">
        <v>824</v>
      </c>
      <c r="C45" s="24">
        <f>IFERROR(SUMPRODUCT((TableFonds[Nom du fonds]&lt;&gt;"")*(#REF!&lt;&gt;""))/COUNTA(TableFonds[Nom du fonds]),0)</f>
        <v>0</v>
      </c>
      <c r="D45" s="23"/>
    </row>
    <row r="46" spans="2:4" ht="15" customHeight="1" x14ac:dyDescent="0.4">
      <c r="B46" s="15" t="s">
        <v>825</v>
      </c>
      <c r="C46" s="24">
        <f>IFERROR(SUMPRODUCT((TableFonds[Nom du fonds]&lt;&gt;"")*(#REF!&lt;&gt;""))/COUNTA(TableFonds[Nom du fonds]),0)</f>
        <v>0</v>
      </c>
      <c r="D46" s="23"/>
    </row>
    <row r="47" spans="2:4" ht="15" customHeight="1" x14ac:dyDescent="0.4">
      <c r="B47" s="15" t="s">
        <v>826</v>
      </c>
      <c r="C47" s="24">
        <f>IFERROR(SUMPRODUCT((TableFonds[Nom du fonds]&lt;&gt;"")*(#REF!&lt;&gt;""))/COUNTA(TableFonds[Nom du fonds]),0)</f>
        <v>0</v>
      </c>
      <c r="D47" s="23"/>
    </row>
    <row r="48" spans="2:4" ht="15" customHeight="1" x14ac:dyDescent="0.4">
      <c r="B48" s="15" t="s">
        <v>827</v>
      </c>
      <c r="C48" s="24">
        <f>IFERROR(SUMPRODUCT((TableFonds[Nom du fonds]&lt;&gt;"")*(#REF!&lt;&gt;""))/COUNTA(TableFonds[Nom du fonds]),0)</f>
        <v>0</v>
      </c>
      <c r="D48" s="23"/>
    </row>
  </sheetData>
  <sheetProtection algorithmName="SHA-512" hashValue="8csTVRgpXnOzKnLUJ948cG7C61U7Iq1m3rVY2u8L/uAjm/vXTRW2sql3gs/LgVCNF6zHo/v8M4t0uffvRNuQXg==" saltValue="L/eETUj+kSFt5h755sW32Q==" spinCount="100000" sheet="1" formatCells="0" formatColumns="0" formatRows="0" sort="0" autoFilter="0"/>
  <conditionalFormatting sqref="C14:C25">
    <cfRule type="expression" dxfId="5" priority="1">
      <formula>AND(ISNUMBER(C14),C14&gt;0)</formula>
    </cfRule>
    <cfRule type="expression" dxfId="4" priority="2">
      <formula>C14=0</formula>
    </cfRule>
  </conditionalFormatting>
  <conditionalFormatting sqref="C28:C31">
    <cfRule type="expression" dxfId="3" priority="3">
      <formula>ABS(C28-1)&gt;0.001</formula>
    </cfRule>
    <cfRule type="expression" dxfId="2" priority="4">
      <formula>ABS(C28-1)&lt;=0.001</formula>
    </cfRule>
  </conditionalFormatting>
  <conditionalFormatting sqref="C32:C33">
    <cfRule type="expression" dxfId="1" priority="5">
      <formula>AND(ISNUMBER(C32),C32&gt;0)</formula>
    </cfRule>
    <cfRule type="expression" dxfId="0" priority="6">
      <formula>C32=0</formula>
    </cfRule>
  </conditionalFormatting>
  <conditionalFormatting sqref="C36:C48">
    <cfRule type="dataBar" priority="7">
      <dataBar>
        <cfvo type="num" val="0"/>
        <cfvo type="num" val="1"/>
        <color rgb="FF8F7E65"/>
      </dataBar>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8080"/>
  </sheetPr>
  <dimension ref="A2:B44"/>
  <sheetViews>
    <sheetView showGridLines="0" workbookViewId="0"/>
  </sheetViews>
  <sheetFormatPr baseColWidth="10" defaultColWidth="8.7265625" defaultRowHeight="14.5" x14ac:dyDescent="0.35"/>
  <cols>
    <col min="1" max="1" width="2" customWidth="1"/>
    <col min="2" max="2" width="118" customWidth="1"/>
  </cols>
  <sheetData>
    <row r="2" spans="1:2" ht="30" customHeight="1" x14ac:dyDescent="0.6">
      <c r="A2" s="18"/>
      <c r="B2" s="25" t="s">
        <v>828</v>
      </c>
    </row>
    <row r="3" spans="1:2" ht="15" customHeight="1" x14ac:dyDescent="0.4">
      <c r="B3" s="9" t="s">
        <v>829</v>
      </c>
    </row>
    <row r="4" spans="1:2" x14ac:dyDescent="0.35">
      <c r="B4" s="26"/>
    </row>
    <row r="5" spans="1:2" ht="16.5" customHeight="1" x14ac:dyDescent="0.45">
      <c r="B5" s="20" t="s">
        <v>830</v>
      </c>
    </row>
    <row r="6" spans="1:2" x14ac:dyDescent="0.35">
      <c r="B6" s="26" t="s">
        <v>831</v>
      </c>
    </row>
    <row r="7" spans="1:2" x14ac:dyDescent="0.35">
      <c r="B7" s="26" t="s">
        <v>832</v>
      </c>
    </row>
    <row r="8" spans="1:2" x14ac:dyDescent="0.35">
      <c r="B8" s="26" t="s">
        <v>833</v>
      </c>
    </row>
    <row r="9" spans="1:2" x14ac:dyDescent="0.35">
      <c r="B9" s="26" t="s">
        <v>834</v>
      </c>
    </row>
    <row r="10" spans="1:2" x14ac:dyDescent="0.35">
      <c r="B10" s="26" t="s">
        <v>835</v>
      </c>
    </row>
    <row r="11" spans="1:2" x14ac:dyDescent="0.35">
      <c r="B11" s="26" t="s">
        <v>836</v>
      </c>
    </row>
    <row r="12" spans="1:2" x14ac:dyDescent="0.35">
      <c r="B12" s="26"/>
    </row>
    <row r="13" spans="1:2" ht="16.5" customHeight="1" x14ac:dyDescent="0.45">
      <c r="B13" s="20" t="s">
        <v>837</v>
      </c>
    </row>
    <row r="14" spans="1:2" x14ac:dyDescent="0.35">
      <c r="B14" s="26" t="s">
        <v>838</v>
      </c>
    </row>
    <row r="15" spans="1:2" x14ac:dyDescent="0.35">
      <c r="B15" s="26" t="s">
        <v>839</v>
      </c>
    </row>
    <row r="16" spans="1:2" x14ac:dyDescent="0.35">
      <c r="B16" s="26" t="s">
        <v>840</v>
      </c>
    </row>
    <row r="17" spans="2:2" x14ac:dyDescent="0.35">
      <c r="B17" s="26" t="s">
        <v>841</v>
      </c>
    </row>
    <row r="18" spans="2:2" x14ac:dyDescent="0.35">
      <c r="B18" s="26" t="s">
        <v>842</v>
      </c>
    </row>
    <row r="19" spans="2:2" ht="28" customHeight="1" x14ac:dyDescent="0.35">
      <c r="B19" s="26" t="s">
        <v>843</v>
      </c>
    </row>
    <row r="20" spans="2:2" ht="28" customHeight="1" x14ac:dyDescent="0.35">
      <c r="B20" s="26" t="s">
        <v>844</v>
      </c>
    </row>
    <row r="21" spans="2:2" x14ac:dyDescent="0.35">
      <c r="B21" s="26" t="s">
        <v>845</v>
      </c>
    </row>
    <row r="22" spans="2:2" x14ac:dyDescent="0.35">
      <c r="B22" s="26" t="s">
        <v>846</v>
      </c>
    </row>
    <row r="23" spans="2:2" x14ac:dyDescent="0.35">
      <c r="B23" s="26" t="s">
        <v>847</v>
      </c>
    </row>
    <row r="24" spans="2:2" x14ac:dyDescent="0.35">
      <c r="B24" s="26" t="s">
        <v>848</v>
      </c>
    </row>
    <row r="25" spans="2:2" ht="28" customHeight="1" x14ac:dyDescent="0.35">
      <c r="B25" s="26" t="s">
        <v>849</v>
      </c>
    </row>
    <row r="26" spans="2:2" ht="28" customHeight="1" x14ac:dyDescent="0.35">
      <c r="B26" s="26" t="s">
        <v>850</v>
      </c>
    </row>
    <row r="27" spans="2:2" ht="28" customHeight="1" x14ac:dyDescent="0.35">
      <c r="B27" s="26" t="s">
        <v>851</v>
      </c>
    </row>
    <row r="28" spans="2:2" x14ac:dyDescent="0.35">
      <c r="B28" s="26" t="s">
        <v>852</v>
      </c>
    </row>
    <row r="29" spans="2:2" x14ac:dyDescent="0.35">
      <c r="B29" s="26" t="s">
        <v>853</v>
      </c>
    </row>
    <row r="30" spans="2:2" x14ac:dyDescent="0.35">
      <c r="B30" s="26"/>
    </row>
    <row r="31" spans="2:2" ht="16.5" customHeight="1" x14ac:dyDescent="0.45">
      <c r="B31" s="20" t="s">
        <v>854</v>
      </c>
    </row>
    <row r="32" spans="2:2" x14ac:dyDescent="0.35">
      <c r="B32" s="26" t="s">
        <v>855</v>
      </c>
    </row>
    <row r="33" spans="2:2" x14ac:dyDescent="0.35">
      <c r="B33" s="26" t="s">
        <v>856</v>
      </c>
    </row>
    <row r="34" spans="2:2" x14ac:dyDescent="0.35">
      <c r="B34" s="26" t="s">
        <v>857</v>
      </c>
    </row>
    <row r="35" spans="2:2" x14ac:dyDescent="0.35">
      <c r="B35" s="26" t="s">
        <v>858</v>
      </c>
    </row>
    <row r="36" spans="2:2" x14ac:dyDescent="0.35">
      <c r="B36" s="26" t="s">
        <v>859</v>
      </c>
    </row>
    <row r="37" spans="2:2" x14ac:dyDescent="0.35">
      <c r="B37" s="26"/>
    </row>
    <row r="38" spans="2:2" ht="16.5" customHeight="1" x14ac:dyDescent="0.45">
      <c r="B38" s="20" t="s">
        <v>860</v>
      </c>
    </row>
    <row r="39" spans="2:2" x14ac:dyDescent="0.35">
      <c r="B39" s="26" t="s">
        <v>861</v>
      </c>
    </row>
    <row r="40" spans="2:2" x14ac:dyDescent="0.35">
      <c r="B40" s="26" t="s">
        <v>862</v>
      </c>
    </row>
    <row r="41" spans="2:2" x14ac:dyDescent="0.35">
      <c r="B41" s="26"/>
    </row>
    <row r="42" spans="2:2" ht="16.5" customHeight="1" x14ac:dyDescent="0.45">
      <c r="B42" s="20" t="s">
        <v>863</v>
      </c>
    </row>
    <row r="43" spans="2:2" x14ac:dyDescent="0.35">
      <c r="B43" s="26" t="s">
        <v>864</v>
      </c>
    </row>
    <row r="44" spans="2:2" x14ac:dyDescent="0.35">
      <c r="B44" s="26" t="s">
        <v>865</v>
      </c>
    </row>
  </sheetData>
  <sheetProtection algorithmName="SHA-512" hashValue="EIC5ejNeEsk15T4ybzv4SarzhD6C9txiJhUmOs1dKT3k6LsCaqkAg5/TwUAObz8Zhch/fiOEAeGIp0aegRtSkw==" saltValue="9Th97eq1uJZ+tMo0PXBQ9Q==" spinCount="100000" sheet="1" formatCells="0" formatColumns="0" formatRows="0" sort="0" autoFilter="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
  <sheetViews>
    <sheetView workbookViewId="0">
      <pane xSplit="2" ySplit="1" topLeftCell="C2" activePane="bottomRight" state="frozen"/>
      <selection pane="topRight"/>
      <selection pane="bottomLeft"/>
      <selection pane="bottomRight" activeCell="N4" sqref="N4"/>
    </sheetView>
  </sheetViews>
  <sheetFormatPr baseColWidth="10" defaultColWidth="8.7265625" defaultRowHeight="14.5" x14ac:dyDescent="0.35"/>
  <cols>
    <col min="1" max="1" width="15" customWidth="1"/>
    <col min="2" max="2" width="42" customWidth="1"/>
    <col min="3" max="8" width="11" customWidth="1"/>
  </cols>
  <sheetData>
    <row r="1" spans="1:11" x14ac:dyDescent="0.35">
      <c r="A1" s="27" t="s">
        <v>0</v>
      </c>
      <c r="B1" s="27" t="s">
        <v>1</v>
      </c>
      <c r="C1" s="27" t="s">
        <v>866</v>
      </c>
      <c r="D1" s="27" t="s">
        <v>732</v>
      </c>
      <c r="E1" s="27" t="s">
        <v>867</v>
      </c>
      <c r="F1" s="27" t="s">
        <v>868</v>
      </c>
      <c r="G1" s="27" t="s">
        <v>731</v>
      </c>
      <c r="H1" s="27" t="s">
        <v>735</v>
      </c>
      <c r="I1" s="32" t="s">
        <v>737</v>
      </c>
      <c r="J1" s="32" t="s">
        <v>733</v>
      </c>
      <c r="K1" s="32" t="s">
        <v>741</v>
      </c>
    </row>
    <row r="2" spans="1:11" x14ac:dyDescent="0.35">
      <c r="A2" s="28" t="s">
        <v>285</v>
      </c>
      <c r="B2" s="29" t="s">
        <v>869</v>
      </c>
      <c r="C2" s="30">
        <v>0.5</v>
      </c>
      <c r="D2" s="30">
        <v>0.5</v>
      </c>
      <c r="E2" s="30">
        <v>0.5</v>
      </c>
      <c r="F2" s="30">
        <v>0.5</v>
      </c>
      <c r="G2" s="30">
        <v>0.5</v>
      </c>
      <c r="H2" s="30">
        <v>0.5</v>
      </c>
      <c r="I2" s="31">
        <v>0.5</v>
      </c>
      <c r="J2" s="31">
        <v>0.5</v>
      </c>
      <c r="K2" s="31">
        <v>0.5</v>
      </c>
    </row>
    <row r="3" spans="1:11" x14ac:dyDescent="0.35">
      <c r="A3" s="28" t="s">
        <v>281</v>
      </c>
      <c r="B3" s="29" t="s">
        <v>870</v>
      </c>
      <c r="C3" s="30">
        <v>0.5</v>
      </c>
      <c r="D3" s="30">
        <v>0.5</v>
      </c>
      <c r="E3" s="30">
        <v>0.5</v>
      </c>
      <c r="F3" s="30">
        <v>0.5</v>
      </c>
      <c r="G3" s="30">
        <v>0.5</v>
      </c>
      <c r="H3" s="30">
        <v>0.5</v>
      </c>
      <c r="I3" s="31">
        <v>0.5</v>
      </c>
      <c r="J3" s="31">
        <v>0.5</v>
      </c>
      <c r="K3" s="31">
        <v>0.5</v>
      </c>
    </row>
  </sheetData>
  <phoneticPr fontId="21" type="noConversion"/>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F4FE3-C11F-4F32-9C15-9E1DCD76547C}">
  <dimension ref="A1:AK31"/>
  <sheetViews>
    <sheetView zoomScale="59" workbookViewId="0">
      <selection activeCell="F36" sqref="F36"/>
    </sheetView>
  </sheetViews>
  <sheetFormatPr baseColWidth="10" defaultColWidth="11.453125" defaultRowHeight="14.5" x14ac:dyDescent="0.35"/>
  <cols>
    <col min="1" max="1" width="20.54296875" bestFit="1" customWidth="1"/>
    <col min="2" max="2" width="22.81640625" customWidth="1"/>
    <col min="3" max="3" width="25.54296875" customWidth="1"/>
    <col min="4" max="4" width="45.453125" customWidth="1"/>
    <col min="5" max="5" width="36" customWidth="1"/>
    <col min="6" max="6" width="9.54296875" bestFit="1" customWidth="1"/>
    <col min="7" max="7" width="16.1796875" bestFit="1" customWidth="1"/>
    <col min="8" max="8" width="21.81640625" bestFit="1" customWidth="1"/>
    <col min="9" max="9" width="8.54296875" bestFit="1" customWidth="1"/>
    <col min="10" max="10" width="17.1796875" style="51" customWidth="1"/>
    <col min="11" max="11" width="13.26953125" style="50" bestFit="1" customWidth="1"/>
    <col min="12" max="12" width="12.453125" style="50" bestFit="1" customWidth="1"/>
    <col min="13" max="13" width="18.81640625" style="50" customWidth="1"/>
    <col min="14" max="14" width="18.453125" style="50" bestFit="1" customWidth="1"/>
    <col min="15" max="15" width="19.7265625" bestFit="1" customWidth="1"/>
    <col min="16" max="19" width="13.1796875" style="50" bestFit="1" customWidth="1"/>
    <col min="20" max="20" width="21.81640625" style="50" customWidth="1"/>
    <col min="21" max="21" width="18.81640625" style="50" customWidth="1"/>
    <col min="22" max="22" width="25.54296875" bestFit="1" customWidth="1"/>
    <col min="23" max="23" width="24.453125" bestFit="1" customWidth="1"/>
    <col min="24" max="24" width="16.26953125" bestFit="1" customWidth="1"/>
    <col min="25" max="25" width="15.1796875" bestFit="1" customWidth="1"/>
    <col min="26" max="26" width="24" style="49" bestFit="1" customWidth="1"/>
    <col min="27" max="27" width="24.54296875" bestFit="1" customWidth="1"/>
    <col min="28" max="28" width="21.81640625" bestFit="1" customWidth="1"/>
    <col min="29" max="29" width="255.54296875" bestFit="1" customWidth="1"/>
    <col min="30" max="30" width="16.26953125" bestFit="1" customWidth="1"/>
    <col min="31" max="31" width="207.1796875" bestFit="1" customWidth="1"/>
    <col min="32" max="32" width="11.453125" bestFit="1" customWidth="1"/>
    <col min="33" max="33" width="12.1796875" bestFit="1" customWidth="1"/>
    <col min="34" max="34" width="8.453125" bestFit="1" customWidth="1"/>
    <col min="35" max="35" width="50.1796875" bestFit="1" customWidth="1"/>
    <col min="36" max="36" width="26.81640625" bestFit="1" customWidth="1"/>
    <col min="37" max="37" width="13.453125" bestFit="1" customWidth="1"/>
  </cols>
  <sheetData>
    <row r="1" spans="1:37" x14ac:dyDescent="0.35">
      <c r="A1" t="s">
        <v>871</v>
      </c>
      <c r="B1" t="s">
        <v>0</v>
      </c>
      <c r="C1" t="s">
        <v>872</v>
      </c>
      <c r="D1" t="s">
        <v>873</v>
      </c>
      <c r="E1" t="s">
        <v>874</v>
      </c>
      <c r="F1" t="s">
        <v>875</v>
      </c>
      <c r="G1" t="s">
        <v>876</v>
      </c>
      <c r="H1" t="s">
        <v>877</v>
      </c>
      <c r="I1" t="s">
        <v>878</v>
      </c>
      <c r="J1" s="51" t="s">
        <v>708</v>
      </c>
      <c r="K1" s="50" t="s">
        <v>879</v>
      </c>
      <c r="L1" s="50" t="s">
        <v>880</v>
      </c>
      <c r="M1" s="50" t="s">
        <v>881</v>
      </c>
      <c r="N1" s="50" t="s">
        <v>882</v>
      </c>
      <c r="O1" t="s">
        <v>883</v>
      </c>
      <c r="P1" s="50" t="s">
        <v>884</v>
      </c>
      <c r="Q1" s="50" t="s">
        <v>885</v>
      </c>
      <c r="R1" s="50" t="s">
        <v>886</v>
      </c>
      <c r="S1" s="50" t="s">
        <v>887</v>
      </c>
      <c r="T1" s="50" t="s">
        <v>888</v>
      </c>
      <c r="U1" s="50" t="s">
        <v>889</v>
      </c>
      <c r="V1" s="50" t="s">
        <v>890</v>
      </c>
      <c r="W1" t="s">
        <v>891</v>
      </c>
      <c r="X1" t="s">
        <v>892</v>
      </c>
      <c r="Y1" t="s">
        <v>893</v>
      </c>
      <c r="Z1" t="s">
        <v>894</v>
      </c>
      <c r="AA1" t="s">
        <v>895</v>
      </c>
      <c r="AB1" t="s">
        <v>896</v>
      </c>
      <c r="AC1" t="s">
        <v>897</v>
      </c>
      <c r="AD1" t="s">
        <v>898</v>
      </c>
      <c r="AE1" t="s">
        <v>899</v>
      </c>
      <c r="AF1" s="49" t="s">
        <v>900</v>
      </c>
      <c r="AG1" t="s">
        <v>724</v>
      </c>
      <c r="AH1" t="s">
        <v>17</v>
      </c>
      <c r="AI1" t="s">
        <v>901</v>
      </c>
      <c r="AJ1" t="s">
        <v>902</v>
      </c>
      <c r="AK1" t="s">
        <v>903</v>
      </c>
    </row>
    <row r="2" spans="1:37" x14ac:dyDescent="0.35">
      <c r="A2" t="s">
        <v>904</v>
      </c>
      <c r="B2" t="s">
        <v>255</v>
      </c>
      <c r="C2" t="s">
        <v>905</v>
      </c>
      <c r="D2" t="s">
        <v>256</v>
      </c>
      <c r="E2" t="s">
        <v>906</v>
      </c>
      <c r="F2" t="s">
        <v>737</v>
      </c>
      <c r="G2" s="48">
        <v>46173</v>
      </c>
      <c r="I2" t="s">
        <v>759</v>
      </c>
      <c r="J2" s="51">
        <v>118.8</v>
      </c>
      <c r="K2" s="50">
        <v>0.3</v>
      </c>
      <c r="L2" s="50">
        <v>9.1</v>
      </c>
      <c r="M2" s="50">
        <v>17.399999999999999</v>
      </c>
      <c r="N2" s="50">
        <v>18.8</v>
      </c>
      <c r="O2" t="s">
        <v>738</v>
      </c>
      <c r="U2" s="50">
        <v>8.9</v>
      </c>
      <c r="V2" s="50"/>
      <c r="W2" t="s">
        <v>907</v>
      </c>
      <c r="X2">
        <v>673</v>
      </c>
      <c r="Y2" t="s">
        <v>759</v>
      </c>
      <c r="Z2" t="s">
        <v>908</v>
      </c>
      <c r="AA2" t="b">
        <v>1</v>
      </c>
      <c r="AB2" t="s">
        <v>909</v>
      </c>
      <c r="AC2" t="s">
        <v>910</v>
      </c>
      <c r="AE2" t="s">
        <v>911</v>
      </c>
      <c r="AF2" s="49">
        <v>0.95</v>
      </c>
      <c r="AG2" t="s">
        <v>912</v>
      </c>
      <c r="AH2" t="s">
        <v>728</v>
      </c>
      <c r="AI2" t="s">
        <v>913</v>
      </c>
      <c r="AJ2" t="s">
        <v>914</v>
      </c>
      <c r="AK2" t="s">
        <v>915</v>
      </c>
    </row>
    <row r="3" spans="1:37" x14ac:dyDescent="0.35">
      <c r="A3" t="s">
        <v>916</v>
      </c>
      <c r="B3" t="s">
        <v>294</v>
      </c>
      <c r="C3" t="s">
        <v>917</v>
      </c>
      <c r="D3" t="s">
        <v>918</v>
      </c>
      <c r="E3" t="s">
        <v>919</v>
      </c>
      <c r="F3" t="s">
        <v>737</v>
      </c>
      <c r="G3" s="48">
        <v>46173</v>
      </c>
      <c r="I3" t="s">
        <v>759</v>
      </c>
      <c r="J3" s="51">
        <v>30.65</v>
      </c>
      <c r="K3" s="50">
        <v>0.72</v>
      </c>
      <c r="L3" s="50">
        <v>2.17</v>
      </c>
      <c r="M3" s="50">
        <v>6.5</v>
      </c>
      <c r="N3" s="50">
        <v>22.6</v>
      </c>
      <c r="O3" t="s">
        <v>734</v>
      </c>
      <c r="T3" s="50">
        <v>11.76</v>
      </c>
      <c r="U3" s="50">
        <v>7.37</v>
      </c>
      <c r="V3" s="50"/>
      <c r="W3" t="s">
        <v>907</v>
      </c>
      <c r="X3">
        <v>5500</v>
      </c>
      <c r="Y3" t="s">
        <v>759</v>
      </c>
      <c r="Z3" t="s">
        <v>908</v>
      </c>
      <c r="AA3" t="b">
        <v>0</v>
      </c>
      <c r="AB3" t="s">
        <v>909</v>
      </c>
      <c r="AC3" t="s">
        <v>920</v>
      </c>
      <c r="AF3" s="49">
        <v>0.98</v>
      </c>
      <c r="AG3" t="s">
        <v>912</v>
      </c>
      <c r="AH3" t="s">
        <v>728</v>
      </c>
      <c r="AI3" t="s">
        <v>921</v>
      </c>
      <c r="AJ3" t="s">
        <v>922</v>
      </c>
      <c r="AK3" t="s">
        <v>915</v>
      </c>
    </row>
    <row r="4" spans="1:37" x14ac:dyDescent="0.35">
      <c r="A4" t="s">
        <v>923</v>
      </c>
      <c r="B4" t="s">
        <v>319</v>
      </c>
      <c r="C4" t="s">
        <v>924</v>
      </c>
      <c r="D4" t="s">
        <v>918</v>
      </c>
      <c r="E4" t="s">
        <v>919</v>
      </c>
      <c r="F4" t="s">
        <v>737</v>
      </c>
      <c r="G4" s="48">
        <v>46173</v>
      </c>
      <c r="I4" t="s">
        <v>759</v>
      </c>
      <c r="J4" s="51">
        <v>28.62</v>
      </c>
      <c r="K4" s="50">
        <v>0.63</v>
      </c>
      <c r="L4" s="50">
        <v>1.85</v>
      </c>
      <c r="M4" s="50">
        <v>5.69</v>
      </c>
      <c r="N4" s="50">
        <v>14.48</v>
      </c>
      <c r="O4" t="s">
        <v>734</v>
      </c>
      <c r="T4" s="50">
        <v>5.48</v>
      </c>
      <c r="U4" s="50">
        <v>6.56</v>
      </c>
      <c r="V4" s="50"/>
      <c r="W4" t="s">
        <v>907</v>
      </c>
      <c r="X4">
        <v>5500</v>
      </c>
      <c r="Y4" t="s">
        <v>759</v>
      </c>
      <c r="Z4" t="s">
        <v>908</v>
      </c>
      <c r="AA4" t="b">
        <v>0</v>
      </c>
      <c r="AB4" t="s">
        <v>909</v>
      </c>
      <c r="AC4" t="s">
        <v>920</v>
      </c>
      <c r="AF4" s="49">
        <v>0.98</v>
      </c>
      <c r="AG4" t="s">
        <v>912</v>
      </c>
      <c r="AH4" t="s">
        <v>728</v>
      </c>
      <c r="AI4" t="s">
        <v>921</v>
      </c>
      <c r="AJ4" t="s">
        <v>925</v>
      </c>
      <c r="AK4" t="s">
        <v>915</v>
      </c>
    </row>
    <row r="5" spans="1:37" x14ac:dyDescent="0.35">
      <c r="A5" t="s">
        <v>926</v>
      </c>
      <c r="B5" t="s">
        <v>298</v>
      </c>
      <c r="C5" t="s">
        <v>927</v>
      </c>
      <c r="D5" t="s">
        <v>928</v>
      </c>
      <c r="E5" t="s">
        <v>929</v>
      </c>
      <c r="F5" t="s">
        <v>737</v>
      </c>
      <c r="G5" s="48">
        <v>46173</v>
      </c>
      <c r="I5" t="s">
        <v>759</v>
      </c>
      <c r="J5" s="51">
        <v>114.13</v>
      </c>
      <c r="K5" s="50">
        <v>0.83</v>
      </c>
      <c r="L5" s="50">
        <v>4.96</v>
      </c>
      <c r="M5" s="50">
        <v>11.97</v>
      </c>
      <c r="N5" s="50">
        <v>14.13</v>
      </c>
      <c r="O5" t="s">
        <v>738</v>
      </c>
      <c r="V5" s="50"/>
      <c r="W5" t="s">
        <v>907</v>
      </c>
      <c r="X5">
        <v>241.66</v>
      </c>
      <c r="Y5" t="s">
        <v>759</v>
      </c>
      <c r="Z5" t="s">
        <v>930</v>
      </c>
      <c r="AA5" t="b">
        <v>1</v>
      </c>
      <c r="AB5" t="s">
        <v>909</v>
      </c>
      <c r="AC5" t="s">
        <v>931</v>
      </c>
      <c r="AF5" s="49">
        <v>0.98</v>
      </c>
      <c r="AG5" t="s">
        <v>912</v>
      </c>
      <c r="AH5" t="s">
        <v>728</v>
      </c>
      <c r="AI5" t="s">
        <v>932</v>
      </c>
      <c r="AJ5" t="s">
        <v>933</v>
      </c>
      <c r="AK5" t="s">
        <v>915</v>
      </c>
    </row>
    <row r="6" spans="1:37" x14ac:dyDescent="0.35">
      <c r="A6" t="s">
        <v>934</v>
      </c>
      <c r="B6" t="s">
        <v>481</v>
      </c>
      <c r="C6" t="s">
        <v>935</v>
      </c>
      <c r="D6" t="s">
        <v>936</v>
      </c>
      <c r="E6" t="s">
        <v>937</v>
      </c>
      <c r="F6" t="s">
        <v>741</v>
      </c>
      <c r="G6" s="48">
        <v>46234</v>
      </c>
      <c r="I6" t="s">
        <v>759</v>
      </c>
      <c r="J6" s="51">
        <v>147.81</v>
      </c>
      <c r="K6" s="50">
        <v>3.1</v>
      </c>
      <c r="L6" s="50">
        <v>10.7</v>
      </c>
      <c r="M6" s="50">
        <v>19</v>
      </c>
      <c r="N6" s="50">
        <v>50.1</v>
      </c>
      <c r="O6" t="s">
        <v>738</v>
      </c>
      <c r="U6" s="50">
        <v>35.6</v>
      </c>
      <c r="V6" s="50"/>
      <c r="W6" t="s">
        <v>907</v>
      </c>
      <c r="X6">
        <v>493</v>
      </c>
      <c r="Y6" t="s">
        <v>759</v>
      </c>
      <c r="Z6" t="s">
        <v>938</v>
      </c>
      <c r="AA6" t="b">
        <v>1</v>
      </c>
      <c r="AB6" t="s">
        <v>909</v>
      </c>
      <c r="AC6" t="s">
        <v>939</v>
      </c>
      <c r="AE6" t="s">
        <v>940</v>
      </c>
      <c r="AF6" s="49">
        <v>0.95</v>
      </c>
      <c r="AG6" t="s">
        <v>912</v>
      </c>
      <c r="AH6" t="s">
        <v>728</v>
      </c>
      <c r="AI6" t="s">
        <v>941</v>
      </c>
      <c r="AJ6" t="s">
        <v>942</v>
      </c>
      <c r="AK6" t="s">
        <v>915</v>
      </c>
    </row>
    <row r="7" spans="1:37" x14ac:dyDescent="0.35">
      <c r="A7" t="s">
        <v>943</v>
      </c>
      <c r="B7" t="s">
        <v>484</v>
      </c>
      <c r="C7" t="s">
        <v>944</v>
      </c>
      <c r="D7" t="s">
        <v>945</v>
      </c>
      <c r="E7" t="s">
        <v>937</v>
      </c>
      <c r="F7" t="s">
        <v>741</v>
      </c>
      <c r="G7" s="48">
        <v>46234</v>
      </c>
      <c r="I7" t="s">
        <v>759</v>
      </c>
      <c r="J7" s="51">
        <v>939.73</v>
      </c>
      <c r="K7" s="50">
        <v>3.4</v>
      </c>
      <c r="L7" s="50">
        <v>5.4</v>
      </c>
      <c r="M7" s="50">
        <v>6</v>
      </c>
      <c r="N7" s="50">
        <v>5131.8</v>
      </c>
      <c r="O7" t="s">
        <v>738</v>
      </c>
      <c r="P7" s="50">
        <v>9.5</v>
      </c>
      <c r="Q7" s="50">
        <v>32.799999999999997</v>
      </c>
      <c r="R7" s="50">
        <v>-9.5</v>
      </c>
      <c r="S7" s="50">
        <v>11.7</v>
      </c>
      <c r="T7" s="50">
        <v>-1.2</v>
      </c>
      <c r="U7" s="50">
        <v>23</v>
      </c>
      <c r="V7" s="50"/>
      <c r="W7" t="s">
        <v>907</v>
      </c>
      <c r="X7">
        <v>457</v>
      </c>
      <c r="Y7" t="s">
        <v>759</v>
      </c>
      <c r="Z7" t="s">
        <v>946</v>
      </c>
      <c r="AA7" t="b">
        <v>1</v>
      </c>
      <c r="AB7" t="s">
        <v>909</v>
      </c>
      <c r="AC7" t="s">
        <v>947</v>
      </c>
      <c r="AF7" s="49">
        <v>0.98</v>
      </c>
      <c r="AG7" t="s">
        <v>912</v>
      </c>
      <c r="AH7" t="s">
        <v>728</v>
      </c>
      <c r="AI7" t="s">
        <v>948</v>
      </c>
      <c r="AJ7" t="s">
        <v>949</v>
      </c>
      <c r="AK7" t="s">
        <v>915</v>
      </c>
    </row>
    <row r="8" spans="1:37" x14ac:dyDescent="0.35">
      <c r="A8" t="s">
        <v>950</v>
      </c>
      <c r="B8" t="s">
        <v>486</v>
      </c>
      <c r="C8" t="s">
        <v>935</v>
      </c>
      <c r="D8" t="s">
        <v>945</v>
      </c>
      <c r="E8" t="s">
        <v>937</v>
      </c>
      <c r="F8" t="s">
        <v>741</v>
      </c>
      <c r="G8" s="48">
        <v>46234</v>
      </c>
      <c r="I8" t="s">
        <v>759</v>
      </c>
      <c r="J8" s="51">
        <v>1067.3800000000001</v>
      </c>
      <c r="K8" s="50">
        <v>3.4</v>
      </c>
      <c r="L8" s="50">
        <v>5.4</v>
      </c>
      <c r="M8" s="50">
        <v>6</v>
      </c>
      <c r="N8" s="50">
        <v>5131.8</v>
      </c>
      <c r="O8" t="s">
        <v>738</v>
      </c>
      <c r="P8" s="50">
        <v>9.5</v>
      </c>
      <c r="Q8" s="50">
        <v>32.799999999999997</v>
      </c>
      <c r="R8" s="50">
        <v>-9.5</v>
      </c>
      <c r="S8" s="50">
        <v>11.7</v>
      </c>
      <c r="T8" s="50">
        <v>-1.2</v>
      </c>
      <c r="U8" s="50">
        <v>23</v>
      </c>
      <c r="V8" s="50"/>
      <c r="W8" t="s">
        <v>907</v>
      </c>
      <c r="X8">
        <v>457</v>
      </c>
      <c r="Y8" t="s">
        <v>759</v>
      </c>
      <c r="Z8" t="s">
        <v>946</v>
      </c>
      <c r="AA8" t="b">
        <v>1</v>
      </c>
      <c r="AB8" t="s">
        <v>909</v>
      </c>
      <c r="AC8" t="s">
        <v>947</v>
      </c>
      <c r="AF8" s="49">
        <v>0.98</v>
      </c>
      <c r="AG8" t="s">
        <v>912</v>
      </c>
      <c r="AH8" t="s">
        <v>728</v>
      </c>
      <c r="AI8" t="s">
        <v>948</v>
      </c>
      <c r="AJ8" t="s">
        <v>951</v>
      </c>
      <c r="AK8" t="s">
        <v>915</v>
      </c>
    </row>
    <row r="9" spans="1:37" x14ac:dyDescent="0.35">
      <c r="A9" t="s">
        <v>952</v>
      </c>
      <c r="B9" t="s">
        <v>479</v>
      </c>
      <c r="C9" t="s">
        <v>944</v>
      </c>
      <c r="D9" t="s">
        <v>953</v>
      </c>
      <c r="E9" t="s">
        <v>937</v>
      </c>
      <c r="F9" t="s">
        <v>741</v>
      </c>
      <c r="G9" s="48">
        <v>46234</v>
      </c>
      <c r="I9" t="s">
        <v>759</v>
      </c>
      <c r="J9" s="51">
        <v>243.57</v>
      </c>
      <c r="K9" s="50">
        <v>0.9</v>
      </c>
      <c r="L9" s="50">
        <v>8.6</v>
      </c>
      <c r="M9" s="50">
        <v>17.5</v>
      </c>
      <c r="N9" s="50">
        <v>227.4</v>
      </c>
      <c r="O9" t="s">
        <v>730</v>
      </c>
      <c r="P9" s="50">
        <v>-0.5</v>
      </c>
      <c r="Q9" s="50">
        <v>47.5</v>
      </c>
      <c r="R9" s="50">
        <v>-9.5</v>
      </c>
      <c r="S9" s="50">
        <v>13.4</v>
      </c>
      <c r="T9" s="50">
        <v>4.4000000000000004</v>
      </c>
      <c r="U9" s="50">
        <v>47.8</v>
      </c>
      <c r="V9" s="50"/>
      <c r="W9" t="s">
        <v>907</v>
      </c>
      <c r="X9">
        <v>1161</v>
      </c>
      <c r="Y9" t="s">
        <v>759</v>
      </c>
      <c r="Z9" t="s">
        <v>954</v>
      </c>
      <c r="AA9" t="b">
        <v>1</v>
      </c>
      <c r="AB9" t="s">
        <v>909</v>
      </c>
      <c r="AC9" t="s">
        <v>955</v>
      </c>
      <c r="AF9" s="49">
        <v>0.98</v>
      </c>
      <c r="AG9" t="s">
        <v>912</v>
      </c>
      <c r="AH9" t="s">
        <v>728</v>
      </c>
      <c r="AI9" t="s">
        <v>956</v>
      </c>
      <c r="AJ9" t="s">
        <v>957</v>
      </c>
      <c r="AK9" t="s">
        <v>915</v>
      </c>
    </row>
    <row r="10" spans="1:37" x14ac:dyDescent="0.35">
      <c r="A10" t="s">
        <v>958</v>
      </c>
      <c r="B10" t="s">
        <v>476</v>
      </c>
      <c r="C10" t="s">
        <v>935</v>
      </c>
      <c r="D10" t="s">
        <v>953</v>
      </c>
      <c r="E10" t="s">
        <v>937</v>
      </c>
      <c r="F10" t="s">
        <v>741</v>
      </c>
      <c r="G10" s="48">
        <v>46234</v>
      </c>
      <c r="I10" t="s">
        <v>759</v>
      </c>
      <c r="J10" s="51">
        <v>253.05</v>
      </c>
      <c r="K10" s="50">
        <v>0.9</v>
      </c>
      <c r="L10" s="50">
        <v>8.6</v>
      </c>
      <c r="M10" s="50">
        <v>17.5</v>
      </c>
      <c r="N10" s="50">
        <v>227.4</v>
      </c>
      <c r="O10" t="s">
        <v>730</v>
      </c>
      <c r="P10" s="50">
        <v>-0.5</v>
      </c>
      <c r="Q10" s="50">
        <v>47.5</v>
      </c>
      <c r="R10" s="50">
        <v>-9.5</v>
      </c>
      <c r="S10" s="50">
        <v>13.4</v>
      </c>
      <c r="T10" s="50">
        <v>4.4000000000000004</v>
      </c>
      <c r="U10" s="50">
        <v>47.8</v>
      </c>
      <c r="V10" s="50"/>
      <c r="W10" t="s">
        <v>907</v>
      </c>
      <c r="X10">
        <v>1161</v>
      </c>
      <c r="Y10" t="s">
        <v>759</v>
      </c>
      <c r="Z10" t="s">
        <v>954</v>
      </c>
      <c r="AA10" t="b">
        <v>1</v>
      </c>
      <c r="AB10" t="s">
        <v>909</v>
      </c>
      <c r="AC10" t="s">
        <v>955</v>
      </c>
      <c r="AF10" s="49">
        <v>0.98</v>
      </c>
      <c r="AG10" t="s">
        <v>912</v>
      </c>
      <c r="AH10" t="s">
        <v>728</v>
      </c>
      <c r="AI10" t="s">
        <v>956</v>
      </c>
      <c r="AJ10" t="s">
        <v>959</v>
      </c>
      <c r="AK10" t="s">
        <v>915</v>
      </c>
    </row>
    <row r="11" spans="1:37" x14ac:dyDescent="0.35">
      <c r="A11" t="s">
        <v>960</v>
      </c>
      <c r="B11" t="s">
        <v>406</v>
      </c>
      <c r="C11" t="s">
        <v>961</v>
      </c>
      <c r="D11" t="s">
        <v>962</v>
      </c>
      <c r="E11" t="s">
        <v>963</v>
      </c>
      <c r="F11" t="s">
        <v>733</v>
      </c>
      <c r="G11" s="48">
        <v>46203</v>
      </c>
      <c r="I11" t="s">
        <v>759</v>
      </c>
      <c r="K11" s="50">
        <v>0.4</v>
      </c>
      <c r="L11" s="50">
        <v>0.6</v>
      </c>
      <c r="N11" s="50">
        <v>57.07</v>
      </c>
      <c r="O11" t="s">
        <v>738</v>
      </c>
      <c r="Q11" s="50">
        <v>20.11</v>
      </c>
      <c r="R11" s="50">
        <v>4.7</v>
      </c>
      <c r="S11" s="50">
        <v>7.49</v>
      </c>
      <c r="T11" s="50">
        <v>10.07</v>
      </c>
      <c r="U11" s="50">
        <v>5.29</v>
      </c>
      <c r="V11" s="50"/>
      <c r="W11" t="s">
        <v>907</v>
      </c>
      <c r="X11">
        <v>400.07</v>
      </c>
      <c r="Y11" t="s">
        <v>759</v>
      </c>
      <c r="Z11" t="s">
        <v>908</v>
      </c>
      <c r="AA11" t="b">
        <v>1</v>
      </c>
      <c r="AB11" t="s">
        <v>909</v>
      </c>
      <c r="AC11" t="s">
        <v>964</v>
      </c>
      <c r="AE11" t="s">
        <v>965</v>
      </c>
      <c r="AF11" s="49">
        <v>0.95</v>
      </c>
      <c r="AG11" t="s">
        <v>912</v>
      </c>
      <c r="AH11" t="s">
        <v>728</v>
      </c>
      <c r="AI11" t="s">
        <v>966</v>
      </c>
      <c r="AJ11" t="s">
        <v>967</v>
      </c>
      <c r="AK11" t="s">
        <v>915</v>
      </c>
    </row>
    <row r="12" spans="1:37" x14ac:dyDescent="0.35">
      <c r="A12" t="s">
        <v>968</v>
      </c>
      <c r="B12" t="s">
        <v>403</v>
      </c>
      <c r="C12" t="s">
        <v>969</v>
      </c>
      <c r="D12" t="s">
        <v>970</v>
      </c>
      <c r="E12" t="s">
        <v>971</v>
      </c>
      <c r="F12" t="s">
        <v>737</v>
      </c>
      <c r="G12" s="48">
        <v>46173</v>
      </c>
      <c r="I12" t="s">
        <v>759</v>
      </c>
      <c r="J12" s="51">
        <v>207.56</v>
      </c>
      <c r="K12" s="50">
        <v>1.9</v>
      </c>
      <c r="L12" s="50">
        <v>1.4</v>
      </c>
      <c r="M12" s="50">
        <v>5.6</v>
      </c>
      <c r="N12" s="50">
        <v>107.6</v>
      </c>
      <c r="Q12" s="50">
        <v>21</v>
      </c>
      <c r="R12" s="50">
        <v>11.1</v>
      </c>
      <c r="S12" s="50">
        <v>10</v>
      </c>
      <c r="T12" s="50">
        <v>11</v>
      </c>
      <c r="U12" s="50">
        <v>-0.3</v>
      </c>
      <c r="V12" s="50"/>
      <c r="W12" t="s">
        <v>907</v>
      </c>
      <c r="X12">
        <v>3169.27</v>
      </c>
      <c r="Y12" t="s">
        <v>763</v>
      </c>
      <c r="Z12" t="s">
        <v>972</v>
      </c>
      <c r="AA12" t="b">
        <v>0</v>
      </c>
      <c r="AB12" t="s">
        <v>909</v>
      </c>
      <c r="AC12" t="s">
        <v>973</v>
      </c>
      <c r="AE12" t="s">
        <v>974</v>
      </c>
      <c r="AF12" s="49">
        <v>0.95</v>
      </c>
      <c r="AG12" t="s">
        <v>912</v>
      </c>
      <c r="AH12" t="s">
        <v>728</v>
      </c>
      <c r="AI12" t="s">
        <v>975</v>
      </c>
      <c r="AJ12" t="s">
        <v>976</v>
      </c>
      <c r="AK12" t="s">
        <v>915</v>
      </c>
    </row>
    <row r="13" spans="1:37" x14ac:dyDescent="0.35">
      <c r="A13" t="s">
        <v>977</v>
      </c>
      <c r="B13" t="s">
        <v>347</v>
      </c>
      <c r="C13" t="s">
        <v>978</v>
      </c>
      <c r="D13" t="s">
        <v>979</v>
      </c>
      <c r="E13" t="s">
        <v>980</v>
      </c>
      <c r="F13" t="s">
        <v>737</v>
      </c>
      <c r="G13" s="48">
        <v>46173</v>
      </c>
      <c r="H13" s="48">
        <v>46022</v>
      </c>
      <c r="I13" t="s">
        <v>763</v>
      </c>
      <c r="J13" s="51">
        <v>141.84710000000001</v>
      </c>
      <c r="K13" s="50">
        <v>2.6</v>
      </c>
      <c r="L13" s="50">
        <v>5.5</v>
      </c>
      <c r="N13" s="50">
        <v>41.9</v>
      </c>
      <c r="O13" t="s">
        <v>734</v>
      </c>
      <c r="T13" s="50">
        <v>39</v>
      </c>
      <c r="U13" s="50">
        <v>16.8</v>
      </c>
      <c r="V13" s="50"/>
      <c r="W13" t="s">
        <v>907</v>
      </c>
      <c r="X13">
        <v>1300</v>
      </c>
      <c r="Y13" t="s">
        <v>763</v>
      </c>
      <c r="Z13"/>
      <c r="AA13" t="b">
        <v>1</v>
      </c>
      <c r="AB13" t="s">
        <v>909</v>
      </c>
      <c r="AC13" t="s">
        <v>981</v>
      </c>
      <c r="AE13" t="s">
        <v>982</v>
      </c>
      <c r="AF13" s="49">
        <v>0.95</v>
      </c>
      <c r="AG13" t="s">
        <v>912</v>
      </c>
      <c r="AH13" t="s">
        <v>728</v>
      </c>
      <c r="AI13" t="s">
        <v>983</v>
      </c>
      <c r="AJ13" t="s">
        <v>984</v>
      </c>
      <c r="AK13" t="s">
        <v>915</v>
      </c>
    </row>
    <row r="14" spans="1:37" x14ac:dyDescent="0.35">
      <c r="A14" t="s">
        <v>985</v>
      </c>
      <c r="B14" t="s">
        <v>387</v>
      </c>
      <c r="C14" t="s">
        <v>986</v>
      </c>
      <c r="D14" t="s">
        <v>979</v>
      </c>
      <c r="E14" t="s">
        <v>980</v>
      </c>
      <c r="F14" t="s">
        <v>737</v>
      </c>
      <c r="G14" s="48">
        <v>46173</v>
      </c>
      <c r="H14" s="48">
        <v>46022</v>
      </c>
      <c r="I14" t="s">
        <v>763</v>
      </c>
      <c r="J14" s="51">
        <v>112.919</v>
      </c>
      <c r="K14" s="50">
        <v>2.4</v>
      </c>
      <c r="L14" s="50">
        <v>5.0999999999999996</v>
      </c>
      <c r="N14" s="50">
        <v>12.9</v>
      </c>
      <c r="O14" t="s">
        <v>734</v>
      </c>
      <c r="V14" s="50"/>
      <c r="W14" t="s">
        <v>907</v>
      </c>
      <c r="X14">
        <v>1300</v>
      </c>
      <c r="Y14" t="s">
        <v>763</v>
      </c>
      <c r="Z14"/>
      <c r="AA14" t="b">
        <v>1</v>
      </c>
      <c r="AB14" t="s">
        <v>909</v>
      </c>
      <c r="AC14" t="s">
        <v>981</v>
      </c>
      <c r="AE14" t="s">
        <v>982</v>
      </c>
      <c r="AF14" s="49">
        <v>0.95</v>
      </c>
      <c r="AG14" t="s">
        <v>912</v>
      </c>
      <c r="AH14" t="s">
        <v>728</v>
      </c>
      <c r="AI14" t="s">
        <v>983</v>
      </c>
      <c r="AJ14" t="s">
        <v>987</v>
      </c>
      <c r="AK14" t="s">
        <v>915</v>
      </c>
    </row>
    <row r="15" spans="1:37" x14ac:dyDescent="0.35">
      <c r="A15" t="s">
        <v>988</v>
      </c>
      <c r="B15" t="s">
        <v>384</v>
      </c>
      <c r="C15" t="s">
        <v>989</v>
      </c>
      <c r="D15" t="s">
        <v>990</v>
      </c>
      <c r="E15" t="s">
        <v>991</v>
      </c>
      <c r="F15" t="s">
        <v>737</v>
      </c>
      <c r="G15" s="48">
        <v>46173</v>
      </c>
      <c r="H15" s="48"/>
      <c r="I15" t="s">
        <v>763</v>
      </c>
      <c r="J15" s="51">
        <v>171.59</v>
      </c>
      <c r="K15" s="50">
        <v>-0.1</v>
      </c>
      <c r="L15" s="50">
        <v>-3.5</v>
      </c>
      <c r="N15" s="50">
        <v>71.599999999999994</v>
      </c>
      <c r="P15" s="50">
        <v>10.8</v>
      </c>
      <c r="Q15" s="50">
        <v>22.9</v>
      </c>
      <c r="R15" s="50">
        <v>1.1000000000000001</v>
      </c>
      <c r="S15" s="50">
        <v>5.0999999999999996</v>
      </c>
      <c r="T15" s="50">
        <v>8</v>
      </c>
      <c r="U15" s="50">
        <v>0.7</v>
      </c>
      <c r="V15" s="50"/>
      <c r="W15" t="s">
        <v>907</v>
      </c>
      <c r="X15">
        <v>8370.26</v>
      </c>
      <c r="Y15" t="s">
        <v>763</v>
      </c>
      <c r="Z15"/>
      <c r="AA15" t="b">
        <v>1</v>
      </c>
      <c r="AB15" t="s">
        <v>909</v>
      </c>
      <c r="AC15" t="s">
        <v>992</v>
      </c>
      <c r="AE15" t="s">
        <v>993</v>
      </c>
      <c r="AF15" s="49">
        <v>0.98</v>
      </c>
      <c r="AG15" t="s">
        <v>912</v>
      </c>
      <c r="AH15" t="s">
        <v>728</v>
      </c>
      <c r="AI15" t="s">
        <v>994</v>
      </c>
      <c r="AJ15" t="s">
        <v>995</v>
      </c>
      <c r="AK15" t="s">
        <v>915</v>
      </c>
    </row>
    <row r="16" spans="1:37" x14ac:dyDescent="0.35">
      <c r="A16" t="s">
        <v>996</v>
      </c>
      <c r="B16" t="s">
        <v>382</v>
      </c>
      <c r="C16" t="s">
        <v>997</v>
      </c>
      <c r="D16" t="s">
        <v>990</v>
      </c>
      <c r="E16" t="s">
        <v>991</v>
      </c>
      <c r="F16" t="s">
        <v>737</v>
      </c>
      <c r="G16" s="48">
        <v>46173</v>
      </c>
      <c r="H16" s="48"/>
      <c r="I16" t="s">
        <v>763</v>
      </c>
      <c r="J16" s="51">
        <v>165.29</v>
      </c>
      <c r="K16" s="50">
        <v>-0.2</v>
      </c>
      <c r="L16" s="50">
        <v>-3.8</v>
      </c>
      <c r="N16" s="50">
        <v>65.3</v>
      </c>
      <c r="P16" s="50">
        <v>10.3</v>
      </c>
      <c r="Q16" s="50">
        <v>22.4</v>
      </c>
      <c r="R16" s="50">
        <v>0.6</v>
      </c>
      <c r="S16" s="50">
        <v>4.5999999999999996</v>
      </c>
      <c r="T16" s="50">
        <v>7.4</v>
      </c>
      <c r="U16" s="50">
        <v>0.1</v>
      </c>
      <c r="V16" s="50"/>
      <c r="W16" t="s">
        <v>907</v>
      </c>
      <c r="X16">
        <v>8370.26</v>
      </c>
      <c r="Y16" t="s">
        <v>763</v>
      </c>
      <c r="Z16"/>
      <c r="AA16" t="b">
        <v>1</v>
      </c>
      <c r="AB16" t="s">
        <v>909</v>
      </c>
      <c r="AC16" t="s">
        <v>992</v>
      </c>
      <c r="AE16" t="s">
        <v>993</v>
      </c>
      <c r="AF16" s="49">
        <v>0.98</v>
      </c>
      <c r="AG16" t="s">
        <v>912</v>
      </c>
      <c r="AH16" t="s">
        <v>728</v>
      </c>
      <c r="AI16" t="s">
        <v>994</v>
      </c>
      <c r="AJ16" t="s">
        <v>998</v>
      </c>
      <c r="AK16" t="s">
        <v>915</v>
      </c>
    </row>
    <row r="17" spans="1:37" ht="101.5" x14ac:dyDescent="0.35">
      <c r="A17" t="s">
        <v>999</v>
      </c>
      <c r="B17" t="s">
        <v>225</v>
      </c>
      <c r="C17" t="s">
        <v>1000</v>
      </c>
      <c r="D17" t="s">
        <v>1001</v>
      </c>
      <c r="E17" t="s">
        <v>991</v>
      </c>
      <c r="F17" t="s">
        <v>732</v>
      </c>
      <c r="G17" s="48">
        <v>46022</v>
      </c>
      <c r="H17" s="48"/>
      <c r="I17" t="s">
        <v>763</v>
      </c>
      <c r="J17" s="51">
        <v>71.47</v>
      </c>
      <c r="K17" s="50">
        <v>-2.5</v>
      </c>
      <c r="L17" s="50">
        <v>-8</v>
      </c>
      <c r="N17" s="50">
        <v>-28.5</v>
      </c>
      <c r="O17" t="s">
        <v>730</v>
      </c>
      <c r="R17" s="50">
        <v>-1.6</v>
      </c>
      <c r="S17" s="50">
        <v>-13</v>
      </c>
      <c r="T17" s="50">
        <v>-9.3000000000000007</v>
      </c>
      <c r="U17" s="50">
        <v>-8</v>
      </c>
      <c r="V17" s="50"/>
      <c r="W17" t="s">
        <v>907</v>
      </c>
      <c r="X17">
        <v>142.25</v>
      </c>
      <c r="Y17" t="s">
        <v>763</v>
      </c>
      <c r="Z17"/>
      <c r="AA17" t="b">
        <v>1</v>
      </c>
      <c r="AB17" t="s">
        <v>909</v>
      </c>
      <c r="AC17" s="60" t="s">
        <v>1002</v>
      </c>
      <c r="AE17" t="s">
        <v>1003</v>
      </c>
      <c r="AF17" s="49">
        <v>0.98</v>
      </c>
      <c r="AG17" t="s">
        <v>912</v>
      </c>
      <c r="AH17" t="s">
        <v>728</v>
      </c>
      <c r="AI17" t="s">
        <v>1004</v>
      </c>
      <c r="AJ17" t="s">
        <v>1005</v>
      </c>
      <c r="AK17" t="s">
        <v>915</v>
      </c>
    </row>
    <row r="18" spans="1:37" ht="58" x14ac:dyDescent="0.35">
      <c r="A18" t="s">
        <v>1006</v>
      </c>
      <c r="B18" t="s">
        <v>290</v>
      </c>
      <c r="C18" t="s">
        <v>978</v>
      </c>
      <c r="D18" t="s">
        <v>1007</v>
      </c>
      <c r="E18" t="s">
        <v>980</v>
      </c>
      <c r="F18" t="s">
        <v>737</v>
      </c>
      <c r="G18" s="48">
        <v>46173</v>
      </c>
      <c r="H18" s="48"/>
      <c r="I18" t="s">
        <v>763</v>
      </c>
      <c r="J18" s="51">
        <v>111.7077</v>
      </c>
      <c r="K18" s="50">
        <v>0.5</v>
      </c>
      <c r="L18" s="50">
        <v>2.2000000000000002</v>
      </c>
      <c r="N18" s="50">
        <v>11.7</v>
      </c>
      <c r="O18" t="s">
        <v>734</v>
      </c>
      <c r="V18" s="50"/>
      <c r="W18" t="s">
        <v>907</v>
      </c>
      <c r="X18">
        <v>1200</v>
      </c>
      <c r="Y18" t="s">
        <v>763</v>
      </c>
      <c r="Z18"/>
      <c r="AA18" t="b">
        <v>1</v>
      </c>
      <c r="AB18" t="s">
        <v>909</v>
      </c>
      <c r="AC18" s="60" t="s">
        <v>1008</v>
      </c>
      <c r="AE18" t="s">
        <v>1009</v>
      </c>
      <c r="AF18" s="49">
        <v>0.98</v>
      </c>
      <c r="AG18" t="s">
        <v>912</v>
      </c>
      <c r="AH18" t="s">
        <v>728</v>
      </c>
      <c r="AI18" t="s">
        <v>1010</v>
      </c>
      <c r="AJ18" t="s">
        <v>1011</v>
      </c>
      <c r="AK18" t="s">
        <v>915</v>
      </c>
    </row>
    <row r="19" spans="1:37" ht="58" x14ac:dyDescent="0.35">
      <c r="A19" t="s">
        <v>1012</v>
      </c>
      <c r="B19" t="s">
        <v>302</v>
      </c>
      <c r="C19" t="s">
        <v>1013</v>
      </c>
      <c r="D19" t="s">
        <v>1007</v>
      </c>
      <c r="E19" t="s">
        <v>980</v>
      </c>
      <c r="F19" t="s">
        <v>737</v>
      </c>
      <c r="G19" s="48">
        <v>46173</v>
      </c>
      <c r="H19" s="48"/>
      <c r="I19" t="s">
        <v>763</v>
      </c>
      <c r="J19" s="51">
        <v>109.33199999999999</v>
      </c>
      <c r="K19" s="50">
        <v>0.5</v>
      </c>
      <c r="L19" s="50">
        <v>2.1</v>
      </c>
      <c r="N19" s="50">
        <v>11.7</v>
      </c>
      <c r="O19" t="s">
        <v>734</v>
      </c>
      <c r="V19" s="50"/>
      <c r="W19" t="s">
        <v>907</v>
      </c>
      <c r="X19">
        <v>1200</v>
      </c>
      <c r="Y19" t="s">
        <v>763</v>
      </c>
      <c r="Z19"/>
      <c r="AA19" t="b">
        <v>1</v>
      </c>
      <c r="AB19" t="s">
        <v>909</v>
      </c>
      <c r="AC19" s="60" t="s">
        <v>1008</v>
      </c>
      <c r="AE19" t="s">
        <v>1009</v>
      </c>
      <c r="AF19" s="49">
        <v>0.98</v>
      </c>
      <c r="AG19" t="s">
        <v>912</v>
      </c>
      <c r="AH19" t="s">
        <v>728</v>
      </c>
      <c r="AI19" t="s">
        <v>1010</v>
      </c>
      <c r="AJ19" t="s">
        <v>1014</v>
      </c>
      <c r="AK19" t="s">
        <v>915</v>
      </c>
    </row>
    <row r="20" spans="1:37" ht="58" x14ac:dyDescent="0.35">
      <c r="A20" t="s">
        <v>1015</v>
      </c>
      <c r="B20" t="s">
        <v>255</v>
      </c>
      <c r="C20" t="s">
        <v>905</v>
      </c>
      <c r="D20" t="s">
        <v>256</v>
      </c>
      <c r="E20" t="s">
        <v>906</v>
      </c>
      <c r="F20" t="s">
        <v>735</v>
      </c>
      <c r="G20" s="48">
        <v>46142</v>
      </c>
      <c r="H20" s="48"/>
      <c r="I20" t="s">
        <v>759</v>
      </c>
      <c r="J20" s="51">
        <v>118.5</v>
      </c>
      <c r="K20" s="50">
        <v>3.1</v>
      </c>
      <c r="L20" s="50">
        <v>8.8000000000000007</v>
      </c>
      <c r="M20" s="50">
        <v>17.100000000000001</v>
      </c>
      <c r="N20" s="50">
        <v>18.5</v>
      </c>
      <c r="O20" t="s">
        <v>734</v>
      </c>
      <c r="U20" s="50">
        <v>8.9</v>
      </c>
      <c r="V20" s="50"/>
      <c r="W20" t="s">
        <v>907</v>
      </c>
      <c r="X20">
        <v>684</v>
      </c>
      <c r="Y20" t="s">
        <v>759</v>
      </c>
      <c r="Z20" t="s">
        <v>908</v>
      </c>
      <c r="AA20" t="b">
        <v>1</v>
      </c>
      <c r="AB20" t="s">
        <v>909</v>
      </c>
      <c r="AC20" s="60" t="s">
        <v>1016</v>
      </c>
      <c r="AE20" t="s">
        <v>1017</v>
      </c>
      <c r="AF20" s="49">
        <v>0.95</v>
      </c>
      <c r="AG20" t="s">
        <v>912</v>
      </c>
      <c r="AH20" t="s">
        <v>728</v>
      </c>
      <c r="AI20" t="s">
        <v>1018</v>
      </c>
      <c r="AJ20" t="s">
        <v>1019</v>
      </c>
      <c r="AK20" t="s">
        <v>915</v>
      </c>
    </row>
    <row r="21" spans="1:37" ht="58" x14ac:dyDescent="0.35">
      <c r="A21" t="s">
        <v>1020</v>
      </c>
      <c r="B21" t="s">
        <v>414</v>
      </c>
      <c r="C21" t="s">
        <v>1021</v>
      </c>
      <c r="D21" t="s">
        <v>1022</v>
      </c>
      <c r="E21" t="s">
        <v>991</v>
      </c>
      <c r="F21" t="s">
        <v>737</v>
      </c>
      <c r="G21" s="48">
        <v>46173</v>
      </c>
      <c r="H21" s="48"/>
      <c r="I21" t="s">
        <v>763</v>
      </c>
      <c r="J21" s="51">
        <v>1560.5</v>
      </c>
      <c r="K21" s="50">
        <v>-0.3</v>
      </c>
      <c r="L21" s="50">
        <v>-2.4</v>
      </c>
      <c r="N21" s="50">
        <v>56</v>
      </c>
      <c r="O21" t="s">
        <v>730</v>
      </c>
      <c r="P21" s="50">
        <v>6.3</v>
      </c>
      <c r="Q21" s="50">
        <v>19.2</v>
      </c>
      <c r="R21" s="50">
        <v>0.6</v>
      </c>
      <c r="S21" s="50">
        <v>2</v>
      </c>
      <c r="T21" s="50">
        <v>8.4</v>
      </c>
      <c r="U21" s="50">
        <v>0.4</v>
      </c>
      <c r="V21" s="50"/>
      <c r="W21" t="s">
        <v>907</v>
      </c>
      <c r="X21">
        <v>1392.96</v>
      </c>
      <c r="Y21" t="s">
        <v>763</v>
      </c>
      <c r="Z21"/>
      <c r="AA21" t="b">
        <v>1</v>
      </c>
      <c r="AB21" t="s">
        <v>909</v>
      </c>
      <c r="AC21" s="60" t="s">
        <v>1023</v>
      </c>
      <c r="AE21" t="s">
        <v>1024</v>
      </c>
      <c r="AF21" s="49">
        <v>0.95</v>
      </c>
      <c r="AG21" t="s">
        <v>912</v>
      </c>
      <c r="AH21" t="s">
        <v>728</v>
      </c>
      <c r="AI21" t="s">
        <v>1025</v>
      </c>
      <c r="AJ21" t="s">
        <v>1026</v>
      </c>
      <c r="AK21" t="s">
        <v>915</v>
      </c>
    </row>
    <row r="22" spans="1:37" ht="58" x14ac:dyDescent="0.35">
      <c r="A22" t="s">
        <v>1027</v>
      </c>
      <c r="B22" t="s">
        <v>426</v>
      </c>
      <c r="C22" t="s">
        <v>997</v>
      </c>
      <c r="D22" t="s">
        <v>1022</v>
      </c>
      <c r="E22" t="s">
        <v>991</v>
      </c>
      <c r="F22" t="s">
        <v>737</v>
      </c>
      <c r="G22" s="48">
        <v>46173</v>
      </c>
      <c r="H22" s="48"/>
      <c r="I22" t="s">
        <v>763</v>
      </c>
      <c r="J22" s="51">
        <v>1514.63</v>
      </c>
      <c r="K22" s="50">
        <v>-0.3</v>
      </c>
      <c r="L22" s="50">
        <v>-2.6</v>
      </c>
      <c r="N22" s="50">
        <v>51.5</v>
      </c>
      <c r="O22" t="s">
        <v>730</v>
      </c>
      <c r="P22" s="50">
        <v>5.9</v>
      </c>
      <c r="Q22" s="50">
        <v>18.399999999999999</v>
      </c>
      <c r="R22" s="50">
        <v>0.3</v>
      </c>
      <c r="S22" s="50">
        <v>1.7</v>
      </c>
      <c r="T22" s="50">
        <v>7.9</v>
      </c>
      <c r="U22" s="50">
        <v>0.1</v>
      </c>
      <c r="V22" s="50"/>
      <c r="W22" t="s">
        <v>907</v>
      </c>
      <c r="X22">
        <v>1392.96</v>
      </c>
      <c r="Y22" t="s">
        <v>763</v>
      </c>
      <c r="Z22"/>
      <c r="AA22" t="b">
        <v>1</v>
      </c>
      <c r="AB22" t="s">
        <v>909</v>
      </c>
      <c r="AC22" s="60" t="s">
        <v>1023</v>
      </c>
      <c r="AE22" t="s">
        <v>1024</v>
      </c>
      <c r="AF22" s="49">
        <v>0.95</v>
      </c>
      <c r="AG22" t="s">
        <v>912</v>
      </c>
      <c r="AH22" t="s">
        <v>728</v>
      </c>
      <c r="AI22" t="s">
        <v>1025</v>
      </c>
      <c r="AJ22" t="s">
        <v>1028</v>
      </c>
      <c r="AK22" t="s">
        <v>915</v>
      </c>
    </row>
    <row r="23" spans="1:37" ht="58" x14ac:dyDescent="0.35">
      <c r="A23" t="s">
        <v>1029</v>
      </c>
      <c r="B23" t="s">
        <v>263</v>
      </c>
      <c r="C23" t="s">
        <v>1030</v>
      </c>
      <c r="D23" t="s">
        <v>1031</v>
      </c>
      <c r="E23" t="s">
        <v>1032</v>
      </c>
      <c r="F23" t="s">
        <v>733</v>
      </c>
      <c r="G23" s="48">
        <v>46197</v>
      </c>
      <c r="H23" s="48">
        <v>46173</v>
      </c>
      <c r="I23" t="s">
        <v>763</v>
      </c>
      <c r="J23" s="51">
        <v>32.42</v>
      </c>
      <c r="K23" s="50">
        <v>0.85</v>
      </c>
      <c r="L23" s="50">
        <v>9.01</v>
      </c>
      <c r="M23" s="50">
        <v>16.399999999999999</v>
      </c>
      <c r="N23" s="50">
        <v>29.69</v>
      </c>
      <c r="S23" s="50">
        <v>-0.34</v>
      </c>
      <c r="T23" s="50">
        <v>14.83</v>
      </c>
      <c r="U23" s="50">
        <v>3.96</v>
      </c>
      <c r="V23" s="50"/>
      <c r="W23" t="s">
        <v>907</v>
      </c>
      <c r="X23">
        <v>323.5</v>
      </c>
      <c r="Y23" t="s">
        <v>763</v>
      </c>
      <c r="Z23"/>
      <c r="AA23" t="b">
        <v>0</v>
      </c>
      <c r="AB23" t="s">
        <v>909</v>
      </c>
      <c r="AC23" s="60" t="s">
        <v>1033</v>
      </c>
      <c r="AE23" t="s">
        <v>1034</v>
      </c>
      <c r="AF23" s="49">
        <v>0.95</v>
      </c>
      <c r="AG23" t="s">
        <v>912</v>
      </c>
      <c r="AH23" t="s">
        <v>728</v>
      </c>
      <c r="AI23" t="s">
        <v>1035</v>
      </c>
      <c r="AJ23" t="s">
        <v>1036</v>
      </c>
      <c r="AK23" t="s">
        <v>915</v>
      </c>
    </row>
    <row r="24" spans="1:37" ht="58" x14ac:dyDescent="0.35">
      <c r="A24" t="s">
        <v>1037</v>
      </c>
      <c r="B24" t="s">
        <v>252</v>
      </c>
      <c r="C24" t="s">
        <v>1038</v>
      </c>
      <c r="D24" t="s">
        <v>1031</v>
      </c>
      <c r="E24" t="s">
        <v>1032</v>
      </c>
      <c r="F24" t="s">
        <v>733</v>
      </c>
      <c r="G24" s="48">
        <v>46197</v>
      </c>
      <c r="H24" s="48">
        <v>46173</v>
      </c>
      <c r="I24" t="s">
        <v>763</v>
      </c>
      <c r="J24" s="51">
        <v>29.33</v>
      </c>
      <c r="K24" s="50">
        <v>0.91</v>
      </c>
      <c r="L24" s="50">
        <v>9.48</v>
      </c>
      <c r="N24" s="50">
        <v>17.309999999999999</v>
      </c>
      <c r="V24" s="50"/>
      <c r="W24" t="s">
        <v>907</v>
      </c>
      <c r="X24">
        <v>323.5</v>
      </c>
      <c r="Y24" t="s">
        <v>763</v>
      </c>
      <c r="Z24"/>
      <c r="AA24" t="b">
        <v>0</v>
      </c>
      <c r="AB24" t="s">
        <v>909</v>
      </c>
      <c r="AC24" s="60" t="s">
        <v>1033</v>
      </c>
      <c r="AE24" t="s">
        <v>1034</v>
      </c>
      <c r="AF24" s="49">
        <v>0.95</v>
      </c>
      <c r="AG24" t="s">
        <v>912</v>
      </c>
      <c r="AH24" t="s">
        <v>728</v>
      </c>
      <c r="AI24" t="s">
        <v>1035</v>
      </c>
      <c r="AJ24" t="s">
        <v>1039</v>
      </c>
      <c r="AK24" t="s">
        <v>915</v>
      </c>
    </row>
    <row r="25" spans="1:37" ht="43.5" x14ac:dyDescent="0.35">
      <c r="A25" t="s">
        <v>1040</v>
      </c>
      <c r="B25" t="s">
        <v>353</v>
      </c>
      <c r="C25" t="s">
        <v>1041</v>
      </c>
      <c r="D25" t="s">
        <v>1042</v>
      </c>
      <c r="E25" t="s">
        <v>1032</v>
      </c>
      <c r="F25" t="s">
        <v>733</v>
      </c>
      <c r="G25" s="48">
        <v>46204</v>
      </c>
      <c r="H25" s="48">
        <v>46170</v>
      </c>
      <c r="I25" t="s">
        <v>763</v>
      </c>
      <c r="J25" s="51">
        <v>37.92</v>
      </c>
      <c r="K25" s="50">
        <v>3.3</v>
      </c>
      <c r="L25" s="50">
        <v>6.86</v>
      </c>
      <c r="M25" s="50">
        <v>6.68</v>
      </c>
      <c r="N25" s="50">
        <v>51.67</v>
      </c>
      <c r="T25" s="50">
        <v>6.53</v>
      </c>
      <c r="U25" s="50">
        <v>6.29</v>
      </c>
      <c r="V25" s="50"/>
      <c r="W25" t="s">
        <v>907</v>
      </c>
      <c r="X25">
        <v>442</v>
      </c>
      <c r="Y25" t="s">
        <v>763</v>
      </c>
      <c r="Z25"/>
      <c r="AA25" t="b">
        <v>0</v>
      </c>
      <c r="AB25" t="s">
        <v>909</v>
      </c>
      <c r="AC25" s="60" t="s">
        <v>1043</v>
      </c>
      <c r="AE25" t="s">
        <v>1044</v>
      </c>
      <c r="AF25" s="49">
        <v>0.95</v>
      </c>
      <c r="AG25" t="s">
        <v>912</v>
      </c>
      <c r="AH25" t="s">
        <v>728</v>
      </c>
      <c r="AI25" t="s">
        <v>1045</v>
      </c>
      <c r="AJ25" t="s">
        <v>1046</v>
      </c>
      <c r="AK25" t="s">
        <v>915</v>
      </c>
    </row>
    <row r="26" spans="1:37" ht="58" x14ac:dyDescent="0.35">
      <c r="A26" t="s">
        <v>1047</v>
      </c>
      <c r="B26" t="s">
        <v>356</v>
      </c>
      <c r="C26" t="s">
        <v>1030</v>
      </c>
      <c r="D26" t="s">
        <v>1048</v>
      </c>
      <c r="E26" t="s">
        <v>1032</v>
      </c>
      <c r="F26" t="s">
        <v>737</v>
      </c>
      <c r="G26" s="48">
        <v>46173</v>
      </c>
      <c r="H26" s="48">
        <v>46142</v>
      </c>
      <c r="I26" t="s">
        <v>763</v>
      </c>
      <c r="J26" s="51">
        <v>42.33</v>
      </c>
      <c r="K26" s="50">
        <v>2.2599999999999998</v>
      </c>
      <c r="L26" s="50">
        <v>13.79</v>
      </c>
      <c r="M26" s="50">
        <v>34.14</v>
      </c>
      <c r="N26" s="50">
        <v>69.319999999999993</v>
      </c>
      <c r="O26" t="s">
        <v>730</v>
      </c>
      <c r="V26" s="50"/>
      <c r="W26" t="s">
        <v>907</v>
      </c>
      <c r="X26">
        <v>1200</v>
      </c>
      <c r="Y26" t="s">
        <v>763</v>
      </c>
      <c r="Z26"/>
      <c r="AA26" t="b">
        <v>0</v>
      </c>
      <c r="AB26" t="s">
        <v>909</v>
      </c>
      <c r="AC26" s="60" t="s">
        <v>1049</v>
      </c>
      <c r="AE26" t="s">
        <v>1050</v>
      </c>
      <c r="AF26" s="49">
        <v>0.95</v>
      </c>
      <c r="AG26" t="s">
        <v>912</v>
      </c>
      <c r="AH26" t="s">
        <v>728</v>
      </c>
      <c r="AI26" t="s">
        <v>1051</v>
      </c>
      <c r="AJ26" t="s">
        <v>1052</v>
      </c>
      <c r="AK26" t="s">
        <v>915</v>
      </c>
    </row>
    <row r="27" spans="1:37" ht="58" x14ac:dyDescent="0.35">
      <c r="A27" t="s">
        <v>1053</v>
      </c>
      <c r="B27" t="s">
        <v>362</v>
      </c>
      <c r="C27" t="s">
        <v>1054</v>
      </c>
      <c r="D27" t="s">
        <v>1055</v>
      </c>
      <c r="E27" t="s">
        <v>1056</v>
      </c>
      <c r="F27" t="s">
        <v>737</v>
      </c>
      <c r="G27" s="48">
        <v>46171</v>
      </c>
      <c r="H27" s="48"/>
      <c r="I27" t="s">
        <v>759</v>
      </c>
      <c r="J27" s="51">
        <v>128.72999999999999</v>
      </c>
      <c r="K27" s="50">
        <v>1.63</v>
      </c>
      <c r="L27" s="50">
        <v>7.73</v>
      </c>
      <c r="M27" s="50">
        <v>21.46</v>
      </c>
      <c r="N27" s="50">
        <v>28.73</v>
      </c>
      <c r="O27" t="s">
        <v>734</v>
      </c>
      <c r="T27" s="50">
        <v>19.5</v>
      </c>
      <c r="U27" s="50">
        <v>7.73</v>
      </c>
      <c r="V27" s="50"/>
      <c r="W27" t="s">
        <v>907</v>
      </c>
      <c r="X27">
        <v>1500</v>
      </c>
      <c r="Y27" t="s">
        <v>759</v>
      </c>
      <c r="Z27" t="s">
        <v>908</v>
      </c>
      <c r="AA27" t="b">
        <v>1</v>
      </c>
      <c r="AB27" t="s">
        <v>909</v>
      </c>
      <c r="AC27" s="60" t="s">
        <v>1057</v>
      </c>
      <c r="AE27" t="s">
        <v>1058</v>
      </c>
      <c r="AF27" s="49">
        <v>0.95</v>
      </c>
      <c r="AG27" t="s">
        <v>912</v>
      </c>
      <c r="AH27" t="s">
        <v>728</v>
      </c>
      <c r="AI27" t="s">
        <v>1059</v>
      </c>
      <c r="AJ27" t="s">
        <v>1060</v>
      </c>
      <c r="AK27" t="s">
        <v>915</v>
      </c>
    </row>
    <row r="28" spans="1:37" ht="43.5" x14ac:dyDescent="0.35">
      <c r="A28" t="s">
        <v>1061</v>
      </c>
      <c r="B28" t="s">
        <v>368</v>
      </c>
      <c r="C28" t="s">
        <v>1062</v>
      </c>
      <c r="D28" t="s">
        <v>1063</v>
      </c>
      <c r="E28" t="s">
        <v>906</v>
      </c>
      <c r="F28" t="s">
        <v>735</v>
      </c>
      <c r="G28" s="48">
        <v>46142</v>
      </c>
      <c r="H28" s="48"/>
      <c r="I28" t="s">
        <v>759</v>
      </c>
      <c r="J28" s="51">
        <v>120.7</v>
      </c>
      <c r="K28" s="50">
        <v>-0.1</v>
      </c>
      <c r="L28" s="50">
        <v>0.9</v>
      </c>
      <c r="M28" s="50">
        <v>8.4</v>
      </c>
      <c r="N28" s="50">
        <v>20.7</v>
      </c>
      <c r="O28" t="s">
        <v>730</v>
      </c>
      <c r="T28" s="50">
        <v>12.7</v>
      </c>
      <c r="U28" s="50">
        <v>6.1</v>
      </c>
      <c r="V28" s="50"/>
      <c r="W28" t="s">
        <v>907</v>
      </c>
      <c r="X28">
        <v>1916</v>
      </c>
      <c r="Y28" t="s">
        <v>767</v>
      </c>
      <c r="Z28" t="s">
        <v>908</v>
      </c>
      <c r="AA28" t="b">
        <v>1</v>
      </c>
      <c r="AB28" t="s">
        <v>909</v>
      </c>
      <c r="AC28" s="60" t="s">
        <v>1064</v>
      </c>
      <c r="AE28" t="s">
        <v>1065</v>
      </c>
      <c r="AF28" s="49">
        <v>0.95</v>
      </c>
      <c r="AG28" t="s">
        <v>912</v>
      </c>
      <c r="AH28" t="s">
        <v>728</v>
      </c>
      <c r="AI28" t="s">
        <v>1066</v>
      </c>
      <c r="AJ28" t="s">
        <v>1067</v>
      </c>
      <c r="AK28" t="s">
        <v>915</v>
      </c>
    </row>
    <row r="29" spans="1:37" ht="43.5" x14ac:dyDescent="0.35">
      <c r="A29" t="s">
        <v>1068</v>
      </c>
      <c r="B29" t="s">
        <v>192</v>
      </c>
      <c r="C29" t="s">
        <v>1069</v>
      </c>
      <c r="D29" t="s">
        <v>1070</v>
      </c>
      <c r="E29" t="s">
        <v>1071</v>
      </c>
      <c r="F29" t="s">
        <v>731</v>
      </c>
      <c r="G29" s="48">
        <v>46112</v>
      </c>
      <c r="H29" s="48"/>
      <c r="I29" t="s">
        <v>759</v>
      </c>
      <c r="J29" s="51">
        <v>288.5</v>
      </c>
      <c r="K29" s="50">
        <v>1.7</v>
      </c>
      <c r="L29" s="50">
        <v>1.7</v>
      </c>
      <c r="M29" s="50">
        <v>7.26</v>
      </c>
      <c r="N29" s="50">
        <v>188.5</v>
      </c>
      <c r="O29" t="s">
        <v>730</v>
      </c>
      <c r="U29" s="50">
        <v>54.75</v>
      </c>
      <c r="V29" s="50"/>
      <c r="W29" t="s">
        <v>907</v>
      </c>
      <c r="X29">
        <v>270.83999999999997</v>
      </c>
      <c r="Y29" t="s">
        <v>759</v>
      </c>
      <c r="Z29"/>
      <c r="AA29" t="b">
        <v>1</v>
      </c>
      <c r="AB29" t="s">
        <v>909</v>
      </c>
      <c r="AC29" s="60" t="s">
        <v>1072</v>
      </c>
      <c r="AF29" s="49">
        <v>0.95</v>
      </c>
      <c r="AG29" t="s">
        <v>912</v>
      </c>
      <c r="AH29" t="s">
        <v>728</v>
      </c>
      <c r="AI29" t="s">
        <v>1073</v>
      </c>
      <c r="AJ29" t="s">
        <v>1074</v>
      </c>
      <c r="AK29" t="s">
        <v>915</v>
      </c>
    </row>
    <row r="30" spans="1:37" ht="43.5" x14ac:dyDescent="0.35">
      <c r="A30" t="s">
        <v>1075</v>
      </c>
      <c r="B30" t="s">
        <v>195</v>
      </c>
      <c r="C30" t="s">
        <v>1076</v>
      </c>
      <c r="D30" t="s">
        <v>1070</v>
      </c>
      <c r="E30" t="s">
        <v>1071</v>
      </c>
      <c r="F30" t="s">
        <v>731</v>
      </c>
      <c r="G30" s="48">
        <v>46112</v>
      </c>
      <c r="H30" s="48"/>
      <c r="I30" t="s">
        <v>759</v>
      </c>
      <c r="J30" s="51">
        <v>29417.9</v>
      </c>
      <c r="K30" s="50">
        <v>1.77</v>
      </c>
      <c r="L30" s="50">
        <v>1.77</v>
      </c>
      <c r="M30" s="50">
        <v>7.56</v>
      </c>
      <c r="N30" s="50">
        <v>194.18</v>
      </c>
      <c r="O30" t="s">
        <v>730</v>
      </c>
      <c r="U30" s="50">
        <v>56.55</v>
      </c>
      <c r="V30" s="50"/>
      <c r="W30" t="s">
        <v>907</v>
      </c>
      <c r="X30">
        <v>270.83999999999997</v>
      </c>
      <c r="Y30" t="s">
        <v>759</v>
      </c>
      <c r="Z30"/>
      <c r="AA30" t="b">
        <v>1</v>
      </c>
      <c r="AB30" t="s">
        <v>909</v>
      </c>
      <c r="AC30" s="60" t="s">
        <v>1072</v>
      </c>
      <c r="AF30" s="49">
        <v>0.95</v>
      </c>
      <c r="AG30" t="s">
        <v>912</v>
      </c>
      <c r="AH30" t="s">
        <v>728</v>
      </c>
      <c r="AI30" t="s">
        <v>1073</v>
      </c>
      <c r="AJ30" t="s">
        <v>1077</v>
      </c>
      <c r="AK30" t="s">
        <v>915</v>
      </c>
    </row>
    <row r="31" spans="1:37" ht="43.5" x14ac:dyDescent="0.35">
      <c r="A31" t="s">
        <v>1078</v>
      </c>
      <c r="B31" t="s">
        <v>300</v>
      </c>
      <c r="C31" t="s">
        <v>739</v>
      </c>
      <c r="D31" t="s">
        <v>1079</v>
      </c>
      <c r="E31" t="s">
        <v>1080</v>
      </c>
      <c r="F31" t="s">
        <v>731</v>
      </c>
      <c r="G31" s="48">
        <v>46112</v>
      </c>
      <c r="H31" s="48"/>
      <c r="I31" t="s">
        <v>759</v>
      </c>
      <c r="J31" s="51">
        <v>103.64</v>
      </c>
      <c r="K31" s="50">
        <v>0.56000000000000005</v>
      </c>
      <c r="L31" s="50">
        <v>1.55</v>
      </c>
      <c r="N31" s="50">
        <v>3.64</v>
      </c>
      <c r="O31" t="s">
        <v>730</v>
      </c>
      <c r="U31" s="50">
        <v>3.64</v>
      </c>
      <c r="V31" s="50"/>
      <c r="W31" t="s">
        <v>907</v>
      </c>
      <c r="X31">
        <v>141</v>
      </c>
      <c r="Y31" t="s">
        <v>759</v>
      </c>
      <c r="Z31"/>
      <c r="AA31" t="b">
        <v>0</v>
      </c>
      <c r="AB31" t="s">
        <v>909</v>
      </c>
      <c r="AC31" s="60" t="s">
        <v>1081</v>
      </c>
      <c r="AF31" s="49">
        <v>0.95</v>
      </c>
      <c r="AG31" t="s">
        <v>912</v>
      </c>
      <c r="AH31" t="s">
        <v>728</v>
      </c>
      <c r="AI31" t="s">
        <v>1082</v>
      </c>
      <c r="AJ31" t="s">
        <v>1083</v>
      </c>
      <c r="AK31" t="s">
        <v>915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205C-0F35-4547-BA11-15495CCEAC5A}">
  <dimension ref="A1:F1"/>
  <sheetViews>
    <sheetView workbookViewId="0"/>
  </sheetViews>
  <sheetFormatPr baseColWidth="10" defaultColWidth="11.453125" defaultRowHeight="14.5" x14ac:dyDescent="0.35"/>
  <cols>
    <col min="1" max="1" width="6.453125" bestFit="1" customWidth="1"/>
    <col min="2" max="2" width="7.1796875" bestFit="1" customWidth="1"/>
    <col min="3" max="3" width="10.1796875" bestFit="1" customWidth="1"/>
    <col min="4" max="4" width="18.81640625" bestFit="1" customWidth="1"/>
    <col min="5" max="5" width="6.81640625" bestFit="1" customWidth="1"/>
    <col min="6" max="6" width="16.81640625" bestFit="1" customWidth="1"/>
  </cols>
  <sheetData>
    <row r="1" spans="1:6" x14ac:dyDescent="0.35">
      <c r="A1" t="s">
        <v>0</v>
      </c>
      <c r="B1" t="s">
        <v>1084</v>
      </c>
      <c r="C1" t="s">
        <v>1085</v>
      </c>
      <c r="D1" t="s">
        <v>1086</v>
      </c>
      <c r="E1" t="s">
        <v>1087</v>
      </c>
      <c r="F1" t="s">
        <v>1088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7db4134-eff6-4410-b183-a919a91add29">
      <Terms xmlns="http://schemas.microsoft.com/office/infopath/2007/PartnerControls"/>
    </lcf76f155ced4ddcb4097134ff3c332f>
    <TaxCatchAll xmlns="1af0bc77-74e6-4349-97db-9e63c793758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0788DBEE0ABBC4DBAD8BCBF9C89FD31" ma:contentTypeVersion="12" ma:contentTypeDescription="Crée un document." ma:contentTypeScope="" ma:versionID="8a5182994913cc006fc28d542183e06a">
  <xsd:schema xmlns:xsd="http://www.w3.org/2001/XMLSchema" xmlns:xs="http://www.w3.org/2001/XMLSchema" xmlns:p="http://schemas.microsoft.com/office/2006/metadata/properties" xmlns:ns2="a7db4134-eff6-4410-b183-a919a91add29" xmlns:ns3="1af0bc77-74e6-4349-97db-9e63c793758a" targetNamespace="http://schemas.microsoft.com/office/2006/metadata/properties" ma:root="true" ma:fieldsID="69612d33de98c31b8bd28e13883e507d" ns2:_="" ns3:_="">
    <xsd:import namespace="a7db4134-eff6-4410-b183-a919a91add29"/>
    <xsd:import namespace="1af0bc77-74e6-4349-97db-9e63c7937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db4134-eff6-4410-b183-a919a91add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255009b4-7e6b-4f27-bdd1-a37e0db1209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f0bc77-74e6-4349-97db-9e63c793758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cc912b3-e73e-47c2-892a-009cb2619b69}" ma:internalName="TaxCatchAll" ma:showField="CatchAllData" ma:web="1af0bc77-74e6-4349-97db-9e63c7937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scriptId id="ms-officescript%3A%2F%2Fonedrive_business_itemlink%2F01QM6Z6V2Q565YL4IDS5FZ4VCXC7EJGLKN:ms-officescript%3A%2F%2Fonedrive_business_sharinglink%2Fu!aHR0cHM6Ly9hbHRob3NwYXRyaW1vaW5lMjAyMC1teS5zaGFyZXBvaW50LmNvbS86dTovZy9wZXJzb25hbC90X2JpZ25vbl9hbHRob3NfY29tL0lRQlE3N3VGOFFPWFM1NVVWeGZJa3kxTkFhYUdldC16emQ1UmwzcG9RQ0pXZURJ"/>
</scriptIds>
</file>

<file path=customXml/itemProps1.xml><?xml version="1.0" encoding="utf-8"?>
<ds:datastoreItem xmlns:ds="http://schemas.openxmlformats.org/officeDocument/2006/customXml" ds:itemID="{70743E4C-A06D-4C8A-AB4A-41B866999390}">
  <ds:schemaRefs>
    <ds:schemaRef ds:uri="http://schemas.microsoft.com/sharepoint/v3/contenttype/forms"/>
  </ds:schemaRefs>
</ds:datastoreItem>
</file>

<file path=customXml/itemProps2.xml><?xml version="1.0" encoding="utf-8"?>
<ds:datastoreItem xmlns:ds="http://schemas.openxmlformats.org/officeDocument/2006/customXml" ds:itemID="{63E44FB5-3ACF-40B3-913C-C52FBDE98CF0}">
  <ds:schemaRefs>
    <ds:schemaRef ds:uri="http://schemas.microsoft.com/office/2006/metadata/properties"/>
    <ds:schemaRef ds:uri="http://schemas.microsoft.com/office/infopath/2007/PartnerControls"/>
    <ds:schemaRef ds:uri="a7db4134-eff6-4410-b183-a919a91add29"/>
    <ds:schemaRef ds:uri="1af0bc77-74e6-4349-97db-9e63c793758a"/>
  </ds:schemaRefs>
</ds:datastoreItem>
</file>

<file path=customXml/itemProps3.xml><?xml version="1.0" encoding="utf-8"?>
<ds:datastoreItem xmlns:ds="http://schemas.openxmlformats.org/officeDocument/2006/customXml" ds:itemID="{D0EF66B3-DCF1-4F19-9F44-CE138283EF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db4134-eff6-4410-b183-a919a91add29"/>
    <ds:schemaRef ds:uri="1af0bc77-74e6-4349-97db-9e63c79375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19BA7FD-F65A-4805-8A31-372C4987F469}">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13</vt:i4>
      </vt:variant>
    </vt:vector>
  </HeadingPairs>
  <TitlesOfParts>
    <vt:vector size="22" baseType="lpstr">
      <vt:lpstr>Fonds</vt:lpstr>
      <vt:lpstr>Performance fonds</vt:lpstr>
      <vt:lpstr>Transparisation Althos</vt:lpstr>
      <vt:lpstr>Listes</vt:lpstr>
      <vt:lpstr>Contrôle</vt:lpstr>
      <vt:lpstr>Mode d'emploi</vt:lpstr>
      <vt:lpstr>Coupons</vt:lpstr>
      <vt:lpstr>TableReportings</vt:lpstr>
      <vt:lpstr>TableSuiviReportings</vt:lpstr>
      <vt:lpstr>Categories</vt:lpstr>
      <vt:lpstr>DateTranspaAlthos</vt:lpstr>
      <vt:lpstr>Devises</vt:lpstr>
      <vt:lpstr>Liquidites</vt:lpstr>
      <vt:lpstr>'Performance fonds'!ListeISIN</vt:lpstr>
      <vt:lpstr>ListeISIN</vt:lpstr>
      <vt:lpstr>PaireCategorie</vt:lpstr>
      <vt:lpstr>PaireSousCategorie</vt:lpstr>
      <vt:lpstr>SFDR</vt:lpstr>
      <vt:lpstr>SousCategories</vt:lpstr>
      <vt:lpstr>Statuts</vt:lpstr>
      <vt:lpstr>StatutsVerif</vt:lpstr>
      <vt:lpstr>Temporalites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Bibliothèque de fonds Althos</dc:title>
  <dc:subject/>
  <dc:creator>ALTHOS PATRIMOINE</dc:creator>
  <cp:keywords/>
  <dc:description>Base commune des fonds : identification, risque, expositions, DICI, performances, transparisation des fonds maison.</dc:description>
  <cp:lastModifiedBy>Tom BIGNON</cp:lastModifiedBy>
  <cp:revision/>
  <dcterms:created xsi:type="dcterms:W3CDTF">2026-07-13T11:38:25Z</dcterms:created>
  <dcterms:modified xsi:type="dcterms:W3CDTF">2026-08-17T11:51:26Z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lthosFormat">
    <vt:lpwstr>bibliotheque-fonds</vt:lpwstr>
  </property>
  <property fmtid="{D5CDD505-2E9C-101B-9397-08002B2CF9AE}" pid="3" name="AlthosFormatVersion">
    <vt:lpwstr>1</vt:lpwstr>
  </property>
  <property fmtid="{D5CDD505-2E9C-101B-9397-08002B2CF9AE}" pid="4" name="AlthosGenerator">
    <vt:lpwstr>bootstrap_bibliotheque 1.1</vt:lpwstr>
  </property>
  <property fmtid="{D5CDD505-2E9C-101B-9397-08002B2CF9AE}" pid="5" name="ContentTypeId">
    <vt:lpwstr>0x01010060788DBEE0ABBC4DBAD8BCBF9C89FD31</vt:lpwstr>
  </property>
  <property fmtid="{D5CDD505-2E9C-101B-9397-08002B2CF9AE}" pid="6" name="MediaServiceImageTags">
    <vt:lpwstr/>
  </property>
</Properties>
</file>